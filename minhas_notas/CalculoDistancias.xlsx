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bparsa.sharepoint.com/sites/EquipeLPTMLAENBPar/Shared Documents/02. Gestão de Contratos/08. Amostras/TO_2ª_TRANCHE_AmL/"/>
    </mc:Choice>
  </mc:AlternateContent>
  <xr:revisionPtr revIDLastSave="273" documentId="13_ncr:1_{7084F2DF-A624-498B-9B14-D0A8EBFA6644}" xr6:coauthVersionLast="47" xr6:coauthVersionMax="47" xr10:uidLastSave="{F133CDF2-28E2-4881-8BED-08DEAD3EDE08}"/>
  <bookViews>
    <workbookView xWindow="-108" yWindow="-108" windowWidth="23256" windowHeight="12456" firstSheet="3" activeTab="9" xr2:uid="{00000000-000D-0000-FFFF-FFFF00000000}"/>
  </bookViews>
  <sheets>
    <sheet name="CALCULO_VR" sheetId="1" r:id="rId1"/>
    <sheet name="Lote1" sheetId="5" r:id="rId2"/>
    <sheet name="Planilha3" sheetId="7" r:id="rId3"/>
    <sheet name="Planilha1" sheetId="3" r:id="rId4"/>
    <sheet name="Planilha6" sheetId="11" r:id="rId5"/>
    <sheet name="Grupo" sheetId="2" r:id="rId6"/>
    <sheet name="Planilha5" sheetId="10" r:id="rId7"/>
    <sheet name="Planilha2" sheetId="8" r:id="rId8"/>
    <sheet name="Planilha4" sheetId="9" r:id="rId9"/>
    <sheet name="COORDENADAS_GEOGRÁFICAS" sheetId="6" r:id="rId10"/>
  </sheets>
  <externalReferences>
    <externalReference r:id="rId11"/>
  </externalReferences>
  <definedNames>
    <definedName name="_xlnm._FilterDatabase" localSheetId="0" hidden="1">CALCULO_VR!$A$3:$R$1048576</definedName>
    <definedName name="_xlnm._FilterDatabase" localSheetId="9" hidden="1">COORDENADAS_GEOGRÁFICAS!$A$1:$E$198</definedName>
    <definedName name="_xlnm._FilterDatabase" localSheetId="3" hidden="1">Planilha1!$A$1:$M$1</definedName>
    <definedName name="_xlnm._FilterDatabase" localSheetId="6" hidden="1">Planilha5!$A$1:$O$140</definedName>
    <definedName name="_xlnm.Database">CALCULO_VR!$A$4:$R$26</definedName>
    <definedName name="DadosExternos_1" localSheetId="2" hidden="1">Planilha3!$A$1:$Y$451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9" i="1" l="1"/>
  <c r="H107" i="5"/>
  <c r="H251" i="5"/>
  <c r="H395" i="5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H92" i="5" s="1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H104" i="5" s="1"/>
  <c r="G105" i="5"/>
  <c r="H105" i="5" s="1"/>
  <c r="G106" i="5"/>
  <c r="H106" i="5" s="1"/>
  <c r="G107" i="5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H116" i="5" s="1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H128" i="5" s="1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H140" i="5" s="1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H150" i="5" s="1"/>
  <c r="G151" i="5"/>
  <c r="H151" i="5" s="1"/>
  <c r="G152" i="5"/>
  <c r="H152" i="5" s="1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H164" i="5" s="1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H176" i="5" s="1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H188" i="5" s="1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H200" i="5" s="1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H212" i="5" s="1"/>
  <c r="G213" i="5"/>
  <c r="H213" i="5" s="1"/>
  <c r="G214" i="5"/>
  <c r="H214" i="5" s="1"/>
  <c r="G215" i="5"/>
  <c r="H215" i="5" s="1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H224" i="5" s="1"/>
  <c r="G225" i="5"/>
  <c r="H225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H236" i="5" s="1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H248" i="5" s="1"/>
  <c r="G249" i="5"/>
  <c r="H249" i="5" s="1"/>
  <c r="G250" i="5"/>
  <c r="H250" i="5" s="1"/>
  <c r="G251" i="5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H258" i="5" s="1"/>
  <c r="G259" i="5"/>
  <c r="H259" i="5" s="1"/>
  <c r="G260" i="5"/>
  <c r="H260" i="5" s="1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H272" i="5" s="1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H278" i="5" s="1"/>
  <c r="G279" i="5"/>
  <c r="H279" i="5" s="1"/>
  <c r="G280" i="5"/>
  <c r="H280" i="5" s="1"/>
  <c r="G281" i="5"/>
  <c r="H281" i="5" s="1"/>
  <c r="G282" i="5"/>
  <c r="H282" i="5" s="1"/>
  <c r="G283" i="5"/>
  <c r="H283" i="5" s="1"/>
  <c r="G284" i="5"/>
  <c r="H284" i="5" s="1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H296" i="5" s="1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H308" i="5" s="1"/>
  <c r="G309" i="5"/>
  <c r="H309" i="5" s="1"/>
  <c r="G310" i="5"/>
  <c r="H310" i="5" s="1"/>
  <c r="G311" i="5"/>
  <c r="H311" i="5" s="1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H320" i="5" s="1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H332" i="5" s="1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H344" i="5" s="1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H356" i="5" s="1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H368" i="5" s="1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H380" i="5" s="1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H392" i="5" s="1"/>
  <c r="G393" i="5"/>
  <c r="H393" i="5" s="1"/>
  <c r="G394" i="5"/>
  <c r="H394" i="5" s="1"/>
  <c r="G395" i="5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H404" i="5" s="1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H416" i="5" s="1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H428" i="5" s="1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H440" i="5" s="1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H446" i="5" s="1"/>
  <c r="G447" i="5"/>
  <c r="H447" i="5" s="1"/>
  <c r="G448" i="5"/>
  <c r="H448" i="5" s="1"/>
  <c r="G449" i="5"/>
  <c r="H449" i="5" s="1"/>
  <c r="G450" i="5"/>
  <c r="H450" i="5" s="1"/>
  <c r="G451" i="5"/>
  <c r="H451" i="5" s="1"/>
  <c r="G452" i="5"/>
  <c r="H452" i="5" s="1"/>
  <c r="G453" i="5"/>
  <c r="H453" i="5" s="1"/>
  <c r="G4" i="5"/>
  <c r="H4" i="5" s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" i="5"/>
  <c r="A453" i="5"/>
  <c r="A451" i="5"/>
  <c r="A452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" i="5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4" i="1"/>
  <c r="Q335" i="1"/>
  <c r="Q338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4" i="1"/>
  <c r="P335" i="1"/>
  <c r="P338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O399" i="1"/>
  <c r="N399" i="1"/>
  <c r="K5" i="1"/>
  <c r="I5" i="1" s="1"/>
  <c r="F5" i="5" s="1"/>
  <c r="K6" i="1"/>
  <c r="I6" i="1" s="1"/>
  <c r="F6" i="5" s="1"/>
  <c r="K7" i="1"/>
  <c r="I7" i="1" s="1"/>
  <c r="F7" i="5" s="1"/>
  <c r="K8" i="1"/>
  <c r="I8" i="1" s="1"/>
  <c r="F8" i="5" s="1"/>
  <c r="K9" i="1"/>
  <c r="I9" i="1" s="1"/>
  <c r="F9" i="5" s="1"/>
  <c r="K10" i="1"/>
  <c r="I10" i="1" s="1"/>
  <c r="F10" i="5" s="1"/>
  <c r="K11" i="1"/>
  <c r="I11" i="1" s="1"/>
  <c r="F11" i="5" s="1"/>
  <c r="K12" i="1"/>
  <c r="I12" i="1" s="1"/>
  <c r="F12" i="5" s="1"/>
  <c r="K13" i="1"/>
  <c r="I13" i="1" s="1"/>
  <c r="F13" i="5" s="1"/>
  <c r="K14" i="1"/>
  <c r="I14" i="1" s="1"/>
  <c r="F14" i="5" s="1"/>
  <c r="K15" i="1"/>
  <c r="I15" i="1" s="1"/>
  <c r="F15" i="5" s="1"/>
  <c r="K16" i="1"/>
  <c r="I16" i="1" s="1"/>
  <c r="F16" i="5" s="1"/>
  <c r="K17" i="1"/>
  <c r="I17" i="1" s="1"/>
  <c r="F17" i="5" s="1"/>
  <c r="K18" i="1"/>
  <c r="I18" i="1" s="1"/>
  <c r="F18" i="5" s="1"/>
  <c r="K19" i="1"/>
  <c r="I19" i="1" s="1"/>
  <c r="F19" i="5" s="1"/>
  <c r="K20" i="1"/>
  <c r="I20" i="1" s="1"/>
  <c r="F20" i="5" s="1"/>
  <c r="K21" i="1"/>
  <c r="I21" i="1" s="1"/>
  <c r="F21" i="5" s="1"/>
  <c r="K22" i="1"/>
  <c r="I22" i="1" s="1"/>
  <c r="F22" i="5" s="1"/>
  <c r="K23" i="1"/>
  <c r="I23" i="1" s="1"/>
  <c r="F23" i="5" s="1"/>
  <c r="K24" i="1"/>
  <c r="I24" i="1" s="1"/>
  <c r="F24" i="5" s="1"/>
  <c r="K25" i="1"/>
  <c r="I25" i="1" s="1"/>
  <c r="F25" i="5" s="1"/>
  <c r="K26" i="1"/>
  <c r="I26" i="1" s="1"/>
  <c r="F26" i="5" s="1"/>
  <c r="K27" i="1"/>
  <c r="I27" i="1" s="1"/>
  <c r="F27" i="5" s="1"/>
  <c r="K28" i="1"/>
  <c r="I28" i="1" s="1"/>
  <c r="F28" i="5" s="1"/>
  <c r="K29" i="1"/>
  <c r="I29" i="1" s="1"/>
  <c r="F29" i="5" s="1"/>
  <c r="K30" i="1"/>
  <c r="I30" i="1" s="1"/>
  <c r="F30" i="5" s="1"/>
  <c r="K31" i="1"/>
  <c r="I31" i="1" s="1"/>
  <c r="F31" i="5" s="1"/>
  <c r="K32" i="1"/>
  <c r="I32" i="1" s="1"/>
  <c r="F32" i="5" s="1"/>
  <c r="K33" i="1"/>
  <c r="I33" i="1" s="1"/>
  <c r="F33" i="5" s="1"/>
  <c r="K34" i="1"/>
  <c r="I34" i="1" s="1"/>
  <c r="F34" i="5" s="1"/>
  <c r="K35" i="1"/>
  <c r="I35" i="1" s="1"/>
  <c r="F35" i="5" s="1"/>
  <c r="K36" i="1"/>
  <c r="I36" i="1" s="1"/>
  <c r="F36" i="5" s="1"/>
  <c r="K37" i="1"/>
  <c r="I37" i="1" s="1"/>
  <c r="F37" i="5" s="1"/>
  <c r="K38" i="1"/>
  <c r="I38" i="1" s="1"/>
  <c r="F38" i="5" s="1"/>
  <c r="K39" i="1"/>
  <c r="I39" i="1" s="1"/>
  <c r="F39" i="5" s="1"/>
  <c r="K40" i="1"/>
  <c r="I40" i="1" s="1"/>
  <c r="F40" i="5" s="1"/>
  <c r="K41" i="1"/>
  <c r="I41" i="1" s="1"/>
  <c r="F41" i="5" s="1"/>
  <c r="K42" i="1"/>
  <c r="I42" i="1" s="1"/>
  <c r="F42" i="5" s="1"/>
  <c r="K43" i="1"/>
  <c r="I43" i="1" s="1"/>
  <c r="F43" i="5" s="1"/>
  <c r="K44" i="1"/>
  <c r="I44" i="1" s="1"/>
  <c r="F44" i="5" s="1"/>
  <c r="K45" i="1"/>
  <c r="I45" i="1" s="1"/>
  <c r="F45" i="5" s="1"/>
  <c r="K46" i="1"/>
  <c r="I46" i="1" s="1"/>
  <c r="F46" i="5" s="1"/>
  <c r="K47" i="1"/>
  <c r="I47" i="1" s="1"/>
  <c r="F47" i="5" s="1"/>
  <c r="K48" i="1"/>
  <c r="I48" i="1" s="1"/>
  <c r="F48" i="5" s="1"/>
  <c r="K49" i="1"/>
  <c r="I49" i="1" s="1"/>
  <c r="F49" i="5" s="1"/>
  <c r="K50" i="1"/>
  <c r="I50" i="1" s="1"/>
  <c r="F50" i="5" s="1"/>
  <c r="K51" i="1"/>
  <c r="I51" i="1" s="1"/>
  <c r="F51" i="5" s="1"/>
  <c r="K52" i="1"/>
  <c r="I52" i="1" s="1"/>
  <c r="F52" i="5" s="1"/>
  <c r="K53" i="1"/>
  <c r="I53" i="1" s="1"/>
  <c r="F53" i="5" s="1"/>
  <c r="K54" i="1"/>
  <c r="I54" i="1" s="1"/>
  <c r="F54" i="5" s="1"/>
  <c r="K55" i="1"/>
  <c r="I55" i="1" s="1"/>
  <c r="F55" i="5" s="1"/>
  <c r="K56" i="1"/>
  <c r="I56" i="1" s="1"/>
  <c r="F56" i="5" s="1"/>
  <c r="K57" i="1"/>
  <c r="I57" i="1" s="1"/>
  <c r="F57" i="5" s="1"/>
  <c r="K58" i="1"/>
  <c r="I58" i="1" s="1"/>
  <c r="F58" i="5" s="1"/>
  <c r="K59" i="1"/>
  <c r="I59" i="1" s="1"/>
  <c r="F59" i="5" s="1"/>
  <c r="K60" i="1"/>
  <c r="I60" i="1" s="1"/>
  <c r="F60" i="5" s="1"/>
  <c r="K61" i="1"/>
  <c r="I61" i="1" s="1"/>
  <c r="F61" i="5" s="1"/>
  <c r="K62" i="1"/>
  <c r="I62" i="1" s="1"/>
  <c r="F62" i="5" s="1"/>
  <c r="K63" i="1"/>
  <c r="I63" i="1" s="1"/>
  <c r="F63" i="5" s="1"/>
  <c r="K64" i="1"/>
  <c r="I64" i="1" s="1"/>
  <c r="F64" i="5" s="1"/>
  <c r="K65" i="1"/>
  <c r="I65" i="1" s="1"/>
  <c r="F65" i="5" s="1"/>
  <c r="K66" i="1"/>
  <c r="I66" i="1" s="1"/>
  <c r="F66" i="5" s="1"/>
  <c r="K67" i="1"/>
  <c r="I67" i="1" s="1"/>
  <c r="F67" i="5" s="1"/>
  <c r="K68" i="1"/>
  <c r="I68" i="1" s="1"/>
  <c r="F68" i="5" s="1"/>
  <c r="K69" i="1"/>
  <c r="I69" i="1" s="1"/>
  <c r="F69" i="5" s="1"/>
  <c r="K70" i="1"/>
  <c r="I70" i="1" s="1"/>
  <c r="F70" i="5" s="1"/>
  <c r="K71" i="1"/>
  <c r="I71" i="1" s="1"/>
  <c r="F71" i="5" s="1"/>
  <c r="K72" i="1"/>
  <c r="I72" i="1" s="1"/>
  <c r="F72" i="5" s="1"/>
  <c r="K73" i="1"/>
  <c r="I73" i="1" s="1"/>
  <c r="F73" i="5" s="1"/>
  <c r="K74" i="1"/>
  <c r="I74" i="1" s="1"/>
  <c r="F74" i="5" s="1"/>
  <c r="K75" i="1"/>
  <c r="I75" i="1" s="1"/>
  <c r="F75" i="5" s="1"/>
  <c r="K76" i="1"/>
  <c r="I76" i="1" s="1"/>
  <c r="F76" i="5" s="1"/>
  <c r="K77" i="1"/>
  <c r="I77" i="1" s="1"/>
  <c r="F77" i="5" s="1"/>
  <c r="K78" i="1"/>
  <c r="I78" i="1" s="1"/>
  <c r="F78" i="5" s="1"/>
  <c r="K79" i="1"/>
  <c r="I79" i="1" s="1"/>
  <c r="F79" i="5" s="1"/>
  <c r="K80" i="1"/>
  <c r="I80" i="1" s="1"/>
  <c r="F80" i="5" s="1"/>
  <c r="K81" i="1"/>
  <c r="I81" i="1" s="1"/>
  <c r="F81" i="5" s="1"/>
  <c r="K82" i="1"/>
  <c r="I82" i="1" s="1"/>
  <c r="F82" i="5" s="1"/>
  <c r="K83" i="1"/>
  <c r="I83" i="1" s="1"/>
  <c r="F83" i="5" s="1"/>
  <c r="K84" i="1"/>
  <c r="I84" i="1" s="1"/>
  <c r="F84" i="5" s="1"/>
  <c r="K85" i="1"/>
  <c r="I85" i="1" s="1"/>
  <c r="F85" i="5" s="1"/>
  <c r="K86" i="1"/>
  <c r="I86" i="1" s="1"/>
  <c r="F86" i="5" s="1"/>
  <c r="K87" i="1"/>
  <c r="I87" i="1" s="1"/>
  <c r="F87" i="5" s="1"/>
  <c r="K88" i="1"/>
  <c r="I88" i="1" s="1"/>
  <c r="F88" i="5" s="1"/>
  <c r="K89" i="1"/>
  <c r="I89" i="1" s="1"/>
  <c r="F89" i="5" s="1"/>
  <c r="K90" i="1"/>
  <c r="I90" i="1" s="1"/>
  <c r="F90" i="5" s="1"/>
  <c r="K91" i="1"/>
  <c r="I91" i="1" s="1"/>
  <c r="F91" i="5" s="1"/>
  <c r="K92" i="1"/>
  <c r="I92" i="1" s="1"/>
  <c r="F92" i="5" s="1"/>
  <c r="K93" i="1"/>
  <c r="I93" i="1" s="1"/>
  <c r="F93" i="5" s="1"/>
  <c r="K94" i="1"/>
  <c r="I94" i="1" s="1"/>
  <c r="F94" i="5" s="1"/>
  <c r="K95" i="1"/>
  <c r="I95" i="1" s="1"/>
  <c r="F95" i="5" s="1"/>
  <c r="K96" i="1"/>
  <c r="I96" i="1" s="1"/>
  <c r="F96" i="5" s="1"/>
  <c r="K97" i="1"/>
  <c r="I97" i="1" s="1"/>
  <c r="F97" i="5" s="1"/>
  <c r="K98" i="1"/>
  <c r="I98" i="1" s="1"/>
  <c r="F98" i="5" s="1"/>
  <c r="K99" i="1"/>
  <c r="I99" i="1" s="1"/>
  <c r="F99" i="5" s="1"/>
  <c r="K100" i="1"/>
  <c r="I100" i="1" s="1"/>
  <c r="F100" i="5" s="1"/>
  <c r="K101" i="1"/>
  <c r="I101" i="1" s="1"/>
  <c r="F101" i="5" s="1"/>
  <c r="K102" i="1"/>
  <c r="I102" i="1" s="1"/>
  <c r="F102" i="5" s="1"/>
  <c r="K103" i="1"/>
  <c r="I103" i="1" s="1"/>
  <c r="F103" i="5" s="1"/>
  <c r="K104" i="1"/>
  <c r="I104" i="1" s="1"/>
  <c r="F104" i="5" s="1"/>
  <c r="K105" i="1"/>
  <c r="I105" i="1" s="1"/>
  <c r="F105" i="5" s="1"/>
  <c r="K106" i="1"/>
  <c r="I106" i="1" s="1"/>
  <c r="F106" i="5" s="1"/>
  <c r="K107" i="1"/>
  <c r="I107" i="1" s="1"/>
  <c r="F107" i="5" s="1"/>
  <c r="K108" i="1"/>
  <c r="I108" i="1" s="1"/>
  <c r="F108" i="5" s="1"/>
  <c r="K109" i="1"/>
  <c r="I109" i="1" s="1"/>
  <c r="F109" i="5" s="1"/>
  <c r="K110" i="1"/>
  <c r="I110" i="1" s="1"/>
  <c r="F110" i="5" s="1"/>
  <c r="K111" i="1"/>
  <c r="I111" i="1" s="1"/>
  <c r="F111" i="5" s="1"/>
  <c r="K112" i="1"/>
  <c r="I112" i="1" s="1"/>
  <c r="F112" i="5" s="1"/>
  <c r="K113" i="1"/>
  <c r="I113" i="1" s="1"/>
  <c r="F113" i="5" s="1"/>
  <c r="K114" i="1"/>
  <c r="I114" i="1" s="1"/>
  <c r="F114" i="5" s="1"/>
  <c r="K115" i="1"/>
  <c r="I115" i="1" s="1"/>
  <c r="F115" i="5" s="1"/>
  <c r="K116" i="1"/>
  <c r="I116" i="1" s="1"/>
  <c r="F116" i="5" s="1"/>
  <c r="K117" i="1"/>
  <c r="I117" i="1" s="1"/>
  <c r="F117" i="5" s="1"/>
  <c r="K118" i="1"/>
  <c r="I118" i="1" s="1"/>
  <c r="F118" i="5" s="1"/>
  <c r="K119" i="1"/>
  <c r="I119" i="1" s="1"/>
  <c r="F119" i="5" s="1"/>
  <c r="K120" i="1"/>
  <c r="I120" i="1" s="1"/>
  <c r="F120" i="5" s="1"/>
  <c r="K121" i="1"/>
  <c r="I121" i="1" s="1"/>
  <c r="F121" i="5" s="1"/>
  <c r="K122" i="1"/>
  <c r="I122" i="1" s="1"/>
  <c r="F122" i="5" s="1"/>
  <c r="K123" i="1"/>
  <c r="I123" i="1" s="1"/>
  <c r="F123" i="5" s="1"/>
  <c r="K124" i="1"/>
  <c r="I124" i="1" s="1"/>
  <c r="F124" i="5" s="1"/>
  <c r="K125" i="1"/>
  <c r="I125" i="1" s="1"/>
  <c r="F125" i="5" s="1"/>
  <c r="K126" i="1"/>
  <c r="I126" i="1" s="1"/>
  <c r="F126" i="5" s="1"/>
  <c r="K127" i="1"/>
  <c r="I127" i="1" s="1"/>
  <c r="F127" i="5" s="1"/>
  <c r="K128" i="1"/>
  <c r="I128" i="1" s="1"/>
  <c r="F128" i="5" s="1"/>
  <c r="K129" i="1"/>
  <c r="I129" i="1" s="1"/>
  <c r="F129" i="5" s="1"/>
  <c r="K130" i="1"/>
  <c r="I130" i="1" s="1"/>
  <c r="F130" i="5" s="1"/>
  <c r="K131" i="1"/>
  <c r="I131" i="1" s="1"/>
  <c r="F131" i="5" s="1"/>
  <c r="K132" i="1"/>
  <c r="I132" i="1" s="1"/>
  <c r="F132" i="5" s="1"/>
  <c r="K133" i="1"/>
  <c r="I133" i="1" s="1"/>
  <c r="F133" i="5" s="1"/>
  <c r="K134" i="1"/>
  <c r="I134" i="1" s="1"/>
  <c r="F134" i="5" s="1"/>
  <c r="K135" i="1"/>
  <c r="I135" i="1" s="1"/>
  <c r="F135" i="5" s="1"/>
  <c r="K136" i="1"/>
  <c r="I136" i="1" s="1"/>
  <c r="F136" i="5" s="1"/>
  <c r="K137" i="1"/>
  <c r="I137" i="1" s="1"/>
  <c r="F137" i="5" s="1"/>
  <c r="K138" i="1"/>
  <c r="I138" i="1" s="1"/>
  <c r="F138" i="5" s="1"/>
  <c r="K139" i="1"/>
  <c r="I139" i="1" s="1"/>
  <c r="F139" i="5" s="1"/>
  <c r="K140" i="1"/>
  <c r="I140" i="1" s="1"/>
  <c r="F140" i="5" s="1"/>
  <c r="K141" i="1"/>
  <c r="I141" i="1" s="1"/>
  <c r="F141" i="5" s="1"/>
  <c r="K142" i="1"/>
  <c r="I142" i="1" s="1"/>
  <c r="F142" i="5" s="1"/>
  <c r="K143" i="1"/>
  <c r="I143" i="1" s="1"/>
  <c r="F143" i="5" s="1"/>
  <c r="K144" i="1"/>
  <c r="I144" i="1" s="1"/>
  <c r="F144" i="5" s="1"/>
  <c r="K145" i="1"/>
  <c r="I145" i="1" s="1"/>
  <c r="F145" i="5" s="1"/>
  <c r="K146" i="1"/>
  <c r="I146" i="1" s="1"/>
  <c r="F146" i="5" s="1"/>
  <c r="K147" i="1"/>
  <c r="I147" i="1" s="1"/>
  <c r="F147" i="5" s="1"/>
  <c r="K148" i="1"/>
  <c r="I148" i="1" s="1"/>
  <c r="F148" i="5" s="1"/>
  <c r="K149" i="1"/>
  <c r="I149" i="1" s="1"/>
  <c r="F149" i="5" s="1"/>
  <c r="K150" i="1"/>
  <c r="I150" i="1" s="1"/>
  <c r="F150" i="5" s="1"/>
  <c r="K151" i="1"/>
  <c r="I151" i="1" s="1"/>
  <c r="F151" i="5" s="1"/>
  <c r="K152" i="1"/>
  <c r="I152" i="1" s="1"/>
  <c r="F152" i="5" s="1"/>
  <c r="K153" i="1"/>
  <c r="I153" i="1" s="1"/>
  <c r="F153" i="5" s="1"/>
  <c r="K154" i="1"/>
  <c r="I154" i="1" s="1"/>
  <c r="F154" i="5" s="1"/>
  <c r="K155" i="1"/>
  <c r="I155" i="1" s="1"/>
  <c r="F155" i="5" s="1"/>
  <c r="K156" i="1"/>
  <c r="I156" i="1" s="1"/>
  <c r="F156" i="5" s="1"/>
  <c r="K157" i="1"/>
  <c r="I157" i="1" s="1"/>
  <c r="F157" i="5" s="1"/>
  <c r="K158" i="1"/>
  <c r="I158" i="1" s="1"/>
  <c r="F158" i="5" s="1"/>
  <c r="K159" i="1"/>
  <c r="I159" i="1" s="1"/>
  <c r="F159" i="5" s="1"/>
  <c r="K160" i="1"/>
  <c r="I160" i="1" s="1"/>
  <c r="F160" i="5" s="1"/>
  <c r="K161" i="1"/>
  <c r="I161" i="1" s="1"/>
  <c r="F161" i="5" s="1"/>
  <c r="K162" i="1"/>
  <c r="I162" i="1" s="1"/>
  <c r="F162" i="5" s="1"/>
  <c r="K163" i="1"/>
  <c r="I163" i="1" s="1"/>
  <c r="F163" i="5" s="1"/>
  <c r="K164" i="1"/>
  <c r="I164" i="1" s="1"/>
  <c r="F164" i="5" s="1"/>
  <c r="K165" i="1"/>
  <c r="I165" i="1" s="1"/>
  <c r="F165" i="5" s="1"/>
  <c r="K166" i="1"/>
  <c r="I166" i="1" s="1"/>
  <c r="F166" i="5" s="1"/>
  <c r="K167" i="1"/>
  <c r="I167" i="1" s="1"/>
  <c r="F167" i="5" s="1"/>
  <c r="K168" i="1"/>
  <c r="I168" i="1" s="1"/>
  <c r="F168" i="5" s="1"/>
  <c r="K169" i="1"/>
  <c r="I169" i="1" s="1"/>
  <c r="F169" i="5" s="1"/>
  <c r="K170" i="1"/>
  <c r="I170" i="1" s="1"/>
  <c r="F170" i="5" s="1"/>
  <c r="K171" i="1"/>
  <c r="I171" i="1" s="1"/>
  <c r="F171" i="5" s="1"/>
  <c r="K172" i="1"/>
  <c r="I172" i="1" s="1"/>
  <c r="F172" i="5" s="1"/>
  <c r="K173" i="1"/>
  <c r="I173" i="1" s="1"/>
  <c r="F173" i="5" s="1"/>
  <c r="K174" i="1"/>
  <c r="I174" i="1" s="1"/>
  <c r="F174" i="5" s="1"/>
  <c r="K175" i="1"/>
  <c r="I175" i="1" s="1"/>
  <c r="F175" i="5" s="1"/>
  <c r="K176" i="1"/>
  <c r="I176" i="1" s="1"/>
  <c r="F176" i="5" s="1"/>
  <c r="K177" i="1"/>
  <c r="I177" i="1" s="1"/>
  <c r="F177" i="5" s="1"/>
  <c r="K178" i="1"/>
  <c r="I178" i="1" s="1"/>
  <c r="F178" i="5" s="1"/>
  <c r="K179" i="1"/>
  <c r="I179" i="1" s="1"/>
  <c r="F179" i="5" s="1"/>
  <c r="K180" i="1"/>
  <c r="I180" i="1" s="1"/>
  <c r="F180" i="5" s="1"/>
  <c r="K181" i="1"/>
  <c r="I181" i="1" s="1"/>
  <c r="F181" i="5" s="1"/>
  <c r="K182" i="1"/>
  <c r="I182" i="1" s="1"/>
  <c r="F182" i="5" s="1"/>
  <c r="K183" i="1"/>
  <c r="I183" i="1" s="1"/>
  <c r="F183" i="5" s="1"/>
  <c r="K184" i="1"/>
  <c r="I184" i="1" s="1"/>
  <c r="F184" i="5" s="1"/>
  <c r="K185" i="1"/>
  <c r="I185" i="1" s="1"/>
  <c r="F185" i="5" s="1"/>
  <c r="K186" i="1"/>
  <c r="I186" i="1" s="1"/>
  <c r="F186" i="5" s="1"/>
  <c r="K187" i="1"/>
  <c r="I187" i="1" s="1"/>
  <c r="F187" i="5" s="1"/>
  <c r="K188" i="1"/>
  <c r="I188" i="1" s="1"/>
  <c r="F188" i="5" s="1"/>
  <c r="K189" i="1"/>
  <c r="I189" i="1" s="1"/>
  <c r="F189" i="5" s="1"/>
  <c r="K190" i="1"/>
  <c r="I190" i="1" s="1"/>
  <c r="F190" i="5" s="1"/>
  <c r="K191" i="1"/>
  <c r="I191" i="1" s="1"/>
  <c r="F191" i="5" s="1"/>
  <c r="K192" i="1"/>
  <c r="I192" i="1" s="1"/>
  <c r="F192" i="5" s="1"/>
  <c r="K193" i="1"/>
  <c r="I193" i="1" s="1"/>
  <c r="F193" i="5" s="1"/>
  <c r="K194" i="1"/>
  <c r="I194" i="1" s="1"/>
  <c r="F194" i="5" s="1"/>
  <c r="K195" i="1"/>
  <c r="I195" i="1" s="1"/>
  <c r="F195" i="5" s="1"/>
  <c r="K196" i="1"/>
  <c r="I196" i="1" s="1"/>
  <c r="F196" i="5" s="1"/>
  <c r="K197" i="1"/>
  <c r="I197" i="1" s="1"/>
  <c r="F197" i="5" s="1"/>
  <c r="K198" i="1"/>
  <c r="I198" i="1" s="1"/>
  <c r="F198" i="5" s="1"/>
  <c r="K199" i="1"/>
  <c r="I199" i="1" s="1"/>
  <c r="F199" i="5" s="1"/>
  <c r="K200" i="1"/>
  <c r="I200" i="1" s="1"/>
  <c r="F200" i="5" s="1"/>
  <c r="K201" i="1"/>
  <c r="I201" i="1" s="1"/>
  <c r="F201" i="5" s="1"/>
  <c r="K202" i="1"/>
  <c r="I202" i="1" s="1"/>
  <c r="F202" i="5" s="1"/>
  <c r="K203" i="1"/>
  <c r="I203" i="1" s="1"/>
  <c r="F203" i="5" s="1"/>
  <c r="K204" i="1"/>
  <c r="I204" i="1" s="1"/>
  <c r="F204" i="5" s="1"/>
  <c r="K205" i="1"/>
  <c r="I205" i="1" s="1"/>
  <c r="F205" i="5" s="1"/>
  <c r="K206" i="1"/>
  <c r="I206" i="1" s="1"/>
  <c r="F206" i="5" s="1"/>
  <c r="K207" i="1"/>
  <c r="I207" i="1" s="1"/>
  <c r="F207" i="5" s="1"/>
  <c r="K208" i="1"/>
  <c r="I208" i="1" s="1"/>
  <c r="F208" i="5" s="1"/>
  <c r="K209" i="1"/>
  <c r="I209" i="1" s="1"/>
  <c r="F209" i="5" s="1"/>
  <c r="K210" i="1"/>
  <c r="I210" i="1" s="1"/>
  <c r="F210" i="5" s="1"/>
  <c r="K211" i="1"/>
  <c r="I211" i="1" s="1"/>
  <c r="F211" i="5" s="1"/>
  <c r="K212" i="1"/>
  <c r="I212" i="1" s="1"/>
  <c r="F212" i="5" s="1"/>
  <c r="K213" i="1"/>
  <c r="I213" i="1" s="1"/>
  <c r="F213" i="5" s="1"/>
  <c r="K214" i="1"/>
  <c r="I214" i="1" s="1"/>
  <c r="F214" i="5" s="1"/>
  <c r="K215" i="1"/>
  <c r="I215" i="1" s="1"/>
  <c r="F215" i="5" s="1"/>
  <c r="K216" i="1"/>
  <c r="I216" i="1" s="1"/>
  <c r="F216" i="5" s="1"/>
  <c r="K217" i="1"/>
  <c r="I217" i="1" s="1"/>
  <c r="F217" i="5" s="1"/>
  <c r="K218" i="1"/>
  <c r="I218" i="1" s="1"/>
  <c r="F218" i="5" s="1"/>
  <c r="K219" i="1"/>
  <c r="I219" i="1" s="1"/>
  <c r="F219" i="5" s="1"/>
  <c r="K220" i="1"/>
  <c r="I220" i="1" s="1"/>
  <c r="F220" i="5" s="1"/>
  <c r="K221" i="1"/>
  <c r="I221" i="1" s="1"/>
  <c r="F221" i="5" s="1"/>
  <c r="K222" i="1"/>
  <c r="I222" i="1" s="1"/>
  <c r="F222" i="5" s="1"/>
  <c r="K223" i="1"/>
  <c r="I223" i="1" s="1"/>
  <c r="F223" i="5" s="1"/>
  <c r="K224" i="1"/>
  <c r="I224" i="1" s="1"/>
  <c r="F224" i="5" s="1"/>
  <c r="K225" i="1"/>
  <c r="I225" i="1" s="1"/>
  <c r="F225" i="5" s="1"/>
  <c r="K226" i="1"/>
  <c r="I226" i="1" s="1"/>
  <c r="F226" i="5" s="1"/>
  <c r="K227" i="1"/>
  <c r="I227" i="1" s="1"/>
  <c r="F227" i="5" s="1"/>
  <c r="K228" i="1"/>
  <c r="I228" i="1" s="1"/>
  <c r="F228" i="5" s="1"/>
  <c r="K229" i="1"/>
  <c r="I229" i="1" s="1"/>
  <c r="F229" i="5" s="1"/>
  <c r="K230" i="1"/>
  <c r="I230" i="1" s="1"/>
  <c r="F230" i="5" s="1"/>
  <c r="K231" i="1"/>
  <c r="I231" i="1" s="1"/>
  <c r="F231" i="5" s="1"/>
  <c r="K232" i="1"/>
  <c r="I232" i="1" s="1"/>
  <c r="F232" i="5" s="1"/>
  <c r="K233" i="1"/>
  <c r="I233" i="1" s="1"/>
  <c r="F233" i="5" s="1"/>
  <c r="K234" i="1"/>
  <c r="I234" i="1" s="1"/>
  <c r="F234" i="5" s="1"/>
  <c r="K235" i="1"/>
  <c r="I235" i="1" s="1"/>
  <c r="F235" i="5" s="1"/>
  <c r="K236" i="1"/>
  <c r="I236" i="1" s="1"/>
  <c r="F236" i="5" s="1"/>
  <c r="K237" i="1"/>
  <c r="I237" i="1" s="1"/>
  <c r="F237" i="5" s="1"/>
  <c r="K238" i="1"/>
  <c r="I238" i="1" s="1"/>
  <c r="F238" i="5" s="1"/>
  <c r="K239" i="1"/>
  <c r="I239" i="1" s="1"/>
  <c r="F239" i="5" s="1"/>
  <c r="K240" i="1"/>
  <c r="I240" i="1" s="1"/>
  <c r="F240" i="5" s="1"/>
  <c r="K241" i="1"/>
  <c r="I241" i="1" s="1"/>
  <c r="F241" i="5" s="1"/>
  <c r="K242" i="1"/>
  <c r="I242" i="1" s="1"/>
  <c r="F242" i="5" s="1"/>
  <c r="K243" i="1"/>
  <c r="I243" i="1" s="1"/>
  <c r="F243" i="5" s="1"/>
  <c r="K244" i="1"/>
  <c r="I244" i="1" s="1"/>
  <c r="F244" i="5" s="1"/>
  <c r="K245" i="1"/>
  <c r="I245" i="1" s="1"/>
  <c r="F245" i="5" s="1"/>
  <c r="K246" i="1"/>
  <c r="I246" i="1" s="1"/>
  <c r="F246" i="5" s="1"/>
  <c r="K247" i="1"/>
  <c r="I247" i="1" s="1"/>
  <c r="F247" i="5" s="1"/>
  <c r="K248" i="1"/>
  <c r="I248" i="1" s="1"/>
  <c r="F248" i="5" s="1"/>
  <c r="K249" i="1"/>
  <c r="I249" i="1" s="1"/>
  <c r="F249" i="5" s="1"/>
  <c r="K250" i="1"/>
  <c r="I250" i="1" s="1"/>
  <c r="F250" i="5" s="1"/>
  <c r="K251" i="1"/>
  <c r="I251" i="1" s="1"/>
  <c r="F251" i="5" s="1"/>
  <c r="K252" i="1"/>
  <c r="I252" i="1" s="1"/>
  <c r="F252" i="5" s="1"/>
  <c r="K253" i="1"/>
  <c r="I253" i="1" s="1"/>
  <c r="F253" i="5" s="1"/>
  <c r="K254" i="1"/>
  <c r="I254" i="1" s="1"/>
  <c r="F254" i="5" s="1"/>
  <c r="K255" i="1"/>
  <c r="I255" i="1" s="1"/>
  <c r="F255" i="5" s="1"/>
  <c r="K256" i="1"/>
  <c r="I256" i="1" s="1"/>
  <c r="F256" i="5" s="1"/>
  <c r="K257" i="1"/>
  <c r="I257" i="1" s="1"/>
  <c r="F257" i="5" s="1"/>
  <c r="K258" i="1"/>
  <c r="I258" i="1" s="1"/>
  <c r="F258" i="5" s="1"/>
  <c r="K259" i="1"/>
  <c r="I259" i="1" s="1"/>
  <c r="F259" i="5" s="1"/>
  <c r="K260" i="1"/>
  <c r="I260" i="1" s="1"/>
  <c r="F260" i="5" s="1"/>
  <c r="K261" i="1"/>
  <c r="I261" i="1" s="1"/>
  <c r="F261" i="5" s="1"/>
  <c r="K262" i="1"/>
  <c r="I262" i="1" s="1"/>
  <c r="F262" i="5" s="1"/>
  <c r="K263" i="1"/>
  <c r="I263" i="1" s="1"/>
  <c r="F263" i="5" s="1"/>
  <c r="K264" i="1"/>
  <c r="I264" i="1" s="1"/>
  <c r="F264" i="5" s="1"/>
  <c r="K265" i="1"/>
  <c r="I265" i="1" s="1"/>
  <c r="F265" i="5" s="1"/>
  <c r="K266" i="1"/>
  <c r="I266" i="1" s="1"/>
  <c r="F266" i="5" s="1"/>
  <c r="K267" i="1"/>
  <c r="I267" i="1" s="1"/>
  <c r="F267" i="5" s="1"/>
  <c r="K268" i="1"/>
  <c r="I268" i="1" s="1"/>
  <c r="F268" i="5" s="1"/>
  <c r="K269" i="1"/>
  <c r="I269" i="1" s="1"/>
  <c r="F269" i="5" s="1"/>
  <c r="K270" i="1"/>
  <c r="I270" i="1" s="1"/>
  <c r="F270" i="5" s="1"/>
  <c r="K271" i="1"/>
  <c r="I271" i="1" s="1"/>
  <c r="F271" i="5" s="1"/>
  <c r="K272" i="1"/>
  <c r="I272" i="1" s="1"/>
  <c r="F272" i="5" s="1"/>
  <c r="K273" i="1"/>
  <c r="I273" i="1" s="1"/>
  <c r="F273" i="5" s="1"/>
  <c r="K274" i="1"/>
  <c r="I274" i="1" s="1"/>
  <c r="F274" i="5" s="1"/>
  <c r="K275" i="1"/>
  <c r="I275" i="1" s="1"/>
  <c r="F275" i="5" s="1"/>
  <c r="K276" i="1"/>
  <c r="I276" i="1" s="1"/>
  <c r="F276" i="5" s="1"/>
  <c r="K277" i="1"/>
  <c r="I277" i="1" s="1"/>
  <c r="F277" i="5" s="1"/>
  <c r="K278" i="1"/>
  <c r="I278" i="1" s="1"/>
  <c r="F278" i="5" s="1"/>
  <c r="K279" i="1"/>
  <c r="I279" i="1" s="1"/>
  <c r="F279" i="5" s="1"/>
  <c r="K280" i="1"/>
  <c r="I280" i="1" s="1"/>
  <c r="F280" i="5" s="1"/>
  <c r="K281" i="1"/>
  <c r="I281" i="1" s="1"/>
  <c r="F281" i="5" s="1"/>
  <c r="K282" i="1"/>
  <c r="I282" i="1" s="1"/>
  <c r="F282" i="5" s="1"/>
  <c r="K283" i="1"/>
  <c r="I283" i="1" s="1"/>
  <c r="F283" i="5" s="1"/>
  <c r="K284" i="1"/>
  <c r="I284" i="1" s="1"/>
  <c r="F284" i="5" s="1"/>
  <c r="K285" i="1"/>
  <c r="I285" i="1" s="1"/>
  <c r="F285" i="5" s="1"/>
  <c r="K286" i="1"/>
  <c r="I286" i="1" s="1"/>
  <c r="F286" i="5" s="1"/>
  <c r="K287" i="1"/>
  <c r="I287" i="1" s="1"/>
  <c r="F287" i="5" s="1"/>
  <c r="K288" i="1"/>
  <c r="I288" i="1" s="1"/>
  <c r="F288" i="5" s="1"/>
  <c r="K289" i="1"/>
  <c r="I289" i="1" s="1"/>
  <c r="F289" i="5" s="1"/>
  <c r="K290" i="1"/>
  <c r="I290" i="1" s="1"/>
  <c r="F290" i="5" s="1"/>
  <c r="K291" i="1"/>
  <c r="I291" i="1" s="1"/>
  <c r="F291" i="5" s="1"/>
  <c r="K292" i="1"/>
  <c r="I292" i="1" s="1"/>
  <c r="F292" i="5" s="1"/>
  <c r="K293" i="1"/>
  <c r="I293" i="1" s="1"/>
  <c r="F293" i="5" s="1"/>
  <c r="K294" i="1"/>
  <c r="I294" i="1" s="1"/>
  <c r="F294" i="5" s="1"/>
  <c r="K295" i="1"/>
  <c r="I295" i="1" s="1"/>
  <c r="F295" i="5" s="1"/>
  <c r="K296" i="1"/>
  <c r="I296" i="1" s="1"/>
  <c r="F296" i="5" s="1"/>
  <c r="K297" i="1"/>
  <c r="I297" i="1" s="1"/>
  <c r="F297" i="5" s="1"/>
  <c r="K298" i="1"/>
  <c r="I298" i="1" s="1"/>
  <c r="F298" i="5" s="1"/>
  <c r="K299" i="1"/>
  <c r="I299" i="1" s="1"/>
  <c r="F299" i="5" s="1"/>
  <c r="K300" i="1"/>
  <c r="I300" i="1" s="1"/>
  <c r="F300" i="5" s="1"/>
  <c r="K301" i="1"/>
  <c r="I301" i="1" s="1"/>
  <c r="F301" i="5" s="1"/>
  <c r="K302" i="1"/>
  <c r="I302" i="1" s="1"/>
  <c r="F302" i="5" s="1"/>
  <c r="K303" i="1"/>
  <c r="I303" i="1" s="1"/>
  <c r="F303" i="5" s="1"/>
  <c r="K304" i="1"/>
  <c r="I304" i="1" s="1"/>
  <c r="F304" i="5" s="1"/>
  <c r="K305" i="1"/>
  <c r="I305" i="1" s="1"/>
  <c r="F305" i="5" s="1"/>
  <c r="K306" i="1"/>
  <c r="I306" i="1" s="1"/>
  <c r="F306" i="5" s="1"/>
  <c r="K307" i="1"/>
  <c r="I307" i="1" s="1"/>
  <c r="F307" i="5" s="1"/>
  <c r="K308" i="1"/>
  <c r="I308" i="1" s="1"/>
  <c r="F308" i="5" s="1"/>
  <c r="K309" i="1"/>
  <c r="I309" i="1" s="1"/>
  <c r="F309" i="5" s="1"/>
  <c r="K310" i="1"/>
  <c r="I310" i="1" s="1"/>
  <c r="F310" i="5" s="1"/>
  <c r="K311" i="1"/>
  <c r="I311" i="1" s="1"/>
  <c r="F311" i="5" s="1"/>
  <c r="K312" i="1"/>
  <c r="I312" i="1" s="1"/>
  <c r="F312" i="5" s="1"/>
  <c r="K313" i="1"/>
  <c r="I313" i="1" s="1"/>
  <c r="F313" i="5" s="1"/>
  <c r="K314" i="1"/>
  <c r="I314" i="1" s="1"/>
  <c r="F314" i="5" s="1"/>
  <c r="K315" i="1"/>
  <c r="I315" i="1" s="1"/>
  <c r="F315" i="5" s="1"/>
  <c r="K316" i="1"/>
  <c r="I316" i="1" s="1"/>
  <c r="F316" i="5" s="1"/>
  <c r="K317" i="1"/>
  <c r="I317" i="1" s="1"/>
  <c r="F317" i="5" s="1"/>
  <c r="K318" i="1"/>
  <c r="I318" i="1" s="1"/>
  <c r="F318" i="5" s="1"/>
  <c r="K319" i="1"/>
  <c r="I319" i="1" s="1"/>
  <c r="F319" i="5" s="1"/>
  <c r="K320" i="1"/>
  <c r="I320" i="1" s="1"/>
  <c r="F320" i="5" s="1"/>
  <c r="K321" i="1"/>
  <c r="I321" i="1" s="1"/>
  <c r="F321" i="5" s="1"/>
  <c r="K322" i="1"/>
  <c r="I322" i="1" s="1"/>
  <c r="F322" i="5" s="1"/>
  <c r="K323" i="1"/>
  <c r="I323" i="1" s="1"/>
  <c r="F323" i="5" s="1"/>
  <c r="K324" i="1"/>
  <c r="I324" i="1" s="1"/>
  <c r="F324" i="5" s="1"/>
  <c r="K325" i="1"/>
  <c r="I325" i="1" s="1"/>
  <c r="F325" i="5" s="1"/>
  <c r="K326" i="1"/>
  <c r="I326" i="1" s="1"/>
  <c r="F326" i="5" s="1"/>
  <c r="K327" i="1"/>
  <c r="I327" i="1" s="1"/>
  <c r="F327" i="5" s="1"/>
  <c r="K328" i="1"/>
  <c r="I328" i="1" s="1"/>
  <c r="F328" i="5" s="1"/>
  <c r="K329" i="1"/>
  <c r="I329" i="1" s="1"/>
  <c r="F329" i="5" s="1"/>
  <c r="K330" i="1"/>
  <c r="I330" i="1" s="1"/>
  <c r="F330" i="5" s="1"/>
  <c r="K331" i="1"/>
  <c r="I331" i="1" s="1"/>
  <c r="F331" i="5" s="1"/>
  <c r="K332" i="1"/>
  <c r="I332" i="1" s="1"/>
  <c r="F332" i="5" s="1"/>
  <c r="K333" i="1"/>
  <c r="I333" i="1" s="1"/>
  <c r="F333" i="5" s="1"/>
  <c r="K334" i="1"/>
  <c r="I334" i="1" s="1"/>
  <c r="F334" i="5" s="1"/>
  <c r="K335" i="1"/>
  <c r="I335" i="1" s="1"/>
  <c r="F335" i="5" s="1"/>
  <c r="K336" i="1"/>
  <c r="I336" i="1" s="1"/>
  <c r="F336" i="5" s="1"/>
  <c r="K337" i="1"/>
  <c r="I337" i="1" s="1"/>
  <c r="F337" i="5" s="1"/>
  <c r="K338" i="1"/>
  <c r="I338" i="1" s="1"/>
  <c r="F338" i="5" s="1"/>
  <c r="K339" i="1"/>
  <c r="I339" i="1" s="1"/>
  <c r="F339" i="5" s="1"/>
  <c r="K340" i="1"/>
  <c r="I340" i="1" s="1"/>
  <c r="F340" i="5" s="1"/>
  <c r="K341" i="1"/>
  <c r="I341" i="1" s="1"/>
  <c r="F341" i="5" s="1"/>
  <c r="K342" i="1"/>
  <c r="I342" i="1" s="1"/>
  <c r="F342" i="5" s="1"/>
  <c r="K343" i="1"/>
  <c r="I343" i="1" s="1"/>
  <c r="F343" i="5" s="1"/>
  <c r="K344" i="1"/>
  <c r="I344" i="1" s="1"/>
  <c r="F344" i="5" s="1"/>
  <c r="K345" i="1"/>
  <c r="I345" i="1" s="1"/>
  <c r="F345" i="5" s="1"/>
  <c r="K346" i="1"/>
  <c r="I346" i="1" s="1"/>
  <c r="F346" i="5" s="1"/>
  <c r="K347" i="1"/>
  <c r="I347" i="1" s="1"/>
  <c r="F347" i="5" s="1"/>
  <c r="K348" i="1"/>
  <c r="I348" i="1" s="1"/>
  <c r="F348" i="5" s="1"/>
  <c r="K349" i="1"/>
  <c r="I349" i="1" s="1"/>
  <c r="F349" i="5" s="1"/>
  <c r="K350" i="1"/>
  <c r="I350" i="1" s="1"/>
  <c r="F350" i="5" s="1"/>
  <c r="K351" i="1"/>
  <c r="I351" i="1" s="1"/>
  <c r="F351" i="5" s="1"/>
  <c r="K352" i="1"/>
  <c r="I352" i="1" s="1"/>
  <c r="F352" i="5" s="1"/>
  <c r="K353" i="1"/>
  <c r="I353" i="1" s="1"/>
  <c r="F353" i="5" s="1"/>
  <c r="K354" i="1"/>
  <c r="I354" i="1" s="1"/>
  <c r="F354" i="5" s="1"/>
  <c r="K355" i="1"/>
  <c r="I355" i="1" s="1"/>
  <c r="F355" i="5" s="1"/>
  <c r="K356" i="1"/>
  <c r="I356" i="1" s="1"/>
  <c r="F356" i="5" s="1"/>
  <c r="K357" i="1"/>
  <c r="I357" i="1" s="1"/>
  <c r="F357" i="5" s="1"/>
  <c r="K358" i="1"/>
  <c r="I358" i="1" s="1"/>
  <c r="F358" i="5" s="1"/>
  <c r="K359" i="1"/>
  <c r="I359" i="1" s="1"/>
  <c r="F359" i="5" s="1"/>
  <c r="K360" i="1"/>
  <c r="I360" i="1" s="1"/>
  <c r="F360" i="5" s="1"/>
  <c r="K361" i="1"/>
  <c r="I361" i="1" s="1"/>
  <c r="F361" i="5" s="1"/>
  <c r="K362" i="1"/>
  <c r="I362" i="1" s="1"/>
  <c r="F362" i="5" s="1"/>
  <c r="K363" i="1"/>
  <c r="I363" i="1" s="1"/>
  <c r="F363" i="5" s="1"/>
  <c r="K364" i="1"/>
  <c r="I364" i="1" s="1"/>
  <c r="F364" i="5" s="1"/>
  <c r="K365" i="1"/>
  <c r="I365" i="1" s="1"/>
  <c r="F365" i="5" s="1"/>
  <c r="K366" i="1"/>
  <c r="I366" i="1" s="1"/>
  <c r="F366" i="5" s="1"/>
  <c r="K367" i="1"/>
  <c r="I367" i="1" s="1"/>
  <c r="F367" i="5" s="1"/>
  <c r="K368" i="1"/>
  <c r="I368" i="1" s="1"/>
  <c r="F368" i="5" s="1"/>
  <c r="K369" i="1"/>
  <c r="I369" i="1" s="1"/>
  <c r="F369" i="5" s="1"/>
  <c r="K370" i="1"/>
  <c r="I370" i="1" s="1"/>
  <c r="F370" i="5" s="1"/>
  <c r="K371" i="1"/>
  <c r="I371" i="1" s="1"/>
  <c r="F371" i="5" s="1"/>
  <c r="K372" i="1"/>
  <c r="I372" i="1" s="1"/>
  <c r="F372" i="5" s="1"/>
  <c r="K373" i="1"/>
  <c r="I373" i="1" s="1"/>
  <c r="F373" i="5" s="1"/>
  <c r="K374" i="1"/>
  <c r="I374" i="1" s="1"/>
  <c r="F374" i="5" s="1"/>
  <c r="K375" i="1"/>
  <c r="I375" i="1" s="1"/>
  <c r="F375" i="5" s="1"/>
  <c r="K376" i="1"/>
  <c r="I376" i="1" s="1"/>
  <c r="F376" i="5" s="1"/>
  <c r="K377" i="1"/>
  <c r="I377" i="1" s="1"/>
  <c r="F377" i="5" s="1"/>
  <c r="K378" i="1"/>
  <c r="I378" i="1" s="1"/>
  <c r="F378" i="5" s="1"/>
  <c r="K379" i="1"/>
  <c r="I379" i="1" s="1"/>
  <c r="F379" i="5" s="1"/>
  <c r="K380" i="1"/>
  <c r="I380" i="1" s="1"/>
  <c r="F380" i="5" s="1"/>
  <c r="K381" i="1"/>
  <c r="I381" i="1" s="1"/>
  <c r="F381" i="5" s="1"/>
  <c r="K382" i="1"/>
  <c r="I382" i="1" s="1"/>
  <c r="F382" i="5" s="1"/>
  <c r="K383" i="1"/>
  <c r="I383" i="1" s="1"/>
  <c r="F383" i="5" s="1"/>
  <c r="K384" i="1"/>
  <c r="I384" i="1" s="1"/>
  <c r="F384" i="5" s="1"/>
  <c r="K385" i="1"/>
  <c r="I385" i="1" s="1"/>
  <c r="F385" i="5" s="1"/>
  <c r="K386" i="1"/>
  <c r="I386" i="1" s="1"/>
  <c r="F386" i="5" s="1"/>
  <c r="K387" i="1"/>
  <c r="I387" i="1" s="1"/>
  <c r="F387" i="5" s="1"/>
  <c r="K388" i="1"/>
  <c r="I388" i="1" s="1"/>
  <c r="F388" i="5" s="1"/>
  <c r="K389" i="1"/>
  <c r="I389" i="1" s="1"/>
  <c r="F389" i="5" s="1"/>
  <c r="K390" i="1"/>
  <c r="I390" i="1" s="1"/>
  <c r="F390" i="5" s="1"/>
  <c r="K391" i="1"/>
  <c r="I391" i="1" s="1"/>
  <c r="F391" i="5" s="1"/>
  <c r="K392" i="1"/>
  <c r="I392" i="1" s="1"/>
  <c r="F392" i="5" s="1"/>
  <c r="K393" i="1"/>
  <c r="I393" i="1" s="1"/>
  <c r="F393" i="5" s="1"/>
  <c r="K394" i="1"/>
  <c r="I394" i="1" s="1"/>
  <c r="F394" i="5" s="1"/>
  <c r="K395" i="1"/>
  <c r="I395" i="1" s="1"/>
  <c r="F395" i="5" s="1"/>
  <c r="K396" i="1"/>
  <c r="I396" i="1" s="1"/>
  <c r="F396" i="5" s="1"/>
  <c r="K397" i="1"/>
  <c r="I397" i="1" s="1"/>
  <c r="F397" i="5" s="1"/>
  <c r="K398" i="1"/>
  <c r="I398" i="1" s="1"/>
  <c r="F398" i="5" s="1"/>
  <c r="K399" i="1"/>
  <c r="I399" i="1" s="1"/>
  <c r="F399" i="5" s="1"/>
  <c r="K400" i="1"/>
  <c r="I400" i="1" s="1"/>
  <c r="F400" i="5" s="1"/>
  <c r="K401" i="1"/>
  <c r="I401" i="1" s="1"/>
  <c r="F401" i="5" s="1"/>
  <c r="K402" i="1"/>
  <c r="I402" i="1" s="1"/>
  <c r="F402" i="5" s="1"/>
  <c r="K403" i="1"/>
  <c r="I403" i="1" s="1"/>
  <c r="F403" i="5" s="1"/>
  <c r="K404" i="1"/>
  <c r="I404" i="1" s="1"/>
  <c r="F404" i="5" s="1"/>
  <c r="K405" i="1"/>
  <c r="I405" i="1" s="1"/>
  <c r="F405" i="5" s="1"/>
  <c r="K406" i="1"/>
  <c r="I406" i="1" s="1"/>
  <c r="F406" i="5" s="1"/>
  <c r="K407" i="1"/>
  <c r="I407" i="1" s="1"/>
  <c r="F407" i="5" s="1"/>
  <c r="K408" i="1"/>
  <c r="I408" i="1" s="1"/>
  <c r="F408" i="5" s="1"/>
  <c r="K409" i="1"/>
  <c r="I409" i="1" s="1"/>
  <c r="F409" i="5" s="1"/>
  <c r="K410" i="1"/>
  <c r="I410" i="1" s="1"/>
  <c r="F410" i="5" s="1"/>
  <c r="K411" i="1"/>
  <c r="I411" i="1" s="1"/>
  <c r="F411" i="5" s="1"/>
  <c r="K412" i="1"/>
  <c r="I412" i="1" s="1"/>
  <c r="F412" i="5" s="1"/>
  <c r="K413" i="1"/>
  <c r="I413" i="1" s="1"/>
  <c r="F413" i="5" s="1"/>
  <c r="K414" i="1"/>
  <c r="I414" i="1" s="1"/>
  <c r="F414" i="5" s="1"/>
  <c r="K415" i="1"/>
  <c r="I415" i="1" s="1"/>
  <c r="F415" i="5" s="1"/>
  <c r="K416" i="1"/>
  <c r="I416" i="1" s="1"/>
  <c r="F416" i="5" s="1"/>
  <c r="K417" i="1"/>
  <c r="I417" i="1" s="1"/>
  <c r="F417" i="5" s="1"/>
  <c r="K418" i="1"/>
  <c r="I418" i="1" s="1"/>
  <c r="F418" i="5" s="1"/>
  <c r="K419" i="1"/>
  <c r="I419" i="1" s="1"/>
  <c r="F419" i="5" s="1"/>
  <c r="K420" i="1"/>
  <c r="I420" i="1" s="1"/>
  <c r="F420" i="5" s="1"/>
  <c r="K421" i="1"/>
  <c r="I421" i="1" s="1"/>
  <c r="F421" i="5" s="1"/>
  <c r="K422" i="1"/>
  <c r="I422" i="1" s="1"/>
  <c r="F422" i="5" s="1"/>
  <c r="K423" i="1"/>
  <c r="I423" i="1" s="1"/>
  <c r="F423" i="5" s="1"/>
  <c r="K424" i="1"/>
  <c r="I424" i="1" s="1"/>
  <c r="F424" i="5" s="1"/>
  <c r="K425" i="1"/>
  <c r="I425" i="1" s="1"/>
  <c r="F425" i="5" s="1"/>
  <c r="K426" i="1"/>
  <c r="I426" i="1" s="1"/>
  <c r="F426" i="5" s="1"/>
  <c r="K427" i="1"/>
  <c r="I427" i="1" s="1"/>
  <c r="F427" i="5" s="1"/>
  <c r="K428" i="1"/>
  <c r="I428" i="1" s="1"/>
  <c r="F428" i="5" s="1"/>
  <c r="K429" i="1"/>
  <c r="I429" i="1" s="1"/>
  <c r="F429" i="5" s="1"/>
  <c r="K430" i="1"/>
  <c r="I430" i="1" s="1"/>
  <c r="F430" i="5" s="1"/>
  <c r="K431" i="1"/>
  <c r="I431" i="1" s="1"/>
  <c r="F431" i="5" s="1"/>
  <c r="K432" i="1"/>
  <c r="I432" i="1" s="1"/>
  <c r="F432" i="5" s="1"/>
  <c r="K433" i="1"/>
  <c r="I433" i="1" s="1"/>
  <c r="F433" i="5" s="1"/>
  <c r="K434" i="1"/>
  <c r="I434" i="1" s="1"/>
  <c r="F434" i="5" s="1"/>
  <c r="K435" i="1"/>
  <c r="I435" i="1" s="1"/>
  <c r="F435" i="5" s="1"/>
  <c r="K436" i="1"/>
  <c r="I436" i="1" s="1"/>
  <c r="F436" i="5" s="1"/>
  <c r="K437" i="1"/>
  <c r="I437" i="1" s="1"/>
  <c r="F437" i="5" s="1"/>
  <c r="K438" i="1"/>
  <c r="I438" i="1" s="1"/>
  <c r="F438" i="5" s="1"/>
  <c r="K439" i="1"/>
  <c r="I439" i="1" s="1"/>
  <c r="F439" i="5" s="1"/>
  <c r="K440" i="1"/>
  <c r="I440" i="1" s="1"/>
  <c r="F440" i="5" s="1"/>
  <c r="K441" i="1"/>
  <c r="I441" i="1" s="1"/>
  <c r="F441" i="5" s="1"/>
  <c r="K442" i="1"/>
  <c r="I442" i="1" s="1"/>
  <c r="F442" i="5" s="1"/>
  <c r="K443" i="1"/>
  <c r="I443" i="1" s="1"/>
  <c r="F443" i="5" s="1"/>
  <c r="K444" i="1"/>
  <c r="I444" i="1" s="1"/>
  <c r="F444" i="5" s="1"/>
  <c r="K445" i="1"/>
  <c r="I445" i="1" s="1"/>
  <c r="F445" i="5" s="1"/>
  <c r="K446" i="1"/>
  <c r="I446" i="1" s="1"/>
  <c r="F446" i="5" s="1"/>
  <c r="K447" i="1"/>
  <c r="I447" i="1" s="1"/>
  <c r="F447" i="5" s="1"/>
  <c r="K448" i="1"/>
  <c r="I448" i="1" s="1"/>
  <c r="F448" i="5" s="1"/>
  <c r="K449" i="1"/>
  <c r="I449" i="1" s="1"/>
  <c r="F449" i="5" s="1"/>
  <c r="K450" i="1"/>
  <c r="I450" i="1" s="1"/>
  <c r="F450" i="5" s="1"/>
  <c r="K451" i="1"/>
  <c r="I451" i="1" s="1"/>
  <c r="F451" i="5" s="1"/>
  <c r="K452" i="1"/>
  <c r="I452" i="1" s="1"/>
  <c r="F452" i="5" s="1"/>
  <c r="K453" i="1"/>
  <c r="I453" i="1" s="1"/>
  <c r="F453" i="5" s="1"/>
  <c r="K4" i="1"/>
  <c r="I4" i="1" s="1"/>
  <c r="F4" i="5" s="1"/>
  <c r="J399" i="1"/>
  <c r="J399" i="5" s="1"/>
  <c r="R399" i="1" l="1"/>
  <c r="Q399" i="5" s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4" i="1"/>
  <c r="E4" i="5" s="1"/>
  <c r="G453" i="1"/>
  <c r="E453" i="5" s="1"/>
  <c r="G452" i="1"/>
  <c r="E452" i="5" s="1"/>
  <c r="G451" i="1"/>
  <c r="E451" i="5" s="1"/>
  <c r="G450" i="1"/>
  <c r="E450" i="5" s="1"/>
  <c r="G449" i="1"/>
  <c r="E449" i="5" s="1"/>
  <c r="G448" i="1"/>
  <c r="E448" i="5" s="1"/>
  <c r="G447" i="1"/>
  <c r="E447" i="5" s="1"/>
  <c r="G446" i="1"/>
  <c r="E446" i="5" s="1"/>
  <c r="G445" i="1"/>
  <c r="E445" i="5" s="1"/>
  <c r="G444" i="1"/>
  <c r="E444" i="5" s="1"/>
  <c r="G443" i="1"/>
  <c r="E443" i="5" s="1"/>
  <c r="G442" i="1"/>
  <c r="E442" i="5" s="1"/>
  <c r="G441" i="1"/>
  <c r="E441" i="5" s="1"/>
  <c r="G440" i="1"/>
  <c r="E440" i="5" s="1"/>
  <c r="G439" i="1"/>
  <c r="E439" i="5" s="1"/>
  <c r="G438" i="1"/>
  <c r="E438" i="5" s="1"/>
  <c r="G437" i="1"/>
  <c r="E437" i="5" s="1"/>
  <c r="G436" i="1"/>
  <c r="E436" i="5" s="1"/>
  <c r="G435" i="1"/>
  <c r="E435" i="5" s="1"/>
  <c r="G434" i="1"/>
  <c r="E434" i="5" s="1"/>
  <c r="G433" i="1"/>
  <c r="E433" i="5" s="1"/>
  <c r="G432" i="1"/>
  <c r="E432" i="5" s="1"/>
  <c r="G431" i="1"/>
  <c r="E431" i="5" s="1"/>
  <c r="G430" i="1"/>
  <c r="E430" i="5" s="1"/>
  <c r="G429" i="1"/>
  <c r="E429" i="5" s="1"/>
  <c r="G428" i="1"/>
  <c r="E428" i="5" s="1"/>
  <c r="G427" i="1"/>
  <c r="E427" i="5" s="1"/>
  <c r="G426" i="1"/>
  <c r="E426" i="5" s="1"/>
  <c r="G425" i="1"/>
  <c r="E425" i="5" s="1"/>
  <c r="G424" i="1"/>
  <c r="E424" i="5" s="1"/>
  <c r="G423" i="1"/>
  <c r="E423" i="5" s="1"/>
  <c r="G422" i="1"/>
  <c r="E422" i="5" s="1"/>
  <c r="G421" i="1"/>
  <c r="E421" i="5" s="1"/>
  <c r="G420" i="1"/>
  <c r="E420" i="5" s="1"/>
  <c r="G419" i="1"/>
  <c r="E419" i="5" s="1"/>
  <c r="G418" i="1"/>
  <c r="E418" i="5" s="1"/>
  <c r="G417" i="1"/>
  <c r="E417" i="5" s="1"/>
  <c r="G416" i="1"/>
  <c r="E416" i="5" s="1"/>
  <c r="G415" i="1"/>
  <c r="E415" i="5" s="1"/>
  <c r="G414" i="1"/>
  <c r="E414" i="5" s="1"/>
  <c r="G413" i="1"/>
  <c r="E413" i="5" s="1"/>
  <c r="G412" i="1"/>
  <c r="E412" i="5" s="1"/>
  <c r="G411" i="1"/>
  <c r="E411" i="5" s="1"/>
  <c r="G410" i="1"/>
  <c r="E410" i="5" s="1"/>
  <c r="G409" i="1"/>
  <c r="E409" i="5" s="1"/>
  <c r="G408" i="1"/>
  <c r="E408" i="5" s="1"/>
  <c r="G407" i="1"/>
  <c r="E407" i="5" s="1"/>
  <c r="G406" i="1"/>
  <c r="E406" i="5" s="1"/>
  <c r="G405" i="1"/>
  <c r="E405" i="5" s="1"/>
  <c r="G404" i="1"/>
  <c r="E404" i="5" s="1"/>
  <c r="G403" i="1"/>
  <c r="E403" i="5" s="1"/>
  <c r="G402" i="1"/>
  <c r="E402" i="5" s="1"/>
  <c r="G401" i="1"/>
  <c r="E401" i="5" s="1"/>
  <c r="G400" i="1"/>
  <c r="E400" i="5" s="1"/>
  <c r="G399" i="1"/>
  <c r="E399" i="5" s="1"/>
  <c r="G398" i="1"/>
  <c r="E398" i="5" s="1"/>
  <c r="G397" i="1"/>
  <c r="E397" i="5" s="1"/>
  <c r="G396" i="1"/>
  <c r="E396" i="5" s="1"/>
  <c r="G395" i="1"/>
  <c r="E395" i="5" s="1"/>
  <c r="G394" i="1"/>
  <c r="E394" i="5" s="1"/>
  <c r="G393" i="1"/>
  <c r="E393" i="5" s="1"/>
  <c r="G392" i="1"/>
  <c r="E392" i="5" s="1"/>
  <c r="G391" i="1"/>
  <c r="E391" i="5" s="1"/>
  <c r="G390" i="1"/>
  <c r="E390" i="5" s="1"/>
  <c r="G389" i="1"/>
  <c r="E389" i="5" s="1"/>
  <c r="G388" i="1"/>
  <c r="E388" i="5" s="1"/>
  <c r="G387" i="1"/>
  <c r="E387" i="5" s="1"/>
  <c r="G386" i="1"/>
  <c r="E386" i="5" s="1"/>
  <c r="G385" i="1"/>
  <c r="E385" i="5" s="1"/>
  <c r="G384" i="1"/>
  <c r="E384" i="5" s="1"/>
  <c r="G383" i="1"/>
  <c r="E383" i="5" s="1"/>
  <c r="G382" i="1"/>
  <c r="E382" i="5" s="1"/>
  <c r="G381" i="1"/>
  <c r="E381" i="5" s="1"/>
  <c r="G380" i="1"/>
  <c r="E380" i="5" s="1"/>
  <c r="G379" i="1"/>
  <c r="E379" i="5" s="1"/>
  <c r="G378" i="1"/>
  <c r="E378" i="5" s="1"/>
  <c r="G377" i="1"/>
  <c r="E377" i="5" s="1"/>
  <c r="G376" i="1"/>
  <c r="E376" i="5" s="1"/>
  <c r="G375" i="1"/>
  <c r="E375" i="5" s="1"/>
  <c r="G374" i="1"/>
  <c r="E374" i="5" s="1"/>
  <c r="G373" i="1"/>
  <c r="E373" i="5" s="1"/>
  <c r="G372" i="1"/>
  <c r="E372" i="5" s="1"/>
  <c r="G371" i="1"/>
  <c r="E371" i="5" s="1"/>
  <c r="G370" i="1"/>
  <c r="E370" i="5" s="1"/>
  <c r="G369" i="1"/>
  <c r="E369" i="5" s="1"/>
  <c r="G368" i="1"/>
  <c r="E368" i="5" s="1"/>
  <c r="G367" i="1"/>
  <c r="E367" i="5" s="1"/>
  <c r="G366" i="1"/>
  <c r="E366" i="5" s="1"/>
  <c r="G365" i="1"/>
  <c r="E365" i="5" s="1"/>
  <c r="G364" i="1"/>
  <c r="E364" i="5" s="1"/>
  <c r="G363" i="1"/>
  <c r="E363" i="5" s="1"/>
  <c r="G362" i="1"/>
  <c r="E362" i="5" s="1"/>
  <c r="G361" i="1"/>
  <c r="E361" i="5" s="1"/>
  <c r="G360" i="1"/>
  <c r="E360" i="5" s="1"/>
  <c r="G359" i="1"/>
  <c r="E359" i="5" s="1"/>
  <c r="G358" i="1"/>
  <c r="E358" i="5" s="1"/>
  <c r="G357" i="1"/>
  <c r="E357" i="5" s="1"/>
  <c r="G356" i="1"/>
  <c r="E356" i="5" s="1"/>
  <c r="G355" i="1"/>
  <c r="E355" i="5" s="1"/>
  <c r="G354" i="1"/>
  <c r="E354" i="5" s="1"/>
  <c r="G353" i="1"/>
  <c r="E353" i="5" s="1"/>
  <c r="G352" i="1"/>
  <c r="E352" i="5" s="1"/>
  <c r="G351" i="1"/>
  <c r="E351" i="5" s="1"/>
  <c r="G350" i="1"/>
  <c r="E350" i="5" s="1"/>
  <c r="G349" i="1"/>
  <c r="E349" i="5" s="1"/>
  <c r="G348" i="1"/>
  <c r="E348" i="5" s="1"/>
  <c r="G347" i="1"/>
  <c r="E347" i="5" s="1"/>
  <c r="G346" i="1"/>
  <c r="E346" i="5" s="1"/>
  <c r="G345" i="1"/>
  <c r="E345" i="5" s="1"/>
  <c r="G344" i="1"/>
  <c r="E344" i="5" s="1"/>
  <c r="G343" i="1"/>
  <c r="E343" i="5" s="1"/>
  <c r="G342" i="1"/>
  <c r="E342" i="5" s="1"/>
  <c r="G341" i="1"/>
  <c r="E341" i="5" s="1"/>
  <c r="G340" i="1"/>
  <c r="E340" i="5" s="1"/>
  <c r="G339" i="1"/>
  <c r="E339" i="5" s="1"/>
  <c r="G338" i="1"/>
  <c r="E338" i="5" s="1"/>
  <c r="G337" i="1"/>
  <c r="E337" i="5" s="1"/>
  <c r="G336" i="1"/>
  <c r="E336" i="5" s="1"/>
  <c r="G335" i="1"/>
  <c r="E335" i="5" s="1"/>
  <c r="G334" i="1"/>
  <c r="E334" i="5" s="1"/>
  <c r="G333" i="1"/>
  <c r="E333" i="5" s="1"/>
  <c r="G332" i="1"/>
  <c r="E332" i="5" s="1"/>
  <c r="G331" i="1"/>
  <c r="E331" i="5" s="1"/>
  <c r="G330" i="1"/>
  <c r="E330" i="5" s="1"/>
  <c r="G329" i="1"/>
  <c r="E329" i="5" s="1"/>
  <c r="G328" i="1"/>
  <c r="E328" i="5" s="1"/>
  <c r="G327" i="1"/>
  <c r="E327" i="5" s="1"/>
  <c r="G326" i="1"/>
  <c r="E326" i="5" s="1"/>
  <c r="G325" i="1"/>
  <c r="E325" i="5" s="1"/>
  <c r="G324" i="1"/>
  <c r="E324" i="5" s="1"/>
  <c r="G323" i="1"/>
  <c r="E323" i="5" s="1"/>
  <c r="G322" i="1"/>
  <c r="E322" i="5" s="1"/>
  <c r="G321" i="1"/>
  <c r="E321" i="5" s="1"/>
  <c r="G320" i="1"/>
  <c r="E320" i="5" s="1"/>
  <c r="G319" i="1"/>
  <c r="E319" i="5" s="1"/>
  <c r="G318" i="1"/>
  <c r="E318" i="5" s="1"/>
  <c r="G317" i="1"/>
  <c r="E317" i="5" s="1"/>
  <c r="G316" i="1"/>
  <c r="E316" i="5" s="1"/>
  <c r="G315" i="1"/>
  <c r="E315" i="5" s="1"/>
  <c r="G314" i="1"/>
  <c r="E314" i="5" s="1"/>
  <c r="G313" i="1"/>
  <c r="E313" i="5" s="1"/>
  <c r="G312" i="1"/>
  <c r="E312" i="5" s="1"/>
  <c r="G311" i="1"/>
  <c r="E311" i="5" s="1"/>
  <c r="G310" i="1"/>
  <c r="E310" i="5" s="1"/>
  <c r="G309" i="1"/>
  <c r="E309" i="5" s="1"/>
  <c r="G308" i="1"/>
  <c r="E308" i="5" s="1"/>
  <c r="G307" i="1"/>
  <c r="E307" i="5" s="1"/>
  <c r="G306" i="1"/>
  <c r="E306" i="5" s="1"/>
  <c r="G305" i="1"/>
  <c r="E305" i="5" s="1"/>
  <c r="G304" i="1"/>
  <c r="E304" i="5" s="1"/>
  <c r="G303" i="1"/>
  <c r="E303" i="5" s="1"/>
  <c r="G302" i="1"/>
  <c r="E302" i="5" s="1"/>
  <c r="G301" i="1"/>
  <c r="E301" i="5" s="1"/>
  <c r="G300" i="1"/>
  <c r="E300" i="5" s="1"/>
  <c r="G299" i="1"/>
  <c r="E299" i="5" s="1"/>
  <c r="G298" i="1"/>
  <c r="E298" i="5" s="1"/>
  <c r="G297" i="1"/>
  <c r="E297" i="5" s="1"/>
  <c r="G296" i="1"/>
  <c r="E296" i="5" s="1"/>
  <c r="G295" i="1"/>
  <c r="E295" i="5" s="1"/>
  <c r="G294" i="1"/>
  <c r="E294" i="5" s="1"/>
  <c r="G293" i="1"/>
  <c r="E293" i="5" s="1"/>
  <c r="G292" i="1"/>
  <c r="E292" i="5" s="1"/>
  <c r="G291" i="1"/>
  <c r="E291" i="5" s="1"/>
  <c r="G290" i="1"/>
  <c r="E290" i="5" s="1"/>
  <c r="G289" i="1"/>
  <c r="E289" i="5" s="1"/>
  <c r="G288" i="1"/>
  <c r="E288" i="5" s="1"/>
  <c r="G287" i="1"/>
  <c r="E287" i="5" s="1"/>
  <c r="G286" i="1"/>
  <c r="E286" i="5" s="1"/>
  <c r="G285" i="1"/>
  <c r="E285" i="5" s="1"/>
  <c r="G284" i="1"/>
  <c r="E284" i="5" s="1"/>
  <c r="G283" i="1"/>
  <c r="E283" i="5" s="1"/>
  <c r="G282" i="1"/>
  <c r="E282" i="5" s="1"/>
  <c r="G281" i="1"/>
  <c r="E281" i="5" s="1"/>
  <c r="G280" i="1"/>
  <c r="E280" i="5" s="1"/>
  <c r="G279" i="1"/>
  <c r="E279" i="5" s="1"/>
  <c r="G278" i="1"/>
  <c r="E278" i="5" s="1"/>
  <c r="G277" i="1"/>
  <c r="E277" i="5" s="1"/>
  <c r="G276" i="1"/>
  <c r="E276" i="5" s="1"/>
  <c r="G275" i="1"/>
  <c r="E275" i="5" s="1"/>
  <c r="G274" i="1"/>
  <c r="E274" i="5" s="1"/>
  <c r="G273" i="1"/>
  <c r="E273" i="5" s="1"/>
  <c r="G272" i="1"/>
  <c r="E272" i="5" s="1"/>
  <c r="G271" i="1"/>
  <c r="E271" i="5" s="1"/>
  <c r="G270" i="1"/>
  <c r="E270" i="5" s="1"/>
  <c r="G269" i="1"/>
  <c r="E269" i="5" s="1"/>
  <c r="G268" i="1"/>
  <c r="E268" i="5" s="1"/>
  <c r="G267" i="1"/>
  <c r="E267" i="5" s="1"/>
  <c r="G266" i="1"/>
  <c r="E266" i="5" s="1"/>
  <c r="G265" i="1"/>
  <c r="E265" i="5" s="1"/>
  <c r="G264" i="1"/>
  <c r="E264" i="5" s="1"/>
  <c r="G263" i="1"/>
  <c r="E263" i="5" s="1"/>
  <c r="G262" i="1"/>
  <c r="E262" i="5" s="1"/>
  <c r="G261" i="1"/>
  <c r="E261" i="5" s="1"/>
  <c r="G260" i="1"/>
  <c r="E260" i="5" s="1"/>
  <c r="G259" i="1"/>
  <c r="E259" i="5" s="1"/>
  <c r="G258" i="1"/>
  <c r="E258" i="5" s="1"/>
  <c r="G257" i="1"/>
  <c r="E257" i="5" s="1"/>
  <c r="G256" i="1"/>
  <c r="E256" i="5" s="1"/>
  <c r="G255" i="1"/>
  <c r="E255" i="5" s="1"/>
  <c r="G254" i="1"/>
  <c r="E254" i="5" s="1"/>
  <c r="G253" i="1"/>
  <c r="E253" i="5" s="1"/>
  <c r="G252" i="1"/>
  <c r="E252" i="5" s="1"/>
  <c r="G251" i="1"/>
  <c r="E251" i="5" s="1"/>
  <c r="G250" i="1"/>
  <c r="E250" i="5" s="1"/>
  <c r="G249" i="1"/>
  <c r="E249" i="5" s="1"/>
  <c r="G248" i="1"/>
  <c r="E248" i="5" s="1"/>
  <c r="G247" i="1"/>
  <c r="E247" i="5" s="1"/>
  <c r="G246" i="1"/>
  <c r="E246" i="5" s="1"/>
  <c r="G245" i="1"/>
  <c r="E245" i="5" s="1"/>
  <c r="G244" i="1"/>
  <c r="E244" i="5" s="1"/>
  <c r="G243" i="1"/>
  <c r="E243" i="5" s="1"/>
  <c r="G242" i="1"/>
  <c r="E242" i="5" s="1"/>
  <c r="G241" i="1"/>
  <c r="E241" i="5" s="1"/>
  <c r="G240" i="1"/>
  <c r="E240" i="5" s="1"/>
  <c r="G239" i="1"/>
  <c r="E239" i="5" s="1"/>
  <c r="G238" i="1"/>
  <c r="E238" i="5" s="1"/>
  <c r="G237" i="1"/>
  <c r="E237" i="5" s="1"/>
  <c r="G236" i="1"/>
  <c r="E236" i="5" s="1"/>
  <c r="G235" i="1"/>
  <c r="E235" i="5" s="1"/>
  <c r="G234" i="1"/>
  <c r="E234" i="5" s="1"/>
  <c r="G233" i="1"/>
  <c r="E233" i="5" s="1"/>
  <c r="G232" i="1"/>
  <c r="E232" i="5" s="1"/>
  <c r="G231" i="1"/>
  <c r="E231" i="5" s="1"/>
  <c r="G230" i="1"/>
  <c r="E230" i="5" s="1"/>
  <c r="G229" i="1"/>
  <c r="E229" i="5" s="1"/>
  <c r="G228" i="1"/>
  <c r="E228" i="5" s="1"/>
  <c r="G227" i="1"/>
  <c r="E227" i="5" s="1"/>
  <c r="G226" i="1"/>
  <c r="E226" i="5" s="1"/>
  <c r="G225" i="1"/>
  <c r="E225" i="5" s="1"/>
  <c r="G224" i="1"/>
  <c r="E224" i="5" s="1"/>
  <c r="G223" i="1"/>
  <c r="E223" i="5" s="1"/>
  <c r="G222" i="1"/>
  <c r="E222" i="5" s="1"/>
  <c r="G221" i="1"/>
  <c r="E221" i="5" s="1"/>
  <c r="G220" i="1"/>
  <c r="E220" i="5" s="1"/>
  <c r="G219" i="1"/>
  <c r="E219" i="5" s="1"/>
  <c r="G218" i="1"/>
  <c r="E218" i="5" s="1"/>
  <c r="G217" i="1"/>
  <c r="E217" i="5" s="1"/>
  <c r="G216" i="1"/>
  <c r="E216" i="5" s="1"/>
  <c r="G215" i="1"/>
  <c r="E215" i="5" s="1"/>
  <c r="G214" i="1"/>
  <c r="E214" i="5" s="1"/>
  <c r="G213" i="1"/>
  <c r="E213" i="5" s="1"/>
  <c r="G212" i="1"/>
  <c r="E212" i="5" s="1"/>
  <c r="G211" i="1"/>
  <c r="E211" i="5" s="1"/>
  <c r="G210" i="1"/>
  <c r="E210" i="5" s="1"/>
  <c r="G209" i="1"/>
  <c r="E209" i="5" s="1"/>
  <c r="G208" i="1"/>
  <c r="E208" i="5" s="1"/>
  <c r="G207" i="1"/>
  <c r="E207" i="5" s="1"/>
  <c r="G206" i="1"/>
  <c r="E206" i="5" s="1"/>
  <c r="G205" i="1"/>
  <c r="E205" i="5" s="1"/>
  <c r="G204" i="1"/>
  <c r="E204" i="5" s="1"/>
  <c r="G203" i="1"/>
  <c r="E203" i="5" s="1"/>
  <c r="G202" i="1"/>
  <c r="E202" i="5" s="1"/>
  <c r="G201" i="1"/>
  <c r="E201" i="5" s="1"/>
  <c r="G200" i="1"/>
  <c r="E200" i="5" s="1"/>
  <c r="G199" i="1"/>
  <c r="E199" i="5" s="1"/>
  <c r="G198" i="1"/>
  <c r="E198" i="5" s="1"/>
  <c r="G197" i="1"/>
  <c r="E197" i="5" s="1"/>
  <c r="G196" i="1"/>
  <c r="E196" i="5" s="1"/>
  <c r="G195" i="1"/>
  <c r="E195" i="5" s="1"/>
  <c r="G194" i="1"/>
  <c r="E194" i="5" s="1"/>
  <c r="G193" i="1"/>
  <c r="E193" i="5" s="1"/>
  <c r="G192" i="1"/>
  <c r="E192" i="5" s="1"/>
  <c r="G191" i="1"/>
  <c r="E191" i="5" s="1"/>
  <c r="G190" i="1"/>
  <c r="E190" i="5" s="1"/>
  <c r="G189" i="1"/>
  <c r="E189" i="5" s="1"/>
  <c r="G188" i="1"/>
  <c r="E188" i="5" s="1"/>
  <c r="G187" i="1"/>
  <c r="E187" i="5" s="1"/>
  <c r="G186" i="1"/>
  <c r="E186" i="5" s="1"/>
  <c r="G185" i="1"/>
  <c r="E185" i="5" s="1"/>
  <c r="G184" i="1"/>
  <c r="E184" i="5" s="1"/>
  <c r="G183" i="1"/>
  <c r="E183" i="5" s="1"/>
  <c r="G182" i="1"/>
  <c r="E182" i="5" s="1"/>
  <c r="G181" i="1"/>
  <c r="E181" i="5" s="1"/>
  <c r="G180" i="1"/>
  <c r="E180" i="5" s="1"/>
  <c r="G179" i="1"/>
  <c r="E179" i="5" s="1"/>
  <c r="G178" i="1"/>
  <c r="E178" i="5" s="1"/>
  <c r="G177" i="1"/>
  <c r="E177" i="5" s="1"/>
  <c r="G176" i="1"/>
  <c r="E176" i="5" s="1"/>
  <c r="G175" i="1"/>
  <c r="E175" i="5" s="1"/>
  <c r="G174" i="1"/>
  <c r="E174" i="5" s="1"/>
  <c r="G173" i="1"/>
  <c r="E173" i="5" s="1"/>
  <c r="G172" i="1"/>
  <c r="E172" i="5" s="1"/>
  <c r="G171" i="1"/>
  <c r="E171" i="5" s="1"/>
  <c r="G170" i="1"/>
  <c r="E170" i="5" s="1"/>
  <c r="G169" i="1"/>
  <c r="E169" i="5" s="1"/>
  <c r="G168" i="1"/>
  <c r="E168" i="5" s="1"/>
  <c r="G167" i="1"/>
  <c r="E167" i="5" s="1"/>
  <c r="G166" i="1"/>
  <c r="E166" i="5" s="1"/>
  <c r="G165" i="1"/>
  <c r="E165" i="5" s="1"/>
  <c r="G164" i="1"/>
  <c r="E164" i="5" s="1"/>
  <c r="G163" i="1"/>
  <c r="E163" i="5" s="1"/>
  <c r="G162" i="1"/>
  <c r="E162" i="5" s="1"/>
  <c r="G161" i="1"/>
  <c r="E161" i="5" s="1"/>
  <c r="G160" i="1"/>
  <c r="E160" i="5" s="1"/>
  <c r="G159" i="1"/>
  <c r="E159" i="5" s="1"/>
  <c r="G158" i="1"/>
  <c r="E158" i="5" s="1"/>
  <c r="G157" i="1"/>
  <c r="E157" i="5" s="1"/>
  <c r="G156" i="1"/>
  <c r="E156" i="5" s="1"/>
  <c r="G155" i="1"/>
  <c r="E155" i="5" s="1"/>
  <c r="G154" i="1"/>
  <c r="E154" i="5" s="1"/>
  <c r="G153" i="1"/>
  <c r="E153" i="5" s="1"/>
  <c r="G152" i="1"/>
  <c r="E152" i="5" s="1"/>
  <c r="G151" i="1"/>
  <c r="E151" i="5" s="1"/>
  <c r="G150" i="1"/>
  <c r="E150" i="5" s="1"/>
  <c r="G149" i="1"/>
  <c r="E149" i="5" s="1"/>
  <c r="G148" i="1"/>
  <c r="E148" i="5" s="1"/>
  <c r="G147" i="1"/>
  <c r="E147" i="5" s="1"/>
  <c r="G146" i="1"/>
  <c r="E146" i="5" s="1"/>
  <c r="G145" i="1"/>
  <c r="E145" i="5" s="1"/>
  <c r="G144" i="1"/>
  <c r="E144" i="5" s="1"/>
  <c r="G143" i="1"/>
  <c r="E143" i="5" s="1"/>
  <c r="G142" i="1"/>
  <c r="E142" i="5" s="1"/>
  <c r="G141" i="1"/>
  <c r="E141" i="5" s="1"/>
  <c r="G140" i="1"/>
  <c r="E140" i="5" s="1"/>
  <c r="G139" i="1"/>
  <c r="E139" i="5" s="1"/>
  <c r="G138" i="1"/>
  <c r="E138" i="5" s="1"/>
  <c r="G137" i="1"/>
  <c r="E137" i="5" s="1"/>
  <c r="G136" i="1"/>
  <c r="E136" i="5" s="1"/>
  <c r="G135" i="1"/>
  <c r="E135" i="5" s="1"/>
  <c r="G134" i="1"/>
  <c r="E134" i="5" s="1"/>
  <c r="G133" i="1"/>
  <c r="E133" i="5" s="1"/>
  <c r="G132" i="1"/>
  <c r="E132" i="5" s="1"/>
  <c r="G131" i="1"/>
  <c r="E131" i="5" s="1"/>
  <c r="G130" i="1"/>
  <c r="E130" i="5" s="1"/>
  <c r="G129" i="1"/>
  <c r="E129" i="5" s="1"/>
  <c r="G128" i="1"/>
  <c r="E128" i="5" s="1"/>
  <c r="G127" i="1"/>
  <c r="E127" i="5" s="1"/>
  <c r="G126" i="1"/>
  <c r="E126" i="5" s="1"/>
  <c r="G125" i="1"/>
  <c r="E125" i="5" s="1"/>
  <c r="G124" i="1"/>
  <c r="E124" i="5" s="1"/>
  <c r="G123" i="1"/>
  <c r="E123" i="5" s="1"/>
  <c r="G122" i="1"/>
  <c r="E122" i="5" s="1"/>
  <c r="G121" i="1"/>
  <c r="E121" i="5" s="1"/>
  <c r="G120" i="1"/>
  <c r="E120" i="5" s="1"/>
  <c r="G119" i="1"/>
  <c r="E119" i="5" s="1"/>
  <c r="G118" i="1"/>
  <c r="E118" i="5" s="1"/>
  <c r="G117" i="1"/>
  <c r="E117" i="5" s="1"/>
  <c r="G116" i="1"/>
  <c r="E116" i="5" s="1"/>
  <c r="G115" i="1"/>
  <c r="E115" i="5" s="1"/>
  <c r="G114" i="1"/>
  <c r="E114" i="5" s="1"/>
  <c r="G113" i="1"/>
  <c r="E113" i="5" s="1"/>
  <c r="G112" i="1"/>
  <c r="E112" i="5" s="1"/>
  <c r="G111" i="1"/>
  <c r="E111" i="5" s="1"/>
  <c r="G110" i="1"/>
  <c r="E110" i="5" s="1"/>
  <c r="G109" i="1"/>
  <c r="E109" i="5" s="1"/>
  <c r="G108" i="1"/>
  <c r="E108" i="5" s="1"/>
  <c r="G107" i="1"/>
  <c r="E107" i="5" s="1"/>
  <c r="G106" i="1"/>
  <c r="E106" i="5" s="1"/>
  <c r="G105" i="1"/>
  <c r="E105" i="5" s="1"/>
  <c r="G104" i="1"/>
  <c r="E104" i="5" s="1"/>
  <c r="G103" i="1"/>
  <c r="E103" i="5" s="1"/>
  <c r="G102" i="1"/>
  <c r="E102" i="5" s="1"/>
  <c r="G101" i="1"/>
  <c r="E101" i="5" s="1"/>
  <c r="G100" i="1"/>
  <c r="E100" i="5" s="1"/>
  <c r="G99" i="1"/>
  <c r="E99" i="5" s="1"/>
  <c r="G98" i="1"/>
  <c r="E98" i="5" s="1"/>
  <c r="G97" i="1"/>
  <c r="E97" i="5" s="1"/>
  <c r="G96" i="1"/>
  <c r="E96" i="5" s="1"/>
  <c r="G95" i="1"/>
  <c r="E95" i="5" s="1"/>
  <c r="G94" i="1"/>
  <c r="E94" i="5" s="1"/>
  <c r="G93" i="1"/>
  <c r="E93" i="5" s="1"/>
  <c r="G92" i="1"/>
  <c r="E92" i="5" s="1"/>
  <c r="G91" i="1"/>
  <c r="E91" i="5" s="1"/>
  <c r="G90" i="1"/>
  <c r="E90" i="5" s="1"/>
  <c r="G89" i="1"/>
  <c r="E89" i="5" s="1"/>
  <c r="G88" i="1"/>
  <c r="E88" i="5" s="1"/>
  <c r="G87" i="1"/>
  <c r="E87" i="5" s="1"/>
  <c r="G86" i="1"/>
  <c r="E86" i="5" s="1"/>
  <c r="G85" i="1"/>
  <c r="E85" i="5" s="1"/>
  <c r="G84" i="1"/>
  <c r="E84" i="5" s="1"/>
  <c r="G83" i="1"/>
  <c r="E83" i="5" s="1"/>
  <c r="G82" i="1"/>
  <c r="E82" i="5" s="1"/>
  <c r="G81" i="1"/>
  <c r="E81" i="5" s="1"/>
  <c r="G80" i="1"/>
  <c r="E80" i="5" s="1"/>
  <c r="G79" i="1"/>
  <c r="E79" i="5" s="1"/>
  <c r="G78" i="1"/>
  <c r="E78" i="5" s="1"/>
  <c r="G77" i="1"/>
  <c r="E77" i="5" s="1"/>
  <c r="G76" i="1"/>
  <c r="E76" i="5" s="1"/>
  <c r="G75" i="1"/>
  <c r="E75" i="5" s="1"/>
  <c r="G74" i="1"/>
  <c r="E74" i="5" s="1"/>
  <c r="G73" i="1"/>
  <c r="E73" i="5" s="1"/>
  <c r="G72" i="1"/>
  <c r="E72" i="5" s="1"/>
  <c r="G71" i="1"/>
  <c r="E71" i="5" s="1"/>
  <c r="G70" i="1"/>
  <c r="E70" i="5" s="1"/>
  <c r="G69" i="1"/>
  <c r="E69" i="5" s="1"/>
  <c r="G68" i="1"/>
  <c r="E68" i="5" s="1"/>
  <c r="G67" i="1"/>
  <c r="E67" i="5" s="1"/>
  <c r="G66" i="1"/>
  <c r="E66" i="5" s="1"/>
  <c r="G65" i="1"/>
  <c r="E65" i="5" s="1"/>
  <c r="G64" i="1"/>
  <c r="E64" i="5" s="1"/>
  <c r="G63" i="1"/>
  <c r="E63" i="5" s="1"/>
  <c r="G62" i="1"/>
  <c r="E62" i="5" s="1"/>
  <c r="G61" i="1"/>
  <c r="E61" i="5" s="1"/>
  <c r="G60" i="1"/>
  <c r="E60" i="5" s="1"/>
  <c r="G59" i="1"/>
  <c r="E59" i="5" s="1"/>
  <c r="G58" i="1"/>
  <c r="E58" i="5" s="1"/>
  <c r="G57" i="1"/>
  <c r="E57" i="5" s="1"/>
  <c r="G56" i="1"/>
  <c r="E56" i="5" s="1"/>
  <c r="G55" i="1"/>
  <c r="E55" i="5" s="1"/>
  <c r="G54" i="1"/>
  <c r="E54" i="5" s="1"/>
  <c r="G53" i="1"/>
  <c r="E53" i="5" s="1"/>
  <c r="G52" i="1"/>
  <c r="E52" i="5" s="1"/>
  <c r="G51" i="1"/>
  <c r="E51" i="5" s="1"/>
  <c r="G50" i="1"/>
  <c r="E50" i="5" s="1"/>
  <c r="G49" i="1"/>
  <c r="E49" i="5" s="1"/>
  <c r="G48" i="1"/>
  <c r="E48" i="5" s="1"/>
  <c r="G47" i="1"/>
  <c r="E47" i="5" s="1"/>
  <c r="G46" i="1"/>
  <c r="E46" i="5" s="1"/>
  <c r="G45" i="1"/>
  <c r="E45" i="5" s="1"/>
  <c r="G44" i="1"/>
  <c r="E44" i="5" s="1"/>
  <c r="G43" i="1"/>
  <c r="E43" i="5" s="1"/>
  <c r="G42" i="1"/>
  <c r="E42" i="5" s="1"/>
  <c r="G41" i="1"/>
  <c r="E41" i="5" s="1"/>
  <c r="G40" i="1"/>
  <c r="E40" i="5" s="1"/>
  <c r="G39" i="1"/>
  <c r="E39" i="5" s="1"/>
  <c r="G38" i="1"/>
  <c r="E38" i="5" s="1"/>
  <c r="G37" i="1"/>
  <c r="E37" i="5" s="1"/>
  <c r="G36" i="1"/>
  <c r="E36" i="5" s="1"/>
  <c r="G35" i="1"/>
  <c r="E35" i="5" s="1"/>
  <c r="G34" i="1"/>
  <c r="E34" i="5" s="1"/>
  <c r="G33" i="1"/>
  <c r="E33" i="5" s="1"/>
  <c r="G32" i="1"/>
  <c r="E32" i="5" s="1"/>
  <c r="G31" i="1"/>
  <c r="E31" i="5" s="1"/>
  <c r="G30" i="1"/>
  <c r="E30" i="5" s="1"/>
  <c r="G29" i="1"/>
  <c r="E29" i="5" s="1"/>
  <c r="G28" i="1"/>
  <c r="E28" i="5" s="1"/>
  <c r="G27" i="1"/>
  <c r="E27" i="5" s="1"/>
  <c r="G26" i="1"/>
  <c r="E26" i="5" s="1"/>
  <c r="G25" i="1"/>
  <c r="E25" i="5" s="1"/>
  <c r="G24" i="1"/>
  <c r="E24" i="5" s="1"/>
  <c r="G23" i="1"/>
  <c r="E23" i="5" s="1"/>
  <c r="G22" i="1"/>
  <c r="E22" i="5" s="1"/>
  <c r="G21" i="1"/>
  <c r="E21" i="5" s="1"/>
  <c r="G20" i="1"/>
  <c r="E20" i="5" s="1"/>
  <c r="G19" i="1"/>
  <c r="E19" i="5" s="1"/>
  <c r="G18" i="1"/>
  <c r="E18" i="5" s="1"/>
  <c r="G17" i="1"/>
  <c r="E17" i="5" s="1"/>
  <c r="G16" i="1"/>
  <c r="E16" i="5" s="1"/>
  <c r="G15" i="1"/>
  <c r="E15" i="5" s="1"/>
  <c r="G14" i="1"/>
  <c r="E14" i="5" s="1"/>
  <c r="G13" i="1"/>
  <c r="E13" i="5" s="1"/>
  <c r="G12" i="1"/>
  <c r="E12" i="5" s="1"/>
  <c r="G11" i="1"/>
  <c r="E11" i="5" s="1"/>
  <c r="G10" i="1"/>
  <c r="E10" i="5" s="1"/>
  <c r="G9" i="1"/>
  <c r="E9" i="5" s="1"/>
  <c r="G8" i="1"/>
  <c r="E8" i="5" s="1"/>
  <c r="G7" i="1"/>
  <c r="E7" i="5" s="1"/>
  <c r="G6" i="1"/>
  <c r="E6" i="5" s="1"/>
  <c r="G5" i="1"/>
  <c r="E5" i="5" s="1"/>
  <c r="F4" i="1"/>
  <c r="D4" i="5" s="1"/>
  <c r="F453" i="1"/>
  <c r="D453" i="5" s="1"/>
  <c r="F452" i="1"/>
  <c r="D452" i="5" s="1"/>
  <c r="F451" i="1"/>
  <c r="D451" i="5" s="1"/>
  <c r="F450" i="1"/>
  <c r="D450" i="5" s="1"/>
  <c r="F449" i="1"/>
  <c r="D449" i="5" s="1"/>
  <c r="F448" i="1"/>
  <c r="D448" i="5" s="1"/>
  <c r="F447" i="1"/>
  <c r="D447" i="5" s="1"/>
  <c r="F446" i="1"/>
  <c r="D446" i="5" s="1"/>
  <c r="F445" i="1"/>
  <c r="D445" i="5" s="1"/>
  <c r="F444" i="1"/>
  <c r="D444" i="5" s="1"/>
  <c r="F443" i="1"/>
  <c r="D443" i="5" s="1"/>
  <c r="F442" i="1"/>
  <c r="D442" i="5" s="1"/>
  <c r="F441" i="1"/>
  <c r="D441" i="5" s="1"/>
  <c r="F440" i="1"/>
  <c r="D440" i="5" s="1"/>
  <c r="F439" i="1"/>
  <c r="D439" i="5" s="1"/>
  <c r="F438" i="1"/>
  <c r="D438" i="5" s="1"/>
  <c r="F437" i="1"/>
  <c r="D437" i="5" s="1"/>
  <c r="F436" i="1"/>
  <c r="D436" i="5" s="1"/>
  <c r="F435" i="1"/>
  <c r="D435" i="5" s="1"/>
  <c r="F434" i="1"/>
  <c r="D434" i="5" s="1"/>
  <c r="F433" i="1"/>
  <c r="D433" i="5" s="1"/>
  <c r="F432" i="1"/>
  <c r="D432" i="5" s="1"/>
  <c r="F431" i="1"/>
  <c r="D431" i="5" s="1"/>
  <c r="F430" i="1"/>
  <c r="D430" i="5" s="1"/>
  <c r="F429" i="1"/>
  <c r="D429" i="5" s="1"/>
  <c r="F428" i="1"/>
  <c r="D428" i="5" s="1"/>
  <c r="F427" i="1"/>
  <c r="D427" i="5" s="1"/>
  <c r="F426" i="1"/>
  <c r="D426" i="5" s="1"/>
  <c r="F425" i="1"/>
  <c r="D425" i="5" s="1"/>
  <c r="F424" i="1"/>
  <c r="D424" i="5" s="1"/>
  <c r="F423" i="1"/>
  <c r="D423" i="5" s="1"/>
  <c r="F422" i="1"/>
  <c r="D422" i="5" s="1"/>
  <c r="F421" i="1"/>
  <c r="D421" i="5" s="1"/>
  <c r="F420" i="1"/>
  <c r="D420" i="5" s="1"/>
  <c r="F419" i="1"/>
  <c r="D419" i="5" s="1"/>
  <c r="F418" i="1"/>
  <c r="D418" i="5" s="1"/>
  <c r="F417" i="1"/>
  <c r="D417" i="5" s="1"/>
  <c r="F416" i="1"/>
  <c r="D416" i="5" s="1"/>
  <c r="F415" i="1"/>
  <c r="D415" i="5" s="1"/>
  <c r="F414" i="1"/>
  <c r="D414" i="5" s="1"/>
  <c r="F413" i="1"/>
  <c r="D413" i="5" s="1"/>
  <c r="F412" i="1"/>
  <c r="D412" i="5" s="1"/>
  <c r="F411" i="1"/>
  <c r="D411" i="5" s="1"/>
  <c r="F410" i="1"/>
  <c r="D410" i="5" s="1"/>
  <c r="F409" i="1"/>
  <c r="D409" i="5" s="1"/>
  <c r="F408" i="1"/>
  <c r="D408" i="5" s="1"/>
  <c r="F407" i="1"/>
  <c r="D407" i="5" s="1"/>
  <c r="F406" i="1"/>
  <c r="D406" i="5" s="1"/>
  <c r="F405" i="1"/>
  <c r="D405" i="5" s="1"/>
  <c r="F404" i="1"/>
  <c r="D404" i="5" s="1"/>
  <c r="F403" i="1"/>
  <c r="D403" i="5" s="1"/>
  <c r="F402" i="1"/>
  <c r="D402" i="5" s="1"/>
  <c r="F401" i="1"/>
  <c r="D401" i="5" s="1"/>
  <c r="F400" i="1"/>
  <c r="D400" i="5" s="1"/>
  <c r="F399" i="1"/>
  <c r="D399" i="5" s="1"/>
  <c r="F398" i="1"/>
  <c r="D398" i="5" s="1"/>
  <c r="F397" i="1"/>
  <c r="D397" i="5" s="1"/>
  <c r="F396" i="1"/>
  <c r="D396" i="5" s="1"/>
  <c r="F395" i="1"/>
  <c r="D395" i="5" s="1"/>
  <c r="F394" i="1"/>
  <c r="D394" i="5" s="1"/>
  <c r="F393" i="1"/>
  <c r="D393" i="5" s="1"/>
  <c r="F392" i="1"/>
  <c r="D392" i="5" s="1"/>
  <c r="F391" i="1"/>
  <c r="D391" i="5" s="1"/>
  <c r="F390" i="1"/>
  <c r="D390" i="5" s="1"/>
  <c r="F389" i="1"/>
  <c r="D389" i="5" s="1"/>
  <c r="F388" i="1"/>
  <c r="D388" i="5" s="1"/>
  <c r="F387" i="1"/>
  <c r="D387" i="5" s="1"/>
  <c r="F386" i="1"/>
  <c r="D386" i="5" s="1"/>
  <c r="F385" i="1"/>
  <c r="D385" i="5" s="1"/>
  <c r="F384" i="1"/>
  <c r="D384" i="5" s="1"/>
  <c r="F383" i="1"/>
  <c r="D383" i="5" s="1"/>
  <c r="F382" i="1"/>
  <c r="D382" i="5" s="1"/>
  <c r="F381" i="1"/>
  <c r="D381" i="5" s="1"/>
  <c r="F380" i="1"/>
  <c r="D380" i="5" s="1"/>
  <c r="F379" i="1"/>
  <c r="D379" i="5" s="1"/>
  <c r="F378" i="1"/>
  <c r="D378" i="5" s="1"/>
  <c r="F377" i="1"/>
  <c r="D377" i="5" s="1"/>
  <c r="F376" i="1"/>
  <c r="D376" i="5" s="1"/>
  <c r="F375" i="1"/>
  <c r="D375" i="5" s="1"/>
  <c r="F374" i="1"/>
  <c r="D374" i="5" s="1"/>
  <c r="F373" i="1"/>
  <c r="D373" i="5" s="1"/>
  <c r="F372" i="1"/>
  <c r="D372" i="5" s="1"/>
  <c r="F371" i="1"/>
  <c r="D371" i="5" s="1"/>
  <c r="F370" i="1"/>
  <c r="D370" i="5" s="1"/>
  <c r="F369" i="1"/>
  <c r="D369" i="5" s="1"/>
  <c r="F368" i="1"/>
  <c r="D368" i="5" s="1"/>
  <c r="F367" i="1"/>
  <c r="D367" i="5" s="1"/>
  <c r="F366" i="1"/>
  <c r="D366" i="5" s="1"/>
  <c r="F365" i="1"/>
  <c r="D365" i="5" s="1"/>
  <c r="F364" i="1"/>
  <c r="D364" i="5" s="1"/>
  <c r="F363" i="1"/>
  <c r="D363" i="5" s="1"/>
  <c r="F362" i="1"/>
  <c r="D362" i="5" s="1"/>
  <c r="F361" i="1"/>
  <c r="D361" i="5" s="1"/>
  <c r="F360" i="1"/>
  <c r="D360" i="5" s="1"/>
  <c r="F359" i="1"/>
  <c r="D359" i="5" s="1"/>
  <c r="F358" i="1"/>
  <c r="D358" i="5" s="1"/>
  <c r="F357" i="1"/>
  <c r="D357" i="5" s="1"/>
  <c r="F356" i="1"/>
  <c r="D356" i="5" s="1"/>
  <c r="F355" i="1"/>
  <c r="D355" i="5" s="1"/>
  <c r="F354" i="1"/>
  <c r="D354" i="5" s="1"/>
  <c r="F353" i="1"/>
  <c r="D353" i="5" s="1"/>
  <c r="F352" i="1"/>
  <c r="D352" i="5" s="1"/>
  <c r="F351" i="1"/>
  <c r="D351" i="5" s="1"/>
  <c r="F350" i="1"/>
  <c r="D350" i="5" s="1"/>
  <c r="F349" i="1"/>
  <c r="D349" i="5" s="1"/>
  <c r="F348" i="1"/>
  <c r="D348" i="5" s="1"/>
  <c r="F347" i="1"/>
  <c r="D347" i="5" s="1"/>
  <c r="F346" i="1"/>
  <c r="D346" i="5" s="1"/>
  <c r="F345" i="1"/>
  <c r="D345" i="5" s="1"/>
  <c r="F344" i="1"/>
  <c r="D344" i="5" s="1"/>
  <c r="F343" i="1"/>
  <c r="D343" i="5" s="1"/>
  <c r="F342" i="1"/>
  <c r="D342" i="5" s="1"/>
  <c r="F341" i="1"/>
  <c r="D341" i="5" s="1"/>
  <c r="F340" i="1"/>
  <c r="D340" i="5" s="1"/>
  <c r="F339" i="1"/>
  <c r="D339" i="5" s="1"/>
  <c r="F338" i="1"/>
  <c r="D338" i="5" s="1"/>
  <c r="F337" i="1"/>
  <c r="D337" i="5" s="1"/>
  <c r="F336" i="1"/>
  <c r="D336" i="5" s="1"/>
  <c r="F335" i="1"/>
  <c r="D335" i="5" s="1"/>
  <c r="F334" i="1"/>
  <c r="D334" i="5" s="1"/>
  <c r="F333" i="1"/>
  <c r="D333" i="5" s="1"/>
  <c r="F332" i="1"/>
  <c r="D332" i="5" s="1"/>
  <c r="F331" i="1"/>
  <c r="D331" i="5" s="1"/>
  <c r="F330" i="1"/>
  <c r="D330" i="5" s="1"/>
  <c r="F329" i="1"/>
  <c r="D329" i="5" s="1"/>
  <c r="F328" i="1"/>
  <c r="D328" i="5" s="1"/>
  <c r="F327" i="1"/>
  <c r="D327" i="5" s="1"/>
  <c r="F326" i="1"/>
  <c r="D326" i="5" s="1"/>
  <c r="F325" i="1"/>
  <c r="D325" i="5" s="1"/>
  <c r="F324" i="1"/>
  <c r="D324" i="5" s="1"/>
  <c r="F323" i="1"/>
  <c r="D323" i="5" s="1"/>
  <c r="F322" i="1"/>
  <c r="D322" i="5" s="1"/>
  <c r="F321" i="1"/>
  <c r="D321" i="5" s="1"/>
  <c r="F320" i="1"/>
  <c r="D320" i="5" s="1"/>
  <c r="F319" i="1"/>
  <c r="D319" i="5" s="1"/>
  <c r="F318" i="1"/>
  <c r="D318" i="5" s="1"/>
  <c r="F317" i="1"/>
  <c r="D317" i="5" s="1"/>
  <c r="F316" i="1"/>
  <c r="D316" i="5" s="1"/>
  <c r="F315" i="1"/>
  <c r="D315" i="5" s="1"/>
  <c r="F314" i="1"/>
  <c r="D314" i="5" s="1"/>
  <c r="F313" i="1"/>
  <c r="D313" i="5" s="1"/>
  <c r="F312" i="1"/>
  <c r="D312" i="5" s="1"/>
  <c r="F311" i="1"/>
  <c r="D311" i="5" s="1"/>
  <c r="F310" i="1"/>
  <c r="D310" i="5" s="1"/>
  <c r="F309" i="1"/>
  <c r="D309" i="5" s="1"/>
  <c r="F308" i="1"/>
  <c r="D308" i="5" s="1"/>
  <c r="F307" i="1"/>
  <c r="D307" i="5" s="1"/>
  <c r="F306" i="1"/>
  <c r="D306" i="5" s="1"/>
  <c r="F305" i="1"/>
  <c r="D305" i="5" s="1"/>
  <c r="F304" i="1"/>
  <c r="D304" i="5" s="1"/>
  <c r="F303" i="1"/>
  <c r="D303" i="5" s="1"/>
  <c r="F302" i="1"/>
  <c r="D302" i="5" s="1"/>
  <c r="F301" i="1"/>
  <c r="D301" i="5" s="1"/>
  <c r="F300" i="1"/>
  <c r="D300" i="5" s="1"/>
  <c r="F299" i="1"/>
  <c r="D299" i="5" s="1"/>
  <c r="F298" i="1"/>
  <c r="D298" i="5" s="1"/>
  <c r="F297" i="1"/>
  <c r="D297" i="5" s="1"/>
  <c r="F296" i="1"/>
  <c r="D296" i="5" s="1"/>
  <c r="F295" i="1"/>
  <c r="D295" i="5" s="1"/>
  <c r="F294" i="1"/>
  <c r="D294" i="5" s="1"/>
  <c r="F293" i="1"/>
  <c r="D293" i="5" s="1"/>
  <c r="F292" i="1"/>
  <c r="D292" i="5" s="1"/>
  <c r="F291" i="1"/>
  <c r="D291" i="5" s="1"/>
  <c r="F290" i="1"/>
  <c r="D290" i="5" s="1"/>
  <c r="F289" i="1"/>
  <c r="D289" i="5" s="1"/>
  <c r="F288" i="1"/>
  <c r="D288" i="5" s="1"/>
  <c r="F287" i="1"/>
  <c r="D287" i="5" s="1"/>
  <c r="F286" i="1"/>
  <c r="D286" i="5" s="1"/>
  <c r="F285" i="1"/>
  <c r="D285" i="5" s="1"/>
  <c r="F284" i="1"/>
  <c r="D284" i="5" s="1"/>
  <c r="F283" i="1"/>
  <c r="D283" i="5" s="1"/>
  <c r="F282" i="1"/>
  <c r="D282" i="5" s="1"/>
  <c r="F281" i="1"/>
  <c r="D281" i="5" s="1"/>
  <c r="F280" i="1"/>
  <c r="D280" i="5" s="1"/>
  <c r="F279" i="1"/>
  <c r="D279" i="5" s="1"/>
  <c r="F278" i="1"/>
  <c r="D278" i="5" s="1"/>
  <c r="F277" i="1"/>
  <c r="D277" i="5" s="1"/>
  <c r="F276" i="1"/>
  <c r="D276" i="5" s="1"/>
  <c r="F275" i="1"/>
  <c r="D275" i="5" s="1"/>
  <c r="F274" i="1"/>
  <c r="D274" i="5" s="1"/>
  <c r="F273" i="1"/>
  <c r="D273" i="5" s="1"/>
  <c r="F272" i="1"/>
  <c r="D272" i="5" s="1"/>
  <c r="F271" i="1"/>
  <c r="D271" i="5" s="1"/>
  <c r="F270" i="1"/>
  <c r="D270" i="5" s="1"/>
  <c r="F269" i="1"/>
  <c r="D269" i="5" s="1"/>
  <c r="F268" i="1"/>
  <c r="D268" i="5" s="1"/>
  <c r="F267" i="1"/>
  <c r="D267" i="5" s="1"/>
  <c r="F266" i="1"/>
  <c r="D266" i="5" s="1"/>
  <c r="F265" i="1"/>
  <c r="D265" i="5" s="1"/>
  <c r="F264" i="1"/>
  <c r="D264" i="5" s="1"/>
  <c r="F263" i="1"/>
  <c r="D263" i="5" s="1"/>
  <c r="F262" i="1"/>
  <c r="D262" i="5" s="1"/>
  <c r="F261" i="1"/>
  <c r="D261" i="5" s="1"/>
  <c r="F260" i="1"/>
  <c r="D260" i="5" s="1"/>
  <c r="F259" i="1"/>
  <c r="D259" i="5" s="1"/>
  <c r="F258" i="1"/>
  <c r="D258" i="5" s="1"/>
  <c r="F257" i="1"/>
  <c r="D257" i="5" s="1"/>
  <c r="F256" i="1"/>
  <c r="D256" i="5" s="1"/>
  <c r="F255" i="1"/>
  <c r="D255" i="5" s="1"/>
  <c r="F254" i="1"/>
  <c r="D254" i="5" s="1"/>
  <c r="F253" i="1"/>
  <c r="D253" i="5" s="1"/>
  <c r="F252" i="1"/>
  <c r="D252" i="5" s="1"/>
  <c r="F251" i="1"/>
  <c r="D251" i="5" s="1"/>
  <c r="F250" i="1"/>
  <c r="D250" i="5" s="1"/>
  <c r="F249" i="1"/>
  <c r="D249" i="5" s="1"/>
  <c r="F248" i="1"/>
  <c r="D248" i="5" s="1"/>
  <c r="F247" i="1"/>
  <c r="D247" i="5" s="1"/>
  <c r="F246" i="1"/>
  <c r="D246" i="5" s="1"/>
  <c r="F245" i="1"/>
  <c r="D245" i="5" s="1"/>
  <c r="F244" i="1"/>
  <c r="D244" i="5" s="1"/>
  <c r="F243" i="1"/>
  <c r="D243" i="5" s="1"/>
  <c r="F242" i="1"/>
  <c r="D242" i="5" s="1"/>
  <c r="F241" i="1"/>
  <c r="D241" i="5" s="1"/>
  <c r="F240" i="1"/>
  <c r="D240" i="5" s="1"/>
  <c r="F239" i="1"/>
  <c r="D239" i="5" s="1"/>
  <c r="F238" i="1"/>
  <c r="D238" i="5" s="1"/>
  <c r="F237" i="1"/>
  <c r="D237" i="5" s="1"/>
  <c r="F236" i="1"/>
  <c r="D236" i="5" s="1"/>
  <c r="F235" i="1"/>
  <c r="D235" i="5" s="1"/>
  <c r="F234" i="1"/>
  <c r="D234" i="5" s="1"/>
  <c r="F233" i="1"/>
  <c r="D233" i="5" s="1"/>
  <c r="F232" i="1"/>
  <c r="D232" i="5" s="1"/>
  <c r="F231" i="1"/>
  <c r="D231" i="5" s="1"/>
  <c r="F230" i="1"/>
  <c r="D230" i="5" s="1"/>
  <c r="F229" i="1"/>
  <c r="D229" i="5" s="1"/>
  <c r="F228" i="1"/>
  <c r="D228" i="5" s="1"/>
  <c r="F227" i="1"/>
  <c r="D227" i="5" s="1"/>
  <c r="F226" i="1"/>
  <c r="D226" i="5" s="1"/>
  <c r="F225" i="1"/>
  <c r="D225" i="5" s="1"/>
  <c r="F224" i="1"/>
  <c r="D224" i="5" s="1"/>
  <c r="F223" i="1"/>
  <c r="D223" i="5" s="1"/>
  <c r="F222" i="1"/>
  <c r="D222" i="5" s="1"/>
  <c r="F221" i="1"/>
  <c r="D221" i="5" s="1"/>
  <c r="F220" i="1"/>
  <c r="D220" i="5" s="1"/>
  <c r="F219" i="1"/>
  <c r="D219" i="5" s="1"/>
  <c r="F218" i="1"/>
  <c r="D218" i="5" s="1"/>
  <c r="F217" i="1"/>
  <c r="D217" i="5" s="1"/>
  <c r="F216" i="1"/>
  <c r="D216" i="5" s="1"/>
  <c r="F215" i="1"/>
  <c r="D215" i="5" s="1"/>
  <c r="F214" i="1"/>
  <c r="D214" i="5" s="1"/>
  <c r="F213" i="1"/>
  <c r="D213" i="5" s="1"/>
  <c r="F212" i="1"/>
  <c r="D212" i="5" s="1"/>
  <c r="F211" i="1"/>
  <c r="D211" i="5" s="1"/>
  <c r="F210" i="1"/>
  <c r="D210" i="5" s="1"/>
  <c r="F209" i="1"/>
  <c r="D209" i="5" s="1"/>
  <c r="F208" i="1"/>
  <c r="D208" i="5" s="1"/>
  <c r="F207" i="1"/>
  <c r="D207" i="5" s="1"/>
  <c r="F206" i="1"/>
  <c r="D206" i="5" s="1"/>
  <c r="F205" i="1"/>
  <c r="D205" i="5" s="1"/>
  <c r="F204" i="1"/>
  <c r="D204" i="5" s="1"/>
  <c r="F203" i="1"/>
  <c r="D203" i="5" s="1"/>
  <c r="F202" i="1"/>
  <c r="D202" i="5" s="1"/>
  <c r="F201" i="1"/>
  <c r="D201" i="5" s="1"/>
  <c r="F200" i="1"/>
  <c r="D200" i="5" s="1"/>
  <c r="F199" i="1"/>
  <c r="D199" i="5" s="1"/>
  <c r="F198" i="1"/>
  <c r="D198" i="5" s="1"/>
  <c r="F197" i="1"/>
  <c r="D197" i="5" s="1"/>
  <c r="F196" i="1"/>
  <c r="D196" i="5" s="1"/>
  <c r="F195" i="1"/>
  <c r="D195" i="5" s="1"/>
  <c r="F194" i="1"/>
  <c r="D194" i="5" s="1"/>
  <c r="F193" i="1"/>
  <c r="D193" i="5" s="1"/>
  <c r="F192" i="1"/>
  <c r="D192" i="5" s="1"/>
  <c r="F191" i="1"/>
  <c r="D191" i="5" s="1"/>
  <c r="F190" i="1"/>
  <c r="D190" i="5" s="1"/>
  <c r="F189" i="1"/>
  <c r="D189" i="5" s="1"/>
  <c r="F188" i="1"/>
  <c r="D188" i="5" s="1"/>
  <c r="F187" i="1"/>
  <c r="D187" i="5" s="1"/>
  <c r="F186" i="1"/>
  <c r="D186" i="5" s="1"/>
  <c r="F185" i="1"/>
  <c r="D185" i="5" s="1"/>
  <c r="F184" i="1"/>
  <c r="D184" i="5" s="1"/>
  <c r="F183" i="1"/>
  <c r="D183" i="5" s="1"/>
  <c r="F182" i="1"/>
  <c r="D182" i="5" s="1"/>
  <c r="F181" i="1"/>
  <c r="D181" i="5" s="1"/>
  <c r="F180" i="1"/>
  <c r="D180" i="5" s="1"/>
  <c r="F179" i="1"/>
  <c r="D179" i="5" s="1"/>
  <c r="F178" i="1"/>
  <c r="D178" i="5" s="1"/>
  <c r="F177" i="1"/>
  <c r="D177" i="5" s="1"/>
  <c r="F176" i="1"/>
  <c r="D176" i="5" s="1"/>
  <c r="F175" i="1"/>
  <c r="D175" i="5" s="1"/>
  <c r="F174" i="1"/>
  <c r="D174" i="5" s="1"/>
  <c r="F173" i="1"/>
  <c r="D173" i="5" s="1"/>
  <c r="F172" i="1"/>
  <c r="D172" i="5" s="1"/>
  <c r="F171" i="1"/>
  <c r="D171" i="5" s="1"/>
  <c r="F170" i="1"/>
  <c r="D170" i="5" s="1"/>
  <c r="F169" i="1"/>
  <c r="D169" i="5" s="1"/>
  <c r="F168" i="1"/>
  <c r="D168" i="5" s="1"/>
  <c r="F167" i="1"/>
  <c r="D167" i="5" s="1"/>
  <c r="F166" i="1"/>
  <c r="D166" i="5" s="1"/>
  <c r="F165" i="1"/>
  <c r="D165" i="5" s="1"/>
  <c r="F164" i="1"/>
  <c r="D164" i="5" s="1"/>
  <c r="F163" i="1"/>
  <c r="D163" i="5" s="1"/>
  <c r="F162" i="1"/>
  <c r="D162" i="5" s="1"/>
  <c r="F161" i="1"/>
  <c r="D161" i="5" s="1"/>
  <c r="F160" i="1"/>
  <c r="D160" i="5" s="1"/>
  <c r="F159" i="1"/>
  <c r="D159" i="5" s="1"/>
  <c r="F158" i="1"/>
  <c r="D158" i="5" s="1"/>
  <c r="F157" i="1"/>
  <c r="D157" i="5" s="1"/>
  <c r="F156" i="1"/>
  <c r="D156" i="5" s="1"/>
  <c r="F155" i="1"/>
  <c r="D155" i="5" s="1"/>
  <c r="F154" i="1"/>
  <c r="D154" i="5" s="1"/>
  <c r="F153" i="1"/>
  <c r="D153" i="5" s="1"/>
  <c r="F152" i="1"/>
  <c r="D152" i="5" s="1"/>
  <c r="F151" i="1"/>
  <c r="D151" i="5" s="1"/>
  <c r="F150" i="1"/>
  <c r="D150" i="5" s="1"/>
  <c r="F149" i="1"/>
  <c r="D149" i="5" s="1"/>
  <c r="F148" i="1"/>
  <c r="D148" i="5" s="1"/>
  <c r="F147" i="1"/>
  <c r="D147" i="5" s="1"/>
  <c r="F146" i="1"/>
  <c r="D146" i="5" s="1"/>
  <c r="F145" i="1"/>
  <c r="D145" i="5" s="1"/>
  <c r="F144" i="1"/>
  <c r="D144" i="5" s="1"/>
  <c r="F143" i="1"/>
  <c r="D143" i="5" s="1"/>
  <c r="F142" i="1"/>
  <c r="D142" i="5" s="1"/>
  <c r="F141" i="1"/>
  <c r="D141" i="5" s="1"/>
  <c r="F140" i="1"/>
  <c r="D140" i="5" s="1"/>
  <c r="F139" i="1"/>
  <c r="D139" i="5" s="1"/>
  <c r="F138" i="1"/>
  <c r="D138" i="5" s="1"/>
  <c r="F137" i="1"/>
  <c r="D137" i="5" s="1"/>
  <c r="F136" i="1"/>
  <c r="D136" i="5" s="1"/>
  <c r="F135" i="1"/>
  <c r="D135" i="5" s="1"/>
  <c r="F134" i="1"/>
  <c r="D134" i="5" s="1"/>
  <c r="F133" i="1"/>
  <c r="D133" i="5" s="1"/>
  <c r="F132" i="1"/>
  <c r="D132" i="5" s="1"/>
  <c r="F131" i="1"/>
  <c r="D131" i="5" s="1"/>
  <c r="F130" i="1"/>
  <c r="D130" i="5" s="1"/>
  <c r="F129" i="1"/>
  <c r="D129" i="5" s="1"/>
  <c r="F128" i="1"/>
  <c r="D128" i="5" s="1"/>
  <c r="F127" i="1"/>
  <c r="D127" i="5" s="1"/>
  <c r="F126" i="1"/>
  <c r="D126" i="5" s="1"/>
  <c r="F125" i="1"/>
  <c r="D125" i="5" s="1"/>
  <c r="F124" i="1"/>
  <c r="D124" i="5" s="1"/>
  <c r="F123" i="1"/>
  <c r="D123" i="5" s="1"/>
  <c r="F122" i="1"/>
  <c r="D122" i="5" s="1"/>
  <c r="F121" i="1"/>
  <c r="D121" i="5" s="1"/>
  <c r="F120" i="1"/>
  <c r="D120" i="5" s="1"/>
  <c r="F119" i="1"/>
  <c r="D119" i="5" s="1"/>
  <c r="F118" i="1"/>
  <c r="D118" i="5" s="1"/>
  <c r="F117" i="1"/>
  <c r="D117" i="5" s="1"/>
  <c r="F116" i="1"/>
  <c r="D116" i="5" s="1"/>
  <c r="F115" i="1"/>
  <c r="D115" i="5" s="1"/>
  <c r="F114" i="1"/>
  <c r="D114" i="5" s="1"/>
  <c r="F113" i="1"/>
  <c r="D113" i="5" s="1"/>
  <c r="F112" i="1"/>
  <c r="D112" i="5" s="1"/>
  <c r="F111" i="1"/>
  <c r="D111" i="5" s="1"/>
  <c r="F110" i="1"/>
  <c r="D110" i="5" s="1"/>
  <c r="F109" i="1"/>
  <c r="D109" i="5" s="1"/>
  <c r="F108" i="1"/>
  <c r="D108" i="5" s="1"/>
  <c r="F107" i="1"/>
  <c r="D107" i="5" s="1"/>
  <c r="F106" i="1"/>
  <c r="D106" i="5" s="1"/>
  <c r="F105" i="1"/>
  <c r="D105" i="5" s="1"/>
  <c r="F104" i="1"/>
  <c r="D104" i="5" s="1"/>
  <c r="F103" i="1"/>
  <c r="D103" i="5" s="1"/>
  <c r="F102" i="1"/>
  <c r="D102" i="5" s="1"/>
  <c r="F101" i="1"/>
  <c r="D101" i="5" s="1"/>
  <c r="F100" i="1"/>
  <c r="D100" i="5" s="1"/>
  <c r="F99" i="1"/>
  <c r="D99" i="5" s="1"/>
  <c r="F98" i="1"/>
  <c r="D98" i="5" s="1"/>
  <c r="F97" i="1"/>
  <c r="D97" i="5" s="1"/>
  <c r="F96" i="1"/>
  <c r="D96" i="5" s="1"/>
  <c r="F95" i="1"/>
  <c r="D95" i="5" s="1"/>
  <c r="F94" i="1"/>
  <c r="D94" i="5" s="1"/>
  <c r="F93" i="1"/>
  <c r="D93" i="5" s="1"/>
  <c r="F92" i="1"/>
  <c r="D92" i="5" s="1"/>
  <c r="F91" i="1"/>
  <c r="D91" i="5" s="1"/>
  <c r="F90" i="1"/>
  <c r="D90" i="5" s="1"/>
  <c r="F89" i="1"/>
  <c r="D89" i="5" s="1"/>
  <c r="F88" i="1"/>
  <c r="D88" i="5" s="1"/>
  <c r="F87" i="1"/>
  <c r="D87" i="5" s="1"/>
  <c r="F86" i="1"/>
  <c r="D86" i="5" s="1"/>
  <c r="F85" i="1"/>
  <c r="D85" i="5" s="1"/>
  <c r="F84" i="1"/>
  <c r="D84" i="5" s="1"/>
  <c r="F83" i="1"/>
  <c r="D83" i="5" s="1"/>
  <c r="F82" i="1"/>
  <c r="D82" i="5" s="1"/>
  <c r="F81" i="1"/>
  <c r="D81" i="5" s="1"/>
  <c r="F80" i="1"/>
  <c r="D80" i="5" s="1"/>
  <c r="F79" i="1"/>
  <c r="D79" i="5" s="1"/>
  <c r="F78" i="1"/>
  <c r="D78" i="5" s="1"/>
  <c r="F77" i="1"/>
  <c r="D77" i="5" s="1"/>
  <c r="F76" i="1"/>
  <c r="D76" i="5" s="1"/>
  <c r="F75" i="1"/>
  <c r="D75" i="5" s="1"/>
  <c r="F74" i="1"/>
  <c r="D74" i="5" s="1"/>
  <c r="F73" i="1"/>
  <c r="D73" i="5" s="1"/>
  <c r="F72" i="1"/>
  <c r="D72" i="5" s="1"/>
  <c r="F71" i="1"/>
  <c r="D71" i="5" s="1"/>
  <c r="F70" i="1"/>
  <c r="D70" i="5" s="1"/>
  <c r="F69" i="1"/>
  <c r="D69" i="5" s="1"/>
  <c r="F68" i="1"/>
  <c r="D68" i="5" s="1"/>
  <c r="F67" i="1"/>
  <c r="D67" i="5" s="1"/>
  <c r="F66" i="1"/>
  <c r="D66" i="5" s="1"/>
  <c r="F65" i="1"/>
  <c r="D65" i="5" s="1"/>
  <c r="F64" i="1"/>
  <c r="D64" i="5" s="1"/>
  <c r="F63" i="1"/>
  <c r="D63" i="5" s="1"/>
  <c r="F62" i="1"/>
  <c r="D62" i="5" s="1"/>
  <c r="F61" i="1"/>
  <c r="D61" i="5" s="1"/>
  <c r="F60" i="1"/>
  <c r="D60" i="5" s="1"/>
  <c r="F59" i="1"/>
  <c r="D59" i="5" s="1"/>
  <c r="F58" i="1"/>
  <c r="D58" i="5" s="1"/>
  <c r="F57" i="1"/>
  <c r="D57" i="5" s="1"/>
  <c r="F56" i="1"/>
  <c r="D56" i="5" s="1"/>
  <c r="F55" i="1"/>
  <c r="D55" i="5" s="1"/>
  <c r="F54" i="1"/>
  <c r="D54" i="5" s="1"/>
  <c r="F53" i="1"/>
  <c r="D53" i="5" s="1"/>
  <c r="F52" i="1"/>
  <c r="D52" i="5" s="1"/>
  <c r="F51" i="1"/>
  <c r="D51" i="5" s="1"/>
  <c r="F50" i="1"/>
  <c r="D50" i="5" s="1"/>
  <c r="F49" i="1"/>
  <c r="D49" i="5" s="1"/>
  <c r="F48" i="1"/>
  <c r="D48" i="5" s="1"/>
  <c r="F47" i="1"/>
  <c r="D47" i="5" s="1"/>
  <c r="F46" i="1"/>
  <c r="D46" i="5" s="1"/>
  <c r="F45" i="1"/>
  <c r="D45" i="5" s="1"/>
  <c r="F44" i="1"/>
  <c r="D44" i="5" s="1"/>
  <c r="F43" i="1"/>
  <c r="D43" i="5" s="1"/>
  <c r="F42" i="1"/>
  <c r="D42" i="5" s="1"/>
  <c r="F41" i="1"/>
  <c r="D41" i="5" s="1"/>
  <c r="F40" i="1"/>
  <c r="D40" i="5" s="1"/>
  <c r="F39" i="1"/>
  <c r="D39" i="5" s="1"/>
  <c r="F38" i="1"/>
  <c r="D38" i="5" s="1"/>
  <c r="F37" i="1"/>
  <c r="D37" i="5" s="1"/>
  <c r="F36" i="1"/>
  <c r="D36" i="5" s="1"/>
  <c r="F35" i="1"/>
  <c r="D35" i="5" s="1"/>
  <c r="F34" i="1"/>
  <c r="D34" i="5" s="1"/>
  <c r="F33" i="1"/>
  <c r="D33" i="5" s="1"/>
  <c r="F32" i="1"/>
  <c r="D32" i="5" s="1"/>
  <c r="F31" i="1"/>
  <c r="D31" i="5" s="1"/>
  <c r="F30" i="1"/>
  <c r="D30" i="5" s="1"/>
  <c r="F29" i="1"/>
  <c r="D29" i="5" s="1"/>
  <c r="F28" i="1"/>
  <c r="D28" i="5" s="1"/>
  <c r="F27" i="1"/>
  <c r="D27" i="5" s="1"/>
  <c r="F26" i="1"/>
  <c r="D26" i="5" s="1"/>
  <c r="F25" i="1"/>
  <c r="D25" i="5" s="1"/>
  <c r="F24" i="1"/>
  <c r="D24" i="5" s="1"/>
  <c r="F23" i="1"/>
  <c r="D23" i="5" s="1"/>
  <c r="F22" i="1"/>
  <c r="D22" i="5" s="1"/>
  <c r="F21" i="1"/>
  <c r="D21" i="5" s="1"/>
  <c r="F20" i="1"/>
  <c r="D20" i="5" s="1"/>
  <c r="F19" i="1"/>
  <c r="D19" i="5" s="1"/>
  <c r="F18" i="1"/>
  <c r="D18" i="5" s="1"/>
  <c r="F17" i="1"/>
  <c r="D17" i="5" s="1"/>
  <c r="F16" i="1"/>
  <c r="D16" i="5" s="1"/>
  <c r="F15" i="1"/>
  <c r="D15" i="5" s="1"/>
  <c r="F14" i="1"/>
  <c r="D14" i="5" s="1"/>
  <c r="F13" i="1"/>
  <c r="D13" i="5" s="1"/>
  <c r="F12" i="1"/>
  <c r="D12" i="5" s="1"/>
  <c r="F11" i="1"/>
  <c r="D11" i="5" s="1"/>
  <c r="F10" i="1"/>
  <c r="D10" i="5" s="1"/>
  <c r="F9" i="1"/>
  <c r="D9" i="5" s="1"/>
  <c r="F8" i="1"/>
  <c r="D8" i="5" s="1"/>
  <c r="F7" i="1"/>
  <c r="D7" i="5" s="1"/>
  <c r="F6" i="1"/>
  <c r="D6" i="5" s="1"/>
  <c r="F5" i="1"/>
  <c r="D5" i="5" s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27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2" i="6"/>
  <c r="O350" i="1" l="1"/>
  <c r="N350" i="1"/>
  <c r="J350" i="1"/>
  <c r="J350" i="5" s="1"/>
  <c r="O408" i="1"/>
  <c r="J408" i="1"/>
  <c r="J408" i="5" s="1"/>
  <c r="N408" i="1"/>
  <c r="R408" i="1" s="1"/>
  <c r="Q408" i="5" s="1"/>
  <c r="O299" i="1"/>
  <c r="J299" i="1"/>
  <c r="J299" i="5" s="1"/>
  <c r="N299" i="1"/>
  <c r="O191" i="1"/>
  <c r="J191" i="1"/>
  <c r="J191" i="5" s="1"/>
  <c r="N191" i="1"/>
  <c r="R191" i="1" s="1"/>
  <c r="Q191" i="5" s="1"/>
  <c r="O83" i="1"/>
  <c r="N83" i="1"/>
  <c r="J83" i="1"/>
  <c r="J83" i="5" s="1"/>
  <c r="O9" i="1"/>
  <c r="J9" i="1"/>
  <c r="J9" i="5" s="1"/>
  <c r="N9" i="1"/>
  <c r="R9" i="1" s="1"/>
  <c r="Q9" i="5" s="1"/>
  <c r="O326" i="1"/>
  <c r="N326" i="1"/>
  <c r="J326" i="1"/>
  <c r="J326" i="5" s="1"/>
  <c r="O395" i="1"/>
  <c r="J395" i="1"/>
  <c r="J395" i="5" s="1"/>
  <c r="N395" i="1"/>
  <c r="R395" i="1" s="1"/>
  <c r="Q395" i="5" s="1"/>
  <c r="O287" i="1"/>
  <c r="J287" i="1"/>
  <c r="J287" i="5" s="1"/>
  <c r="N287" i="1"/>
  <c r="O179" i="1"/>
  <c r="J179" i="1"/>
  <c r="J179" i="5" s="1"/>
  <c r="N179" i="1"/>
  <c r="R179" i="1" s="1"/>
  <c r="Q179" i="5" s="1"/>
  <c r="O71" i="1"/>
  <c r="N71" i="1"/>
  <c r="J71" i="1"/>
  <c r="J71" i="5" s="1"/>
  <c r="O17" i="1"/>
  <c r="J17" i="1"/>
  <c r="J17" i="5" s="1"/>
  <c r="N17" i="1"/>
  <c r="R17" i="1" s="1"/>
  <c r="Q17" i="5" s="1"/>
  <c r="O5" i="1"/>
  <c r="N5" i="1"/>
  <c r="J5" i="1"/>
  <c r="J5" i="5" s="1"/>
  <c r="O443" i="1"/>
  <c r="J443" i="1"/>
  <c r="J443" i="5" s="1"/>
  <c r="N443" i="1"/>
  <c r="R443" i="1" s="1"/>
  <c r="Q443" i="5" s="1"/>
  <c r="O431" i="1"/>
  <c r="J431" i="1"/>
  <c r="J431" i="5" s="1"/>
  <c r="N431" i="1"/>
  <c r="O419" i="1"/>
  <c r="J419" i="1"/>
  <c r="J419" i="5" s="1"/>
  <c r="N419" i="1"/>
  <c r="R419" i="1" s="1"/>
  <c r="Q419" i="5" s="1"/>
  <c r="O407" i="1"/>
  <c r="J407" i="1"/>
  <c r="J407" i="5" s="1"/>
  <c r="N407" i="1"/>
  <c r="O394" i="1"/>
  <c r="J394" i="1"/>
  <c r="J394" i="5" s="1"/>
  <c r="N394" i="1"/>
  <c r="R394" i="1" s="1"/>
  <c r="Q394" i="5" s="1"/>
  <c r="O382" i="1"/>
  <c r="J382" i="1"/>
  <c r="J382" i="5" s="1"/>
  <c r="N382" i="1"/>
  <c r="O370" i="1"/>
  <c r="J370" i="1"/>
  <c r="J370" i="5" s="1"/>
  <c r="N370" i="1"/>
  <c r="R370" i="1" s="1"/>
  <c r="Q370" i="5" s="1"/>
  <c r="O358" i="1"/>
  <c r="J358" i="1"/>
  <c r="J358" i="5" s="1"/>
  <c r="N358" i="1"/>
  <c r="O346" i="1"/>
  <c r="J346" i="1"/>
  <c r="J346" i="5" s="1"/>
  <c r="N346" i="1"/>
  <c r="R346" i="1" s="1"/>
  <c r="Q346" i="5" s="1"/>
  <c r="O334" i="1"/>
  <c r="J334" i="1"/>
  <c r="J334" i="5" s="1"/>
  <c r="N334" i="1"/>
  <c r="O322" i="1"/>
  <c r="J322" i="1"/>
  <c r="J322" i="5" s="1"/>
  <c r="N322" i="1"/>
  <c r="R322" i="1" s="1"/>
  <c r="Q322" i="5" s="1"/>
  <c r="O310" i="1"/>
  <c r="J310" i="1"/>
  <c r="J310" i="5" s="1"/>
  <c r="N310" i="1"/>
  <c r="R310" i="1" s="1"/>
  <c r="Q310" i="5" s="1"/>
  <c r="O298" i="1"/>
  <c r="J298" i="1"/>
  <c r="J298" i="5" s="1"/>
  <c r="N298" i="1"/>
  <c r="R298" i="1" s="1"/>
  <c r="Q298" i="5" s="1"/>
  <c r="O286" i="1"/>
  <c r="J286" i="1"/>
  <c r="J286" i="5" s="1"/>
  <c r="N286" i="1"/>
  <c r="O274" i="1"/>
  <c r="J274" i="1"/>
  <c r="J274" i="5" s="1"/>
  <c r="N274" i="1"/>
  <c r="R274" i="1" s="1"/>
  <c r="Q274" i="5" s="1"/>
  <c r="O262" i="1"/>
  <c r="J262" i="1"/>
  <c r="J262" i="5" s="1"/>
  <c r="N262" i="1"/>
  <c r="R262" i="1" s="1"/>
  <c r="Q262" i="5" s="1"/>
  <c r="O250" i="1"/>
  <c r="J250" i="1"/>
  <c r="J250" i="5" s="1"/>
  <c r="N250" i="1"/>
  <c r="R250" i="1" s="1"/>
  <c r="Q250" i="5" s="1"/>
  <c r="O238" i="1"/>
  <c r="J238" i="1"/>
  <c r="J238" i="5" s="1"/>
  <c r="N238" i="1"/>
  <c r="O226" i="1"/>
  <c r="J226" i="1"/>
  <c r="J226" i="5" s="1"/>
  <c r="N226" i="1"/>
  <c r="R226" i="1" s="1"/>
  <c r="Q226" i="5" s="1"/>
  <c r="O214" i="1"/>
  <c r="J214" i="1"/>
  <c r="J214" i="5" s="1"/>
  <c r="N214" i="1"/>
  <c r="R214" i="1" s="1"/>
  <c r="Q214" i="5" s="1"/>
  <c r="O202" i="1"/>
  <c r="J202" i="1"/>
  <c r="J202" i="5" s="1"/>
  <c r="N202" i="1"/>
  <c r="R202" i="1" s="1"/>
  <c r="Q202" i="5" s="1"/>
  <c r="O190" i="1"/>
  <c r="J190" i="1"/>
  <c r="J190" i="5" s="1"/>
  <c r="N190" i="1"/>
  <c r="O178" i="1"/>
  <c r="J178" i="1"/>
  <c r="J178" i="5" s="1"/>
  <c r="N178" i="1"/>
  <c r="R178" i="1" s="1"/>
  <c r="Q178" i="5" s="1"/>
  <c r="O166" i="1"/>
  <c r="J166" i="1"/>
  <c r="J166" i="5" s="1"/>
  <c r="N166" i="1"/>
  <c r="R166" i="1" s="1"/>
  <c r="Q166" i="5" s="1"/>
  <c r="O154" i="1"/>
  <c r="J154" i="1"/>
  <c r="J154" i="5" s="1"/>
  <c r="N154" i="1"/>
  <c r="R154" i="1" s="1"/>
  <c r="Q154" i="5" s="1"/>
  <c r="O142" i="1"/>
  <c r="J142" i="1"/>
  <c r="J142" i="5" s="1"/>
  <c r="N142" i="1"/>
  <c r="O130" i="1"/>
  <c r="J130" i="1"/>
  <c r="J130" i="5" s="1"/>
  <c r="N130" i="1"/>
  <c r="R130" i="1" s="1"/>
  <c r="Q130" i="5" s="1"/>
  <c r="J118" i="1"/>
  <c r="J118" i="5" s="1"/>
  <c r="R118" i="1"/>
  <c r="Q118" i="5" s="1"/>
  <c r="O106" i="1"/>
  <c r="J106" i="1"/>
  <c r="J106" i="5" s="1"/>
  <c r="N106" i="1"/>
  <c r="R106" i="1" s="1"/>
  <c r="Q106" i="5" s="1"/>
  <c r="O94" i="1"/>
  <c r="J94" i="1"/>
  <c r="J94" i="5" s="1"/>
  <c r="N94" i="1"/>
  <c r="O82" i="1"/>
  <c r="J82" i="1"/>
  <c r="J82" i="5" s="1"/>
  <c r="N82" i="1"/>
  <c r="R82" i="1" s="1"/>
  <c r="Q82" i="5" s="1"/>
  <c r="O70" i="1"/>
  <c r="N70" i="1"/>
  <c r="J70" i="1"/>
  <c r="J70" i="5" s="1"/>
  <c r="O58" i="1"/>
  <c r="N58" i="1"/>
  <c r="J58" i="1"/>
  <c r="J58" i="5" s="1"/>
  <c r="O46" i="1"/>
  <c r="N46" i="1"/>
  <c r="R46" i="1" s="1"/>
  <c r="Q46" i="5" s="1"/>
  <c r="J46" i="1"/>
  <c r="J46" i="5" s="1"/>
  <c r="O34" i="1"/>
  <c r="J34" i="1"/>
  <c r="J34" i="5" s="1"/>
  <c r="N34" i="1"/>
  <c r="R34" i="1" s="1"/>
  <c r="Q34" i="5" s="1"/>
  <c r="O447" i="1"/>
  <c r="N447" i="1"/>
  <c r="J447" i="1"/>
  <c r="J447" i="5" s="1"/>
  <c r="O314" i="1"/>
  <c r="N314" i="1"/>
  <c r="J314" i="1"/>
  <c r="J314" i="5" s="1"/>
  <c r="O383" i="1"/>
  <c r="J383" i="1"/>
  <c r="J383" i="5" s="1"/>
  <c r="N383" i="1"/>
  <c r="O275" i="1"/>
  <c r="J275" i="1"/>
  <c r="J275" i="5" s="1"/>
  <c r="N275" i="1"/>
  <c r="R275" i="1" s="1"/>
  <c r="Q275" i="5" s="1"/>
  <c r="O167" i="1"/>
  <c r="J167" i="1"/>
  <c r="J167" i="5" s="1"/>
  <c r="N167" i="1"/>
  <c r="O59" i="1"/>
  <c r="N59" i="1"/>
  <c r="J59" i="1"/>
  <c r="J59" i="5" s="1"/>
  <c r="O16" i="1"/>
  <c r="N16" i="1"/>
  <c r="R16" i="1" s="1"/>
  <c r="Q16" i="5" s="1"/>
  <c r="J16" i="1"/>
  <c r="J16" i="5" s="1"/>
  <c r="O27" i="1"/>
  <c r="J27" i="1"/>
  <c r="J27" i="5" s="1"/>
  <c r="N27" i="1"/>
  <c r="R27" i="1" s="1"/>
  <c r="Q27" i="5" s="1"/>
  <c r="O442" i="1"/>
  <c r="J442" i="1"/>
  <c r="J442" i="5" s="1"/>
  <c r="N442" i="1"/>
  <c r="O430" i="1"/>
  <c r="J430" i="1"/>
  <c r="J430" i="5" s="1"/>
  <c r="N430" i="1"/>
  <c r="R430" i="1" s="1"/>
  <c r="Q430" i="5" s="1"/>
  <c r="O418" i="1"/>
  <c r="J418" i="1"/>
  <c r="J418" i="5" s="1"/>
  <c r="N418" i="1"/>
  <c r="O406" i="1"/>
  <c r="J406" i="1"/>
  <c r="J406" i="5" s="1"/>
  <c r="N406" i="1"/>
  <c r="R406" i="1" s="1"/>
  <c r="Q406" i="5" s="1"/>
  <c r="O393" i="1"/>
  <c r="J393" i="1"/>
  <c r="J393" i="5" s="1"/>
  <c r="N393" i="1"/>
  <c r="O381" i="1"/>
  <c r="J381" i="1"/>
  <c r="J381" i="5" s="1"/>
  <c r="N381" i="1"/>
  <c r="R381" i="1" s="1"/>
  <c r="Q381" i="5" s="1"/>
  <c r="O369" i="1"/>
  <c r="J369" i="1"/>
  <c r="J369" i="5" s="1"/>
  <c r="N369" i="1"/>
  <c r="O357" i="1"/>
  <c r="J357" i="1"/>
  <c r="J357" i="5" s="1"/>
  <c r="N357" i="1"/>
  <c r="R357" i="1" s="1"/>
  <c r="Q357" i="5" s="1"/>
  <c r="O345" i="1"/>
  <c r="J345" i="1"/>
  <c r="J345" i="5" s="1"/>
  <c r="N345" i="1"/>
  <c r="J333" i="1"/>
  <c r="J333" i="5" s="1"/>
  <c r="R333" i="1"/>
  <c r="Q333" i="5" s="1"/>
  <c r="O321" i="1"/>
  <c r="J321" i="1"/>
  <c r="J321" i="5" s="1"/>
  <c r="N321" i="1"/>
  <c r="R321" i="1" s="1"/>
  <c r="Q321" i="5" s="1"/>
  <c r="O309" i="1"/>
  <c r="J309" i="1"/>
  <c r="J309" i="5" s="1"/>
  <c r="N309" i="1"/>
  <c r="O297" i="1"/>
  <c r="J297" i="1"/>
  <c r="J297" i="5" s="1"/>
  <c r="N297" i="1"/>
  <c r="R297" i="1" s="1"/>
  <c r="Q297" i="5" s="1"/>
  <c r="O285" i="1"/>
  <c r="J285" i="1"/>
  <c r="J285" i="5" s="1"/>
  <c r="N285" i="1"/>
  <c r="O273" i="1"/>
  <c r="J273" i="1"/>
  <c r="J273" i="5" s="1"/>
  <c r="N273" i="1"/>
  <c r="R273" i="1" s="1"/>
  <c r="Q273" i="5" s="1"/>
  <c r="O261" i="1"/>
  <c r="J261" i="1"/>
  <c r="J261" i="5" s="1"/>
  <c r="N261" i="1"/>
  <c r="O249" i="1"/>
  <c r="J249" i="1"/>
  <c r="J249" i="5" s="1"/>
  <c r="N249" i="1"/>
  <c r="R249" i="1" s="1"/>
  <c r="Q249" i="5" s="1"/>
  <c r="O237" i="1"/>
  <c r="J237" i="1"/>
  <c r="J237" i="5" s="1"/>
  <c r="N237" i="1"/>
  <c r="O225" i="1"/>
  <c r="J225" i="1"/>
  <c r="J225" i="5" s="1"/>
  <c r="N225" i="1"/>
  <c r="R225" i="1" s="1"/>
  <c r="Q225" i="5" s="1"/>
  <c r="O213" i="1"/>
  <c r="J213" i="1"/>
  <c r="J213" i="5" s="1"/>
  <c r="N213" i="1"/>
  <c r="O201" i="1"/>
  <c r="J201" i="1"/>
  <c r="J201" i="5" s="1"/>
  <c r="N201" i="1"/>
  <c r="R201" i="1" s="1"/>
  <c r="Q201" i="5" s="1"/>
  <c r="O189" i="1"/>
  <c r="J189" i="1"/>
  <c r="J189" i="5" s="1"/>
  <c r="N189" i="1"/>
  <c r="O177" i="1"/>
  <c r="J177" i="1"/>
  <c r="J177" i="5" s="1"/>
  <c r="N177" i="1"/>
  <c r="R177" i="1" s="1"/>
  <c r="Q177" i="5" s="1"/>
  <c r="O165" i="1"/>
  <c r="J165" i="1"/>
  <c r="J165" i="5" s="1"/>
  <c r="N165" i="1"/>
  <c r="O153" i="1"/>
  <c r="J153" i="1"/>
  <c r="J153" i="5" s="1"/>
  <c r="N153" i="1"/>
  <c r="R153" i="1" s="1"/>
  <c r="Q153" i="5" s="1"/>
  <c r="O141" i="1"/>
  <c r="J141" i="1"/>
  <c r="J141" i="5" s="1"/>
  <c r="N141" i="1"/>
  <c r="O129" i="1"/>
  <c r="J129" i="1"/>
  <c r="J129" i="5" s="1"/>
  <c r="N129" i="1"/>
  <c r="R129" i="1" s="1"/>
  <c r="Q129" i="5" s="1"/>
  <c r="O117" i="1"/>
  <c r="J117" i="1"/>
  <c r="J117" i="5" s="1"/>
  <c r="N117" i="1"/>
  <c r="O105" i="1"/>
  <c r="J105" i="1"/>
  <c r="J105" i="5" s="1"/>
  <c r="N105" i="1"/>
  <c r="R105" i="1" s="1"/>
  <c r="Q105" i="5" s="1"/>
  <c r="O93" i="1"/>
  <c r="J93" i="1"/>
  <c r="J93" i="5" s="1"/>
  <c r="N93" i="1"/>
  <c r="O81" i="1"/>
  <c r="J81" i="1"/>
  <c r="J81" i="5" s="1"/>
  <c r="N81" i="1"/>
  <c r="R81" i="1" s="1"/>
  <c r="Q81" i="5" s="1"/>
  <c r="O69" i="1"/>
  <c r="J69" i="1"/>
  <c r="J69" i="5" s="1"/>
  <c r="N69" i="1"/>
  <c r="O57" i="1"/>
  <c r="N57" i="1"/>
  <c r="R57" i="1" s="1"/>
  <c r="Q57" i="5" s="1"/>
  <c r="J57" i="1"/>
  <c r="J57" i="5" s="1"/>
  <c r="O45" i="1"/>
  <c r="N45" i="1"/>
  <c r="J45" i="1"/>
  <c r="J45" i="5" s="1"/>
  <c r="O33" i="1"/>
  <c r="J33" i="1"/>
  <c r="J33" i="5" s="1"/>
  <c r="N33" i="1"/>
  <c r="R33" i="1" s="1"/>
  <c r="Q33" i="5" s="1"/>
  <c r="O398" i="1"/>
  <c r="N398" i="1"/>
  <c r="R398" i="1" s="1"/>
  <c r="Q398" i="5" s="1"/>
  <c r="J398" i="1"/>
  <c r="J398" i="5" s="1"/>
  <c r="O266" i="1"/>
  <c r="N266" i="1"/>
  <c r="R266" i="1" s="1"/>
  <c r="Q266" i="5" s="1"/>
  <c r="J266" i="1"/>
  <c r="J266" i="5" s="1"/>
  <c r="O6" i="1"/>
  <c r="N6" i="1"/>
  <c r="J6" i="1"/>
  <c r="J6" i="5" s="1"/>
  <c r="O347" i="1"/>
  <c r="J347" i="1"/>
  <c r="J347" i="5" s="1"/>
  <c r="N347" i="1"/>
  <c r="R347" i="1" s="1"/>
  <c r="Q347" i="5" s="1"/>
  <c r="O239" i="1"/>
  <c r="J239" i="1"/>
  <c r="J239" i="5" s="1"/>
  <c r="N239" i="1"/>
  <c r="R239" i="1" s="1"/>
  <c r="Q239" i="5" s="1"/>
  <c r="O155" i="1"/>
  <c r="J155" i="1"/>
  <c r="J155" i="5" s="1"/>
  <c r="N155" i="1"/>
  <c r="O35" i="1"/>
  <c r="J35" i="1"/>
  <c r="J35" i="5" s="1"/>
  <c r="N35" i="1"/>
  <c r="R35" i="1" s="1"/>
  <c r="Q35" i="5" s="1"/>
  <c r="N4" i="1"/>
  <c r="J4" i="1"/>
  <c r="J4" i="5" s="1"/>
  <c r="O4" i="1"/>
  <c r="O15" i="1"/>
  <c r="J15" i="1"/>
  <c r="J15" i="5" s="1"/>
  <c r="N15" i="1"/>
  <c r="R15" i="1" s="1"/>
  <c r="Q15" i="5" s="1"/>
  <c r="O392" i="1"/>
  <c r="J392" i="1"/>
  <c r="J392" i="5" s="1"/>
  <c r="N392" i="1"/>
  <c r="O320" i="1"/>
  <c r="J320" i="1"/>
  <c r="J320" i="5" s="1"/>
  <c r="N320" i="1"/>
  <c r="R320" i="1" s="1"/>
  <c r="Q320" i="5" s="1"/>
  <c r="O248" i="1"/>
  <c r="J248" i="1"/>
  <c r="J248" i="5" s="1"/>
  <c r="N248" i="1"/>
  <c r="R248" i="1" s="1"/>
  <c r="Q248" i="5" s="1"/>
  <c r="O176" i="1"/>
  <c r="J176" i="1"/>
  <c r="J176" i="5" s="1"/>
  <c r="N176" i="1"/>
  <c r="R176" i="1" s="1"/>
  <c r="Q176" i="5" s="1"/>
  <c r="O140" i="1"/>
  <c r="J140" i="1"/>
  <c r="J140" i="5" s="1"/>
  <c r="N140" i="1"/>
  <c r="O128" i="1"/>
  <c r="J128" i="1"/>
  <c r="J128" i="5" s="1"/>
  <c r="N128" i="1"/>
  <c r="R128" i="1" s="1"/>
  <c r="Q128" i="5" s="1"/>
  <c r="O116" i="1"/>
  <c r="J116" i="1"/>
  <c r="J116" i="5" s="1"/>
  <c r="N116" i="1"/>
  <c r="R116" i="1" s="1"/>
  <c r="Q116" i="5" s="1"/>
  <c r="O104" i="1"/>
  <c r="J104" i="1"/>
  <c r="J104" i="5" s="1"/>
  <c r="N104" i="1"/>
  <c r="R104" i="1" s="1"/>
  <c r="Q104" i="5" s="1"/>
  <c r="O92" i="1"/>
  <c r="J92" i="1"/>
  <c r="J92" i="5" s="1"/>
  <c r="N92" i="1"/>
  <c r="O80" i="1"/>
  <c r="J80" i="1"/>
  <c r="J80" i="5" s="1"/>
  <c r="N80" i="1"/>
  <c r="R80" i="1" s="1"/>
  <c r="Q80" i="5" s="1"/>
  <c r="O68" i="1"/>
  <c r="J68" i="1"/>
  <c r="J68" i="5" s="1"/>
  <c r="N68" i="1"/>
  <c r="R68" i="1" s="1"/>
  <c r="Q68" i="5" s="1"/>
  <c r="O56" i="1"/>
  <c r="J56" i="1"/>
  <c r="J56" i="5" s="1"/>
  <c r="N56" i="1"/>
  <c r="R56" i="1" s="1"/>
  <c r="Q56" i="5" s="1"/>
  <c r="O44" i="1"/>
  <c r="N44" i="1"/>
  <c r="J44" i="1"/>
  <c r="J44" i="5" s="1"/>
  <c r="O32" i="1"/>
  <c r="J32" i="1"/>
  <c r="J32" i="5" s="1"/>
  <c r="N32" i="1"/>
  <c r="R32" i="1" s="1"/>
  <c r="Q32" i="5" s="1"/>
  <c r="O411" i="1"/>
  <c r="N411" i="1"/>
  <c r="R411" i="1" s="1"/>
  <c r="Q411" i="5" s="1"/>
  <c r="J411" i="1"/>
  <c r="J411" i="5" s="1"/>
  <c r="O278" i="1"/>
  <c r="N278" i="1"/>
  <c r="R278" i="1" s="1"/>
  <c r="Q278" i="5" s="1"/>
  <c r="J278" i="1"/>
  <c r="J278" i="5" s="1"/>
  <c r="O371" i="1"/>
  <c r="J371" i="1"/>
  <c r="J371" i="5" s="1"/>
  <c r="N371" i="1"/>
  <c r="O263" i="1"/>
  <c r="J263" i="1"/>
  <c r="J263" i="5" s="1"/>
  <c r="N263" i="1"/>
  <c r="R263" i="1" s="1"/>
  <c r="Q263" i="5" s="1"/>
  <c r="O131" i="1"/>
  <c r="J131" i="1"/>
  <c r="J131" i="5" s="1"/>
  <c r="N131" i="1"/>
  <c r="R131" i="1" s="1"/>
  <c r="Q131" i="5" s="1"/>
  <c r="O47" i="1"/>
  <c r="N47" i="1"/>
  <c r="R47" i="1" s="1"/>
  <c r="Q47" i="5" s="1"/>
  <c r="J47" i="1"/>
  <c r="J47" i="5" s="1"/>
  <c r="O405" i="1"/>
  <c r="J405" i="1"/>
  <c r="J405" i="5" s="1"/>
  <c r="N405" i="1"/>
  <c r="O332" i="1"/>
  <c r="J332" i="1"/>
  <c r="J332" i="5" s="1"/>
  <c r="N332" i="1"/>
  <c r="R332" i="1" s="1"/>
  <c r="Q332" i="5" s="1"/>
  <c r="O260" i="1"/>
  <c r="J260" i="1"/>
  <c r="J260" i="5" s="1"/>
  <c r="N260" i="1"/>
  <c r="R260" i="1" s="1"/>
  <c r="Q260" i="5" s="1"/>
  <c r="O188" i="1"/>
  <c r="J188" i="1"/>
  <c r="J188" i="5" s="1"/>
  <c r="N188" i="1"/>
  <c r="R188" i="1" s="1"/>
  <c r="Q188" i="5" s="1"/>
  <c r="O452" i="1"/>
  <c r="J452" i="1"/>
  <c r="J452" i="5" s="1"/>
  <c r="N452" i="1"/>
  <c r="O440" i="1"/>
  <c r="J440" i="1"/>
  <c r="J440" i="5" s="1"/>
  <c r="N440" i="1"/>
  <c r="R440" i="1" s="1"/>
  <c r="Q440" i="5" s="1"/>
  <c r="O428" i="1"/>
  <c r="J428" i="1"/>
  <c r="J428" i="5" s="1"/>
  <c r="N428" i="1"/>
  <c r="R428" i="1" s="1"/>
  <c r="Q428" i="5" s="1"/>
  <c r="O416" i="1"/>
  <c r="J416" i="1"/>
  <c r="J416" i="5" s="1"/>
  <c r="N416" i="1"/>
  <c r="R416" i="1" s="1"/>
  <c r="Q416" i="5" s="1"/>
  <c r="O404" i="1"/>
  <c r="J404" i="1"/>
  <c r="J404" i="5" s="1"/>
  <c r="N404" i="1"/>
  <c r="O391" i="1"/>
  <c r="N391" i="1"/>
  <c r="J391" i="1"/>
  <c r="J391" i="5" s="1"/>
  <c r="O379" i="1"/>
  <c r="N379" i="1"/>
  <c r="J379" i="1"/>
  <c r="J379" i="5" s="1"/>
  <c r="O367" i="1"/>
  <c r="N367" i="1"/>
  <c r="R367" i="1" s="1"/>
  <c r="Q367" i="5" s="1"/>
  <c r="J367" i="1"/>
  <c r="J367" i="5" s="1"/>
  <c r="O355" i="1"/>
  <c r="N355" i="1"/>
  <c r="J355" i="1"/>
  <c r="J355" i="5" s="1"/>
  <c r="O343" i="1"/>
  <c r="N343" i="1"/>
  <c r="J343" i="1"/>
  <c r="J343" i="5" s="1"/>
  <c r="O331" i="1"/>
  <c r="N331" i="1"/>
  <c r="J331" i="1"/>
  <c r="J331" i="5" s="1"/>
  <c r="O319" i="1"/>
  <c r="N319" i="1"/>
  <c r="R319" i="1" s="1"/>
  <c r="Q319" i="5" s="1"/>
  <c r="J319" i="1"/>
  <c r="J319" i="5" s="1"/>
  <c r="O307" i="1"/>
  <c r="N307" i="1"/>
  <c r="J307" i="1"/>
  <c r="J307" i="5" s="1"/>
  <c r="O295" i="1"/>
  <c r="N295" i="1"/>
  <c r="J295" i="1"/>
  <c r="J295" i="5" s="1"/>
  <c r="O283" i="1"/>
  <c r="N283" i="1"/>
  <c r="J283" i="1"/>
  <c r="J283" i="5" s="1"/>
  <c r="O271" i="1"/>
  <c r="N271" i="1"/>
  <c r="R271" i="1" s="1"/>
  <c r="Q271" i="5" s="1"/>
  <c r="J271" i="1"/>
  <c r="J271" i="5" s="1"/>
  <c r="O259" i="1"/>
  <c r="N259" i="1"/>
  <c r="J259" i="1"/>
  <c r="J259" i="5" s="1"/>
  <c r="O247" i="1"/>
  <c r="N247" i="1"/>
  <c r="J247" i="1"/>
  <c r="J247" i="5" s="1"/>
  <c r="O235" i="1"/>
  <c r="N235" i="1"/>
  <c r="J235" i="1"/>
  <c r="J235" i="5" s="1"/>
  <c r="O223" i="1"/>
  <c r="N223" i="1"/>
  <c r="R223" i="1" s="1"/>
  <c r="Q223" i="5" s="1"/>
  <c r="J223" i="1"/>
  <c r="J223" i="5" s="1"/>
  <c r="O211" i="1"/>
  <c r="N211" i="1"/>
  <c r="J211" i="1"/>
  <c r="J211" i="5" s="1"/>
  <c r="O199" i="1"/>
  <c r="N199" i="1"/>
  <c r="J199" i="1"/>
  <c r="J199" i="5" s="1"/>
  <c r="O187" i="1"/>
  <c r="N187" i="1"/>
  <c r="J187" i="1"/>
  <c r="J187" i="5" s="1"/>
  <c r="O175" i="1"/>
  <c r="N175" i="1"/>
  <c r="R175" i="1" s="1"/>
  <c r="Q175" i="5" s="1"/>
  <c r="J175" i="1"/>
  <c r="J175" i="5" s="1"/>
  <c r="O163" i="1"/>
  <c r="N163" i="1"/>
  <c r="J163" i="1"/>
  <c r="J163" i="5" s="1"/>
  <c r="O151" i="1"/>
  <c r="N151" i="1"/>
  <c r="R151" i="1" s="1"/>
  <c r="Q151" i="5" s="1"/>
  <c r="J151" i="1"/>
  <c r="J151" i="5" s="1"/>
  <c r="O139" i="1"/>
  <c r="N139" i="1"/>
  <c r="R139" i="1" s="1"/>
  <c r="Q139" i="5" s="1"/>
  <c r="J139" i="1"/>
  <c r="J139" i="5" s="1"/>
  <c r="O127" i="1"/>
  <c r="N127" i="1"/>
  <c r="R127" i="1" s="1"/>
  <c r="Q127" i="5" s="1"/>
  <c r="J127" i="1"/>
  <c r="J127" i="5" s="1"/>
  <c r="O115" i="1"/>
  <c r="N115" i="1"/>
  <c r="J115" i="1"/>
  <c r="J115" i="5" s="1"/>
  <c r="O103" i="1"/>
  <c r="N103" i="1"/>
  <c r="R103" i="1" s="1"/>
  <c r="Q103" i="5" s="1"/>
  <c r="J103" i="1"/>
  <c r="J103" i="5" s="1"/>
  <c r="O91" i="1"/>
  <c r="N91" i="1"/>
  <c r="R91" i="1" s="1"/>
  <c r="Q91" i="5" s="1"/>
  <c r="J91" i="1"/>
  <c r="J91" i="5" s="1"/>
  <c r="O79" i="1"/>
  <c r="N79" i="1"/>
  <c r="R79" i="1" s="1"/>
  <c r="Q79" i="5" s="1"/>
  <c r="J79" i="1"/>
  <c r="J79" i="5" s="1"/>
  <c r="O67" i="1"/>
  <c r="N67" i="1"/>
  <c r="J67" i="1"/>
  <c r="J67" i="5" s="1"/>
  <c r="O55" i="1"/>
  <c r="N55" i="1"/>
  <c r="R55" i="1" s="1"/>
  <c r="Q55" i="5" s="1"/>
  <c r="J55" i="1"/>
  <c r="J55" i="5" s="1"/>
  <c r="O43" i="1"/>
  <c r="N43" i="1"/>
  <c r="R43" i="1" s="1"/>
  <c r="Q43" i="5" s="1"/>
  <c r="J43" i="1"/>
  <c r="J43" i="5" s="1"/>
  <c r="O31" i="1"/>
  <c r="N31" i="1"/>
  <c r="R31" i="1" s="1"/>
  <c r="Q31" i="5" s="1"/>
  <c r="J31" i="1"/>
  <c r="J31" i="5" s="1"/>
  <c r="O435" i="1"/>
  <c r="N435" i="1"/>
  <c r="J435" i="1"/>
  <c r="J435" i="5" s="1"/>
  <c r="O290" i="1"/>
  <c r="N290" i="1"/>
  <c r="R290" i="1" s="1"/>
  <c r="Q290" i="5" s="1"/>
  <c r="J290" i="1"/>
  <c r="J290" i="5" s="1"/>
  <c r="O18" i="1"/>
  <c r="N18" i="1"/>
  <c r="R18" i="1" s="1"/>
  <c r="Q18" i="5" s="1"/>
  <c r="J18" i="1"/>
  <c r="J18" i="5" s="1"/>
  <c r="O359" i="1"/>
  <c r="J359" i="1"/>
  <c r="J359" i="5" s="1"/>
  <c r="N359" i="1"/>
  <c r="R359" i="1" s="1"/>
  <c r="Q359" i="5" s="1"/>
  <c r="O251" i="1"/>
  <c r="J251" i="1"/>
  <c r="J251" i="5" s="1"/>
  <c r="N251" i="1"/>
  <c r="O107" i="1"/>
  <c r="J107" i="1"/>
  <c r="J107" i="5" s="1"/>
  <c r="N107" i="1"/>
  <c r="R107" i="1" s="1"/>
  <c r="Q107" i="5" s="1"/>
  <c r="O453" i="1"/>
  <c r="J453" i="1"/>
  <c r="J453" i="5" s="1"/>
  <c r="N453" i="1"/>
  <c r="R453" i="1" s="1"/>
  <c r="Q453" i="5" s="1"/>
  <c r="O380" i="1"/>
  <c r="J380" i="1"/>
  <c r="J380" i="5" s="1"/>
  <c r="N380" i="1"/>
  <c r="R380" i="1" s="1"/>
  <c r="Q380" i="5" s="1"/>
  <c r="O308" i="1"/>
  <c r="J308" i="1"/>
  <c r="J308" i="5" s="1"/>
  <c r="N308" i="1"/>
  <c r="O236" i="1"/>
  <c r="J236" i="1"/>
  <c r="J236" i="5" s="1"/>
  <c r="N236" i="1"/>
  <c r="R236" i="1" s="1"/>
  <c r="Q236" i="5" s="1"/>
  <c r="O164" i="1"/>
  <c r="J164" i="1"/>
  <c r="J164" i="5" s="1"/>
  <c r="N164" i="1"/>
  <c r="R164" i="1" s="1"/>
  <c r="Q164" i="5" s="1"/>
  <c r="O451" i="1"/>
  <c r="N451" i="1"/>
  <c r="R451" i="1" s="1"/>
  <c r="Q451" i="5" s="1"/>
  <c r="J451" i="1"/>
  <c r="J451" i="5" s="1"/>
  <c r="O427" i="1"/>
  <c r="N427" i="1"/>
  <c r="J427" i="1"/>
  <c r="J427" i="5" s="1"/>
  <c r="O403" i="1"/>
  <c r="N403" i="1"/>
  <c r="R403" i="1" s="1"/>
  <c r="Q403" i="5" s="1"/>
  <c r="J403" i="1"/>
  <c r="J403" i="5" s="1"/>
  <c r="O378" i="1"/>
  <c r="N378" i="1"/>
  <c r="R378" i="1" s="1"/>
  <c r="Q378" i="5" s="1"/>
  <c r="J378" i="1"/>
  <c r="J378" i="5" s="1"/>
  <c r="O354" i="1"/>
  <c r="N354" i="1"/>
  <c r="R354" i="1" s="1"/>
  <c r="Q354" i="5" s="1"/>
  <c r="J354" i="1"/>
  <c r="J354" i="5" s="1"/>
  <c r="O342" i="1"/>
  <c r="N342" i="1"/>
  <c r="J342" i="1"/>
  <c r="J342" i="5" s="1"/>
  <c r="O330" i="1"/>
  <c r="N330" i="1"/>
  <c r="R330" i="1" s="1"/>
  <c r="Q330" i="5" s="1"/>
  <c r="J330" i="1"/>
  <c r="J330" i="5" s="1"/>
  <c r="O318" i="1"/>
  <c r="N318" i="1"/>
  <c r="J318" i="1"/>
  <c r="J318" i="5" s="1"/>
  <c r="O306" i="1"/>
  <c r="N306" i="1"/>
  <c r="R306" i="1" s="1"/>
  <c r="Q306" i="5" s="1"/>
  <c r="J306" i="1"/>
  <c r="J306" i="5" s="1"/>
  <c r="O294" i="1"/>
  <c r="N294" i="1"/>
  <c r="J294" i="1"/>
  <c r="J294" i="5" s="1"/>
  <c r="O282" i="1"/>
  <c r="N282" i="1"/>
  <c r="R282" i="1" s="1"/>
  <c r="Q282" i="5" s="1"/>
  <c r="J282" i="1"/>
  <c r="J282" i="5" s="1"/>
  <c r="O270" i="1"/>
  <c r="N270" i="1"/>
  <c r="J270" i="1"/>
  <c r="J270" i="5" s="1"/>
  <c r="O258" i="1"/>
  <c r="N258" i="1"/>
  <c r="R258" i="1" s="1"/>
  <c r="Q258" i="5" s="1"/>
  <c r="J258" i="1"/>
  <c r="J258" i="5" s="1"/>
  <c r="O246" i="1"/>
  <c r="N246" i="1"/>
  <c r="J246" i="1"/>
  <c r="J246" i="5" s="1"/>
  <c r="O234" i="1"/>
  <c r="N234" i="1"/>
  <c r="R234" i="1" s="1"/>
  <c r="Q234" i="5" s="1"/>
  <c r="J234" i="1"/>
  <c r="J234" i="5" s="1"/>
  <c r="O222" i="1"/>
  <c r="N222" i="1"/>
  <c r="J222" i="1"/>
  <c r="J222" i="5" s="1"/>
  <c r="O210" i="1"/>
  <c r="N210" i="1"/>
  <c r="R210" i="1" s="1"/>
  <c r="Q210" i="5" s="1"/>
  <c r="J210" i="1"/>
  <c r="J210" i="5" s="1"/>
  <c r="O198" i="1"/>
  <c r="N198" i="1"/>
  <c r="J198" i="1"/>
  <c r="J198" i="5" s="1"/>
  <c r="O186" i="1"/>
  <c r="N186" i="1"/>
  <c r="R186" i="1" s="1"/>
  <c r="Q186" i="5" s="1"/>
  <c r="J186" i="1"/>
  <c r="J186" i="5" s="1"/>
  <c r="O174" i="1"/>
  <c r="N174" i="1"/>
  <c r="J174" i="1"/>
  <c r="J174" i="5" s="1"/>
  <c r="O162" i="1"/>
  <c r="N162" i="1"/>
  <c r="R162" i="1" s="1"/>
  <c r="Q162" i="5" s="1"/>
  <c r="J162" i="1"/>
  <c r="J162" i="5" s="1"/>
  <c r="O150" i="1"/>
  <c r="N150" i="1"/>
  <c r="J150" i="1"/>
  <c r="J150" i="5" s="1"/>
  <c r="O138" i="1"/>
  <c r="N138" i="1"/>
  <c r="R138" i="1" s="1"/>
  <c r="Q138" i="5" s="1"/>
  <c r="J138" i="1"/>
  <c r="J138" i="5" s="1"/>
  <c r="O126" i="1"/>
  <c r="N126" i="1"/>
  <c r="J126" i="1"/>
  <c r="J126" i="5" s="1"/>
  <c r="O114" i="1"/>
  <c r="N114" i="1"/>
  <c r="R114" i="1" s="1"/>
  <c r="Q114" i="5" s="1"/>
  <c r="J114" i="1"/>
  <c r="J114" i="5" s="1"/>
  <c r="O102" i="1"/>
  <c r="N102" i="1"/>
  <c r="J102" i="1"/>
  <c r="J102" i="5" s="1"/>
  <c r="O90" i="1"/>
  <c r="N90" i="1"/>
  <c r="R90" i="1" s="1"/>
  <c r="Q90" i="5" s="1"/>
  <c r="J90" i="1"/>
  <c r="J90" i="5" s="1"/>
  <c r="O78" i="1"/>
  <c r="N78" i="1"/>
  <c r="J78" i="1"/>
  <c r="J78" i="5" s="1"/>
  <c r="O66" i="1"/>
  <c r="N66" i="1"/>
  <c r="R66" i="1" s="1"/>
  <c r="Q66" i="5" s="1"/>
  <c r="J66" i="1"/>
  <c r="J66" i="5" s="1"/>
  <c r="O54" i="1"/>
  <c r="N54" i="1"/>
  <c r="J54" i="1"/>
  <c r="J54" i="5" s="1"/>
  <c r="O42" i="1"/>
  <c r="N42" i="1"/>
  <c r="R42" i="1" s="1"/>
  <c r="Q42" i="5" s="1"/>
  <c r="J42" i="1"/>
  <c r="J42" i="5" s="1"/>
  <c r="O30" i="1"/>
  <c r="J30" i="1"/>
  <c r="J30" i="5" s="1"/>
  <c r="N30" i="1"/>
  <c r="R30" i="1" s="1"/>
  <c r="Q30" i="5" s="1"/>
  <c r="O362" i="1"/>
  <c r="N362" i="1"/>
  <c r="R362" i="1" s="1"/>
  <c r="Q362" i="5" s="1"/>
  <c r="J362" i="1"/>
  <c r="J362" i="5" s="1"/>
  <c r="O420" i="1"/>
  <c r="J420" i="1"/>
  <c r="J420" i="5" s="1"/>
  <c r="N420" i="1"/>
  <c r="O311" i="1"/>
  <c r="J311" i="1"/>
  <c r="J311" i="5" s="1"/>
  <c r="N311" i="1"/>
  <c r="R311" i="1" s="1"/>
  <c r="Q311" i="5" s="1"/>
  <c r="O203" i="1"/>
  <c r="J203" i="1"/>
  <c r="J203" i="5" s="1"/>
  <c r="N203" i="1"/>
  <c r="R203" i="1" s="1"/>
  <c r="Q203" i="5" s="1"/>
  <c r="O95" i="1"/>
  <c r="J95" i="1"/>
  <c r="J95" i="5" s="1"/>
  <c r="N95" i="1"/>
  <c r="R95" i="1" s="1"/>
  <c r="Q95" i="5" s="1"/>
  <c r="O417" i="1"/>
  <c r="J417" i="1"/>
  <c r="J417" i="5" s="1"/>
  <c r="N417" i="1"/>
  <c r="O344" i="1"/>
  <c r="J344" i="1"/>
  <c r="J344" i="5" s="1"/>
  <c r="N344" i="1"/>
  <c r="R344" i="1" s="1"/>
  <c r="Q344" i="5" s="1"/>
  <c r="O272" i="1"/>
  <c r="J272" i="1"/>
  <c r="J272" i="5" s="1"/>
  <c r="N272" i="1"/>
  <c r="R272" i="1" s="1"/>
  <c r="Q272" i="5" s="1"/>
  <c r="O200" i="1"/>
  <c r="J200" i="1"/>
  <c r="J200" i="5" s="1"/>
  <c r="N200" i="1"/>
  <c r="R200" i="1" s="1"/>
  <c r="Q200" i="5" s="1"/>
  <c r="O152" i="1"/>
  <c r="J152" i="1"/>
  <c r="J152" i="5" s="1"/>
  <c r="N152" i="1"/>
  <c r="O26" i="1"/>
  <c r="J26" i="1"/>
  <c r="J26" i="5" s="1"/>
  <c r="N26" i="1"/>
  <c r="R26" i="1" s="1"/>
  <c r="Q26" i="5" s="1"/>
  <c r="O14" i="1"/>
  <c r="J14" i="1"/>
  <c r="J14" i="5" s="1"/>
  <c r="N14" i="1"/>
  <c r="R14" i="1" s="1"/>
  <c r="Q14" i="5" s="1"/>
  <c r="O25" i="1"/>
  <c r="J25" i="1"/>
  <c r="J25" i="5" s="1"/>
  <c r="N25" i="1"/>
  <c r="R25" i="1" s="1"/>
  <c r="Q25" i="5" s="1"/>
  <c r="O13" i="1"/>
  <c r="J13" i="1"/>
  <c r="J13" i="5" s="1"/>
  <c r="N13" i="1"/>
  <c r="O439" i="1"/>
  <c r="N439" i="1"/>
  <c r="R439" i="1" s="1"/>
  <c r="Q439" i="5" s="1"/>
  <c r="J439" i="1"/>
  <c r="J439" i="5" s="1"/>
  <c r="O415" i="1"/>
  <c r="N415" i="1"/>
  <c r="R415" i="1" s="1"/>
  <c r="Q415" i="5" s="1"/>
  <c r="J415" i="1"/>
  <c r="J415" i="5" s="1"/>
  <c r="O390" i="1"/>
  <c r="N390" i="1"/>
  <c r="R390" i="1" s="1"/>
  <c r="Q390" i="5" s="1"/>
  <c r="J390" i="1"/>
  <c r="J390" i="5" s="1"/>
  <c r="O366" i="1"/>
  <c r="N366" i="1"/>
  <c r="J366" i="1"/>
  <c r="J366" i="5" s="1"/>
  <c r="O24" i="1"/>
  <c r="J24" i="1"/>
  <c r="J24" i="5" s="1"/>
  <c r="N24" i="1"/>
  <c r="R24" i="1" s="1"/>
  <c r="Q24" i="5" s="1"/>
  <c r="O12" i="1"/>
  <c r="J12" i="1"/>
  <c r="J12" i="5" s="1"/>
  <c r="N12" i="1"/>
  <c r="R12" i="1" s="1"/>
  <c r="Q12" i="5" s="1"/>
  <c r="O450" i="1"/>
  <c r="N450" i="1"/>
  <c r="R450" i="1" s="1"/>
  <c r="Q450" i="5" s="1"/>
  <c r="J450" i="1"/>
  <c r="J450" i="5" s="1"/>
  <c r="O438" i="1"/>
  <c r="N438" i="1"/>
  <c r="J438" i="1"/>
  <c r="J438" i="5" s="1"/>
  <c r="O426" i="1"/>
  <c r="N426" i="1"/>
  <c r="R426" i="1" s="1"/>
  <c r="Q426" i="5" s="1"/>
  <c r="J426" i="1"/>
  <c r="J426" i="5" s="1"/>
  <c r="O414" i="1"/>
  <c r="N414" i="1"/>
  <c r="R414" i="1" s="1"/>
  <c r="Q414" i="5" s="1"/>
  <c r="J414" i="1"/>
  <c r="J414" i="5" s="1"/>
  <c r="O402" i="1"/>
  <c r="N402" i="1"/>
  <c r="R402" i="1" s="1"/>
  <c r="Q402" i="5" s="1"/>
  <c r="J402" i="1"/>
  <c r="J402" i="5" s="1"/>
  <c r="O389" i="1"/>
  <c r="N389" i="1"/>
  <c r="J389" i="1"/>
  <c r="J389" i="5" s="1"/>
  <c r="O377" i="1"/>
  <c r="N377" i="1"/>
  <c r="R377" i="1" s="1"/>
  <c r="Q377" i="5" s="1"/>
  <c r="J377" i="1"/>
  <c r="J377" i="5" s="1"/>
  <c r="O365" i="1"/>
  <c r="N365" i="1"/>
  <c r="R365" i="1" s="1"/>
  <c r="Q365" i="5" s="1"/>
  <c r="J365" i="1"/>
  <c r="J365" i="5" s="1"/>
  <c r="O353" i="1"/>
  <c r="N353" i="1"/>
  <c r="R353" i="1" s="1"/>
  <c r="Q353" i="5" s="1"/>
  <c r="J353" i="1"/>
  <c r="J353" i="5" s="1"/>
  <c r="O341" i="1"/>
  <c r="N341" i="1"/>
  <c r="J341" i="1"/>
  <c r="J341" i="5" s="1"/>
  <c r="O329" i="1"/>
  <c r="N329" i="1"/>
  <c r="R329" i="1" s="1"/>
  <c r="Q329" i="5" s="1"/>
  <c r="J329" i="1"/>
  <c r="J329" i="5" s="1"/>
  <c r="O317" i="1"/>
  <c r="N317" i="1"/>
  <c r="R317" i="1" s="1"/>
  <c r="Q317" i="5" s="1"/>
  <c r="J317" i="1"/>
  <c r="J317" i="5" s="1"/>
  <c r="O305" i="1"/>
  <c r="N305" i="1"/>
  <c r="R305" i="1" s="1"/>
  <c r="Q305" i="5" s="1"/>
  <c r="J305" i="1"/>
  <c r="J305" i="5" s="1"/>
  <c r="O293" i="1"/>
  <c r="N293" i="1"/>
  <c r="J293" i="1"/>
  <c r="J293" i="5" s="1"/>
  <c r="O281" i="1"/>
  <c r="N281" i="1"/>
  <c r="R281" i="1" s="1"/>
  <c r="Q281" i="5" s="1"/>
  <c r="J281" i="1"/>
  <c r="J281" i="5" s="1"/>
  <c r="O269" i="1"/>
  <c r="N269" i="1"/>
  <c r="R269" i="1" s="1"/>
  <c r="Q269" i="5" s="1"/>
  <c r="J269" i="1"/>
  <c r="J269" i="5" s="1"/>
  <c r="O257" i="1"/>
  <c r="N257" i="1"/>
  <c r="R257" i="1" s="1"/>
  <c r="Q257" i="5" s="1"/>
  <c r="J257" i="1"/>
  <c r="J257" i="5" s="1"/>
  <c r="O245" i="1"/>
  <c r="N245" i="1"/>
  <c r="J245" i="1"/>
  <c r="J245" i="5" s="1"/>
  <c r="O233" i="1"/>
  <c r="N233" i="1"/>
  <c r="R233" i="1" s="1"/>
  <c r="Q233" i="5" s="1"/>
  <c r="J233" i="1"/>
  <c r="J233" i="5" s="1"/>
  <c r="O221" i="1"/>
  <c r="N221" i="1"/>
  <c r="R221" i="1" s="1"/>
  <c r="Q221" i="5" s="1"/>
  <c r="J221" i="1"/>
  <c r="J221" i="5" s="1"/>
  <c r="O209" i="1"/>
  <c r="N209" i="1"/>
  <c r="R209" i="1" s="1"/>
  <c r="Q209" i="5" s="1"/>
  <c r="J209" i="1"/>
  <c r="J209" i="5" s="1"/>
  <c r="O197" i="1"/>
  <c r="N197" i="1"/>
  <c r="J197" i="1"/>
  <c r="J197" i="5" s="1"/>
  <c r="O185" i="1"/>
  <c r="N185" i="1"/>
  <c r="R185" i="1" s="1"/>
  <c r="Q185" i="5" s="1"/>
  <c r="J185" i="1"/>
  <c r="J185" i="5" s="1"/>
  <c r="O173" i="1"/>
  <c r="N173" i="1"/>
  <c r="R173" i="1" s="1"/>
  <c r="Q173" i="5" s="1"/>
  <c r="J173" i="1"/>
  <c r="J173" i="5" s="1"/>
  <c r="O161" i="1"/>
  <c r="N161" i="1"/>
  <c r="R161" i="1" s="1"/>
  <c r="Q161" i="5" s="1"/>
  <c r="J161" i="1"/>
  <c r="J161" i="5" s="1"/>
  <c r="O149" i="1"/>
  <c r="N149" i="1"/>
  <c r="J149" i="1"/>
  <c r="J149" i="5" s="1"/>
  <c r="O137" i="1"/>
  <c r="N137" i="1"/>
  <c r="R137" i="1" s="1"/>
  <c r="Q137" i="5" s="1"/>
  <c r="J137" i="1"/>
  <c r="J137" i="5" s="1"/>
  <c r="O125" i="1"/>
  <c r="N125" i="1"/>
  <c r="R125" i="1" s="1"/>
  <c r="Q125" i="5" s="1"/>
  <c r="J125" i="1"/>
  <c r="J125" i="5" s="1"/>
  <c r="O113" i="1"/>
  <c r="N113" i="1"/>
  <c r="R113" i="1" s="1"/>
  <c r="Q113" i="5" s="1"/>
  <c r="J113" i="1"/>
  <c r="J113" i="5" s="1"/>
  <c r="O101" i="1"/>
  <c r="N101" i="1"/>
  <c r="J101" i="1"/>
  <c r="J101" i="5" s="1"/>
  <c r="O89" i="1"/>
  <c r="N89" i="1"/>
  <c r="R89" i="1" s="1"/>
  <c r="Q89" i="5" s="1"/>
  <c r="J89" i="1"/>
  <c r="J89" i="5" s="1"/>
  <c r="O77" i="1"/>
  <c r="N77" i="1"/>
  <c r="R77" i="1" s="1"/>
  <c r="Q77" i="5" s="1"/>
  <c r="J77" i="1"/>
  <c r="J77" i="5" s="1"/>
  <c r="O65" i="1"/>
  <c r="N65" i="1"/>
  <c r="R65" i="1" s="1"/>
  <c r="Q65" i="5" s="1"/>
  <c r="J65" i="1"/>
  <c r="J65" i="5" s="1"/>
  <c r="O53" i="1"/>
  <c r="N53" i="1"/>
  <c r="J53" i="1"/>
  <c r="J53" i="5" s="1"/>
  <c r="O41" i="1"/>
  <c r="N41" i="1"/>
  <c r="R41" i="1" s="1"/>
  <c r="Q41" i="5" s="1"/>
  <c r="J41" i="1"/>
  <c r="J41" i="5" s="1"/>
  <c r="O29" i="1"/>
  <c r="J29" i="1"/>
  <c r="J29" i="5" s="1"/>
  <c r="N29" i="1"/>
  <c r="R29" i="1" s="1"/>
  <c r="Q29" i="5" s="1"/>
  <c r="O386" i="1"/>
  <c r="N386" i="1"/>
  <c r="R386" i="1" s="1"/>
  <c r="Q386" i="5" s="1"/>
  <c r="J386" i="1"/>
  <c r="J386" i="5" s="1"/>
  <c r="O432" i="1"/>
  <c r="J432" i="1"/>
  <c r="J432" i="5" s="1"/>
  <c r="N432" i="1"/>
  <c r="O323" i="1"/>
  <c r="J323" i="1"/>
  <c r="J323" i="5" s="1"/>
  <c r="N323" i="1"/>
  <c r="R323" i="1" s="1"/>
  <c r="Q323" i="5" s="1"/>
  <c r="O215" i="1"/>
  <c r="J215" i="1"/>
  <c r="J215" i="5" s="1"/>
  <c r="N215" i="1"/>
  <c r="O119" i="1"/>
  <c r="J119" i="1"/>
  <c r="J119" i="5" s="1"/>
  <c r="N119" i="1"/>
  <c r="R119" i="1" s="1"/>
  <c r="Q119" i="5" s="1"/>
  <c r="O429" i="1"/>
  <c r="J429" i="1"/>
  <c r="J429" i="5" s="1"/>
  <c r="N429" i="1"/>
  <c r="O356" i="1"/>
  <c r="J356" i="1"/>
  <c r="J356" i="5" s="1"/>
  <c r="N356" i="1"/>
  <c r="R356" i="1" s="1"/>
  <c r="Q356" i="5" s="1"/>
  <c r="O284" i="1"/>
  <c r="J284" i="1"/>
  <c r="J284" i="5" s="1"/>
  <c r="N284" i="1"/>
  <c r="O224" i="1"/>
  <c r="J224" i="1"/>
  <c r="J224" i="5" s="1"/>
  <c r="N224" i="1"/>
  <c r="R224" i="1" s="1"/>
  <c r="Q224" i="5" s="1"/>
  <c r="O23" i="1"/>
  <c r="J23" i="1"/>
  <c r="J23" i="5" s="1"/>
  <c r="N23" i="1"/>
  <c r="O11" i="1"/>
  <c r="J11" i="1"/>
  <c r="J11" i="5" s="1"/>
  <c r="N11" i="1"/>
  <c r="R11" i="1" s="1"/>
  <c r="Q11" i="5" s="1"/>
  <c r="O437" i="1"/>
  <c r="N437" i="1"/>
  <c r="J437" i="1"/>
  <c r="J437" i="5" s="1"/>
  <c r="O413" i="1"/>
  <c r="N413" i="1"/>
  <c r="R413" i="1" s="1"/>
  <c r="Q413" i="5" s="1"/>
  <c r="J413" i="1"/>
  <c r="J413" i="5" s="1"/>
  <c r="O388" i="1"/>
  <c r="N388" i="1"/>
  <c r="J388" i="1"/>
  <c r="J388" i="5" s="1"/>
  <c r="O364" i="1"/>
  <c r="N364" i="1"/>
  <c r="R364" i="1" s="1"/>
  <c r="Q364" i="5" s="1"/>
  <c r="J364" i="1"/>
  <c r="J364" i="5" s="1"/>
  <c r="O340" i="1"/>
  <c r="N340" i="1"/>
  <c r="J340" i="1"/>
  <c r="J340" i="5" s="1"/>
  <c r="O316" i="1"/>
  <c r="N316" i="1"/>
  <c r="R316" i="1" s="1"/>
  <c r="Q316" i="5" s="1"/>
  <c r="J316" i="1"/>
  <c r="J316" i="5" s="1"/>
  <c r="O304" i="1"/>
  <c r="N304" i="1"/>
  <c r="J304" i="1"/>
  <c r="J304" i="5" s="1"/>
  <c r="O292" i="1"/>
  <c r="N292" i="1"/>
  <c r="R292" i="1" s="1"/>
  <c r="Q292" i="5" s="1"/>
  <c r="J292" i="1"/>
  <c r="J292" i="5" s="1"/>
  <c r="O280" i="1"/>
  <c r="N280" i="1"/>
  <c r="J280" i="1"/>
  <c r="J280" i="5" s="1"/>
  <c r="O268" i="1"/>
  <c r="N268" i="1"/>
  <c r="R268" i="1" s="1"/>
  <c r="Q268" i="5" s="1"/>
  <c r="J268" i="1"/>
  <c r="J268" i="5" s="1"/>
  <c r="O256" i="1"/>
  <c r="N256" i="1"/>
  <c r="J256" i="1"/>
  <c r="J256" i="5" s="1"/>
  <c r="O244" i="1"/>
  <c r="N244" i="1"/>
  <c r="R244" i="1" s="1"/>
  <c r="Q244" i="5" s="1"/>
  <c r="J244" i="1"/>
  <c r="J244" i="5" s="1"/>
  <c r="O232" i="1"/>
  <c r="N232" i="1"/>
  <c r="J232" i="1"/>
  <c r="J232" i="5" s="1"/>
  <c r="O220" i="1"/>
  <c r="N220" i="1"/>
  <c r="R220" i="1" s="1"/>
  <c r="Q220" i="5" s="1"/>
  <c r="J220" i="1"/>
  <c r="J220" i="5" s="1"/>
  <c r="O208" i="1"/>
  <c r="N208" i="1"/>
  <c r="J208" i="1"/>
  <c r="J208" i="5" s="1"/>
  <c r="O196" i="1"/>
  <c r="N196" i="1"/>
  <c r="R196" i="1" s="1"/>
  <c r="Q196" i="5" s="1"/>
  <c r="J196" i="1"/>
  <c r="J196" i="5" s="1"/>
  <c r="O184" i="1"/>
  <c r="N184" i="1"/>
  <c r="J184" i="1"/>
  <c r="J184" i="5" s="1"/>
  <c r="O172" i="1"/>
  <c r="N172" i="1"/>
  <c r="R172" i="1" s="1"/>
  <c r="Q172" i="5" s="1"/>
  <c r="J172" i="1"/>
  <c r="J172" i="5" s="1"/>
  <c r="O160" i="1"/>
  <c r="N160" i="1"/>
  <c r="J160" i="1"/>
  <c r="J160" i="5" s="1"/>
  <c r="O148" i="1"/>
  <c r="N148" i="1"/>
  <c r="R148" i="1" s="1"/>
  <c r="Q148" i="5" s="1"/>
  <c r="J148" i="1"/>
  <c r="J148" i="5" s="1"/>
  <c r="O136" i="1"/>
  <c r="N136" i="1"/>
  <c r="J136" i="1"/>
  <c r="J136" i="5" s="1"/>
  <c r="O124" i="1"/>
  <c r="N124" i="1"/>
  <c r="R124" i="1" s="1"/>
  <c r="Q124" i="5" s="1"/>
  <c r="J124" i="1"/>
  <c r="J124" i="5" s="1"/>
  <c r="O112" i="1"/>
  <c r="N112" i="1"/>
  <c r="J112" i="1"/>
  <c r="J112" i="5" s="1"/>
  <c r="O100" i="1"/>
  <c r="N100" i="1"/>
  <c r="R100" i="1" s="1"/>
  <c r="Q100" i="5" s="1"/>
  <c r="J100" i="1"/>
  <c r="J100" i="5" s="1"/>
  <c r="O88" i="1"/>
  <c r="N88" i="1"/>
  <c r="J88" i="1"/>
  <c r="J88" i="5" s="1"/>
  <c r="O76" i="1"/>
  <c r="N76" i="1"/>
  <c r="R76" i="1" s="1"/>
  <c r="Q76" i="5" s="1"/>
  <c r="J76" i="1"/>
  <c r="J76" i="5" s="1"/>
  <c r="O64" i="1"/>
  <c r="N64" i="1"/>
  <c r="J64" i="1"/>
  <c r="J64" i="5" s="1"/>
  <c r="O52" i="1"/>
  <c r="N52" i="1"/>
  <c r="R52" i="1" s="1"/>
  <c r="Q52" i="5" s="1"/>
  <c r="J52" i="1"/>
  <c r="J52" i="5" s="1"/>
  <c r="O40" i="1"/>
  <c r="N40" i="1"/>
  <c r="J40" i="1"/>
  <c r="J40" i="5" s="1"/>
  <c r="O28" i="1"/>
  <c r="N28" i="1"/>
  <c r="R28" i="1" s="1"/>
  <c r="Q28" i="5" s="1"/>
  <c r="J28" i="1"/>
  <c r="J28" i="5" s="1"/>
  <c r="O374" i="1"/>
  <c r="N374" i="1"/>
  <c r="J374" i="1"/>
  <c r="J374" i="5" s="1"/>
  <c r="O444" i="1"/>
  <c r="J444" i="1"/>
  <c r="J444" i="5" s="1"/>
  <c r="N444" i="1"/>
  <c r="R444" i="1" s="1"/>
  <c r="Q444" i="5" s="1"/>
  <c r="O335" i="1"/>
  <c r="J335" i="1"/>
  <c r="J335" i="5" s="1"/>
  <c r="N335" i="1"/>
  <c r="O227" i="1"/>
  <c r="J227" i="1"/>
  <c r="J227" i="5" s="1"/>
  <c r="N227" i="1"/>
  <c r="R227" i="1" s="1"/>
  <c r="Q227" i="5" s="1"/>
  <c r="O143" i="1"/>
  <c r="J143" i="1"/>
  <c r="J143" i="5" s="1"/>
  <c r="N143" i="1"/>
  <c r="R143" i="1" s="1"/>
  <c r="Q143" i="5" s="1"/>
  <c r="O441" i="1"/>
  <c r="J441" i="1"/>
  <c r="J441" i="5" s="1"/>
  <c r="N441" i="1"/>
  <c r="R441" i="1" s="1"/>
  <c r="Q441" i="5" s="1"/>
  <c r="O368" i="1"/>
  <c r="J368" i="1"/>
  <c r="J368" i="5" s="1"/>
  <c r="N368" i="1"/>
  <c r="O296" i="1"/>
  <c r="J296" i="1"/>
  <c r="J296" i="5" s="1"/>
  <c r="N296" i="1"/>
  <c r="R296" i="1" s="1"/>
  <c r="Q296" i="5" s="1"/>
  <c r="O212" i="1"/>
  <c r="J212" i="1"/>
  <c r="J212" i="5" s="1"/>
  <c r="N212" i="1"/>
  <c r="R212" i="1" s="1"/>
  <c r="Q212" i="5" s="1"/>
  <c r="O449" i="1"/>
  <c r="N449" i="1"/>
  <c r="R449" i="1" s="1"/>
  <c r="Q449" i="5" s="1"/>
  <c r="J449" i="1"/>
  <c r="J449" i="5" s="1"/>
  <c r="O425" i="1"/>
  <c r="N425" i="1"/>
  <c r="J425" i="1"/>
  <c r="J425" i="5" s="1"/>
  <c r="O401" i="1"/>
  <c r="N401" i="1"/>
  <c r="R401" i="1" s="1"/>
  <c r="Q401" i="5" s="1"/>
  <c r="J401" i="1"/>
  <c r="J401" i="5" s="1"/>
  <c r="O376" i="1"/>
  <c r="N376" i="1"/>
  <c r="J376" i="1"/>
  <c r="J376" i="5" s="1"/>
  <c r="O352" i="1"/>
  <c r="N352" i="1"/>
  <c r="R352" i="1" s="1"/>
  <c r="Q352" i="5" s="1"/>
  <c r="J352" i="1"/>
  <c r="J352" i="5" s="1"/>
  <c r="O328" i="1"/>
  <c r="N328" i="1"/>
  <c r="J328" i="1"/>
  <c r="J328" i="5" s="1"/>
  <c r="O22" i="1"/>
  <c r="J22" i="1"/>
  <c r="J22" i="5" s="1"/>
  <c r="N22" i="1"/>
  <c r="R22" i="1" s="1"/>
  <c r="Q22" i="5" s="1"/>
  <c r="O10" i="1"/>
  <c r="J10" i="1"/>
  <c r="J10" i="5" s="1"/>
  <c r="N10" i="1"/>
  <c r="R10" i="1" s="1"/>
  <c r="Q10" i="5" s="1"/>
  <c r="O448" i="1"/>
  <c r="N448" i="1"/>
  <c r="R448" i="1" s="1"/>
  <c r="Q448" i="5" s="1"/>
  <c r="J448" i="1"/>
  <c r="J448" i="5" s="1"/>
  <c r="O436" i="1"/>
  <c r="N436" i="1"/>
  <c r="J436" i="1"/>
  <c r="J436" i="5" s="1"/>
  <c r="O424" i="1"/>
  <c r="N424" i="1"/>
  <c r="R424" i="1" s="1"/>
  <c r="Q424" i="5" s="1"/>
  <c r="J424" i="1"/>
  <c r="J424" i="5" s="1"/>
  <c r="O412" i="1"/>
  <c r="N412" i="1"/>
  <c r="J412" i="1"/>
  <c r="J412" i="5" s="1"/>
  <c r="O400" i="1"/>
  <c r="N400" i="1"/>
  <c r="R400" i="1" s="1"/>
  <c r="Q400" i="5" s="1"/>
  <c r="J400" i="1"/>
  <c r="J400" i="5" s="1"/>
  <c r="O387" i="1"/>
  <c r="N387" i="1"/>
  <c r="J387" i="1"/>
  <c r="J387" i="5" s="1"/>
  <c r="O375" i="1"/>
  <c r="N375" i="1"/>
  <c r="R375" i="1" s="1"/>
  <c r="Q375" i="5" s="1"/>
  <c r="J375" i="1"/>
  <c r="J375" i="5" s="1"/>
  <c r="O363" i="1"/>
  <c r="N363" i="1"/>
  <c r="J363" i="1"/>
  <c r="J363" i="5" s="1"/>
  <c r="O351" i="1"/>
  <c r="N351" i="1"/>
  <c r="R351" i="1" s="1"/>
  <c r="Q351" i="5" s="1"/>
  <c r="J351" i="1"/>
  <c r="J351" i="5" s="1"/>
  <c r="J339" i="1"/>
  <c r="J339" i="5" s="1"/>
  <c r="O327" i="1"/>
  <c r="N327" i="1"/>
  <c r="R327" i="1" s="1"/>
  <c r="Q327" i="5" s="1"/>
  <c r="J327" i="1"/>
  <c r="J327" i="5" s="1"/>
  <c r="O315" i="1"/>
  <c r="N315" i="1"/>
  <c r="J315" i="1"/>
  <c r="J315" i="5" s="1"/>
  <c r="O303" i="1"/>
  <c r="N303" i="1"/>
  <c r="J303" i="1"/>
  <c r="J303" i="5" s="1"/>
  <c r="O291" i="1"/>
  <c r="N291" i="1"/>
  <c r="J291" i="1"/>
  <c r="J291" i="5" s="1"/>
  <c r="O279" i="1"/>
  <c r="N279" i="1"/>
  <c r="R279" i="1" s="1"/>
  <c r="Q279" i="5" s="1"/>
  <c r="J279" i="1"/>
  <c r="J279" i="5" s="1"/>
  <c r="O267" i="1"/>
  <c r="N267" i="1"/>
  <c r="J267" i="1"/>
  <c r="J267" i="5" s="1"/>
  <c r="O255" i="1"/>
  <c r="N255" i="1"/>
  <c r="J255" i="1"/>
  <c r="J255" i="5" s="1"/>
  <c r="O243" i="1"/>
  <c r="N243" i="1"/>
  <c r="J243" i="1"/>
  <c r="J243" i="5" s="1"/>
  <c r="O231" i="1"/>
  <c r="N231" i="1"/>
  <c r="R231" i="1" s="1"/>
  <c r="Q231" i="5" s="1"/>
  <c r="J231" i="1"/>
  <c r="J231" i="5" s="1"/>
  <c r="O219" i="1"/>
  <c r="N219" i="1"/>
  <c r="J219" i="1"/>
  <c r="J219" i="5" s="1"/>
  <c r="O207" i="1"/>
  <c r="N207" i="1"/>
  <c r="J207" i="1"/>
  <c r="J207" i="5" s="1"/>
  <c r="O195" i="1"/>
  <c r="N195" i="1"/>
  <c r="J195" i="1"/>
  <c r="J195" i="5" s="1"/>
  <c r="R183" i="1"/>
  <c r="Q183" i="5" s="1"/>
  <c r="J183" i="1"/>
  <c r="J183" i="5" s="1"/>
  <c r="O171" i="1"/>
  <c r="N171" i="1"/>
  <c r="J171" i="1"/>
  <c r="J171" i="5" s="1"/>
  <c r="O159" i="1"/>
  <c r="N159" i="1"/>
  <c r="R159" i="1" s="1"/>
  <c r="Q159" i="5" s="1"/>
  <c r="J159" i="1"/>
  <c r="J159" i="5" s="1"/>
  <c r="O147" i="1"/>
  <c r="N147" i="1"/>
  <c r="J147" i="1"/>
  <c r="J147" i="5" s="1"/>
  <c r="O135" i="1"/>
  <c r="N135" i="1"/>
  <c r="R135" i="1" s="1"/>
  <c r="Q135" i="5" s="1"/>
  <c r="J135" i="1"/>
  <c r="J135" i="5" s="1"/>
  <c r="O123" i="1"/>
  <c r="N123" i="1"/>
  <c r="J123" i="1"/>
  <c r="J123" i="5" s="1"/>
  <c r="O111" i="1"/>
  <c r="N111" i="1"/>
  <c r="R111" i="1" s="1"/>
  <c r="Q111" i="5" s="1"/>
  <c r="J111" i="1"/>
  <c r="J111" i="5" s="1"/>
  <c r="O99" i="1"/>
  <c r="N99" i="1"/>
  <c r="J99" i="1"/>
  <c r="J99" i="5" s="1"/>
  <c r="O87" i="1"/>
  <c r="N87" i="1"/>
  <c r="R87" i="1" s="1"/>
  <c r="Q87" i="5" s="1"/>
  <c r="J87" i="1"/>
  <c r="J87" i="5" s="1"/>
  <c r="O75" i="1"/>
  <c r="N75" i="1"/>
  <c r="J75" i="1"/>
  <c r="J75" i="5" s="1"/>
  <c r="O63" i="1"/>
  <c r="N63" i="1"/>
  <c r="R63" i="1" s="1"/>
  <c r="Q63" i="5" s="1"/>
  <c r="J63" i="1"/>
  <c r="J63" i="5" s="1"/>
  <c r="O51" i="1"/>
  <c r="N51" i="1"/>
  <c r="J51" i="1"/>
  <c r="J51" i="5" s="1"/>
  <c r="O39" i="1"/>
  <c r="J39" i="1"/>
  <c r="J39" i="5" s="1"/>
  <c r="N39" i="1"/>
  <c r="R39" i="1" s="1"/>
  <c r="Q39" i="5" s="1"/>
  <c r="O21" i="1"/>
  <c r="J21" i="1"/>
  <c r="J21" i="5" s="1"/>
  <c r="N21" i="1"/>
  <c r="R21" i="1" s="1"/>
  <c r="Q21" i="5" s="1"/>
  <c r="O338" i="1"/>
  <c r="N338" i="1"/>
  <c r="R338" i="1" s="1"/>
  <c r="Q338" i="5" s="1"/>
  <c r="J338" i="1"/>
  <c r="J338" i="5" s="1"/>
  <c r="O254" i="1"/>
  <c r="N254" i="1"/>
  <c r="J254" i="1"/>
  <c r="J254" i="5" s="1"/>
  <c r="O230" i="1"/>
  <c r="N230" i="1"/>
  <c r="R230" i="1" s="1"/>
  <c r="Q230" i="5" s="1"/>
  <c r="J230" i="1"/>
  <c r="J230" i="5" s="1"/>
  <c r="O206" i="1"/>
  <c r="N206" i="1"/>
  <c r="J206" i="1"/>
  <c r="J206" i="5" s="1"/>
  <c r="O182" i="1"/>
  <c r="N182" i="1"/>
  <c r="R182" i="1" s="1"/>
  <c r="Q182" i="5" s="1"/>
  <c r="J182" i="1"/>
  <c r="J182" i="5" s="1"/>
  <c r="O158" i="1"/>
  <c r="N158" i="1"/>
  <c r="J158" i="1"/>
  <c r="J158" i="5" s="1"/>
  <c r="O134" i="1"/>
  <c r="N134" i="1"/>
  <c r="R134" i="1" s="1"/>
  <c r="Q134" i="5" s="1"/>
  <c r="J134" i="1"/>
  <c r="J134" i="5" s="1"/>
  <c r="O110" i="1"/>
  <c r="N110" i="1"/>
  <c r="J110" i="1"/>
  <c r="J110" i="5" s="1"/>
  <c r="O86" i="1"/>
  <c r="N86" i="1"/>
  <c r="R86" i="1" s="1"/>
  <c r="Q86" i="5" s="1"/>
  <c r="J86" i="1"/>
  <c r="J86" i="5" s="1"/>
  <c r="O62" i="1"/>
  <c r="N62" i="1"/>
  <c r="J62" i="1"/>
  <c r="J62" i="5" s="1"/>
  <c r="O38" i="1"/>
  <c r="J38" i="1"/>
  <c r="J38" i="5" s="1"/>
  <c r="N38" i="1"/>
  <c r="R38" i="1" s="1"/>
  <c r="Q38" i="5" s="1"/>
  <c r="O20" i="1"/>
  <c r="J20" i="1"/>
  <c r="J20" i="5" s="1"/>
  <c r="N20" i="1"/>
  <c r="R20" i="1" s="1"/>
  <c r="Q20" i="5" s="1"/>
  <c r="O8" i="1"/>
  <c r="J8" i="1"/>
  <c r="J8" i="5" s="1"/>
  <c r="N8" i="1"/>
  <c r="R8" i="1" s="1"/>
  <c r="Q8" i="5" s="1"/>
  <c r="O446" i="1"/>
  <c r="N446" i="1"/>
  <c r="J446" i="1"/>
  <c r="J446" i="5" s="1"/>
  <c r="O434" i="1"/>
  <c r="N434" i="1"/>
  <c r="R434" i="1" s="1"/>
  <c r="Q434" i="5" s="1"/>
  <c r="J434" i="1"/>
  <c r="J434" i="5" s="1"/>
  <c r="O422" i="1"/>
  <c r="N422" i="1"/>
  <c r="J422" i="1"/>
  <c r="J422" i="5" s="1"/>
  <c r="O410" i="1"/>
  <c r="N410" i="1"/>
  <c r="R410" i="1" s="1"/>
  <c r="Q410" i="5" s="1"/>
  <c r="J410" i="1"/>
  <c r="J410" i="5" s="1"/>
  <c r="O397" i="1"/>
  <c r="J397" i="1"/>
  <c r="J397" i="5" s="1"/>
  <c r="N397" i="1"/>
  <c r="R397" i="1" s="1"/>
  <c r="Q397" i="5" s="1"/>
  <c r="O385" i="1"/>
  <c r="J385" i="1"/>
  <c r="J385" i="5" s="1"/>
  <c r="N385" i="1"/>
  <c r="R385" i="1" s="1"/>
  <c r="Q385" i="5" s="1"/>
  <c r="O373" i="1"/>
  <c r="J373" i="1"/>
  <c r="J373" i="5" s="1"/>
  <c r="N373" i="1"/>
  <c r="R373" i="1" s="1"/>
  <c r="Q373" i="5" s="1"/>
  <c r="O361" i="1"/>
  <c r="J361" i="1"/>
  <c r="J361" i="5" s="1"/>
  <c r="N361" i="1"/>
  <c r="R361" i="1" s="1"/>
  <c r="Q361" i="5" s="1"/>
  <c r="O349" i="1"/>
  <c r="J349" i="1"/>
  <c r="J349" i="5" s="1"/>
  <c r="N349" i="1"/>
  <c r="R349" i="1" s="1"/>
  <c r="Q349" i="5" s="1"/>
  <c r="J337" i="1"/>
  <c r="J337" i="5" s="1"/>
  <c r="R337" i="1"/>
  <c r="Q337" i="5" s="1"/>
  <c r="O325" i="1"/>
  <c r="J325" i="1"/>
  <c r="J325" i="5" s="1"/>
  <c r="N325" i="1"/>
  <c r="R325" i="1" s="1"/>
  <c r="Q325" i="5" s="1"/>
  <c r="O313" i="1"/>
  <c r="J313" i="1"/>
  <c r="J313" i="5" s="1"/>
  <c r="N313" i="1"/>
  <c r="R313" i="1" s="1"/>
  <c r="Q313" i="5" s="1"/>
  <c r="O301" i="1"/>
  <c r="J301" i="1"/>
  <c r="J301" i="5" s="1"/>
  <c r="N301" i="1"/>
  <c r="O289" i="1"/>
  <c r="J289" i="1"/>
  <c r="J289" i="5" s="1"/>
  <c r="N289" i="1"/>
  <c r="O277" i="1"/>
  <c r="J277" i="1"/>
  <c r="J277" i="5" s="1"/>
  <c r="N277" i="1"/>
  <c r="R277" i="1" s="1"/>
  <c r="Q277" i="5" s="1"/>
  <c r="O265" i="1"/>
  <c r="J265" i="1"/>
  <c r="J265" i="5" s="1"/>
  <c r="N265" i="1"/>
  <c r="R265" i="1" s="1"/>
  <c r="Q265" i="5" s="1"/>
  <c r="O253" i="1"/>
  <c r="J253" i="1"/>
  <c r="J253" i="5" s="1"/>
  <c r="N253" i="1"/>
  <c r="O241" i="1"/>
  <c r="J241" i="1"/>
  <c r="J241" i="5" s="1"/>
  <c r="N241" i="1"/>
  <c r="O229" i="1"/>
  <c r="J229" i="1"/>
  <c r="J229" i="5" s="1"/>
  <c r="N229" i="1"/>
  <c r="R229" i="1" s="1"/>
  <c r="Q229" i="5" s="1"/>
  <c r="O217" i="1"/>
  <c r="J217" i="1"/>
  <c r="J217" i="5" s="1"/>
  <c r="N217" i="1"/>
  <c r="R217" i="1" s="1"/>
  <c r="Q217" i="5" s="1"/>
  <c r="O205" i="1"/>
  <c r="J205" i="1"/>
  <c r="J205" i="5" s="1"/>
  <c r="N205" i="1"/>
  <c r="O193" i="1"/>
  <c r="J193" i="1"/>
  <c r="J193" i="5" s="1"/>
  <c r="N193" i="1"/>
  <c r="O181" i="1"/>
  <c r="J181" i="1"/>
  <c r="J181" i="5" s="1"/>
  <c r="N181" i="1"/>
  <c r="R181" i="1" s="1"/>
  <c r="Q181" i="5" s="1"/>
  <c r="O169" i="1"/>
  <c r="J169" i="1"/>
  <c r="J169" i="5" s="1"/>
  <c r="N169" i="1"/>
  <c r="R169" i="1" s="1"/>
  <c r="Q169" i="5" s="1"/>
  <c r="O157" i="1"/>
  <c r="J157" i="1"/>
  <c r="J157" i="5" s="1"/>
  <c r="N157" i="1"/>
  <c r="O145" i="1"/>
  <c r="J145" i="1"/>
  <c r="J145" i="5" s="1"/>
  <c r="N145" i="1"/>
  <c r="O133" i="1"/>
  <c r="J133" i="1"/>
  <c r="J133" i="5" s="1"/>
  <c r="N133" i="1"/>
  <c r="R133" i="1" s="1"/>
  <c r="Q133" i="5" s="1"/>
  <c r="O121" i="1"/>
  <c r="J121" i="1"/>
  <c r="J121" i="5" s="1"/>
  <c r="N121" i="1"/>
  <c r="R121" i="1" s="1"/>
  <c r="Q121" i="5" s="1"/>
  <c r="O109" i="1"/>
  <c r="N109" i="1"/>
  <c r="J109" i="1"/>
  <c r="J109" i="5" s="1"/>
  <c r="O97" i="1"/>
  <c r="N97" i="1"/>
  <c r="J97" i="1"/>
  <c r="J97" i="5" s="1"/>
  <c r="O85" i="1"/>
  <c r="N85" i="1"/>
  <c r="J85" i="1"/>
  <c r="J85" i="5" s="1"/>
  <c r="O73" i="1"/>
  <c r="N73" i="1"/>
  <c r="J73" i="1"/>
  <c r="J73" i="5" s="1"/>
  <c r="O61" i="1"/>
  <c r="N61" i="1"/>
  <c r="J61" i="1"/>
  <c r="J61" i="5" s="1"/>
  <c r="O49" i="1"/>
  <c r="N49" i="1"/>
  <c r="J49" i="1"/>
  <c r="J49" i="5" s="1"/>
  <c r="O37" i="1"/>
  <c r="J37" i="1"/>
  <c r="J37" i="5" s="1"/>
  <c r="N37" i="1"/>
  <c r="R37" i="1" s="1"/>
  <c r="Q37" i="5" s="1"/>
  <c r="O423" i="1"/>
  <c r="N423" i="1"/>
  <c r="J423" i="1"/>
  <c r="J423" i="5" s="1"/>
  <c r="O302" i="1"/>
  <c r="N302" i="1"/>
  <c r="J302" i="1"/>
  <c r="J302" i="5" s="1"/>
  <c r="O242" i="1"/>
  <c r="N242" i="1"/>
  <c r="J242" i="1"/>
  <c r="J242" i="5" s="1"/>
  <c r="O218" i="1"/>
  <c r="N218" i="1"/>
  <c r="J218" i="1"/>
  <c r="J218" i="5" s="1"/>
  <c r="O194" i="1"/>
  <c r="N194" i="1"/>
  <c r="J194" i="1"/>
  <c r="J194" i="5" s="1"/>
  <c r="O170" i="1"/>
  <c r="N170" i="1"/>
  <c r="J170" i="1"/>
  <c r="J170" i="5" s="1"/>
  <c r="O146" i="1"/>
  <c r="N146" i="1"/>
  <c r="J146" i="1"/>
  <c r="J146" i="5" s="1"/>
  <c r="O122" i="1"/>
  <c r="N122" i="1"/>
  <c r="J122" i="1"/>
  <c r="J122" i="5" s="1"/>
  <c r="O98" i="1"/>
  <c r="N98" i="1"/>
  <c r="J98" i="1"/>
  <c r="J98" i="5" s="1"/>
  <c r="O74" i="1"/>
  <c r="N74" i="1"/>
  <c r="J74" i="1"/>
  <c r="J74" i="5" s="1"/>
  <c r="O50" i="1"/>
  <c r="N50" i="1"/>
  <c r="J50" i="1"/>
  <c r="J50" i="5" s="1"/>
  <c r="O19" i="1"/>
  <c r="N19" i="1"/>
  <c r="J19" i="1"/>
  <c r="J19" i="5" s="1"/>
  <c r="O7" i="1"/>
  <c r="N7" i="1"/>
  <c r="J7" i="1"/>
  <c r="J7" i="5" s="1"/>
  <c r="O445" i="1"/>
  <c r="J445" i="1"/>
  <c r="J445" i="5" s="1"/>
  <c r="N445" i="1"/>
  <c r="O433" i="1"/>
  <c r="J433" i="1"/>
  <c r="J433" i="5" s="1"/>
  <c r="N433" i="1"/>
  <c r="O421" i="1"/>
  <c r="J421" i="1"/>
  <c r="J421" i="5" s="1"/>
  <c r="N421" i="1"/>
  <c r="R421" i="1" s="1"/>
  <c r="Q421" i="5" s="1"/>
  <c r="O409" i="1"/>
  <c r="J409" i="1"/>
  <c r="J409" i="5" s="1"/>
  <c r="N409" i="1"/>
  <c r="R409" i="1" s="1"/>
  <c r="Q409" i="5" s="1"/>
  <c r="O396" i="1"/>
  <c r="J396" i="1"/>
  <c r="J396" i="5" s="1"/>
  <c r="N396" i="1"/>
  <c r="O384" i="1"/>
  <c r="J384" i="1"/>
  <c r="J384" i="5" s="1"/>
  <c r="N384" i="1"/>
  <c r="O372" i="1"/>
  <c r="J372" i="1"/>
  <c r="J372" i="5" s="1"/>
  <c r="N372" i="1"/>
  <c r="R372" i="1" s="1"/>
  <c r="Q372" i="5" s="1"/>
  <c r="O360" i="1"/>
  <c r="J360" i="1"/>
  <c r="J360" i="5" s="1"/>
  <c r="N360" i="1"/>
  <c r="R360" i="1" s="1"/>
  <c r="Q360" i="5" s="1"/>
  <c r="O348" i="1"/>
  <c r="J348" i="1"/>
  <c r="J348" i="5" s="1"/>
  <c r="N348" i="1"/>
  <c r="J336" i="1"/>
  <c r="J336" i="5" s="1"/>
  <c r="R336" i="1"/>
  <c r="Q336" i="5" s="1"/>
  <c r="O324" i="1"/>
  <c r="J324" i="1"/>
  <c r="J324" i="5" s="1"/>
  <c r="N324" i="1"/>
  <c r="O312" i="1"/>
  <c r="J312" i="1"/>
  <c r="J312" i="5" s="1"/>
  <c r="N312" i="1"/>
  <c r="O300" i="1"/>
  <c r="J300" i="1"/>
  <c r="J300" i="5" s="1"/>
  <c r="N300" i="1"/>
  <c r="O288" i="1"/>
  <c r="J288" i="1"/>
  <c r="J288" i="5" s="1"/>
  <c r="N288" i="1"/>
  <c r="O276" i="1"/>
  <c r="J276" i="1"/>
  <c r="J276" i="5" s="1"/>
  <c r="N276" i="1"/>
  <c r="O264" i="1"/>
  <c r="J264" i="1"/>
  <c r="J264" i="5" s="1"/>
  <c r="N264" i="1"/>
  <c r="O252" i="1"/>
  <c r="J252" i="1"/>
  <c r="J252" i="5" s="1"/>
  <c r="N252" i="1"/>
  <c r="O240" i="1"/>
  <c r="J240" i="1"/>
  <c r="J240" i="5" s="1"/>
  <c r="N240" i="1"/>
  <c r="O228" i="1"/>
  <c r="J228" i="1"/>
  <c r="J228" i="5" s="1"/>
  <c r="N228" i="1"/>
  <c r="O216" i="1"/>
  <c r="J216" i="1"/>
  <c r="J216" i="5" s="1"/>
  <c r="N216" i="1"/>
  <c r="O204" i="1"/>
  <c r="J204" i="1"/>
  <c r="J204" i="5" s="1"/>
  <c r="N204" i="1"/>
  <c r="O192" i="1"/>
  <c r="J192" i="1"/>
  <c r="J192" i="5" s="1"/>
  <c r="N192" i="1"/>
  <c r="O180" i="1"/>
  <c r="J180" i="1"/>
  <c r="J180" i="5" s="1"/>
  <c r="N180" i="1"/>
  <c r="O168" i="1"/>
  <c r="J168" i="1"/>
  <c r="J168" i="5" s="1"/>
  <c r="N168" i="1"/>
  <c r="O156" i="1"/>
  <c r="J156" i="1"/>
  <c r="J156" i="5" s="1"/>
  <c r="N156" i="1"/>
  <c r="O144" i="1"/>
  <c r="J144" i="1"/>
  <c r="J144" i="5" s="1"/>
  <c r="N144" i="1"/>
  <c r="O132" i="1"/>
  <c r="J132" i="1"/>
  <c r="J132" i="5" s="1"/>
  <c r="N132" i="1"/>
  <c r="O120" i="1"/>
  <c r="J120" i="1"/>
  <c r="J120" i="5" s="1"/>
  <c r="N120" i="1"/>
  <c r="O108" i="1"/>
  <c r="J108" i="1"/>
  <c r="J108" i="5" s="1"/>
  <c r="N108" i="1"/>
  <c r="O96" i="1"/>
  <c r="N96" i="1"/>
  <c r="R96" i="1" s="1"/>
  <c r="Q96" i="5" s="1"/>
  <c r="J96" i="1"/>
  <c r="J96" i="5" s="1"/>
  <c r="O84" i="1"/>
  <c r="N84" i="1"/>
  <c r="R84" i="1" s="1"/>
  <c r="Q84" i="5" s="1"/>
  <c r="J84" i="1"/>
  <c r="J84" i="5" s="1"/>
  <c r="O72" i="1"/>
  <c r="N72" i="1"/>
  <c r="J72" i="1"/>
  <c r="J72" i="5" s="1"/>
  <c r="O60" i="1"/>
  <c r="N60" i="1"/>
  <c r="J60" i="1"/>
  <c r="J60" i="5" s="1"/>
  <c r="O48" i="1"/>
  <c r="N48" i="1"/>
  <c r="R48" i="1" s="1"/>
  <c r="Q48" i="5" s="1"/>
  <c r="J48" i="1"/>
  <c r="J48" i="5" s="1"/>
  <c r="O36" i="1"/>
  <c r="J36" i="1"/>
  <c r="J36" i="5" s="1"/>
  <c r="N36" i="1"/>
  <c r="Y179" i="6"/>
  <c r="Y155" i="6"/>
  <c r="Y119" i="6"/>
  <c r="Y71" i="6"/>
  <c r="Y167" i="6"/>
  <c r="Y83" i="6"/>
  <c r="Y130" i="6"/>
  <c r="Y46" i="6"/>
  <c r="Y70" i="6"/>
  <c r="Y154" i="6"/>
  <c r="Y190" i="6"/>
  <c r="Y183" i="6"/>
  <c r="Y111" i="6"/>
  <c r="Y15" i="6"/>
  <c r="Y147" i="6"/>
  <c r="Y99" i="6"/>
  <c r="Y195" i="6"/>
  <c r="Y27" i="6"/>
  <c r="Y193" i="6"/>
  <c r="Y121" i="6"/>
  <c r="Y109" i="6"/>
  <c r="Y37" i="6"/>
  <c r="Y25" i="6"/>
  <c r="Y13" i="6"/>
  <c r="Y175" i="6"/>
  <c r="Y91" i="6"/>
  <c r="Y55" i="6"/>
  <c r="Y43" i="6"/>
  <c r="Y139" i="6"/>
  <c r="Y127" i="6"/>
  <c r="Y172" i="6"/>
  <c r="Y124" i="6"/>
  <c r="Y40" i="6"/>
  <c r="Y4" i="6"/>
  <c r="Y88" i="6"/>
  <c r="Y165" i="6"/>
  <c r="Y93" i="6"/>
  <c r="Y81" i="6"/>
  <c r="Y9" i="6"/>
  <c r="Y32" i="6"/>
  <c r="Y152" i="6"/>
  <c r="Y177" i="6"/>
  <c r="Y116" i="6"/>
  <c r="Y68" i="6"/>
  <c r="Y180" i="6"/>
  <c r="Y144" i="6"/>
  <c r="Y96" i="6"/>
  <c r="Y60" i="6"/>
  <c r="Y12" i="6"/>
  <c r="Y186" i="6"/>
  <c r="Y102" i="6"/>
  <c r="Y42" i="6"/>
  <c r="Y18" i="6"/>
  <c r="Y126" i="6"/>
  <c r="Y182" i="6"/>
  <c r="Y158" i="6"/>
  <c r="Y98" i="6"/>
  <c r="Y74" i="6"/>
  <c r="Y14" i="6"/>
  <c r="Y149" i="6"/>
  <c r="Y137" i="6"/>
  <c r="Y65" i="6"/>
  <c r="Y53" i="6"/>
  <c r="Y188" i="6"/>
  <c r="Y160" i="6"/>
  <c r="Y132" i="6"/>
  <c r="Y104" i="6"/>
  <c r="Y76" i="6"/>
  <c r="Y48" i="6"/>
  <c r="Y20" i="6"/>
  <c r="Y184" i="6"/>
  <c r="Y156" i="6"/>
  <c r="Y128" i="6"/>
  <c r="Y100" i="6"/>
  <c r="Y72" i="6"/>
  <c r="Y44" i="6"/>
  <c r="Y16" i="6"/>
  <c r="Y151" i="6"/>
  <c r="Y123" i="6"/>
  <c r="Y95" i="6"/>
  <c r="Y67" i="6"/>
  <c r="Y178" i="6"/>
  <c r="Y150" i="6"/>
  <c r="Y122" i="6"/>
  <c r="Y94" i="6"/>
  <c r="Y66" i="6"/>
  <c r="Y38" i="6"/>
  <c r="Y63" i="6"/>
  <c r="Y35" i="6"/>
  <c r="Y7" i="6"/>
  <c r="Y173" i="6"/>
  <c r="Y145" i="6"/>
  <c r="Y117" i="6"/>
  <c r="Y89" i="6"/>
  <c r="Y61" i="6"/>
  <c r="Y33" i="6"/>
  <c r="Y5" i="6"/>
  <c r="Y2" i="6"/>
  <c r="Y171" i="6"/>
  <c r="Y143" i="6"/>
  <c r="Y115" i="6"/>
  <c r="Y87" i="6"/>
  <c r="Y59" i="6"/>
  <c r="Y31" i="6"/>
  <c r="Y3" i="6"/>
  <c r="Y29" i="6"/>
  <c r="Y194" i="6"/>
  <c r="Y166" i="6"/>
  <c r="Y138" i="6"/>
  <c r="Y110" i="6"/>
  <c r="Y82" i="6"/>
  <c r="Y54" i="6"/>
  <c r="Y26" i="6"/>
  <c r="Y192" i="6"/>
  <c r="Y164" i="6"/>
  <c r="Y136" i="6"/>
  <c r="Y108" i="6"/>
  <c r="Y80" i="6"/>
  <c r="Y52" i="6"/>
  <c r="Y24" i="6"/>
  <c r="Y162" i="6"/>
  <c r="Y134" i="6"/>
  <c r="Y106" i="6"/>
  <c r="Y78" i="6"/>
  <c r="Y189" i="6"/>
  <c r="Y161" i="6"/>
  <c r="Y133" i="6"/>
  <c r="Y105" i="6"/>
  <c r="Y77" i="6"/>
  <c r="Y49" i="6"/>
  <c r="Y21" i="6"/>
  <c r="Y17" i="6"/>
  <c r="Y39" i="6"/>
  <c r="Y11" i="6"/>
  <c r="Y198" i="6"/>
  <c r="Y170" i="6"/>
  <c r="Y142" i="6"/>
  <c r="Y114" i="6"/>
  <c r="Y86" i="6"/>
  <c r="Y58" i="6"/>
  <c r="Y30" i="6"/>
  <c r="Y196" i="6"/>
  <c r="Y168" i="6"/>
  <c r="Y140" i="6"/>
  <c r="Y112" i="6"/>
  <c r="Y84" i="6"/>
  <c r="Y56" i="6"/>
  <c r="Y28" i="6"/>
  <c r="Y50" i="6"/>
  <c r="Y22" i="6"/>
  <c r="Y85" i="6"/>
  <c r="Y191" i="6"/>
  <c r="Y163" i="6"/>
  <c r="Y135" i="6"/>
  <c r="Y107" i="6"/>
  <c r="Y79" i="6"/>
  <c r="Y51" i="6"/>
  <c r="Y23" i="6"/>
  <c r="Y187" i="6"/>
  <c r="Y159" i="6"/>
  <c r="Y131" i="6"/>
  <c r="Y103" i="6"/>
  <c r="Y75" i="6"/>
  <c r="Y47" i="6"/>
  <c r="Y19" i="6"/>
  <c r="Y141" i="6"/>
  <c r="Y41" i="6"/>
  <c r="Y113" i="6"/>
  <c r="Y129" i="6"/>
  <c r="Y125" i="6"/>
  <c r="Y57" i="6"/>
  <c r="Y185" i="6"/>
  <c r="Y10" i="6"/>
  <c r="Y197" i="6"/>
  <c r="Y101" i="6"/>
  <c r="Y73" i="6"/>
  <c r="Y45" i="6"/>
  <c r="Y181" i="6"/>
  <c r="Y153" i="6"/>
  <c r="Y97" i="6"/>
  <c r="Y69" i="6"/>
  <c r="Y176" i="6"/>
  <c r="Y148" i="6"/>
  <c r="Y120" i="6"/>
  <c r="Y92" i="6"/>
  <c r="Y64" i="6"/>
  <c r="Y36" i="6"/>
  <c r="Y8" i="6"/>
  <c r="Y157" i="6"/>
  <c r="Y169" i="6"/>
  <c r="Y174" i="6"/>
  <c r="Y146" i="6"/>
  <c r="Y118" i="6"/>
  <c r="Y90" i="6"/>
  <c r="Y62" i="6"/>
  <c r="Y34" i="6"/>
  <c r="Y6" i="6"/>
  <c r="R120" i="1" l="1"/>
  <c r="Q120" i="5" s="1"/>
  <c r="R168" i="1"/>
  <c r="Q168" i="5" s="1"/>
  <c r="R216" i="1"/>
  <c r="Q216" i="5" s="1"/>
  <c r="R264" i="1"/>
  <c r="Q264" i="5" s="1"/>
  <c r="R312" i="1"/>
  <c r="Q312" i="5" s="1"/>
  <c r="R7" i="1"/>
  <c r="Q7" i="5" s="1"/>
  <c r="R98" i="1"/>
  <c r="Q98" i="5" s="1"/>
  <c r="R194" i="1"/>
  <c r="Q194" i="5" s="1"/>
  <c r="R423" i="1"/>
  <c r="Q423" i="5" s="1"/>
  <c r="R73" i="1"/>
  <c r="Q73" i="5" s="1"/>
  <c r="R72" i="1"/>
  <c r="Q72" i="5" s="1"/>
  <c r="R69" i="1"/>
  <c r="Q69" i="5" s="1"/>
  <c r="R117" i="1"/>
  <c r="Q117" i="5" s="1"/>
  <c r="R165" i="1"/>
  <c r="Q165" i="5" s="1"/>
  <c r="R213" i="1"/>
  <c r="Q213" i="5" s="1"/>
  <c r="R261" i="1"/>
  <c r="Q261" i="5" s="1"/>
  <c r="R309" i="1"/>
  <c r="Q309" i="5" s="1"/>
  <c r="R142" i="1"/>
  <c r="Q142" i="5" s="1"/>
  <c r="R190" i="1"/>
  <c r="Q190" i="5" s="1"/>
  <c r="R238" i="1"/>
  <c r="Q238" i="5" s="1"/>
  <c r="R286" i="1"/>
  <c r="Q286" i="5" s="1"/>
  <c r="R334" i="1"/>
  <c r="Q334" i="5" s="1"/>
  <c r="R382" i="1"/>
  <c r="Q382" i="5" s="1"/>
  <c r="R431" i="1"/>
  <c r="Q431" i="5" s="1"/>
  <c r="R299" i="1"/>
  <c r="Q299" i="5" s="1"/>
  <c r="R36" i="1"/>
  <c r="Q36" i="5" s="1"/>
  <c r="R132" i="1"/>
  <c r="Q132" i="5" s="1"/>
  <c r="R180" i="1"/>
  <c r="Q180" i="5" s="1"/>
  <c r="R228" i="1"/>
  <c r="Q228" i="5" s="1"/>
  <c r="R276" i="1"/>
  <c r="Q276" i="5" s="1"/>
  <c r="R324" i="1"/>
  <c r="Q324" i="5" s="1"/>
  <c r="R369" i="1"/>
  <c r="Q369" i="5" s="1"/>
  <c r="R418" i="1"/>
  <c r="Q418" i="5" s="1"/>
  <c r="R383" i="1"/>
  <c r="Q383" i="5" s="1"/>
  <c r="R94" i="1"/>
  <c r="Q94" i="5" s="1"/>
  <c r="R71" i="1"/>
  <c r="Q71" i="5" s="1"/>
  <c r="R326" i="1"/>
  <c r="Q326" i="5" s="1"/>
  <c r="R145" i="1"/>
  <c r="Q145" i="5" s="1"/>
  <c r="R193" i="1"/>
  <c r="Q193" i="5" s="1"/>
  <c r="R289" i="1"/>
  <c r="Q289" i="5" s="1"/>
  <c r="R384" i="1"/>
  <c r="Q384" i="5" s="1"/>
  <c r="R433" i="1"/>
  <c r="Q433" i="5" s="1"/>
  <c r="R241" i="1"/>
  <c r="Q241" i="5" s="1"/>
  <c r="R144" i="1"/>
  <c r="Q144" i="5" s="1"/>
  <c r="R192" i="1"/>
  <c r="Q192" i="5" s="1"/>
  <c r="R240" i="1"/>
  <c r="Q240" i="5" s="1"/>
  <c r="R288" i="1"/>
  <c r="Q288" i="5" s="1"/>
  <c r="R50" i="1"/>
  <c r="Q50" i="5" s="1"/>
  <c r="R146" i="1"/>
  <c r="Q146" i="5" s="1"/>
  <c r="R242" i="1"/>
  <c r="Q242" i="5" s="1"/>
  <c r="R49" i="1"/>
  <c r="Q49" i="5" s="1"/>
  <c r="R97" i="1"/>
  <c r="Q97" i="5" s="1"/>
  <c r="R93" i="1"/>
  <c r="Q93" i="5" s="1"/>
  <c r="R141" i="1"/>
  <c r="Q141" i="5" s="1"/>
  <c r="R189" i="1"/>
  <c r="Q189" i="5" s="1"/>
  <c r="R237" i="1"/>
  <c r="Q237" i="5" s="1"/>
  <c r="R285" i="1"/>
  <c r="Q285" i="5" s="1"/>
  <c r="R59" i="1"/>
  <c r="Q59" i="5" s="1"/>
  <c r="R314" i="1"/>
  <c r="Q314" i="5" s="1"/>
  <c r="R58" i="1"/>
  <c r="Q58" i="5" s="1"/>
  <c r="R396" i="1"/>
  <c r="Q396" i="5" s="1"/>
  <c r="R445" i="1"/>
  <c r="Q445" i="5" s="1"/>
  <c r="R301" i="1"/>
  <c r="Q301" i="5" s="1"/>
  <c r="R199" i="1"/>
  <c r="Q199" i="5" s="1"/>
  <c r="R247" i="1"/>
  <c r="Q247" i="5" s="1"/>
  <c r="R295" i="1"/>
  <c r="Q295" i="5" s="1"/>
  <c r="R343" i="1"/>
  <c r="Q343" i="5" s="1"/>
  <c r="R391" i="1"/>
  <c r="Q391" i="5" s="1"/>
  <c r="R6" i="1"/>
  <c r="Q6" i="5" s="1"/>
  <c r="R45" i="1"/>
  <c r="Q45" i="5" s="1"/>
  <c r="R348" i="1"/>
  <c r="Q348" i="5" s="1"/>
  <c r="R157" i="1"/>
  <c r="Q157" i="5" s="1"/>
  <c r="R205" i="1"/>
  <c r="Q205" i="5" s="1"/>
  <c r="R253" i="1"/>
  <c r="Q253" i="5" s="1"/>
  <c r="R108" i="1"/>
  <c r="Q108" i="5" s="1"/>
  <c r="R156" i="1"/>
  <c r="Q156" i="5" s="1"/>
  <c r="R204" i="1"/>
  <c r="Q204" i="5" s="1"/>
  <c r="R252" i="1"/>
  <c r="Q252" i="5" s="1"/>
  <c r="R300" i="1"/>
  <c r="Q300" i="5" s="1"/>
  <c r="R74" i="1"/>
  <c r="Q74" i="5" s="1"/>
  <c r="R345" i="1"/>
  <c r="Q345" i="5" s="1"/>
  <c r="R393" i="1"/>
  <c r="Q393" i="5" s="1"/>
  <c r="R442" i="1"/>
  <c r="Q442" i="5" s="1"/>
  <c r="R167" i="1"/>
  <c r="Q167" i="5" s="1"/>
  <c r="R207" i="1"/>
  <c r="Q207" i="5" s="1"/>
  <c r="R255" i="1"/>
  <c r="Q255" i="5" s="1"/>
  <c r="R303" i="1"/>
  <c r="Q303" i="5" s="1"/>
  <c r="R23" i="1"/>
  <c r="Q23" i="5" s="1"/>
  <c r="R429" i="1"/>
  <c r="Q429" i="5" s="1"/>
  <c r="R432" i="1"/>
  <c r="Q432" i="5" s="1"/>
  <c r="R13" i="1"/>
  <c r="Q13" i="5" s="1"/>
  <c r="R152" i="1"/>
  <c r="Q152" i="5" s="1"/>
  <c r="R417" i="1"/>
  <c r="Q417" i="5" s="1"/>
  <c r="R420" i="1"/>
  <c r="Q420" i="5" s="1"/>
  <c r="R308" i="1"/>
  <c r="Q308" i="5" s="1"/>
  <c r="R251" i="1"/>
  <c r="Q251" i="5" s="1"/>
  <c r="R404" i="1"/>
  <c r="Q404" i="5" s="1"/>
  <c r="R452" i="1"/>
  <c r="Q452" i="5" s="1"/>
  <c r="R405" i="1"/>
  <c r="Q405" i="5" s="1"/>
  <c r="R371" i="1"/>
  <c r="Q371" i="5" s="1"/>
  <c r="R92" i="1"/>
  <c r="Q92" i="5" s="1"/>
  <c r="R140" i="1"/>
  <c r="Q140" i="5" s="1"/>
  <c r="R392" i="1"/>
  <c r="Q392" i="5" s="1"/>
  <c r="R155" i="1"/>
  <c r="Q155" i="5" s="1"/>
  <c r="R358" i="1"/>
  <c r="Q358" i="5" s="1"/>
  <c r="R407" i="1"/>
  <c r="Q407" i="5" s="1"/>
  <c r="R287" i="1"/>
  <c r="Q287" i="5" s="1"/>
  <c r="R19" i="1"/>
  <c r="Q19" i="5" s="1"/>
  <c r="R122" i="1"/>
  <c r="Q122" i="5" s="1"/>
  <c r="R218" i="1"/>
  <c r="Q218" i="5" s="1"/>
  <c r="R85" i="1"/>
  <c r="Q85" i="5" s="1"/>
  <c r="R422" i="1"/>
  <c r="Q422" i="5" s="1"/>
  <c r="R110" i="1"/>
  <c r="Q110" i="5" s="1"/>
  <c r="R206" i="1"/>
  <c r="Q206" i="5" s="1"/>
  <c r="R75" i="1"/>
  <c r="Q75" i="5" s="1"/>
  <c r="R123" i="1"/>
  <c r="Q123" i="5" s="1"/>
  <c r="R171" i="1"/>
  <c r="Q171" i="5" s="1"/>
  <c r="R219" i="1"/>
  <c r="Q219" i="5" s="1"/>
  <c r="R267" i="1"/>
  <c r="Q267" i="5" s="1"/>
  <c r="R315" i="1"/>
  <c r="Q315" i="5" s="1"/>
  <c r="R363" i="1"/>
  <c r="Q363" i="5" s="1"/>
  <c r="R412" i="1"/>
  <c r="Q412" i="5" s="1"/>
  <c r="R376" i="1"/>
  <c r="Q376" i="5" s="1"/>
  <c r="R374" i="1"/>
  <c r="Q374" i="5" s="1"/>
  <c r="R64" i="1"/>
  <c r="Q64" i="5" s="1"/>
  <c r="R112" i="1"/>
  <c r="Q112" i="5" s="1"/>
  <c r="R160" i="1"/>
  <c r="Q160" i="5" s="1"/>
  <c r="R208" i="1"/>
  <c r="Q208" i="5" s="1"/>
  <c r="R256" i="1"/>
  <c r="Q256" i="5" s="1"/>
  <c r="R304" i="1"/>
  <c r="Q304" i="5" s="1"/>
  <c r="R388" i="1"/>
  <c r="Q388" i="5" s="1"/>
  <c r="R53" i="1"/>
  <c r="Q53" i="5" s="1"/>
  <c r="R101" i="1"/>
  <c r="Q101" i="5" s="1"/>
  <c r="R149" i="1"/>
  <c r="Q149" i="5" s="1"/>
  <c r="R197" i="1"/>
  <c r="Q197" i="5" s="1"/>
  <c r="R245" i="1"/>
  <c r="Q245" i="5" s="1"/>
  <c r="R293" i="1"/>
  <c r="Q293" i="5" s="1"/>
  <c r="R341" i="1"/>
  <c r="Q341" i="5" s="1"/>
  <c r="R389" i="1"/>
  <c r="Q389" i="5" s="1"/>
  <c r="R438" i="1"/>
  <c r="Q438" i="5" s="1"/>
  <c r="R366" i="1"/>
  <c r="Q366" i="5" s="1"/>
  <c r="R54" i="1"/>
  <c r="Q54" i="5" s="1"/>
  <c r="R102" i="1"/>
  <c r="Q102" i="5" s="1"/>
  <c r="R150" i="1"/>
  <c r="Q150" i="5" s="1"/>
  <c r="R198" i="1"/>
  <c r="Q198" i="5" s="1"/>
  <c r="R246" i="1"/>
  <c r="Q246" i="5" s="1"/>
  <c r="R294" i="1"/>
  <c r="Q294" i="5" s="1"/>
  <c r="R342" i="1"/>
  <c r="Q342" i="5" s="1"/>
  <c r="R427" i="1"/>
  <c r="Q427" i="5" s="1"/>
  <c r="R435" i="1"/>
  <c r="Q435" i="5" s="1"/>
  <c r="R67" i="1"/>
  <c r="Q67" i="5" s="1"/>
  <c r="R115" i="1"/>
  <c r="Q115" i="5" s="1"/>
  <c r="R163" i="1"/>
  <c r="Q163" i="5" s="1"/>
  <c r="R211" i="1"/>
  <c r="Q211" i="5" s="1"/>
  <c r="R259" i="1"/>
  <c r="Q259" i="5" s="1"/>
  <c r="R307" i="1"/>
  <c r="Q307" i="5" s="1"/>
  <c r="R355" i="1"/>
  <c r="Q355" i="5" s="1"/>
  <c r="R44" i="1"/>
  <c r="Q44" i="5" s="1"/>
  <c r="R447" i="1"/>
  <c r="Q447" i="5" s="1"/>
  <c r="R70" i="1"/>
  <c r="Q70" i="5" s="1"/>
  <c r="R5" i="1"/>
  <c r="Q5" i="5" s="1"/>
  <c r="R83" i="1"/>
  <c r="Q83" i="5" s="1"/>
  <c r="R350" i="1"/>
  <c r="Q350" i="5" s="1"/>
  <c r="R368" i="1"/>
  <c r="Q368" i="5" s="1"/>
  <c r="R335" i="1"/>
  <c r="Q335" i="5" s="1"/>
  <c r="R284" i="1"/>
  <c r="Q284" i="5" s="1"/>
  <c r="R215" i="1"/>
  <c r="Q215" i="5" s="1"/>
  <c r="R60" i="1"/>
  <c r="Q60" i="5" s="1"/>
  <c r="R170" i="1"/>
  <c r="Q170" i="5" s="1"/>
  <c r="R302" i="1"/>
  <c r="Q302" i="5" s="1"/>
  <c r="R61" i="1"/>
  <c r="Q61" i="5" s="1"/>
  <c r="R109" i="1"/>
  <c r="Q109" i="5" s="1"/>
  <c r="R446" i="1"/>
  <c r="Q446" i="5" s="1"/>
  <c r="R62" i="1"/>
  <c r="Q62" i="5" s="1"/>
  <c r="R158" i="1"/>
  <c r="Q158" i="5" s="1"/>
  <c r="R254" i="1"/>
  <c r="Q254" i="5" s="1"/>
  <c r="R51" i="1"/>
  <c r="Q51" i="5" s="1"/>
  <c r="R99" i="1"/>
  <c r="Q99" i="5" s="1"/>
  <c r="R147" i="1"/>
  <c r="Q147" i="5" s="1"/>
  <c r="R195" i="1"/>
  <c r="Q195" i="5" s="1"/>
  <c r="R243" i="1"/>
  <c r="Q243" i="5" s="1"/>
  <c r="R291" i="1"/>
  <c r="Q291" i="5" s="1"/>
  <c r="R339" i="1"/>
  <c r="Q339" i="5" s="1"/>
  <c r="R387" i="1"/>
  <c r="Q387" i="5" s="1"/>
  <c r="R436" i="1"/>
  <c r="Q436" i="5" s="1"/>
  <c r="R328" i="1"/>
  <c r="Q328" i="5" s="1"/>
  <c r="R425" i="1"/>
  <c r="Q425" i="5" s="1"/>
  <c r="R40" i="1"/>
  <c r="Q40" i="5" s="1"/>
  <c r="R88" i="1"/>
  <c r="Q88" i="5" s="1"/>
  <c r="R136" i="1"/>
  <c r="Q136" i="5" s="1"/>
  <c r="R184" i="1"/>
  <c r="Q184" i="5" s="1"/>
  <c r="R232" i="1"/>
  <c r="Q232" i="5" s="1"/>
  <c r="R280" i="1"/>
  <c r="Q280" i="5" s="1"/>
  <c r="R340" i="1"/>
  <c r="Q340" i="5" s="1"/>
  <c r="R437" i="1"/>
  <c r="Q437" i="5" s="1"/>
  <c r="R78" i="1"/>
  <c r="Q78" i="5" s="1"/>
  <c r="R126" i="1"/>
  <c r="Q126" i="5" s="1"/>
  <c r="R174" i="1"/>
  <c r="Q174" i="5" s="1"/>
  <c r="R222" i="1"/>
  <c r="Q222" i="5" s="1"/>
  <c r="R270" i="1"/>
  <c r="Q270" i="5" s="1"/>
  <c r="R318" i="1"/>
  <c r="Q318" i="5" s="1"/>
  <c r="R187" i="1"/>
  <c r="Q187" i="5" s="1"/>
  <c r="R235" i="1"/>
  <c r="Q235" i="5" s="1"/>
  <c r="R283" i="1"/>
  <c r="Q283" i="5" s="1"/>
  <c r="R331" i="1"/>
  <c r="Q331" i="5" s="1"/>
  <c r="R379" i="1"/>
  <c r="Q379" i="5" s="1"/>
  <c r="R4" i="1"/>
  <c r="Q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tc={46DC25DF-213E-4B2F-AA13-BE2271C7A78A}</author>
  </authors>
  <commentList>
    <comment ref="M529" authorId="0" shapeId="0" xr:uid="{46DC25DF-213E-4B2F-AA13-BE2271C7A7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tc={800E750F-FCE6-482F-9588-63D00F45DEB1}</author>
    <author>tc={14D55C86-C1CA-4EC7-A4B5-503F5DC20AEC}</author>
  </authors>
  <commentList>
    <comment ref="D1" authorId="0" shapeId="0" xr:uid="{800E750F-FCE6-482F-9588-63D00F45DE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Preenchimento deve ser realizado em graus decimais.
</t>
      </text>
    </comment>
    <comment ref="H121" authorId="1" shapeId="0" xr:uid="{14D55C86-C1CA-4EC7-A4B5-503F5DC20A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CANTA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881B9-B03C-47B5-8B96-0229B265CC38}" keepAlive="1" name="Consulta - T_ObrasRegistradas" description="Conexão com a consulta 'T_ObrasRegistradas' na pasta de trabalho." type="5" refreshedVersion="8" background="1" saveData="1">
    <dbPr connection="Provider=Microsoft.Mashup.OleDb.1;Data Source=$Workbook$;Location=T_ObrasRegistradas;Extended Properties=&quot;&quot;" command="SELECT * FROM [T_ObrasRegistradas]"/>
  </connection>
</connections>
</file>

<file path=xl/sharedStrings.xml><?xml version="1.0" encoding="utf-8"?>
<sst xmlns="http://schemas.openxmlformats.org/spreadsheetml/2006/main" count="18956" uniqueCount="7039">
  <si>
    <t>Rede\Sistema Amostral\DocumentacaoPDF</t>
  </si>
  <si>
    <t>CONTA CONTRATO</t>
  </si>
  <si>
    <t>MUNICÍPIO</t>
  </si>
  <si>
    <t>Data
Inicio</t>
  </si>
  <si>
    <t>Data
Fim</t>
  </si>
  <si>
    <t>Custo</t>
  </si>
  <si>
    <t>Grupo</t>
  </si>
  <si>
    <t>Tipo_zona</t>
  </si>
  <si>
    <t>Status_ocup</t>
  </si>
  <si>
    <t>Latitude_Mun</t>
  </si>
  <si>
    <t>Longitude_Mun</t>
  </si>
  <si>
    <t>Latitude_UC</t>
  </si>
  <si>
    <t>Longitude_UC</t>
  </si>
  <si>
    <t>KM</t>
  </si>
  <si>
    <t>ENBPar</t>
  </si>
  <si>
    <t>*fonte: IBGE - Índice de Nomes Geográficos Macapá</t>
  </si>
  <si>
    <t>ODI</t>
  </si>
  <si>
    <t>Municipio</t>
  </si>
  <si>
    <t>SIGFI</t>
  </si>
  <si>
    <t>RORAIMA ENERGIA 1ª Tranche</t>
  </si>
  <si>
    <t>MLA256007</t>
  </si>
  <si>
    <t>MLA256002</t>
  </si>
  <si>
    <t>MLA246028</t>
  </si>
  <si>
    <t>MLA246027</t>
  </si>
  <si>
    <t>MLA246026</t>
  </si>
  <si>
    <t>MLA246025</t>
  </si>
  <si>
    <t>MLA246024</t>
  </si>
  <si>
    <t>MLA256006</t>
  </si>
  <si>
    <t>MLA256005</t>
  </si>
  <si>
    <t>MLA256004</t>
  </si>
  <si>
    <t>MLA256003</t>
  </si>
  <si>
    <t>MLA256001</t>
  </si>
  <si>
    <t>MLA256000</t>
  </si>
  <si>
    <t>MLA246032</t>
  </si>
  <si>
    <t>MLA246031</t>
  </si>
  <si>
    <t>MLA246030</t>
  </si>
  <si>
    <t>MLA246029</t>
  </si>
  <si>
    <t>MLA246023</t>
  </si>
  <si>
    <t>MLA246022</t>
  </si>
  <si>
    <t>MLA246021</t>
  </si>
  <si>
    <t>MLA246020</t>
  </si>
  <si>
    <t>MLA246019</t>
  </si>
  <si>
    <t>MLA246018</t>
  </si>
  <si>
    <t>MLA246017</t>
  </si>
  <si>
    <t>MLA246016</t>
  </si>
  <si>
    <t>MLA246015</t>
  </si>
  <si>
    <t>MLA246014</t>
  </si>
  <si>
    <t>MLA246013</t>
  </si>
  <si>
    <t>MLA246011</t>
  </si>
  <si>
    <t>MLA246008</t>
  </si>
  <si>
    <t>MLA246006</t>
  </si>
  <si>
    <t>MLA246004</t>
  </si>
  <si>
    <t>MLA246003</t>
  </si>
  <si>
    <t>MLA246002</t>
  </si>
  <si>
    <t>MLA246012</t>
  </si>
  <si>
    <t>MLA246010</t>
  </si>
  <si>
    <t>MLA246009</t>
  </si>
  <si>
    <t>MLA246007</t>
  </si>
  <si>
    <t>MLA246005</t>
  </si>
  <si>
    <t>MLA246001</t>
  </si>
  <si>
    <t>MLA246000</t>
  </si>
  <si>
    <t>MLA236005</t>
  </si>
  <si>
    <t>MLA236003</t>
  </si>
  <si>
    <t>MLA236002</t>
  </si>
  <si>
    <t>MLA236011</t>
  </si>
  <si>
    <t>MLA236010</t>
  </si>
  <si>
    <t>MLA236009</t>
  </si>
  <si>
    <t>MLA236008</t>
  </si>
  <si>
    <t>MLA236007</t>
  </si>
  <si>
    <t>MLA236004</t>
  </si>
  <si>
    <t>MLA236001</t>
  </si>
  <si>
    <t>MLA236000</t>
  </si>
  <si>
    <t>CARACARAÍ</t>
  </si>
  <si>
    <t>RORAINÓPOLIS</t>
  </si>
  <si>
    <t>ALTO ALEGRE</t>
  </si>
  <si>
    <t>MUCAJAÍ</t>
  </si>
  <si>
    <t>AMAJARÍ</t>
  </si>
  <si>
    <t>IRACEMA</t>
  </si>
  <si>
    <t>SIGFI 80</t>
  </si>
  <si>
    <t>SIGFI 160</t>
  </si>
  <si>
    <t>SIGFI / 80W</t>
  </si>
  <si>
    <t>UF</t>
  </si>
  <si>
    <t>COD. UF</t>
  </si>
  <si>
    <t>COD. MUNIC</t>
  </si>
  <si>
    <t>CD_GEOCODM</t>
  </si>
  <si>
    <t>NOME DO MUNICÍPIO</t>
  </si>
  <si>
    <t>POPULAÇÃO ESTIMADA</t>
  </si>
  <si>
    <t>LAT</t>
  </si>
  <si>
    <t>LONG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</si>
  <si>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</si>
  <si>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</si>
  <si>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</si>
  <si>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</si>
  <si>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</si>
  <si>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</si>
  <si>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</si>
  <si>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</si>
  <si>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</si>
  <si>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</si>
  <si>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</si>
  <si>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</si>
  <si>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</si>
  <si>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</si>
  <si>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</si>
  <si>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</si>
  <si>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</si>
  <si>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</si>
  <si>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</si>
  <si>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</si>
  <si>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</si>
  <si>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</si>
  <si>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</si>
  <si>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</si>
  <si>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</si>
  <si>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</si>
  <si>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</si>
  <si>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</si>
  <si>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</si>
  <si>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</si>
  <si>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</si>
  <si>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Projeto</t>
  </si>
  <si>
    <t>Localidade</t>
  </si>
  <si>
    <t>Data_Inicio</t>
  </si>
  <si>
    <t>Data_Fim</t>
  </si>
  <si>
    <t>Data_Recebimento</t>
  </si>
  <si>
    <t>Custo_ODI</t>
  </si>
  <si>
    <t>Tipo_Sist</t>
  </si>
  <si>
    <t>Quant_Cons</t>
  </si>
  <si>
    <t>Quant_Kits</t>
  </si>
  <si>
    <t>Quant_SIGFI</t>
  </si>
  <si>
    <t>Quant_MIGDI</t>
  </si>
  <si>
    <t>Quant_Poste</t>
  </si>
  <si>
    <t>Quant_Rede</t>
  </si>
  <si>
    <t>Quant_Padrao</t>
  </si>
  <si>
    <t>Lote</t>
  </si>
  <si>
    <t>PAOC</t>
  </si>
  <si>
    <t>Quant_Paineis</t>
  </si>
  <si>
    <t>Potencia_Total</t>
  </si>
  <si>
    <t>Disp_D</t>
  </si>
  <si>
    <t>Disp_E</t>
  </si>
  <si>
    <t>lat</t>
  </si>
  <si>
    <t>long</t>
  </si>
  <si>
    <t>UC</t>
  </si>
  <si>
    <t>Município</t>
  </si>
  <si>
    <t>Custo(R$)</t>
  </si>
  <si>
    <t>Cons.</t>
  </si>
  <si>
    <t>Kit</t>
  </si>
  <si>
    <t>Regional</t>
  </si>
  <si>
    <t>Poste</t>
  </si>
  <si>
    <t>Rede AT
km</t>
  </si>
  <si>
    <t>Rede BT
km</t>
  </si>
  <si>
    <t>Medidor</t>
  </si>
  <si>
    <t>Trafo</t>
  </si>
  <si>
    <t>Equip.</t>
  </si>
  <si>
    <t>VR</t>
  </si>
  <si>
    <t>LOCALIDADE</t>
  </si>
  <si>
    <t>NOME DO CONSUMIDOR</t>
  </si>
  <si>
    <t>TIPO SIGFI</t>
  </si>
  <si>
    <t>LATITUDE</t>
  </si>
  <si>
    <t>LONGITUDE</t>
  </si>
  <si>
    <t>VILA SACAÍ</t>
  </si>
  <si>
    <t>VILA CACHOEIRINHA</t>
  </si>
  <si>
    <t>VILA REMANSO</t>
  </si>
  <si>
    <t>VILA XIXUAU</t>
  </si>
  <si>
    <t>VILA ITAQUERA</t>
  </si>
  <si>
    <t>-61.92213</t>
  </si>
  <si>
    <t>JUCINEIDE DA SILVA GARCIA</t>
  </si>
  <si>
    <t>-61.58354</t>
  </si>
  <si>
    <t>-61.92227</t>
  </si>
  <si>
    <t>-61.58519</t>
  </si>
  <si>
    <t>LEANDRO BRAGA DE LIMA</t>
  </si>
  <si>
    <t>-1.387503</t>
  </si>
  <si>
    <t>-61.73025</t>
  </si>
  <si>
    <t>VILA SÃO PEDRO</t>
  </si>
  <si>
    <t>ROZIEL PERES DA COSTA</t>
  </si>
  <si>
    <t>-1.073538</t>
  </si>
  <si>
    <t>-61.54687</t>
  </si>
  <si>
    <t>PALIMIÚ</t>
  </si>
  <si>
    <t>FUNDACAO NACIONAL DOS POVOS INDIGENAS - FUNAI</t>
  </si>
  <si>
    <t>3.3337429</t>
  </si>
  <si>
    <t>-62.97158</t>
  </si>
  <si>
    <t>SERRA DA ESTRUTURA</t>
  </si>
  <si>
    <t>2.497361</t>
  </si>
  <si>
    <t>-62.89347</t>
  </si>
  <si>
    <t>COM IND HOKOLASIMU</t>
  </si>
  <si>
    <t>MINISTERIO DA SAUDE</t>
  </si>
  <si>
    <t>3.870918</t>
  </si>
  <si>
    <t>-64.44427</t>
  </si>
  <si>
    <t>COM IND KATAROA</t>
  </si>
  <si>
    <t xml:space="preserve">  2.95595</t>
  </si>
  <si>
    <t>-63.88985</t>
  </si>
  <si>
    <t>UXIU</t>
  </si>
  <si>
    <t>2.4223101</t>
  </si>
  <si>
    <t>-62.40729</t>
  </si>
  <si>
    <t>VILA CANAUANI</t>
  </si>
  <si>
    <t>RAINEY BARROZO DOS SANTOS</t>
  </si>
  <si>
    <t>-0.988090</t>
  </si>
  <si>
    <t>-61.92589</t>
  </si>
  <si>
    <t>FRANCISCO DE SOUZA LOPES</t>
  </si>
  <si>
    <t>-1.175341</t>
  </si>
  <si>
    <t>-61.90549</t>
  </si>
  <si>
    <t>VILA PANACARICA</t>
  </si>
  <si>
    <t>GESSICA KAROLINE SOUZA</t>
  </si>
  <si>
    <t>-1.370060</t>
  </si>
  <si>
    <t>-61.88010</t>
  </si>
  <si>
    <t>MARIA DO SOCORRO CUNHA DA SILVA</t>
  </si>
  <si>
    <t>-1.382238</t>
  </si>
  <si>
    <t>-61.73053</t>
  </si>
  <si>
    <t>VILA TANAUAU</t>
  </si>
  <si>
    <t>SILVANA CASTRO TORRES</t>
  </si>
  <si>
    <t>-1.341443</t>
  </si>
  <si>
    <t>-61.57891</t>
  </si>
  <si>
    <t>VILA MIRAIBA</t>
  </si>
  <si>
    <t>MARIA OLÍVIA ARAÚJO BENTES</t>
  </si>
  <si>
    <t>-1.335062</t>
  </si>
  <si>
    <t>-61.63199</t>
  </si>
  <si>
    <t>VILA XXUAU</t>
  </si>
  <si>
    <t>FADSON BARROSO HORTA</t>
  </si>
  <si>
    <t>-0.795157</t>
  </si>
  <si>
    <t>-61.55733</t>
  </si>
  <si>
    <t>MARCOS VIEIRA DE FREITAS</t>
  </si>
  <si>
    <t>-0.753965</t>
  </si>
  <si>
    <t>-61.86372</t>
  </si>
  <si>
    <t>VILA SANTA MARIA DO BOIAÇU</t>
  </si>
  <si>
    <t>RAIMUNDO DA SILVA SANTOS</t>
  </si>
  <si>
    <t>-0.546109</t>
  </si>
  <si>
    <t>-61.79483</t>
  </si>
  <si>
    <t>VILA CACHOEIRINHA - RAMAL FLEXAL</t>
  </si>
  <si>
    <t>LAIDE DE SOUZA</t>
  </si>
  <si>
    <t>-1.164342</t>
  </si>
  <si>
    <t>-61.91023</t>
  </si>
  <si>
    <t>ALDEIA URARICUERA</t>
  </si>
  <si>
    <t>3.1452653</t>
  </si>
  <si>
    <t>-62.23040</t>
  </si>
  <si>
    <t>MISSÃO KATRIMANE</t>
  </si>
  <si>
    <t>1.7395013</t>
  </si>
  <si>
    <t>-62.28664</t>
  </si>
  <si>
    <t>VILA REMANSO_FLUTUANTE</t>
  </si>
  <si>
    <t>DANIEL TAVARES DA SILVA</t>
  </si>
  <si>
    <t>-1.384526</t>
  </si>
  <si>
    <t>-61.73676</t>
  </si>
  <si>
    <t>OLOMAI</t>
  </si>
  <si>
    <t>3.9279408</t>
  </si>
  <si>
    <t>-64.18627</t>
  </si>
  <si>
    <t>AUARIS</t>
  </si>
  <si>
    <t>4.0059195</t>
  </si>
  <si>
    <t>-64.50174</t>
  </si>
  <si>
    <t>MALOCA PAAPIU</t>
  </si>
  <si>
    <t>2.6669439</t>
  </si>
  <si>
    <t>-63.16056</t>
  </si>
  <si>
    <t>XITEI</t>
  </si>
  <si>
    <t>2.6069524</t>
  </si>
  <si>
    <t>-63.87137</t>
  </si>
  <si>
    <t>WAPUTHA</t>
  </si>
  <si>
    <t>2.9875252</t>
  </si>
  <si>
    <t>-63.71526</t>
  </si>
  <si>
    <t>SURUCUCU</t>
  </si>
  <si>
    <t>2.8366961</t>
  </si>
  <si>
    <t>-63.64196</t>
  </si>
  <si>
    <t>STA MARIA VELHA</t>
  </si>
  <si>
    <t>PEDRO DOS SANTOS SOUZA</t>
  </si>
  <si>
    <t>-0.544282</t>
  </si>
  <si>
    <t>-61.79702</t>
  </si>
  <si>
    <t>KOREKOREMA-Ú</t>
  </si>
  <si>
    <t>POSTO DE SAÚDE</t>
  </si>
  <si>
    <t>3.2349133</t>
  </si>
  <si>
    <t>-62.59872</t>
  </si>
  <si>
    <t>SECRETARIA MUNICIPAL DE EDUCACAO SEMED - CASA DE APOIO</t>
  </si>
  <si>
    <t>-1.339484</t>
  </si>
  <si>
    <t>-61.58121</t>
  </si>
  <si>
    <t>MARCONDES DA SILVA GOMES</t>
  </si>
  <si>
    <t>-1.318375</t>
  </si>
  <si>
    <t>-61.62191</t>
  </si>
  <si>
    <t>VILA BELA VISTA</t>
  </si>
  <si>
    <t>SEBASTIANA SOARES DA SILVA</t>
  </si>
  <si>
    <t>-1.291473</t>
  </si>
  <si>
    <t>-61.63615</t>
  </si>
  <si>
    <t>VILA SANTA MARIA BOIAÇU</t>
  </si>
  <si>
    <t>PEDRO DE OLIVEIRA DA SILVA</t>
  </si>
  <si>
    <t>-0.526567</t>
  </si>
  <si>
    <t>-61.79562</t>
  </si>
  <si>
    <t>VILA LAGO GRANDE</t>
  </si>
  <si>
    <t>FABRICIO LOPES DA SILVA</t>
  </si>
  <si>
    <t>-0.890160</t>
  </si>
  <si>
    <t>-61.92230</t>
  </si>
  <si>
    <t>EUDIANNE OLIVEIRA DE SOUZA</t>
  </si>
  <si>
    <t>-1.170833</t>
  </si>
  <si>
    <t>-61.90897</t>
  </si>
  <si>
    <t>VILA CAICUBI</t>
  </si>
  <si>
    <t>IRAILDES DA COSTA FERREIRA</t>
  </si>
  <si>
    <t>-1.023998</t>
  </si>
  <si>
    <t>-62.09073</t>
  </si>
  <si>
    <t>VANESSA COSTA DA SILVA</t>
  </si>
  <si>
    <t>-1.116129</t>
  </si>
  <si>
    <t>-61.58085</t>
  </si>
  <si>
    <t>VILA SAMAÚMA</t>
  </si>
  <si>
    <t>GILSON MEIRELIS DE LIMA</t>
  </si>
  <si>
    <t>-0.930961</t>
  </si>
  <si>
    <t>VILA FLORESTA</t>
  </si>
  <si>
    <t>CARLOS BARROS MACEDO DAS CHAGAS</t>
  </si>
  <si>
    <t>-1.405445</t>
  </si>
  <si>
    <t>-61.65617</t>
  </si>
  <si>
    <t>EMANUELA EVANGELISTA</t>
  </si>
  <si>
    <t>-0.797775</t>
  </si>
  <si>
    <t>-61.56319</t>
  </si>
  <si>
    <t>ADRIANA DE SOUZA GOMES</t>
  </si>
  <si>
    <t>-1.369274</t>
  </si>
  <si>
    <t>-61.88034</t>
  </si>
  <si>
    <t>FRANCILETE GOMES DE ARAUJO</t>
  </si>
  <si>
    <t>-1.383738</t>
  </si>
  <si>
    <t>-61.73085</t>
  </si>
  <si>
    <t>XEXENA - TI YANOMAMI</t>
  </si>
  <si>
    <t>FUNAI POSTO DE SAUDE</t>
  </si>
  <si>
    <t>2.0116299</t>
  </si>
  <si>
    <t>-61.86222</t>
  </si>
  <si>
    <t>AUARIS - TI YANOMAMI</t>
  </si>
  <si>
    <t>UNIDADE BÁSICA DE SAÚDE - UBSI</t>
  </si>
  <si>
    <t>3.8706992</t>
  </si>
  <si>
    <t>-64.44585</t>
  </si>
  <si>
    <t>SURUCUCU - TI YANOMAMI</t>
  </si>
  <si>
    <t>2.7879216</t>
  </si>
  <si>
    <t>-63.7007</t>
  </si>
  <si>
    <t>VILA SÃO JOSÉ</t>
  </si>
  <si>
    <t>ALBERTA MARQUES</t>
  </si>
  <si>
    <t>-1.331784</t>
  </si>
  <si>
    <t>-61.86826</t>
  </si>
  <si>
    <t>VILA DONA COTA</t>
  </si>
  <si>
    <t>ANTONIO SANTOS DA SILVA</t>
  </si>
  <si>
    <t>-1.268706</t>
  </si>
  <si>
    <t>-61.83349</t>
  </si>
  <si>
    <t>RAIMUNDA MARINHO LOPES</t>
  </si>
  <si>
    <t>-1.070484</t>
  </si>
  <si>
    <t>-61.54293</t>
  </si>
  <si>
    <t>MARIA REGINA PEREIRA LIMA</t>
  </si>
  <si>
    <t>-0.935168</t>
  </si>
  <si>
    <t>-61.58470</t>
  </si>
  <si>
    <t>JOSÉ PAREDE LIMA</t>
  </si>
  <si>
    <t>-1.116587</t>
  </si>
  <si>
    <t>-61.58071</t>
  </si>
  <si>
    <t>LARISSA DOS SANTOS BRAGA</t>
  </si>
  <si>
    <t>-1.290677</t>
  </si>
  <si>
    <t>-61.63603</t>
  </si>
  <si>
    <t>BERG FERREIRA DE FREITAS</t>
  </si>
  <si>
    <t>-1.305574</t>
  </si>
  <si>
    <t>-61.57989</t>
  </si>
  <si>
    <t>RANIELLE FRANÇA COLARES</t>
  </si>
  <si>
    <t>-1.401528</t>
  </si>
  <si>
    <t>-61.69556</t>
  </si>
  <si>
    <t>-1.164064</t>
  </si>
  <si>
    <t>-61.91018</t>
  </si>
  <si>
    <t>ERODI MAGALHAES EVANGELISTA</t>
  </si>
  <si>
    <t>-1.386175</t>
  </si>
  <si>
    <t>-61.73653</t>
  </si>
  <si>
    <t>4.0049542</t>
  </si>
  <si>
    <t>-64.49993</t>
  </si>
  <si>
    <t>2.6083655</t>
  </si>
  <si>
    <t>-63.87121</t>
  </si>
  <si>
    <t>2.8386362</t>
  </si>
  <si>
    <t>-63.65967</t>
  </si>
  <si>
    <t>JULIO CESAR FERNANDES DE SOUZA</t>
  </si>
  <si>
    <t>-0.588256</t>
  </si>
  <si>
    <t>-61.80162</t>
  </si>
  <si>
    <t>KETA-Á</t>
  </si>
  <si>
    <t>2.5288654</t>
  </si>
  <si>
    <t>-63.92223</t>
  </si>
  <si>
    <t>SECRETARIA MUNICIPAL DE EDUCACAO SEMED - ESCOLA</t>
  </si>
  <si>
    <t>-1.339534</t>
  </si>
  <si>
    <t>-61.58118</t>
  </si>
  <si>
    <t>NEUZIANE NOGUEIRA DA SILVA</t>
  </si>
  <si>
    <t>-1.334509</t>
  </si>
  <si>
    <t>-61.63205</t>
  </si>
  <si>
    <t>DANIEL MARINHO LOPES</t>
  </si>
  <si>
    <t>-1.292136</t>
  </si>
  <si>
    <t>-61.63594</t>
  </si>
  <si>
    <t>RUTE REIS DA COSTA</t>
  </si>
  <si>
    <t>-0.525697</t>
  </si>
  <si>
    <t>-61.79561</t>
  </si>
  <si>
    <t>JULIO CESAR CARBAJAL DOS SANTOS</t>
  </si>
  <si>
    <t>-0.890208</t>
  </si>
  <si>
    <t>CLEDSON DE SOUZA VIEIRA</t>
  </si>
  <si>
    <t>-1.170446</t>
  </si>
  <si>
    <t>-61.90921</t>
  </si>
  <si>
    <t>VALDETE GARCIA DA SILVA</t>
  </si>
  <si>
    <t>-1.023100</t>
  </si>
  <si>
    <t>-62.10470</t>
  </si>
  <si>
    <t>ORLANDINA PERES DE MENEZES</t>
  </si>
  <si>
    <t>-0.940408</t>
  </si>
  <si>
    <t>-61.58372</t>
  </si>
  <si>
    <t>DAIANE KETLEN ARAGAO SOUZA</t>
  </si>
  <si>
    <t>-1.404861</t>
  </si>
  <si>
    <t>-61.65841</t>
  </si>
  <si>
    <t>ARTEMIZIA DE NAZARE BRAZÃO</t>
  </si>
  <si>
    <t>-0.799627</t>
  </si>
  <si>
    <t>-61.55835</t>
  </si>
  <si>
    <t>MARIA TATIANE VIEIRA DA SILVA</t>
  </si>
  <si>
    <t>-1.370405</t>
  </si>
  <si>
    <t>-61.88016</t>
  </si>
  <si>
    <t>-1.387394</t>
  </si>
  <si>
    <t>-61.73123</t>
  </si>
  <si>
    <t>WALOPALI - TI YANOMAMI</t>
  </si>
  <si>
    <t>2.6820708</t>
  </si>
  <si>
    <t>-61.86368</t>
  </si>
  <si>
    <t>CAMILA DA SILVA GOES</t>
  </si>
  <si>
    <t>-1.331936</t>
  </si>
  <si>
    <t>-61.86829</t>
  </si>
  <si>
    <t>JOSÉ SANTOS DA SILVA</t>
  </si>
  <si>
    <t>-1.268965</t>
  </si>
  <si>
    <t>-61.83360</t>
  </si>
  <si>
    <t>RAFAEL JUNIOR MARINHO LOPES</t>
  </si>
  <si>
    <t>-1.071011</t>
  </si>
  <si>
    <t>-61.54325</t>
  </si>
  <si>
    <t>EDILSON MEIRELES COLARES</t>
  </si>
  <si>
    <t>-0.935760</t>
  </si>
  <si>
    <t>-61.58468</t>
  </si>
  <si>
    <t>NADIA ALVES BARROSO DE LIMA</t>
  </si>
  <si>
    <t>-1.116361</t>
  </si>
  <si>
    <t>-61.58074</t>
  </si>
  <si>
    <t>ESC MUN EXTENSÃO DUQUE DE CAXIAS</t>
  </si>
  <si>
    <t>-1.290782</t>
  </si>
  <si>
    <t>-61.63598</t>
  </si>
  <si>
    <t>ESTER DA SILVA DE FREITAS</t>
  </si>
  <si>
    <t>-1.306486</t>
  </si>
  <si>
    <t>-61.57578</t>
  </si>
  <si>
    <t>-1.401539</t>
  </si>
  <si>
    <t>-61.69542</t>
  </si>
  <si>
    <t>ROMARIO MORAES DE SOUZA</t>
  </si>
  <si>
    <t>-1.164180</t>
  </si>
  <si>
    <t>-61.91081</t>
  </si>
  <si>
    <t>2.9513274</t>
  </si>
  <si>
    <t>-62.37927</t>
  </si>
  <si>
    <t>MEIRY DIANA LIMA DE LIMA</t>
  </si>
  <si>
    <t>-1.339111</t>
  </si>
  <si>
    <t>-61.58132</t>
  </si>
  <si>
    <t>ESC MUN EXTENSÃO DUQUE CAXIAS</t>
  </si>
  <si>
    <t>-1.291353</t>
  </si>
  <si>
    <t>-61.63605</t>
  </si>
  <si>
    <t>MARCELO DE SOUZA ARAUJO</t>
  </si>
  <si>
    <t>-0.423214</t>
  </si>
  <si>
    <t>-61.82530</t>
  </si>
  <si>
    <t>LAYS MENEZES NASCIMENTO</t>
  </si>
  <si>
    <t>-0.890388</t>
  </si>
  <si>
    <t>JOSE LACERDA SOUZA MARQUES</t>
  </si>
  <si>
    <t>-1.173489</t>
  </si>
  <si>
    <t>-61.90624</t>
  </si>
  <si>
    <t>JONATHAS PERES DE MENEZES</t>
  </si>
  <si>
    <t>-0.940019</t>
  </si>
  <si>
    <t>-61.58396</t>
  </si>
  <si>
    <t>KENEDY ALBERTO DA SILVA</t>
  </si>
  <si>
    <t>-1.401428</t>
  </si>
  <si>
    <t>-61.69953</t>
  </si>
  <si>
    <t>ALUISIO BARROSO DO NASCIMENTO</t>
  </si>
  <si>
    <t>-0.799567</t>
  </si>
  <si>
    <t>-61.55848</t>
  </si>
  <si>
    <t>GERSON ENCARNAÇÃO DAS NEVES</t>
  </si>
  <si>
    <t>-1.373582</t>
  </si>
  <si>
    <t>-61.87910</t>
  </si>
  <si>
    <t>FABIANA RODRIGUES BRAGANÇA</t>
  </si>
  <si>
    <t>-1.390224</t>
  </si>
  <si>
    <t>-61.73152</t>
  </si>
  <si>
    <t>3.3322278</t>
  </si>
  <si>
    <t>-62.97082</t>
  </si>
  <si>
    <t>RENATO GOMES DE SOUZA</t>
  </si>
  <si>
    <t>-1.332430</t>
  </si>
  <si>
    <t>MARILENE LOPES DOS SANTOS</t>
  </si>
  <si>
    <t>-1.271759</t>
  </si>
  <si>
    <t>-61.83387</t>
  </si>
  <si>
    <t>ESCOLA MUNICIPAL MARIA SALES</t>
  </si>
  <si>
    <t>-1.072281</t>
  </si>
  <si>
    <t>-61.54472</t>
  </si>
  <si>
    <t>PEDRO DA SILVA BARBOSA</t>
  </si>
  <si>
    <t>-0.936981</t>
  </si>
  <si>
    <t>-61.58458</t>
  </si>
  <si>
    <t>MARIA MARCIELE DE SOUZA ARAÚJO</t>
  </si>
  <si>
    <t>-1.115625</t>
  </si>
  <si>
    <t>-61.58211</t>
  </si>
  <si>
    <t>LUIZA DO NASCIMENTO CATIL</t>
  </si>
  <si>
    <t>-1.290909</t>
  </si>
  <si>
    <t>-61.63608</t>
  </si>
  <si>
    <t>MARCELO FERREIRA DE FREITAS</t>
  </si>
  <si>
    <t>-1.341036</t>
  </si>
  <si>
    <t>-61.58050</t>
  </si>
  <si>
    <t>AUXILIADORA FONTES DE AAÚJO</t>
  </si>
  <si>
    <t>-1.405736</t>
  </si>
  <si>
    <t>-61.65477</t>
  </si>
  <si>
    <t>ANGELA LARANJEIRA DA SILVA</t>
  </si>
  <si>
    <t>-1.164092</t>
  </si>
  <si>
    <t>-61.91084</t>
  </si>
  <si>
    <t>3.2236164</t>
  </si>
  <si>
    <t>-63.20075</t>
  </si>
  <si>
    <t>THAYRISON JARDIM DOS SANTOS</t>
  </si>
  <si>
    <t>-1.340054</t>
  </si>
  <si>
    <t>-61.58098</t>
  </si>
  <si>
    <t>ELIANA DA SILVA VALE</t>
  </si>
  <si>
    <t>-0.423132</t>
  </si>
  <si>
    <t>-61.82532</t>
  </si>
  <si>
    <t>LARRISSA MENEZES NASCIMENTO</t>
  </si>
  <si>
    <t>-0.890669</t>
  </si>
  <si>
    <t>-61.92217</t>
  </si>
  <si>
    <t>ARLINDO MONTEIRO DO NASCIMENTO</t>
  </si>
  <si>
    <t>-1.161186</t>
  </si>
  <si>
    <t>-61.91052</t>
  </si>
  <si>
    <t>ELIAS LOUREIRO DA SILVA</t>
  </si>
  <si>
    <t>-0.928805</t>
  </si>
  <si>
    <t>-61.58545</t>
  </si>
  <si>
    <t>CARLOS ALBERTO DO NASCIMENTO</t>
  </si>
  <si>
    <t>-0.797062</t>
  </si>
  <si>
    <t>-61.56349</t>
  </si>
  <si>
    <t>ANGELO LOPES DA SILVA (IGREJA)</t>
  </si>
  <si>
    <t>-1.370192</t>
  </si>
  <si>
    <t>-61.88009</t>
  </si>
  <si>
    <t>FRANCILENE RODRIGUES BRAGANÇA</t>
  </si>
  <si>
    <t>-1.390475</t>
  </si>
  <si>
    <t>-61.73122</t>
  </si>
  <si>
    <t>IGREJA ASSEMBLÉIA DE DEUS</t>
  </si>
  <si>
    <t>-1.073541</t>
  </si>
  <si>
    <t>-61.54676</t>
  </si>
  <si>
    <t>OZEIAS FERREIRA PERES</t>
  </si>
  <si>
    <t>-0.937538</t>
  </si>
  <si>
    <t>-61.58444</t>
  </si>
  <si>
    <t>JOSÉ ROBERTO DA SILVA NAZARÉ</t>
  </si>
  <si>
    <t>-1.114951</t>
  </si>
  <si>
    <t>-61.58185</t>
  </si>
  <si>
    <t>IZAIAS DO NASCIMENTO CATIL</t>
  </si>
  <si>
    <t>-1.291351</t>
  </si>
  <si>
    <t>-61.63579</t>
  </si>
  <si>
    <t>FRANCISCO GOMES DE LIMA</t>
  </si>
  <si>
    <t>-1.340872</t>
  </si>
  <si>
    <t>-61.58056</t>
  </si>
  <si>
    <t>GRACIANE DE ANDRADE ARAGÃO</t>
  </si>
  <si>
    <t>-1.405632</t>
  </si>
  <si>
    <t>-61.65517</t>
  </si>
  <si>
    <t>2.7579046</t>
  </si>
  <si>
    <t>-62.90665</t>
  </si>
  <si>
    <t>FRANCISCA MARQUES DE SOUZA</t>
  </si>
  <si>
    <t>-0.423037</t>
  </si>
  <si>
    <t>-61.82537</t>
  </si>
  <si>
    <t>ADRIANO DA SILVA ALCANTARA</t>
  </si>
  <si>
    <t>-0.939396</t>
  </si>
  <si>
    <t>-61.58419</t>
  </si>
  <si>
    <t>ALADIM BENTO MARCELINO</t>
  </si>
  <si>
    <t>-1.370429</t>
  </si>
  <si>
    <t>-61.87997</t>
  </si>
  <si>
    <t>RAIMUNDO NILDO AYRES DA SILVA</t>
  </si>
  <si>
    <t>-1.391414</t>
  </si>
  <si>
    <t>-61.73064</t>
  </si>
  <si>
    <t>FRANCINEI TENÓRIO NASCIMENTO</t>
  </si>
  <si>
    <t>-1.074001</t>
  </si>
  <si>
    <t>-61.54803</t>
  </si>
  <si>
    <t>ESC MUN MANOEL FERREIRA SANTOS</t>
  </si>
  <si>
    <t>-0.938721</t>
  </si>
  <si>
    <t>-61.58431</t>
  </si>
  <si>
    <t>FRANCISCO DE ASSIS TEIXEIRA</t>
  </si>
  <si>
    <t>-1.114620</t>
  </si>
  <si>
    <t>-61.58193</t>
  </si>
  <si>
    <t>DINA CATIL BARROSO</t>
  </si>
  <si>
    <t>-1.291517</t>
  </si>
  <si>
    <t>-61.63577</t>
  </si>
  <si>
    <t>GENILZA FERREIRA DE FREITAS</t>
  </si>
  <si>
    <t>-1.340683</t>
  </si>
  <si>
    <t>-61.58066</t>
  </si>
  <si>
    <t>MARINETE CAVALCANTE FONSECA</t>
  </si>
  <si>
    <t>-1.405628</t>
  </si>
  <si>
    <t>-61.65534</t>
  </si>
  <si>
    <t>2.7868670</t>
  </si>
  <si>
    <t>-62.40689</t>
  </si>
  <si>
    <t>RAIMUNDO NONATO HENRIQUE</t>
  </si>
  <si>
    <t>-0.456204</t>
  </si>
  <si>
    <t>-61.78247</t>
  </si>
  <si>
    <t>SECRETARIA MUNICIPAL DE SAÚDE (POSTO)</t>
  </si>
  <si>
    <t>-1.370777</t>
  </si>
  <si>
    <t>-61.87987</t>
  </si>
  <si>
    <t>FRANCISCO BARBOSA BRAGANCA</t>
  </si>
  <si>
    <t>-1.391798</t>
  </si>
  <si>
    <t>-61.73035</t>
  </si>
  <si>
    <t>RAIMUNDA VIEIRA DA SILVA</t>
  </si>
  <si>
    <t>-1.074156</t>
  </si>
  <si>
    <t>-61.54837</t>
  </si>
  <si>
    <t>ARLESON LIMA PERES</t>
  </si>
  <si>
    <t>-0.939164</t>
  </si>
  <si>
    <t>-61.58420</t>
  </si>
  <si>
    <t>SHIRLEY PINHEIRO DOS SANTOS</t>
  </si>
  <si>
    <t>-1.114621</t>
  </si>
  <si>
    <t>-61.58217</t>
  </si>
  <si>
    <t>MARIA DO NASCIMENTO CATIL</t>
  </si>
  <si>
    <t>-1.291618</t>
  </si>
  <si>
    <t>-61.63578</t>
  </si>
  <si>
    <t>ANTONIA FERREIRA DE FREITAS</t>
  </si>
  <si>
    <t>-1.340407</t>
  </si>
  <si>
    <t>-61.58086</t>
  </si>
  <si>
    <t>JORGE CARVALHO DOS SANTOS</t>
  </si>
  <si>
    <t>-1.40547</t>
  </si>
  <si>
    <t>-61.65570</t>
  </si>
  <si>
    <t>SECRETARIA MUNICIPAL DE EDUCAÇÃO (ESCOLA)</t>
  </si>
  <si>
    <t>-1.370683</t>
  </si>
  <si>
    <t>-61.87991</t>
  </si>
  <si>
    <t>ELIZANDRA FARIAS DE OLIVEIRA</t>
  </si>
  <si>
    <t>-1.392155</t>
  </si>
  <si>
    <t>-61.73026</t>
  </si>
  <si>
    <t>LUCIANA VIEIRA DA SILVA</t>
  </si>
  <si>
    <t>-1.074306</t>
  </si>
  <si>
    <t>-61.54881</t>
  </si>
  <si>
    <t>BENILDA RODRIGUES ARAÚJO</t>
  </si>
  <si>
    <t>-0.939774</t>
  </si>
  <si>
    <t>-61.58422</t>
  </si>
  <si>
    <t>ELIAS PEREIRA DE LIMA</t>
  </si>
  <si>
    <t>-1.107242</t>
  </si>
  <si>
    <t>MAYARA DO NASCIMENTO CATIL</t>
  </si>
  <si>
    <t>-1.291707</t>
  </si>
  <si>
    <t>-61.63582</t>
  </si>
  <si>
    <t>ANTONIO BATISTA GOMES</t>
  </si>
  <si>
    <t>-1.333253</t>
  </si>
  <si>
    <t>-61.58312</t>
  </si>
  <si>
    <t>CALEBIO FELIX DA SILVA</t>
  </si>
  <si>
    <t>-1.405217</t>
  </si>
  <si>
    <t>-61.65687</t>
  </si>
  <si>
    <t>LUCAS CORDEIRO DA SILVA</t>
  </si>
  <si>
    <t>-1.370897</t>
  </si>
  <si>
    <t>-61.87990</t>
  </si>
  <si>
    <t>TANHA BARBOSA BRAGANCA</t>
  </si>
  <si>
    <t>-1.383666</t>
  </si>
  <si>
    <t>-61.73224</t>
  </si>
  <si>
    <t>B. DÁGUA PREF MUN NOVO AIRÃO</t>
  </si>
  <si>
    <t>-1.073426</t>
  </si>
  <si>
    <t>-61.54616</t>
  </si>
  <si>
    <t>DIVINA GRAÇA PERES DE MENEZES</t>
  </si>
  <si>
    <t>-0.940503</t>
  </si>
  <si>
    <t>-61.58361</t>
  </si>
  <si>
    <t>-1.29186</t>
  </si>
  <si>
    <t>-61.63581</t>
  </si>
  <si>
    <t>IGREJA EVAN ASSEMBLÉIA DE DEUS</t>
  </si>
  <si>
    <t>-1.339874</t>
  </si>
  <si>
    <t>MARCOS MONTEIRO DA SILVA</t>
  </si>
  <si>
    <t>-1.40507</t>
  </si>
  <si>
    <t>-61.65712</t>
  </si>
  <si>
    <t>ANGELO LOPES DA SILVA</t>
  </si>
  <si>
    <t>-1.371065</t>
  </si>
  <si>
    <t>-61.87982</t>
  </si>
  <si>
    <t>DANIEL BASQUES ANTERO</t>
  </si>
  <si>
    <t>-1.382532</t>
  </si>
  <si>
    <t>-61.73056</t>
  </si>
  <si>
    <t>LUIZ FERREIRA NASCIMENTO</t>
  </si>
  <si>
    <t>-0.941731</t>
  </si>
  <si>
    <t>CASSIANE CATIL BARROSO</t>
  </si>
  <si>
    <t>-1.291729</t>
  </si>
  <si>
    <t>-61.63613</t>
  </si>
  <si>
    <t>CASA PASTORAL - MOIZÉS</t>
  </si>
  <si>
    <t>-1.339762</t>
  </si>
  <si>
    <t>-61.58108</t>
  </si>
  <si>
    <t>FRANCINILDA MONTEIRO MAGALHÃES</t>
  </si>
  <si>
    <t>-1.405068</t>
  </si>
  <si>
    <t>-61.65742</t>
  </si>
  <si>
    <t>ANTONIO VIEIRA DA CUNHA</t>
  </si>
  <si>
    <t>-1.371097</t>
  </si>
  <si>
    <t>-61.87962</t>
  </si>
  <si>
    <t>EVERTON CUNHA DA SILVA</t>
  </si>
  <si>
    <t>-1.382728</t>
  </si>
  <si>
    <t>-61.73059</t>
  </si>
  <si>
    <t>SEBASTIÃO SOUZA DA SILVA</t>
  </si>
  <si>
    <t>-1.297979</t>
  </si>
  <si>
    <t>-61.63441</t>
  </si>
  <si>
    <t>IVANELZA SILVA RIBEIRO</t>
  </si>
  <si>
    <t>-1.33904</t>
  </si>
  <si>
    <t>-61.58131</t>
  </si>
  <si>
    <t>LILIAN CASTRO DA CONCEIÇÃO</t>
  </si>
  <si>
    <t>-1.404741</t>
  </si>
  <si>
    <t>-61.65770</t>
  </si>
  <si>
    <t>MARIA DE SOUZA E SOUZA</t>
  </si>
  <si>
    <t>-1.372210</t>
  </si>
  <si>
    <t>-61.87953</t>
  </si>
  <si>
    <t>PEDRO PEREIRA DOS SANTOS</t>
  </si>
  <si>
    <t>-1.382841</t>
  </si>
  <si>
    <t>-61.73070</t>
  </si>
  <si>
    <t>MARCOS SOARES SILVA</t>
  </si>
  <si>
    <t>-1.29303</t>
  </si>
  <si>
    <t>-61.63503</t>
  </si>
  <si>
    <t>JOSUÉ GENTIL TEIXEIRA</t>
  </si>
  <si>
    <t>-1.338831</t>
  </si>
  <si>
    <t>-61.58143</t>
  </si>
  <si>
    <t>-1.404886</t>
  </si>
  <si>
    <t>-61.65790</t>
  </si>
  <si>
    <t>ENEIAS VIANA DE SOUZA</t>
  </si>
  <si>
    <t>-1.372756</t>
  </si>
  <si>
    <t>-61.87936</t>
  </si>
  <si>
    <t>IRIS MATOS DOS SANTOS</t>
  </si>
  <si>
    <t>-1.383159</t>
  </si>
  <si>
    <t>-61.73077</t>
  </si>
  <si>
    <t>NARA OLIVEIRA DO NASCIMENTO</t>
  </si>
  <si>
    <t>-1.292535</t>
  </si>
  <si>
    <t>-61.63520</t>
  </si>
  <si>
    <t>DAVI FREITAS NASCIMENTO</t>
  </si>
  <si>
    <t>-1.340158</t>
  </si>
  <si>
    <t>-61.58080</t>
  </si>
  <si>
    <t>CELMA MONTEIRO DA SILVA</t>
  </si>
  <si>
    <t>-1.404709</t>
  </si>
  <si>
    <t>-61.65824</t>
  </si>
  <si>
    <t>MARIANE SANTOS DA SILVA</t>
  </si>
  <si>
    <t>-1.373068</t>
  </si>
  <si>
    <t>-61.87934</t>
  </si>
  <si>
    <t>-1.291249</t>
  </si>
  <si>
    <t>-61.63610</t>
  </si>
  <si>
    <t>SIDOMAR BALTZAR RAMOS</t>
  </si>
  <si>
    <t>-1.338409</t>
  </si>
  <si>
    <t>-61.58162</t>
  </si>
  <si>
    <t>ANGLEY DA SILVA ALBUQUERQUE</t>
  </si>
  <si>
    <t>-1.40481</t>
  </si>
  <si>
    <t>-61.65852</t>
  </si>
  <si>
    <t>CARLOS FERREIRA DO NASCIMENTO</t>
  </si>
  <si>
    <t>-1.291156</t>
  </si>
  <si>
    <t>-61.63571</t>
  </si>
  <si>
    <t>MARIA JOSÉ OLIVEIRA DE SOUZA</t>
  </si>
  <si>
    <t>-1.336779</t>
  </si>
  <si>
    <t>-61.58229</t>
  </si>
  <si>
    <t>SANDRA DO NASCIMENTO DA SILVA</t>
  </si>
  <si>
    <t>-1.404754</t>
  </si>
  <si>
    <t>-61.65870</t>
  </si>
  <si>
    <t>CRISTIANO BONETE</t>
  </si>
  <si>
    <t>-1.336575</t>
  </si>
  <si>
    <t>-61.58232</t>
  </si>
  <si>
    <t>CASA PASTORAL - ASSEMB. DE DEU</t>
  </si>
  <si>
    <t>-1.404686</t>
  </si>
  <si>
    <t>-61.65898</t>
  </si>
  <si>
    <t>JONAS FERREIRA DE SOUZA</t>
  </si>
  <si>
    <t>-1.336478</t>
  </si>
  <si>
    <t>-61.58240</t>
  </si>
  <si>
    <t>SIMONE NASCIMENTO DA SILVA</t>
  </si>
  <si>
    <t>-1.404677</t>
  </si>
  <si>
    <t>-61.65912</t>
  </si>
  <si>
    <t>CASA DE APOIO DE NOVO AIRÃO</t>
  </si>
  <si>
    <t>-1.335919</t>
  </si>
  <si>
    <t>-61.58255</t>
  </si>
  <si>
    <t>ESC MUN VENANCIO JOSÉ DE SOUZA</t>
  </si>
  <si>
    <t>-1.404586</t>
  </si>
  <si>
    <t>-61.65934</t>
  </si>
  <si>
    <t>BIBLIOTECA MUNICIPAL</t>
  </si>
  <si>
    <t>-1.404519</t>
  </si>
  <si>
    <t>-61.65950</t>
  </si>
  <si>
    <t>LÁZARO MONTEIRO MAGALHÃES</t>
  </si>
  <si>
    <t>-1.404539</t>
  </si>
  <si>
    <t>-61.65960</t>
  </si>
  <si>
    <t>FRANCIVAN MONTEIRO MAGALHÃES</t>
  </si>
  <si>
    <t>-1.404342</t>
  </si>
  <si>
    <t>-61.66021</t>
  </si>
  <si>
    <t>CASA PASTORAL</t>
  </si>
  <si>
    <t>-1.333805</t>
  </si>
  <si>
    <t>-61.63237</t>
  </si>
  <si>
    <t>IG PENTECOSTAL CURA E MILAGRE</t>
  </si>
  <si>
    <t>-1.333998</t>
  </si>
  <si>
    <t>-61.63247</t>
  </si>
  <si>
    <t>-1.334115</t>
  </si>
  <si>
    <t>-61.63258</t>
  </si>
  <si>
    <t>ANTÔNIO J. MARQUES DE OLIVEIRA</t>
  </si>
  <si>
    <t>-1.34012</t>
  </si>
  <si>
    <t>-61.62885</t>
  </si>
  <si>
    <t>ELIANE PEREIRA REIS</t>
  </si>
  <si>
    <t>-1.339137</t>
  </si>
  <si>
    <t>-61.63075</t>
  </si>
  <si>
    <t>EDINEU RAMOS CATIL</t>
  </si>
  <si>
    <t>-1.404534</t>
  </si>
  <si>
    <t>-61.65981</t>
  </si>
  <si>
    <t>-1.375378</t>
  </si>
  <si>
    <t>-61.60938</t>
  </si>
  <si>
    <t>CONTRATO ECM-016/2025 - ENERGISA TO 2ª TRANCHE</t>
  </si>
  <si>
    <t>Disp_45</t>
  </si>
  <si>
    <t>Disp_80</t>
  </si>
  <si>
    <t>Disp_160</t>
  </si>
  <si>
    <t>MLPA</t>
  </si>
  <si>
    <t>PARANÃ</t>
  </si>
  <si>
    <t>FAZENDA VITORIA</t>
  </si>
  <si>
    <t>FAZENDA BOA VISTA</t>
  </si>
  <si>
    <t>FAZENDA SAO FRANCISCO</t>
  </si>
  <si>
    <t>FAZENDA SANTA RITA</t>
  </si>
  <si>
    <t>FAZENDA JERUSALÉM</t>
  </si>
  <si>
    <t>SITIO SOM DO BERRANTE</t>
  </si>
  <si>
    <t>FAZENDA AMAZONAS</t>
  </si>
  <si>
    <t>FAZENDA SANTA LUZIA</t>
  </si>
  <si>
    <t>FAZENDA TREVO DA CHAPADA</t>
  </si>
  <si>
    <t>SÍTIO SOM DO BERRANTE</t>
  </si>
  <si>
    <t>FAZENDA LAGEADO</t>
  </si>
  <si>
    <t>FAZENDA INDAIA</t>
  </si>
  <si>
    <t>FAZENDA INDAIAR</t>
  </si>
  <si>
    <t>FAZENDA SANTA ISABEL</t>
  </si>
  <si>
    <t>FAZENDA MATO GROSSO</t>
  </si>
  <si>
    <t>FAZENDA BOA SORTE</t>
  </si>
  <si>
    <t>FAZENDA CURRALINHO</t>
  </si>
  <si>
    <t>FAZENDA MIRADOR</t>
  </si>
  <si>
    <t>FAZENDA PEQUEZEIRO</t>
  </si>
  <si>
    <t>FAZENDA LAGOINHA</t>
  </si>
  <si>
    <t>FAZENDA VITOR LINA</t>
  </si>
  <si>
    <t>FAZENDA RECANTO</t>
  </si>
  <si>
    <t>FAZENDA SITIO NOVO ALEGRE</t>
  </si>
  <si>
    <t>FAZENDA BANANAL</t>
  </si>
  <si>
    <t>FAZ. BARRA DO CORREGO</t>
  </si>
  <si>
    <t>FAZENDA PUÇAZEIRO</t>
  </si>
  <si>
    <t>FAZENDA GAMELEIRA</t>
  </si>
  <si>
    <t>FAZENDA PUCAZEIRO</t>
  </si>
  <si>
    <t>FAZENDA BREJO VERDE</t>
  </si>
  <si>
    <t>FAZENDA PEDRA PRETA</t>
  </si>
  <si>
    <t>FAZENDA APARECIDA</t>
  </si>
  <si>
    <t>FAZENDA BARREIRÂO</t>
  </si>
  <si>
    <t>FAZENDA POUDIM</t>
  </si>
  <si>
    <t>FAZENDA LAJEADO</t>
  </si>
  <si>
    <t>FAZENDA CACHOEIRÃO</t>
  </si>
  <si>
    <t>SITIO CANA VERDE</t>
  </si>
  <si>
    <t>ARRAIAS</t>
  </si>
  <si>
    <t>FAZ. NOSSA SENHORA DA CONCEICAO</t>
  </si>
  <si>
    <t>FAZENDA RIACHO FUNDO</t>
  </si>
  <si>
    <t>FAZENDA VALE SAO JOAO</t>
  </si>
  <si>
    <t>FAZENDA NOVA JARDIM</t>
  </si>
  <si>
    <t>FAZENDA VALE DE SAO JOAO</t>
  </si>
  <si>
    <t>FAZ. MORADA NOVA</t>
  </si>
  <si>
    <t>FAZENDA SANTANA</t>
  </si>
  <si>
    <t>FAZENDA MARALINA</t>
  </si>
  <si>
    <t>FAZENDA NOVA ALIANCA</t>
  </si>
  <si>
    <t>FAZENDA SITIO NOVO</t>
  </si>
  <si>
    <t>SITIO NOVO</t>
  </si>
  <si>
    <t>FAZENDA SANTANA DO VAQUEJADOR</t>
  </si>
  <si>
    <t>SITIO CHAPADINHA</t>
  </si>
  <si>
    <t>FAZENDA PALMEIRINHA</t>
  </si>
  <si>
    <t>FAZENDA CORTEZIA</t>
  </si>
  <si>
    <t>FAZENDA ARARA</t>
  </si>
  <si>
    <t>FAZENDA SANTA ROSA PARTE</t>
  </si>
  <si>
    <t>FAZENDA NOVA ESTRELA</t>
  </si>
  <si>
    <t>FAZENDA BEIRA RIO</t>
  </si>
  <si>
    <t>FAZENDA QUATRO IRMÃOS</t>
  </si>
  <si>
    <t>FAZENDA LIMOEIRO</t>
  </si>
  <si>
    <t>FAZENDA RIO CLARO</t>
  </si>
  <si>
    <t>FAZ. 16 DE OUTUBRO</t>
  </si>
  <si>
    <t>FAZENDA CLARO</t>
  </si>
  <si>
    <t>FAZENDA BARRINHA</t>
  </si>
  <si>
    <t>FAZENDA BOA ESPERANÇA</t>
  </si>
  <si>
    <t>FAZENDA PARAISO</t>
  </si>
  <si>
    <t>FAZENDA VAJE GRANDE</t>
  </si>
  <si>
    <t>FAZENDA SANTA TEREZA</t>
  </si>
  <si>
    <t>FAZENDA BOA NOVA</t>
  </si>
  <si>
    <t>FAZENDA VARJÃO</t>
  </si>
  <si>
    <t>FAZENDA FORTALEZA</t>
  </si>
  <si>
    <t>FAZENDA BARRA DO DIA</t>
  </si>
  <si>
    <t>PULSAZEIRO</t>
  </si>
  <si>
    <t>FAZENDA BARREIRO VERMELHO</t>
  </si>
  <si>
    <t>FAZENDA PEDACINHO DO CÉU</t>
  </si>
  <si>
    <t>FAZENDA JACARE</t>
  </si>
  <si>
    <t>FAZENDA RECANTO SONHADO</t>
  </si>
  <si>
    <t>FAZENDA MESQUITA</t>
  </si>
  <si>
    <t>FAZENDA DOIS CAPÃO</t>
  </si>
  <si>
    <t>FAZENDA BOA ESPERANCA</t>
  </si>
  <si>
    <t>FAZENDA RIO DA PRATA</t>
  </si>
  <si>
    <t>FAZENDA BARRA DA PRATA</t>
  </si>
  <si>
    <t>FAZENDA BARRA DE PRATA</t>
  </si>
  <si>
    <t>FAZENDA SÍTIO BOM JESUS</t>
  </si>
  <si>
    <t>FAZENDA JATOBA</t>
  </si>
  <si>
    <t>FAZENDA NOVA</t>
  </si>
  <si>
    <t>FAZENDA FOTALEZA</t>
  </si>
  <si>
    <t>FAZENDA REAL</t>
  </si>
  <si>
    <t>FAZENDA PIQUEIRA</t>
  </si>
  <si>
    <t>FAZENDA BOM SUCESSO</t>
  </si>
  <si>
    <t>FAZENDA 2 CAPÕES</t>
  </si>
  <si>
    <t>FAZENDA LAGES 2</t>
  </si>
  <si>
    <t>FAZENDA LAGE</t>
  </si>
  <si>
    <t>FAZENDA JGR</t>
  </si>
  <si>
    <t>FAZENDA SOMBRA DA NOITE</t>
  </si>
  <si>
    <t>FAZENDA SITIO SANTO ESPEDITO</t>
  </si>
  <si>
    <t>FAZENDA DIVINO PAI ETERNO</t>
  </si>
  <si>
    <t>FAZENDA LIMEIRA</t>
  </si>
  <si>
    <t>FAZENDA SANTA VITÓRIA</t>
  </si>
  <si>
    <t>FAZENDA 4 IRMÃOS</t>
  </si>
  <si>
    <t>FAZENDA SANTA MARIA</t>
  </si>
  <si>
    <t>FAZENDA PEDRA SANTA</t>
  </si>
  <si>
    <t>FAZENDA BURITI GRANDE</t>
  </si>
  <si>
    <t>FAZENDA SÃO SEBASTIÃO</t>
  </si>
  <si>
    <t>FAZENDA OLHA DAGUA GRANDE</t>
  </si>
  <si>
    <t>FAZENDA MARA ROSA</t>
  </si>
  <si>
    <t>FAZENDA CAMPO FLORIDO</t>
  </si>
  <si>
    <t>FAZENDA JATAROBA</t>
  </si>
  <si>
    <t>FAZENDA DOS MORROS</t>
  </si>
  <si>
    <t>FAZENDA CHACARA CABECEIRA DO OURO FINO</t>
  </si>
  <si>
    <t>FAZENDA BELEZA PURA</t>
  </si>
  <si>
    <t>CHACARA CABECEIRA DO OURO FINO</t>
  </si>
  <si>
    <t>FAZENDA LAJES</t>
  </si>
  <si>
    <t>FAZENDA QUEBRA COCO</t>
  </si>
  <si>
    <t>FAZENDA NOVA PRATA</t>
  </si>
  <si>
    <t>FAZENDA DOS MORRO</t>
  </si>
  <si>
    <t>FAZENDA ESPERANCA</t>
  </si>
  <si>
    <t>FAZENDA MORRO</t>
  </si>
  <si>
    <t>FAZENDA OLERIA</t>
  </si>
  <si>
    <t>FAZENDA TIGRE</t>
  </si>
  <si>
    <t>FAZENDA VAZANTINHA</t>
  </si>
  <si>
    <t>CHACARA FAMYLY AMM</t>
  </si>
  <si>
    <t>FAZENDA VARGEM ALEGRE</t>
  </si>
  <si>
    <t>FAZENDA PEDRA AZUL</t>
  </si>
  <si>
    <t>FAZENDA BOA RENDA</t>
  </si>
  <si>
    <t>FAZENDA DWA</t>
  </si>
  <si>
    <t>FAZENDA LUANA</t>
  </si>
  <si>
    <t>FAZENDA PRATA</t>
  </si>
  <si>
    <t>FAZENDA PAI ETERNO</t>
  </si>
  <si>
    <t>FAZENDA MORROS</t>
  </si>
  <si>
    <t>SITIO DEUS E AMOR</t>
  </si>
  <si>
    <t>FAZENDA PAI DOMINGOS</t>
  </si>
  <si>
    <t>FAZENDA 8 IRMAOS</t>
  </si>
  <si>
    <t>CHACARA JERICO</t>
  </si>
  <si>
    <t>FAZENDA OURO FINO</t>
  </si>
  <si>
    <t>FAZENDA BURITI ALEGRE</t>
  </si>
  <si>
    <t>FAZENDA 6 CORAÇÕES</t>
  </si>
  <si>
    <t>FAZENDA SANTA LUZIA DO PRATA</t>
  </si>
  <si>
    <t>FAZENDA FORTALEZA DO PRATA</t>
  </si>
  <si>
    <t>FAZENDA ALTAMIRA</t>
  </si>
  <si>
    <t>FAZENDA JAQUI</t>
  </si>
  <si>
    <t>FAZENDA LAGES</t>
  </si>
  <si>
    <t>FAZENDA NOVA VIDA</t>
  </si>
  <si>
    <t>FAZENDA CURRAL DE PEDRA</t>
  </si>
  <si>
    <t>FAZENDA AGUAS CLARAS</t>
  </si>
  <si>
    <t>FAZENDA ALTO ALEGRE</t>
  </si>
  <si>
    <t>FAZENDA MUTUM</t>
  </si>
  <si>
    <t>FAZENDA 2 IRMAOS</t>
  </si>
  <si>
    <t>FAZENDA EXTREMA</t>
  </si>
  <si>
    <t>FAZENDA CODES</t>
  </si>
  <si>
    <t>FAZENDA NOVA CONQUISTA</t>
  </si>
  <si>
    <t>FAZENDA VARZEA REDONDA</t>
  </si>
  <si>
    <t>FAZENDA ARARA 2</t>
  </si>
  <si>
    <t>FAZENDA CRISTAL</t>
  </si>
  <si>
    <t>FAZENDA PITEIRA</t>
  </si>
  <si>
    <t>TOCANTINÓPOLIS</t>
  </si>
  <si>
    <t>ALDEIA BACURI</t>
  </si>
  <si>
    <t>SÃO BENTO DO TOCANTINS</t>
  </si>
  <si>
    <t>FORMOSO DO ARAGUAIA</t>
  </si>
  <si>
    <t>FAZENDA MIRANTE</t>
  </si>
  <si>
    <t>LIZARDA</t>
  </si>
  <si>
    <t>RURAL SN</t>
  </si>
  <si>
    <t>FAZENDA ESTANCIA REIS</t>
  </si>
  <si>
    <t>FAZENDA ESTRELA</t>
  </si>
  <si>
    <t>SITIO ALEGRE</t>
  </si>
  <si>
    <t>FAZENDA RANCHO ALEGRE</t>
  </si>
  <si>
    <t>FAZENDA PALMERINHA</t>
  </si>
  <si>
    <t>PONTE ALTA DO BOM JESUS</t>
  </si>
  <si>
    <t>FAZENDA AGUA SUJA</t>
  </si>
  <si>
    <t>FAZENDA IPÊ ROCHO</t>
  </si>
  <si>
    <t>ARAGUATINS</t>
  </si>
  <si>
    <t>FAZENDA SÃO ROMÃO</t>
  </si>
  <si>
    <t>JAU DO TOCANTINS</t>
  </si>
  <si>
    <t>FAZENDA ÁGUA FRIA</t>
  </si>
  <si>
    <t>PONTE ALTA DO TOCANTINS</t>
  </si>
  <si>
    <t>FAZENDA COCAL</t>
  </si>
  <si>
    <t>FAZENDA CHAPADÃO</t>
  </si>
  <si>
    <t>ALMAS</t>
  </si>
  <si>
    <t>SITIO BREJO DANTAS</t>
  </si>
  <si>
    <t>FAZENDA VALE DOS SONHOS</t>
  </si>
  <si>
    <t>FAZENDA LAGOA</t>
  </si>
  <si>
    <t>FAZENDA BELA VISTA</t>
  </si>
  <si>
    <t>FAZENDA SÃO BENTO</t>
  </si>
  <si>
    <t>FAZENDA BOCAINA</t>
  </si>
  <si>
    <t>FAZENDA CARACOL</t>
  </si>
  <si>
    <t>FAZENDA TIBOR</t>
  </si>
  <si>
    <t>FAZENDA SANTA CRUZ</t>
  </si>
  <si>
    <t>FAZENDA BORAINA</t>
  </si>
  <si>
    <t>FAZENDA MORRO VERMELHO</t>
  </si>
  <si>
    <t>FAZENDA JENIPAPO</t>
  </si>
  <si>
    <t>FAZENDA LAJEIRO</t>
  </si>
  <si>
    <t>FAZENDA SERRA DE AREIA</t>
  </si>
  <si>
    <t>FAZENDA FAVEIRO</t>
  </si>
  <si>
    <t>FAZENDA PALMEIRA</t>
  </si>
  <si>
    <t>FAZENDA SERIEMA</t>
  </si>
  <si>
    <t>FAZENDA ARAUJO</t>
  </si>
  <si>
    <t>FAZENDA SANTA ROSA</t>
  </si>
  <si>
    <t>FAZENDA SÃO FRANCISCO</t>
  </si>
  <si>
    <t>FAZENDA MALHADINHA</t>
  </si>
  <si>
    <t>FAZENDA SANTANA II</t>
  </si>
  <si>
    <t>FAZENDA ONÇA</t>
  </si>
  <si>
    <t>FAZENDA SOSSEGO</t>
  </si>
  <si>
    <t>FAZENDA PONTA DA SERRA</t>
  </si>
  <si>
    <t>FAZENDA BAIXA FUNDA</t>
  </si>
  <si>
    <t>FAZENDA PEDRA FURADA</t>
  </si>
  <si>
    <t>FAZENDA CABECEIRA DA ÁGUA FRIA</t>
  </si>
  <si>
    <t>FAZENDA LÍRIO DO CAMPO</t>
  </si>
  <si>
    <t>FAZENDA BOA NOVA 2</t>
  </si>
  <si>
    <t>FAZENDA ÁGUA FRIA II</t>
  </si>
  <si>
    <t>FAZENDA BREJO SOLTA</t>
  </si>
  <si>
    <t>FAZENDA CAMPO ALEGRE</t>
  </si>
  <si>
    <t>FAZENDA SOLTA</t>
  </si>
  <si>
    <t>RIO SONO</t>
  </si>
  <si>
    <t>FAZENDA BENTIVIM</t>
  </si>
  <si>
    <t>FAZENDA ESPIRITO SANTO</t>
  </si>
  <si>
    <t>FAZENDA PATRONO</t>
  </si>
  <si>
    <t>FAZENDA PISTORESCO</t>
  </si>
  <si>
    <t>PALMAS</t>
  </si>
  <si>
    <t>FAZENDA CABECEIRA DE OURO</t>
  </si>
  <si>
    <t>CENTENÁRIO</t>
  </si>
  <si>
    <t>FAZENDA NOVO ALEGRE</t>
  </si>
  <si>
    <t>FAZENDA PÉ DE MORRO</t>
  </si>
  <si>
    <t>FAZENDA RIBEIRÃO DO SÃO JOSÉ</t>
  </si>
  <si>
    <t>FAZENDA TERRA VERMELHA</t>
  </si>
  <si>
    <t>FAZENDA MODELO</t>
  </si>
  <si>
    <t>ALDEIA TAYMA</t>
  </si>
  <si>
    <t>FAZENDA DEUS E AMOR</t>
  </si>
  <si>
    <t>SITIO RECANTO FELIZ</t>
  </si>
  <si>
    <t>FAZENDA PARAÍSO INFINITO</t>
  </si>
  <si>
    <t>FAZENDA PLANO NOVO</t>
  </si>
  <si>
    <t>FAZENDA CORREDEIRA</t>
  </si>
  <si>
    <t>FAZENDA SANTO ANTONINHO</t>
  </si>
  <si>
    <t>FAZENDA PARAISO DO INFINITO</t>
  </si>
  <si>
    <t>ALDEIA MATA VERDE</t>
  </si>
  <si>
    <t>ALDEIA RECANTO DOS MORROS</t>
  </si>
  <si>
    <t>ALDEIA PINTADA</t>
  </si>
  <si>
    <t>CACHOEIRINHA</t>
  </si>
  <si>
    <t>ALDEIA CAATINGA</t>
  </si>
  <si>
    <t>ALDEIA COCALINHO</t>
  </si>
  <si>
    <t>ALDEIA PIAÇAVA</t>
  </si>
  <si>
    <t>ALDEIA ARCO IRIS</t>
  </si>
  <si>
    <t>ALDEIA BETÂNIA</t>
  </si>
  <si>
    <t>ALDEIA SERRA DOURADA</t>
  </si>
  <si>
    <t>ALDEIAS SERRA DOURADA</t>
  </si>
  <si>
    <t>ALDEIA MORRO GRANDE</t>
  </si>
  <si>
    <t>FAZENDA BURITI</t>
  </si>
  <si>
    <t>TOCANTINOPOLIS</t>
  </si>
  <si>
    <t>FAZENDA SÃO JOÃO</t>
  </si>
  <si>
    <t>FAZENDA ESTRIBEIRA</t>
  </si>
  <si>
    <t>FAZENDA TAMANDUA</t>
  </si>
  <si>
    <t>FAZENDA SITIO ALEGRE</t>
  </si>
  <si>
    <t>FAZENDA ALEGRES</t>
  </si>
  <si>
    <t>FAZENDA VARJAO</t>
  </si>
  <si>
    <t>FAZENDA PORTAL DOS MORROS</t>
  </si>
  <si>
    <t>FAZENDA OLHO D'AGUA GRANDE</t>
  </si>
  <si>
    <t>FAZENDA CRA</t>
  </si>
  <si>
    <t>FAZENDA BREJO GRANDE</t>
  </si>
  <si>
    <t>FAZENDA PROVIDÊNCIA</t>
  </si>
  <si>
    <t>FAZENDA PROVIDENCIA</t>
  </si>
  <si>
    <t>FAZENDA ALEGRIA</t>
  </si>
  <si>
    <t>FAZENDA SÃO BENEDITO</t>
  </si>
  <si>
    <t>FAZENDA GARCA BRANCA</t>
  </si>
  <si>
    <t>FAZENDA CHIQUINHO</t>
  </si>
  <si>
    <t>FAZENDA NITERO</t>
  </si>
  <si>
    <t>FAZENDA NITEROI</t>
  </si>
  <si>
    <t>FAZENDA PITEIRA NOVA</t>
  </si>
  <si>
    <t>FAZENDA PICASEIRA</t>
  </si>
  <si>
    <t>RAMAL BREJO VERDE</t>
  </si>
  <si>
    <t>FAZENDA SAO JOSE</t>
  </si>
  <si>
    <t>GEOCODIGO_MUNICIPIO</t>
  </si>
  <si>
    <t>NOME_MUNICIPIO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</si>
  <si>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</si>
  <si>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</si>
  <si>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</si>
  <si>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</si>
  <si>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</si>
  <si>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</si>
  <si>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</si>
  <si>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</si>
  <si>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</si>
  <si>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</si>
  <si>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</si>
  <si>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</si>
  <si>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</si>
  <si>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</si>
  <si>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</si>
  <si>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</si>
  <si>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</si>
  <si>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</si>
  <si>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</si>
  <si>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</si>
  <si>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</si>
  <si>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</si>
  <si>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</si>
  <si>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</si>
  <si>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</si>
  <si>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</si>
  <si>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</si>
  <si>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</si>
  <si>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</si>
  <si>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</si>
  <si>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</si>
  <si>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</si>
  <si>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</si>
  <si>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</si>
  <si>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</si>
  <si>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</si>
  <si>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</si>
  <si>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</si>
  <si>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</si>
  <si>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</si>
  <si>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</si>
  <si>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</si>
  <si>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</si>
  <si>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</si>
  <si>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</si>
  <si>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</si>
  <si>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</si>
  <si>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</si>
  <si>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</si>
  <si>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</si>
  <si>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</si>
  <si>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</si>
  <si>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</si>
  <si>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</si>
  <si>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</si>
  <si>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</si>
  <si>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</si>
  <si>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</si>
  <si>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</si>
  <si>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</si>
  <si>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</si>
  <si>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</si>
  <si>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</si>
  <si>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</si>
  <si>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</si>
  <si>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</si>
  <si>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</si>
  <si>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</si>
  <si>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</si>
  <si>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</si>
  <si>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</si>
  <si>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</si>
  <si>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</si>
  <si>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</si>
  <si>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</si>
  <si>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</si>
  <si>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</si>
  <si>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</si>
  <si>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</si>
  <si>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</si>
  <si>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</si>
  <si>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</si>
  <si>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</si>
  <si>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</si>
  <si>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</si>
  <si>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</si>
  <si>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</si>
  <si>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</si>
  <si>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</si>
  <si>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</si>
  <si>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</si>
  <si>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</si>
  <si>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</si>
  <si>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</si>
  <si>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</si>
  <si>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</si>
  <si>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</si>
  <si>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</si>
  <si>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</si>
  <si>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</si>
  <si>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</si>
  <si>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</si>
  <si>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</si>
  <si>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</si>
  <si>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</si>
  <si>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</si>
  <si>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</si>
  <si>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</si>
  <si>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</si>
  <si>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</si>
  <si>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</si>
  <si>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</si>
  <si>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</si>
  <si>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</si>
  <si>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</si>
  <si>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</si>
  <si>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</si>
  <si>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</si>
  <si>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</si>
  <si>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</si>
  <si>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</si>
  <si>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</si>
  <si>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</si>
  <si>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</si>
  <si>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</si>
  <si>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</si>
  <si>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</si>
  <si>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</si>
  <si>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</si>
  <si>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</si>
  <si>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</si>
  <si>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</si>
  <si>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</si>
  <si>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</si>
  <si>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</si>
  <si>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</si>
  <si>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</si>
  <si>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BOA VISTA</t>
  </si>
  <si>
    <t>BONFIM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</si>
  <si>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</si>
  <si>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</si>
  <si>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</si>
  <si>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</si>
  <si>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</si>
  <si>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</si>
  <si>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</si>
  <si>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</si>
  <si>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</si>
  <si>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</si>
  <si>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</si>
  <si>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</si>
  <si>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</si>
  <si>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</si>
  <si>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</si>
  <si>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</si>
  <si>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</si>
  <si>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</si>
  <si>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</si>
  <si>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</si>
  <si>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</si>
  <si>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</si>
  <si>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</si>
  <si>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</si>
  <si>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</si>
  <si>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</si>
  <si>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</si>
  <si>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</si>
  <si>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</si>
  <si>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</si>
  <si>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</si>
  <si>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</si>
  <si>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</si>
  <si>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</si>
  <si>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</si>
  <si>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</si>
  <si>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</si>
  <si>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</si>
  <si>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</si>
  <si>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</si>
  <si>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</si>
  <si>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</si>
  <si>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</si>
  <si>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</si>
  <si>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</si>
  <si>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</si>
  <si>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</si>
  <si>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</si>
  <si>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</si>
  <si>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</si>
  <si>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</si>
  <si>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</si>
  <si>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</si>
  <si>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</si>
  <si>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</si>
  <si>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</si>
  <si>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</si>
  <si>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</si>
  <si>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</si>
  <si>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</si>
  <si>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</si>
  <si>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</si>
  <si>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</si>
  <si>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</si>
  <si>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</si>
  <si>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</si>
  <si>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</si>
  <si>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</si>
  <si>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</si>
  <si>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</si>
  <si>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</si>
  <si>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</si>
  <si>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</si>
  <si>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</si>
  <si>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</si>
  <si>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</si>
  <si>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</si>
  <si>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</si>
  <si>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</si>
  <si>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</si>
  <si>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</si>
  <si>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</si>
  <si>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</si>
  <si>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</si>
  <si>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</si>
  <si>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</si>
  <si>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</si>
  <si>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</si>
  <si>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</si>
  <si>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</si>
  <si>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</si>
  <si>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</si>
  <si>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</si>
  <si>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</si>
  <si>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</si>
  <si>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</si>
  <si>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</si>
  <si>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</si>
  <si>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</si>
  <si>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</si>
  <si>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</si>
  <si>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</si>
  <si>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</si>
  <si>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</si>
  <si>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</si>
  <si>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</si>
  <si>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</si>
  <si>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</si>
  <si>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</si>
  <si>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</si>
  <si>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</si>
  <si>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</si>
  <si>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</si>
  <si>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</si>
  <si>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</si>
  <si>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</si>
  <si>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</si>
  <si>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</si>
  <si>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</si>
  <si>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</si>
  <si>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</si>
  <si>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</si>
  <si>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</si>
  <si>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</si>
  <si>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</si>
  <si>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</si>
  <si>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</si>
  <si>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</si>
  <si>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</si>
  <si>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</si>
  <si>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</si>
  <si>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</si>
  <si>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</si>
  <si>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</si>
  <si>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</si>
  <si>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</si>
  <si>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</si>
  <si>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</si>
  <si>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</si>
  <si>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</si>
  <si>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</si>
  <si>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</si>
  <si>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</si>
  <si>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</si>
  <si>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</si>
  <si>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</si>
  <si>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</si>
  <si>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</si>
  <si>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</si>
  <si>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</si>
  <si>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</si>
  <si>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</si>
  <si>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</si>
  <si>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</si>
  <si>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</si>
  <si>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</si>
  <si>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</si>
  <si>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</si>
  <si>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</si>
  <si>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</si>
  <si>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</si>
  <si>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</si>
  <si>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</si>
  <si>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</si>
  <si>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</si>
  <si>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</si>
  <si>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</si>
  <si>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</si>
  <si>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</si>
  <si>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</si>
  <si>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</si>
  <si>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</si>
  <si>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</si>
  <si>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</si>
  <si>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</si>
  <si>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</si>
  <si>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</si>
  <si>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</si>
  <si>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</si>
  <si>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</si>
  <si>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</si>
  <si>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ARAPOEMA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</si>
  <si>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</si>
  <si>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</si>
  <si>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</si>
  <si>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</si>
  <si>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</si>
  <si>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</si>
  <si>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</si>
  <si>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</si>
  <si>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</si>
  <si>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</si>
  <si>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</si>
  <si>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</si>
  <si>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</si>
  <si>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</si>
  <si>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</si>
  <si>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</si>
  <si>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</si>
  <si>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</si>
  <si>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</si>
  <si>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</si>
  <si>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</si>
  <si>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</si>
  <si>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</si>
  <si>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</si>
  <si>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</si>
  <si>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</si>
  <si>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</si>
  <si>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</si>
  <si>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</si>
  <si>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</si>
  <si>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</si>
  <si>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</si>
  <si>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</si>
  <si>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</si>
  <si>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</si>
  <si>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</si>
  <si>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</si>
  <si>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</si>
  <si>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</si>
  <si>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</si>
  <si>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</si>
  <si>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</si>
  <si>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</si>
  <si>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</si>
  <si>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JUARINA</t>
  </si>
  <si>
    <t>LAGOA DA CONFUSAO</t>
  </si>
  <si>
    <t>LAGOA DO TOCANTINS</t>
  </si>
  <si>
    <t>LAJEADO</t>
  </si>
  <si>
    <t>LAVANDEIRA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</si>
  <si>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</si>
  <si>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</si>
  <si>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</si>
  <si>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</si>
  <si>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</si>
  <si>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</si>
  <si>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</si>
  <si>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</si>
  <si>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</si>
  <si>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</si>
  <si>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</si>
  <si>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</si>
  <si>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</si>
  <si>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</si>
  <si>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</si>
  <si>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</si>
  <si>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</si>
  <si>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</si>
  <si>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</si>
  <si>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</si>
  <si>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</si>
  <si>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</si>
  <si>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</si>
  <si>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</si>
  <si>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</si>
  <si>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</si>
  <si>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</si>
  <si>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</si>
  <si>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</si>
  <si>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</si>
  <si>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</si>
  <si>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</si>
  <si>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</si>
  <si>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</si>
  <si>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</si>
  <si>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</si>
  <si>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</si>
  <si>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</si>
  <si>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</si>
  <si>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</si>
  <si>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</si>
  <si>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</si>
  <si>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</si>
  <si>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</si>
  <si>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</si>
  <si>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</si>
  <si>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</si>
  <si>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</si>
  <si>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</si>
  <si>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</si>
  <si>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</si>
  <si>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</si>
  <si>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</si>
  <si>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</si>
  <si>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</si>
  <si>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</si>
  <si>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</si>
  <si>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</si>
  <si>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</si>
  <si>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TUPIRAMA</t>
  </si>
  <si>
    <t>TUPIRATINS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</si>
  <si>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</si>
  <si>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</si>
  <si>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</si>
  <si>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</si>
  <si>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</si>
  <si>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</si>
  <si>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</si>
  <si>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</si>
  <si>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</si>
  <si>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</si>
  <si>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</si>
  <si>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</si>
  <si>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</si>
  <si>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</si>
  <si>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</si>
  <si>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</si>
  <si>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</si>
  <si>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</si>
  <si>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</si>
  <si>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</si>
  <si>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</si>
  <si>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</si>
  <si>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</si>
  <si>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</si>
  <si>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</si>
  <si>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</si>
  <si>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</si>
  <si>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</si>
  <si>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</si>
  <si>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</si>
  <si>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</si>
  <si>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</si>
  <si>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</si>
  <si>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</si>
  <si>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</si>
  <si>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</si>
  <si>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</si>
  <si>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</si>
  <si>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</si>
  <si>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</si>
  <si>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</si>
  <si>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</si>
  <si>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</si>
  <si>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</si>
  <si>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</si>
  <si>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</si>
  <si>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</si>
  <si>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</si>
  <si>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</si>
  <si>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</si>
  <si>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</si>
  <si>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</si>
  <si>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</si>
  <si>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</si>
  <si>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</si>
  <si>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</si>
  <si>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</si>
  <si>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</si>
  <si>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</si>
  <si>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</si>
  <si>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</si>
  <si>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</si>
  <si>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</si>
  <si>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</si>
  <si>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</si>
  <si>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</si>
  <si>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</si>
  <si>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</si>
  <si>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</si>
  <si>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</si>
  <si>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</si>
  <si>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</si>
  <si>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</si>
  <si>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</si>
  <si>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</si>
  <si>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</si>
  <si>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</si>
  <si>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</si>
  <si>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</si>
  <si>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</si>
  <si>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</si>
  <si>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</si>
  <si>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</si>
  <si>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</si>
  <si>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</si>
  <si>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</si>
  <si>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</si>
  <si>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</si>
  <si>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</si>
  <si>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</si>
  <si>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</si>
  <si>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</si>
  <si>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</si>
  <si>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</si>
  <si>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</si>
  <si>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</si>
  <si>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</si>
  <si>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</si>
  <si>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</si>
  <si>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</si>
  <si>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</si>
  <si>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</si>
  <si>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</si>
  <si>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</si>
  <si>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</si>
  <si>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</si>
  <si>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</si>
  <si>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</si>
  <si>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</si>
  <si>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</si>
  <si>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</si>
  <si>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</si>
  <si>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</si>
  <si>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</si>
  <si>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</si>
  <si>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</si>
  <si>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</si>
  <si>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</si>
  <si>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</si>
  <si>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</si>
  <si>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</si>
  <si>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</si>
  <si>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</si>
  <si>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</si>
  <si>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</si>
  <si>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</si>
  <si>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</si>
  <si>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</si>
  <si>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</si>
  <si>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</si>
  <si>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</si>
  <si>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</si>
  <si>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</si>
  <si>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</si>
  <si>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</si>
  <si>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</si>
  <si>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</si>
  <si>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</si>
  <si>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</si>
  <si>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</si>
  <si>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</si>
  <si>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</si>
  <si>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</si>
  <si>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</si>
  <si>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</si>
  <si>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</si>
  <si>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</si>
  <si>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</si>
  <si>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</si>
  <si>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</si>
  <si>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</si>
  <si>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</si>
  <si>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</si>
  <si>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</si>
  <si>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</si>
  <si>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</si>
  <si>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</si>
  <si>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</si>
  <si>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</si>
  <si>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</si>
  <si>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</si>
  <si>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</si>
  <si>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</si>
  <si>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</si>
  <si>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</si>
  <si>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</si>
  <si>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</si>
  <si>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</si>
  <si>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</si>
  <si>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</si>
  <si>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</si>
  <si>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</si>
  <si>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</si>
  <si>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</si>
  <si>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</si>
  <si>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</si>
  <si>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</si>
  <si>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</si>
  <si>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</si>
  <si>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</si>
  <si>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</si>
  <si>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</si>
  <si>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</si>
  <si>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</si>
  <si>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</si>
  <si>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</si>
  <si>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</si>
  <si>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</si>
  <si>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</si>
  <si>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</si>
  <si>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</si>
  <si>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</si>
  <si>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</si>
  <si>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</si>
  <si>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</si>
  <si>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</si>
  <si>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</si>
  <si>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</si>
  <si>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</si>
  <si>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</si>
  <si>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</si>
  <si>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</si>
  <si>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</si>
  <si>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</si>
  <si>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</si>
  <si>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</si>
  <si>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</si>
  <si>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</si>
  <si>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</si>
  <si>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</si>
  <si>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</si>
  <si>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</si>
  <si>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</si>
  <si>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</si>
  <si>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</si>
  <si>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</si>
  <si>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</si>
  <si>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</si>
  <si>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</si>
  <si>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</si>
  <si>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</si>
  <si>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</si>
  <si>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</si>
  <si>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</si>
  <si>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</si>
  <si>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</si>
  <si>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</si>
  <si>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</si>
  <si>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</si>
  <si>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</si>
  <si>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</si>
  <si>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</si>
  <si>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</si>
  <si>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</si>
  <si>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</si>
  <si>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</si>
  <si>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</si>
  <si>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</si>
  <si>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</si>
  <si>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</si>
  <si>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</si>
  <si>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</si>
  <si>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</si>
  <si>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</si>
  <si>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</si>
  <si>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</si>
  <si>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</si>
  <si>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</si>
  <si>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</si>
  <si>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</si>
  <si>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</si>
  <si>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</si>
  <si>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</si>
  <si>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</si>
  <si>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</si>
  <si>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</si>
  <si>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</si>
  <si>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</si>
  <si>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</si>
  <si>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</si>
  <si>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</si>
  <si>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</si>
  <si>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</si>
  <si>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</si>
  <si>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</si>
  <si>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</si>
  <si>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</si>
  <si>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</si>
  <si>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</si>
  <si>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</si>
  <si>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</si>
  <si>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</si>
  <si>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</si>
  <si>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</si>
  <si>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</si>
  <si>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</si>
  <si>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</si>
  <si>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</si>
  <si>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</si>
  <si>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</si>
  <si>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</si>
  <si>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</si>
  <si>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</si>
  <si>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</si>
  <si>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</si>
  <si>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</si>
  <si>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</si>
  <si>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</si>
  <si>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</si>
  <si>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</si>
  <si>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</si>
  <si>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</si>
  <si>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</si>
  <si>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</si>
  <si>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</si>
  <si>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</si>
  <si>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</si>
  <si>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</si>
  <si>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</si>
  <si>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</si>
  <si>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</si>
  <si>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</si>
  <si>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</si>
  <si>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</si>
  <si>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</si>
  <si>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</si>
  <si>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</si>
  <si>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</si>
  <si>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</si>
  <si>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</si>
  <si>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</si>
  <si>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</si>
  <si>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</si>
  <si>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</si>
  <si>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</si>
  <si>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</si>
  <si>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</si>
  <si>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</si>
  <si>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</si>
  <si>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</si>
  <si>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</si>
  <si>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</si>
  <si>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</si>
  <si>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</si>
  <si>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</si>
  <si>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</si>
  <si>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</si>
  <si>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</si>
  <si>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</si>
  <si>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</si>
  <si>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</si>
  <si>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</si>
  <si>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</si>
  <si>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</si>
  <si>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</si>
  <si>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</si>
  <si>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</si>
  <si>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</si>
  <si>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</si>
  <si>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</si>
  <si>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</si>
  <si>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</si>
  <si>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</si>
  <si>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</si>
  <si>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</si>
  <si>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</si>
  <si>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</si>
  <si>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</si>
  <si>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</si>
  <si>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</si>
  <si>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</si>
  <si>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</si>
  <si>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</si>
  <si>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</si>
  <si>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</si>
  <si>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</si>
  <si>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</si>
  <si>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</si>
  <si>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</si>
  <si>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</si>
  <si>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</si>
  <si>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</si>
  <si>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</si>
  <si>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</si>
  <si>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</si>
  <si>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</si>
  <si>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</si>
  <si>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</si>
  <si>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</si>
  <si>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</si>
  <si>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</si>
  <si>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</si>
  <si>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</si>
  <si>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</si>
  <si>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</si>
  <si>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</si>
  <si>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</si>
  <si>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</si>
  <si>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</si>
  <si>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</si>
  <si>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</si>
  <si>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</si>
  <si>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</si>
  <si>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</si>
  <si>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</si>
  <si>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</si>
  <si>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</si>
  <si>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</si>
  <si>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</si>
  <si>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</si>
  <si>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</si>
  <si>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FILOMENA</t>
  </si>
  <si>
    <t>SANTA LUZ</t>
  </si>
  <si>
    <t>SANTANA DO PIAUI</t>
  </si>
  <si>
    <t>SANTA ROSA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</si>
  <si>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</si>
  <si>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</si>
  <si>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</si>
  <si>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</si>
  <si>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</si>
  <si>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</si>
  <si>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</si>
  <si>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</si>
  <si>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</si>
  <si>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</si>
  <si>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</si>
  <si>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</si>
  <si>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</si>
  <si>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</si>
  <si>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</si>
  <si>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</si>
  <si>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</si>
  <si>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</si>
  <si>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</si>
  <si>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</si>
  <si>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</si>
  <si>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</si>
  <si>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</si>
  <si>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</si>
  <si>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</si>
  <si>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</si>
  <si>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</si>
  <si>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</si>
  <si>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</si>
  <si>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</si>
  <si>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</si>
  <si>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</si>
  <si>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</si>
  <si>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</si>
  <si>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</si>
  <si>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</si>
  <si>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</si>
  <si>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</si>
  <si>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</si>
  <si>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</si>
  <si>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</si>
  <si>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</si>
  <si>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</si>
  <si>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</si>
  <si>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</si>
  <si>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</si>
  <si>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</si>
  <si>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</si>
  <si>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</si>
  <si>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</si>
  <si>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</si>
  <si>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</si>
  <si>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</si>
  <si>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</si>
  <si>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</si>
  <si>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</si>
  <si>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</si>
  <si>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</si>
  <si>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</si>
  <si>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</si>
  <si>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</si>
  <si>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</si>
  <si>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</si>
  <si>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</si>
  <si>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</si>
  <si>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</si>
  <si>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</si>
  <si>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</si>
  <si>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</si>
  <si>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</si>
  <si>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</si>
  <si>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</si>
  <si>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</si>
  <si>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</si>
  <si>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</si>
  <si>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</si>
  <si>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</si>
  <si>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</si>
  <si>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</si>
  <si>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</si>
  <si>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</si>
  <si>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</si>
  <si>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</si>
  <si>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</si>
  <si>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</si>
  <si>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</si>
  <si>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</si>
  <si>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</si>
  <si>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</si>
  <si>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</si>
  <si>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</si>
  <si>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</si>
  <si>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</si>
  <si>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</si>
  <si>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</si>
  <si>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</si>
  <si>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</si>
  <si>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</si>
  <si>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</si>
  <si>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</si>
  <si>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</si>
  <si>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</si>
  <si>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</si>
  <si>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</si>
  <si>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</si>
  <si>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</si>
  <si>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</si>
  <si>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</si>
  <si>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</si>
  <si>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</si>
  <si>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</si>
  <si>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</si>
  <si>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</si>
  <si>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</si>
  <si>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</si>
  <si>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</si>
  <si>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</si>
  <si>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</si>
  <si>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</si>
  <si>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</si>
  <si>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</si>
  <si>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</si>
  <si>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</si>
  <si>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</si>
  <si>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</si>
  <si>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</si>
  <si>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</si>
  <si>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</si>
  <si>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</si>
  <si>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</si>
  <si>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</si>
  <si>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</si>
  <si>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</si>
  <si>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</si>
  <si>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</si>
  <si>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</si>
  <si>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</si>
  <si>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</si>
  <si>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</si>
  <si>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</si>
  <si>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</si>
  <si>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</si>
  <si>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</si>
  <si>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</si>
  <si>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</si>
  <si>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</si>
  <si>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</si>
  <si>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</si>
  <si>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</si>
  <si>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</si>
  <si>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</si>
  <si>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</si>
  <si>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</si>
  <si>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</si>
  <si>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</si>
  <si>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</si>
  <si>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</si>
  <si>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</si>
  <si>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</si>
  <si>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</si>
  <si>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</si>
  <si>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</si>
  <si>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</si>
  <si>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</si>
  <si>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</si>
  <si>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</si>
  <si>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</si>
  <si>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</si>
  <si>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</si>
  <si>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</si>
  <si>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</si>
  <si>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</si>
  <si>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</si>
  <si>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</si>
  <si>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</si>
  <si>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</si>
  <si>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</si>
  <si>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</si>
  <si>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</si>
  <si>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</si>
  <si>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</si>
  <si>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</si>
  <si>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</si>
  <si>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</si>
  <si>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</si>
  <si>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</si>
  <si>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</si>
  <si>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</si>
  <si>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</si>
  <si>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</si>
  <si>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</si>
  <si>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</si>
  <si>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</si>
  <si>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</si>
  <si>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</si>
  <si>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</si>
  <si>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</si>
  <si>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</si>
  <si>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</si>
  <si>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</si>
  <si>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</si>
  <si>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</si>
  <si>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</si>
  <si>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</si>
  <si>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</si>
  <si>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</si>
  <si>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</si>
  <si>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</si>
  <si>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</si>
  <si>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</si>
  <si>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</si>
  <si>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</si>
  <si>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</si>
  <si>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</si>
  <si>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</si>
  <si>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</si>
  <si>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</si>
  <si>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</si>
  <si>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</si>
  <si>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</si>
  <si>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</si>
  <si>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</si>
  <si>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</si>
  <si>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</si>
  <si>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</si>
  <si>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</si>
  <si>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</si>
  <si>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</si>
  <si>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</si>
  <si>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</si>
  <si>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</si>
  <si>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</si>
  <si>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</si>
  <si>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</si>
  <si>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</si>
  <si>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</si>
  <si>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</si>
  <si>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</si>
  <si>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</si>
  <si>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</si>
  <si>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</si>
  <si>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</si>
  <si>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</si>
  <si>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</si>
  <si>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</si>
  <si>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</si>
  <si>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</si>
  <si>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</si>
  <si>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</si>
  <si>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</si>
  <si>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</si>
  <si>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</si>
  <si>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</si>
  <si>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</si>
  <si>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</si>
  <si>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</si>
  <si>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</si>
  <si>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</si>
  <si>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</si>
  <si>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</si>
  <si>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</si>
  <si>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</si>
  <si>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</si>
  <si>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</si>
  <si>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</si>
  <si>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</si>
  <si>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</si>
  <si>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</si>
  <si>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</si>
  <si>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</si>
  <si>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</si>
  <si>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</si>
  <si>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</si>
  <si>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</si>
  <si>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</si>
  <si>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</si>
  <si>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</si>
  <si>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</si>
  <si>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</si>
  <si>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</si>
  <si>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</si>
  <si>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</si>
  <si>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</si>
  <si>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</si>
  <si>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</si>
  <si>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</si>
  <si>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</si>
  <si>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</si>
  <si>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</si>
  <si>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</si>
  <si>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</si>
  <si>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</si>
  <si>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</si>
  <si>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</si>
  <si>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</si>
  <si>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</si>
  <si>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</si>
  <si>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</si>
  <si>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</si>
  <si>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</si>
  <si>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</si>
  <si>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</si>
  <si>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</si>
  <si>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</si>
  <si>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</si>
  <si>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</si>
  <si>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</si>
  <si>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</si>
  <si>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</si>
  <si>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</si>
  <si>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</si>
  <si>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</si>
  <si>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</si>
  <si>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</si>
  <si>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</si>
  <si>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</si>
  <si>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</si>
  <si>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</si>
  <si>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</si>
  <si>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</si>
  <si>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</si>
  <si>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</si>
  <si>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</si>
  <si>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</si>
  <si>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</si>
  <si>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</si>
  <si>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</si>
  <si>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</si>
  <si>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</si>
  <si>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</si>
  <si>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</si>
  <si>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</si>
  <si>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</si>
  <si>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</si>
  <si>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</si>
  <si>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</si>
  <si>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</si>
  <si>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</si>
  <si>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</si>
  <si>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</si>
  <si>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</si>
  <si>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</si>
  <si>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</si>
  <si>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</si>
  <si>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</si>
  <si>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</si>
  <si>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</si>
  <si>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</si>
  <si>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</si>
  <si>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</si>
  <si>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</si>
  <si>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</si>
  <si>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</si>
  <si>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</si>
  <si>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</si>
  <si>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</si>
  <si>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</si>
  <si>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</si>
  <si>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</si>
  <si>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</si>
  <si>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</si>
  <si>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</si>
  <si>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</si>
  <si>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</si>
  <si>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</si>
  <si>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</si>
  <si>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</si>
  <si>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</si>
  <si>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</si>
  <si>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</si>
  <si>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</si>
  <si>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</si>
  <si>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</si>
  <si>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</si>
  <si>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</si>
  <si>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</si>
  <si>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</si>
  <si>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</si>
  <si>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</si>
  <si>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</si>
  <si>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</si>
  <si>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</si>
  <si>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</si>
  <si>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</si>
  <si>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</si>
  <si>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</si>
  <si>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</si>
  <si>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</si>
  <si>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</si>
  <si>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</si>
  <si>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</si>
  <si>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</si>
  <si>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</si>
  <si>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</si>
  <si>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</si>
  <si>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</si>
  <si>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</si>
  <si>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</si>
  <si>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</si>
  <si>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</si>
  <si>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</si>
  <si>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</si>
  <si>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</si>
  <si>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</si>
  <si>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</si>
  <si>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</si>
  <si>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</si>
  <si>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</si>
  <si>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</si>
  <si>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</si>
  <si>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</si>
  <si>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</si>
  <si>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</si>
  <si>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</si>
  <si>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</si>
  <si>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</si>
  <si>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</si>
  <si>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</si>
  <si>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</si>
  <si>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</si>
  <si>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</si>
  <si>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</si>
  <si>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</si>
  <si>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</si>
  <si>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</si>
  <si>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</si>
  <si>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</si>
  <si>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</si>
  <si>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</si>
  <si>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</si>
  <si>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</si>
  <si>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</si>
  <si>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</si>
  <si>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</si>
  <si>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</si>
  <si>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</si>
  <si>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</si>
  <si>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</si>
  <si>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</si>
  <si>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</si>
  <si>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</si>
  <si>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</si>
  <si>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</si>
  <si>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</si>
  <si>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</si>
  <si>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</si>
  <si>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</si>
  <si>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</si>
  <si>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</si>
  <si>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</si>
  <si>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</si>
  <si>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</si>
  <si>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</si>
  <si>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</si>
  <si>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</si>
  <si>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</si>
  <si>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</si>
  <si>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</si>
  <si>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</si>
  <si>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</si>
  <si>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</si>
  <si>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</si>
  <si>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</si>
  <si>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</si>
  <si>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</si>
  <si>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</si>
  <si>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</si>
  <si>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</si>
  <si>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</si>
  <si>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</si>
  <si>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</si>
  <si>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</si>
  <si>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</si>
  <si>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</si>
  <si>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</si>
  <si>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</si>
  <si>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</si>
  <si>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</si>
  <si>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</si>
  <si>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</si>
  <si>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</si>
  <si>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</si>
  <si>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</si>
  <si>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</si>
  <si>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</si>
  <si>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</si>
  <si>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</si>
  <si>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</si>
  <si>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</si>
  <si>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</si>
  <si>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</si>
  <si>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</si>
  <si>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</si>
  <si>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</si>
  <si>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</si>
  <si>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</si>
  <si>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</si>
  <si>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</si>
  <si>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</si>
  <si>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</si>
  <si>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</si>
  <si>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</si>
  <si>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</si>
  <si>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</si>
  <si>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</si>
  <si>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</si>
  <si>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</si>
  <si>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</si>
  <si>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</si>
  <si>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</si>
  <si>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</si>
  <si>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</si>
  <si>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</si>
  <si>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</si>
  <si>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</si>
  <si>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</si>
  <si>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</si>
  <si>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</si>
  <si>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</si>
  <si>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</si>
  <si>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</si>
  <si>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</si>
  <si>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</si>
  <si>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</si>
  <si>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</si>
  <si>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</si>
  <si>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</si>
  <si>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</si>
  <si>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</si>
  <si>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</si>
  <si>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</si>
  <si>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</si>
  <si>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</si>
  <si>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</si>
  <si>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</si>
  <si>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</si>
  <si>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</si>
  <si>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</si>
  <si>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</si>
  <si>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</si>
  <si>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SANTANA DE MANGUEIRA</t>
  </si>
  <si>
    <t>SANTANA DOS GARROTES</t>
  </si>
  <si>
    <t>SANTA TERESINHA</t>
  </si>
  <si>
    <t>SANTO ANDRE</t>
  </si>
  <si>
    <t>SAO BENTINHO</t>
  </si>
  <si>
    <t>SAO DOMINGOS DO CARIRI</t>
  </si>
  <si>
    <t>SAO DOMINGOS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</si>
  <si>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</si>
  <si>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</si>
  <si>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</si>
  <si>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</si>
  <si>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</si>
  <si>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</si>
  <si>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DOS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</si>
  <si>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</si>
  <si>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</si>
  <si>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</si>
  <si>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</si>
  <si>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</si>
  <si>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</si>
  <si>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</si>
  <si>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</si>
  <si>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</si>
  <si>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</si>
  <si>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</si>
  <si>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</si>
  <si>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</si>
  <si>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</si>
  <si>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</si>
  <si>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</si>
  <si>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</si>
  <si>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</si>
  <si>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</si>
  <si>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</si>
  <si>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</si>
  <si>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</si>
  <si>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</si>
  <si>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</si>
  <si>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</si>
  <si>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</si>
  <si>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</si>
  <si>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</si>
  <si>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</si>
  <si>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</si>
  <si>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</si>
  <si>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</si>
  <si>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</si>
  <si>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</si>
  <si>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</si>
  <si>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</si>
  <si>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</si>
  <si>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</si>
  <si>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</si>
  <si>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</si>
  <si>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</si>
  <si>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</si>
  <si>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</si>
  <si>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</si>
  <si>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</si>
  <si>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</si>
  <si>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</si>
  <si>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</si>
  <si>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</si>
  <si>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</si>
  <si>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</si>
  <si>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</si>
  <si>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</si>
  <si>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</si>
  <si>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</si>
  <si>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</si>
  <si>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</si>
  <si>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</si>
  <si>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</si>
  <si>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</si>
  <si>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</si>
  <si>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</si>
  <si>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</si>
  <si>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</si>
  <si>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</si>
  <si>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</si>
  <si>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</si>
  <si>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</si>
  <si>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</si>
  <si>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</si>
  <si>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</si>
  <si>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</si>
  <si>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</si>
  <si>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</si>
  <si>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</si>
  <si>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</si>
  <si>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</si>
  <si>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</si>
  <si>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</si>
  <si>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</si>
  <si>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</si>
  <si>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</si>
  <si>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</si>
  <si>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</si>
  <si>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</si>
  <si>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</si>
  <si>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</si>
  <si>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</si>
  <si>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</si>
  <si>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</si>
  <si>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</si>
  <si>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</si>
  <si>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</si>
  <si>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</si>
  <si>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</si>
  <si>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</si>
  <si>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</si>
  <si>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</si>
  <si>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</si>
  <si>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</si>
  <si>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</si>
  <si>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</si>
  <si>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</si>
  <si>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</si>
  <si>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</si>
  <si>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</si>
  <si>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</si>
  <si>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</si>
  <si>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ILHA DE 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</si>
  <si>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</si>
  <si>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</si>
  <si>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</si>
  <si>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</si>
  <si>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</si>
  <si>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</si>
  <si>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</si>
  <si>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</si>
  <si>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</si>
  <si>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</si>
  <si>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</si>
  <si>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</si>
  <si>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</si>
  <si>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</si>
  <si>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</si>
  <si>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</si>
  <si>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</si>
  <si>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</si>
  <si>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</si>
  <si>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</si>
  <si>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</si>
  <si>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</si>
  <si>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</si>
  <si>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</si>
  <si>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</si>
  <si>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</si>
  <si>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</si>
  <si>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</si>
  <si>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</si>
  <si>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</si>
  <si>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</si>
  <si>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</si>
  <si>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</si>
  <si>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</si>
  <si>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</si>
  <si>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</si>
  <si>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</si>
  <si>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</si>
  <si>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</si>
  <si>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</si>
  <si>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</si>
  <si>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</si>
  <si>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</si>
  <si>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</si>
  <si>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</si>
  <si>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</si>
  <si>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</si>
  <si>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</si>
  <si>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</si>
  <si>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</si>
  <si>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</si>
  <si>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</si>
  <si>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</si>
  <si>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</si>
  <si>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</si>
  <si>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</si>
  <si>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</si>
  <si>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</si>
  <si>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</si>
  <si>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</si>
  <si>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</si>
  <si>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</si>
  <si>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</si>
  <si>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</si>
  <si>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</si>
  <si>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</si>
  <si>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</si>
  <si>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</si>
  <si>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</si>
  <si>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</si>
  <si>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</si>
  <si>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</si>
  <si>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</si>
  <si>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</si>
  <si>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</si>
  <si>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</si>
  <si>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</si>
  <si>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</si>
  <si>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</si>
  <si>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</si>
  <si>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</si>
  <si>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</si>
  <si>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</si>
  <si>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</si>
  <si>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</si>
  <si>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</si>
  <si>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</si>
  <si>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</si>
  <si>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</si>
  <si>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</si>
  <si>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</si>
  <si>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</si>
  <si>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</si>
  <si>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</si>
  <si>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</si>
  <si>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</si>
  <si>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</si>
  <si>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</si>
  <si>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</si>
  <si>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</si>
  <si>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</si>
  <si>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</si>
  <si>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</si>
  <si>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</si>
  <si>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</si>
  <si>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</si>
  <si>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</si>
  <si>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</si>
  <si>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</si>
  <si>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</si>
  <si>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</si>
  <si>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</si>
  <si>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</si>
  <si>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</si>
  <si>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</si>
  <si>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</si>
  <si>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</si>
  <si>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</si>
  <si>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</si>
  <si>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</si>
  <si>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</si>
  <si>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</si>
  <si>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</si>
  <si>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</si>
  <si>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</si>
  <si>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</si>
  <si>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</si>
  <si>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</si>
  <si>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</si>
  <si>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</si>
  <si>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</si>
  <si>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</si>
  <si>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</si>
  <si>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</si>
  <si>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</si>
  <si>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</si>
  <si>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</si>
  <si>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</si>
  <si>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</si>
  <si>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</si>
  <si>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</si>
  <si>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</si>
  <si>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</si>
  <si>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</si>
  <si>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</si>
  <si>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</si>
  <si>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</si>
  <si>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</si>
  <si>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</si>
  <si>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</si>
  <si>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</si>
  <si>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</si>
  <si>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</si>
  <si>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</si>
  <si>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</si>
  <si>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</si>
  <si>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</si>
  <si>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</si>
  <si>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</si>
  <si>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</si>
  <si>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</si>
  <si>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</si>
  <si>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</si>
  <si>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</si>
  <si>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</si>
  <si>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</si>
  <si>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</si>
  <si>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</si>
  <si>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</si>
  <si>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</si>
  <si>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</si>
  <si>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</si>
  <si>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</si>
  <si>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</si>
  <si>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</si>
  <si>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</si>
  <si>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</si>
  <si>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</si>
  <si>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</si>
  <si>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</si>
  <si>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</si>
  <si>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</si>
  <si>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</si>
  <si>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</si>
  <si>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</si>
  <si>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</si>
  <si>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</si>
  <si>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</si>
  <si>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</si>
  <si>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</si>
  <si>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</si>
  <si>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</si>
  <si>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</si>
  <si>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</si>
  <si>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</si>
  <si>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</si>
  <si>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</si>
  <si>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</si>
  <si>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</si>
  <si>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</si>
  <si>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</si>
  <si>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</si>
  <si>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</si>
  <si>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</si>
  <si>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</si>
  <si>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</si>
  <si>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</si>
  <si>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</si>
  <si>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</si>
  <si>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</si>
  <si>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</si>
  <si>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</si>
  <si>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</si>
  <si>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</si>
  <si>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</si>
  <si>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</si>
  <si>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</si>
  <si>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</si>
  <si>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</si>
  <si>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</si>
  <si>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</si>
  <si>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</si>
  <si>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</si>
  <si>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</si>
  <si>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</si>
  <si>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</si>
  <si>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</si>
  <si>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</si>
  <si>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</si>
  <si>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</si>
  <si>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</si>
  <si>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</si>
  <si>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</si>
  <si>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</si>
  <si>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</si>
  <si>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</si>
  <si>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</si>
  <si>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</si>
  <si>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</si>
  <si>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</si>
  <si>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</si>
  <si>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</si>
  <si>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</si>
  <si>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</si>
  <si>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</si>
  <si>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</si>
  <si>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</si>
  <si>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</si>
  <si>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</si>
  <si>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</si>
  <si>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</si>
  <si>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</si>
  <si>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</si>
  <si>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</si>
  <si>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</si>
  <si>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</si>
  <si>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</si>
  <si>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</si>
  <si>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</si>
  <si>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</si>
  <si>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</si>
  <si>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</si>
  <si>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</si>
  <si>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</si>
  <si>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</si>
  <si>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</si>
  <si>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</si>
  <si>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</si>
  <si>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</si>
  <si>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</si>
  <si>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</si>
  <si>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</si>
  <si>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</si>
  <si>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</si>
  <si>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</si>
  <si>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</si>
  <si>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</si>
  <si>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</si>
  <si>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</si>
  <si>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</si>
  <si>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</si>
  <si>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</si>
  <si>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</si>
  <si>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</si>
  <si>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</si>
  <si>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</si>
  <si>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</si>
  <si>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</si>
  <si>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</si>
  <si>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</si>
  <si>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</si>
  <si>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</si>
  <si>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</si>
  <si>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</si>
  <si>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</si>
  <si>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</si>
  <si>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</si>
  <si>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</si>
  <si>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</si>
  <si>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</si>
  <si>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</si>
  <si>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</si>
  <si>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</si>
  <si>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</si>
  <si>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</si>
  <si>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</si>
  <si>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</si>
  <si>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</si>
  <si>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</si>
  <si>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</si>
  <si>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</si>
  <si>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</si>
  <si>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</si>
  <si>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</si>
  <si>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</si>
  <si>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</si>
  <si>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</si>
  <si>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</si>
  <si>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</si>
  <si>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</si>
  <si>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</si>
  <si>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</si>
  <si>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</si>
  <si>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</si>
  <si>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</si>
  <si>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</si>
  <si>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</si>
  <si>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</si>
  <si>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</si>
  <si>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</si>
  <si>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</si>
  <si>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</si>
  <si>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</si>
  <si>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</si>
  <si>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</si>
  <si>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</si>
  <si>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</si>
  <si>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</si>
  <si>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</si>
  <si>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</si>
  <si>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</si>
  <si>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</si>
  <si>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</si>
  <si>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</si>
  <si>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</si>
  <si>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</si>
  <si>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</si>
  <si>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</si>
  <si>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</si>
  <si>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</si>
  <si>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</si>
  <si>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</si>
  <si>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</si>
  <si>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</si>
  <si>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</si>
  <si>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</si>
  <si>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</si>
  <si>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</si>
  <si>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</si>
  <si>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</si>
  <si>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</si>
  <si>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</si>
  <si>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</si>
  <si>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</si>
  <si>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</si>
  <si>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</si>
  <si>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</si>
  <si>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</si>
  <si>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</si>
  <si>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</si>
  <si>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</si>
  <si>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</si>
  <si>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</si>
  <si>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</si>
  <si>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</si>
  <si>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</si>
  <si>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</si>
  <si>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</si>
  <si>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</si>
  <si>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</si>
  <si>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</si>
  <si>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</si>
  <si>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</si>
  <si>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</si>
  <si>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</si>
  <si>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</si>
  <si>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</si>
  <si>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</si>
  <si>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</si>
  <si>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</si>
  <si>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</si>
  <si>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</si>
  <si>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</si>
  <si>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</si>
  <si>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</si>
  <si>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</si>
  <si>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</si>
  <si>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</si>
  <si>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</si>
  <si>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</si>
  <si>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</si>
  <si>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</si>
  <si>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</si>
  <si>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</si>
  <si>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</si>
  <si>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</si>
  <si>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</si>
  <si>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</si>
  <si>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</si>
  <si>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</si>
  <si>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</si>
  <si>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</si>
  <si>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</si>
  <si>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</si>
  <si>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</si>
  <si>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</si>
  <si>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</si>
  <si>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</si>
  <si>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</si>
  <si>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</si>
  <si>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</si>
  <si>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</si>
  <si>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</si>
  <si>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</si>
  <si>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</si>
  <si>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</si>
  <si>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</si>
  <si>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</si>
  <si>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</si>
  <si>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</si>
  <si>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</si>
  <si>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</si>
  <si>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</si>
  <si>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</si>
  <si>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</si>
  <si>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</si>
  <si>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</si>
  <si>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</si>
  <si>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</si>
  <si>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</si>
  <si>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</si>
  <si>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</si>
  <si>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</si>
  <si>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</si>
  <si>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</si>
  <si>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</si>
  <si>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</si>
  <si>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</si>
  <si>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</si>
  <si>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</si>
  <si>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</si>
  <si>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</si>
  <si>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</si>
  <si>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</si>
  <si>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</si>
  <si>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</si>
  <si>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</si>
  <si>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</si>
  <si>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</si>
  <si>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</si>
  <si>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</si>
  <si>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</si>
  <si>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</si>
  <si>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</si>
  <si>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</si>
  <si>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</si>
  <si>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</si>
  <si>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</si>
  <si>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</si>
  <si>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</si>
  <si>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</si>
  <si>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</si>
  <si>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</si>
  <si>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</si>
  <si>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</si>
  <si>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</si>
  <si>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</si>
  <si>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</si>
  <si>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</si>
  <si>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</si>
  <si>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</si>
  <si>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</si>
  <si>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</si>
  <si>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</si>
  <si>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</si>
  <si>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</si>
  <si>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</si>
  <si>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</si>
  <si>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</si>
  <si>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</si>
  <si>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</si>
  <si>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</si>
  <si>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</si>
  <si>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</si>
  <si>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</si>
  <si>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</si>
  <si>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</si>
  <si>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</si>
  <si>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</si>
  <si>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</si>
  <si>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</si>
  <si>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</si>
  <si>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</si>
  <si>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</si>
  <si>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</si>
  <si>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</si>
  <si>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</si>
  <si>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</si>
  <si>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</si>
  <si>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</si>
  <si>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</si>
  <si>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</si>
  <si>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</si>
  <si>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</si>
  <si>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</si>
  <si>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</si>
  <si>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</si>
  <si>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</si>
  <si>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</si>
  <si>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</si>
  <si>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</si>
  <si>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</si>
  <si>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</si>
  <si>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</si>
  <si>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</si>
  <si>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</si>
  <si>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</si>
  <si>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</si>
  <si>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</si>
  <si>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</si>
  <si>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</si>
  <si>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</si>
  <si>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</si>
  <si>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</si>
  <si>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</si>
  <si>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</si>
  <si>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</si>
  <si>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</si>
  <si>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</si>
  <si>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</si>
  <si>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</si>
  <si>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</si>
  <si>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</si>
  <si>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</si>
  <si>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</si>
  <si>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</si>
  <si>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</si>
  <si>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</si>
  <si>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</si>
  <si>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</si>
  <si>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</si>
  <si>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</si>
  <si>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</si>
  <si>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</si>
  <si>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</si>
  <si>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</si>
  <si>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</si>
  <si>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</si>
  <si>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</si>
  <si>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</si>
  <si>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</si>
  <si>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</si>
  <si>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</si>
  <si>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</si>
  <si>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</si>
  <si>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</si>
  <si>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</si>
  <si>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</si>
  <si>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</si>
  <si>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</si>
  <si>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</si>
  <si>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</si>
  <si>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</si>
  <si>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</si>
  <si>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</si>
  <si>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</si>
  <si>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</si>
  <si>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</si>
  <si>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</si>
  <si>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</si>
  <si>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</si>
  <si>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</si>
  <si>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</si>
  <si>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</si>
  <si>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</si>
  <si>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</si>
  <si>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</si>
  <si>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</si>
  <si>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</si>
  <si>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</si>
  <si>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</si>
  <si>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</si>
  <si>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</si>
  <si>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</si>
  <si>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</si>
  <si>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</si>
  <si>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</si>
  <si>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</si>
  <si>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</si>
  <si>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</si>
  <si>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</si>
  <si>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</si>
  <si>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</si>
  <si>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</si>
  <si>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</si>
  <si>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</si>
  <si>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</si>
  <si>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</si>
  <si>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</si>
  <si>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</si>
  <si>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</si>
  <si>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</si>
  <si>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</si>
  <si>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</si>
  <si>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</si>
  <si>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</si>
  <si>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</si>
  <si>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</si>
  <si>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</si>
  <si>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</si>
  <si>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</si>
  <si>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</si>
  <si>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</si>
  <si>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</si>
  <si>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</si>
  <si>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</si>
  <si>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</si>
  <si>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</si>
  <si>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</si>
  <si>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</si>
  <si>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</si>
  <si>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</si>
  <si>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</si>
  <si>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</si>
  <si>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</si>
  <si>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</si>
  <si>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</si>
  <si>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</si>
  <si>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</si>
  <si>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</si>
  <si>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</si>
  <si>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</si>
  <si>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</si>
  <si>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</si>
  <si>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</si>
  <si>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</si>
  <si>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</si>
  <si>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</si>
  <si>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</si>
  <si>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</si>
  <si>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</si>
  <si>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</si>
  <si>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</si>
  <si>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</si>
  <si>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</si>
  <si>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</si>
  <si>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</si>
  <si>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</si>
  <si>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</si>
  <si>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</si>
  <si>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</si>
  <si>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</si>
  <si>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</si>
  <si>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</si>
  <si>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</si>
  <si>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</si>
  <si>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</si>
  <si>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</si>
  <si>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</si>
  <si>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</si>
  <si>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</si>
  <si>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</si>
  <si>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</si>
  <si>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</si>
  <si>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</si>
  <si>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</si>
  <si>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</si>
  <si>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</si>
  <si>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</si>
  <si>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</si>
  <si>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</si>
  <si>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</si>
  <si>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</si>
  <si>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</si>
  <si>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</si>
  <si>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</si>
  <si>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</si>
  <si>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</si>
  <si>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</si>
  <si>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</si>
  <si>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</si>
  <si>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</si>
  <si>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</si>
  <si>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</si>
  <si>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</si>
  <si>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</si>
  <si>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</si>
  <si>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</si>
  <si>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</si>
  <si>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</si>
  <si>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</si>
  <si>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</si>
  <si>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</si>
  <si>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</si>
  <si>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</si>
  <si>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</si>
  <si>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</si>
  <si>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</si>
  <si>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</si>
  <si>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</si>
  <si>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</si>
  <si>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</si>
  <si>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</si>
  <si>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</si>
  <si>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</si>
  <si>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</si>
  <si>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</si>
  <si>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</si>
  <si>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</si>
  <si>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</si>
  <si>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</si>
  <si>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</si>
  <si>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</si>
  <si>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</si>
  <si>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</si>
  <si>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</si>
  <si>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</si>
  <si>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</si>
  <si>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</si>
  <si>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</si>
  <si>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</si>
  <si>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</si>
  <si>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</si>
  <si>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</si>
  <si>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</si>
  <si>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</si>
  <si>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</si>
  <si>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</si>
  <si>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</si>
  <si>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</si>
  <si>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</si>
  <si>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</si>
  <si>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</si>
  <si>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</si>
  <si>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</si>
  <si>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</si>
  <si>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</si>
  <si>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</si>
  <si>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</si>
  <si>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</si>
  <si>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</si>
  <si>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</si>
  <si>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</si>
  <si>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</si>
  <si>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</si>
  <si>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</si>
  <si>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</si>
  <si>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</si>
  <si>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</si>
  <si>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</si>
  <si>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</si>
  <si>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</si>
  <si>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</si>
  <si>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</si>
  <si>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</si>
  <si>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</si>
  <si>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</si>
  <si>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</si>
  <si>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</si>
  <si>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</si>
  <si>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</si>
  <si>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</si>
  <si>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</si>
  <si>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</si>
  <si>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</si>
  <si>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</si>
  <si>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</si>
  <si>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</si>
  <si>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</si>
  <si>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</si>
  <si>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</si>
  <si>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</si>
  <si>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</si>
  <si>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</si>
  <si>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</si>
  <si>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</si>
  <si>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</si>
  <si>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</si>
  <si>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</si>
  <si>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</si>
  <si>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</si>
  <si>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</si>
  <si>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</si>
  <si>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</si>
  <si>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</si>
  <si>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</si>
  <si>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</si>
  <si>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</si>
  <si>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</si>
  <si>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</si>
  <si>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</si>
  <si>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</si>
  <si>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</si>
  <si>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</si>
  <si>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</si>
  <si>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</si>
  <si>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</si>
  <si>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</si>
  <si>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</si>
  <si>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</si>
  <si>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</si>
  <si>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</si>
  <si>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</si>
  <si>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</si>
  <si>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</si>
  <si>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</si>
  <si>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</si>
  <si>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</si>
  <si>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</si>
  <si>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</si>
  <si>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</si>
  <si>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</si>
  <si>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</si>
  <si>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</si>
  <si>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</si>
  <si>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</si>
  <si>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</si>
  <si>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</si>
  <si>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</si>
  <si>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</si>
  <si>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</si>
  <si>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</si>
  <si>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</si>
  <si>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</si>
  <si>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</si>
  <si>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</si>
  <si>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</si>
  <si>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</si>
  <si>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</si>
  <si>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</si>
  <si>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</si>
  <si>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</si>
  <si>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</si>
  <si>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</si>
  <si>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</si>
  <si>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</si>
  <si>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</si>
  <si>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</si>
  <si>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</si>
  <si>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</si>
  <si>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</si>
  <si>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</si>
  <si>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</si>
  <si>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</si>
  <si>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</si>
  <si>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</si>
  <si>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</si>
  <si>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</si>
  <si>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</si>
  <si>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</si>
  <si>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</si>
  <si>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</si>
  <si>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</si>
  <si>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</si>
  <si>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</si>
  <si>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</si>
  <si>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</si>
  <si>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</si>
  <si>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</si>
  <si>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</si>
  <si>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</si>
  <si>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</si>
  <si>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</si>
  <si>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</si>
  <si>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</si>
  <si>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</si>
  <si>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</si>
  <si>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</si>
  <si>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</si>
  <si>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</si>
  <si>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</si>
  <si>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</si>
  <si>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</si>
  <si>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</si>
  <si>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</si>
  <si>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</si>
  <si>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</si>
  <si>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</si>
  <si>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</si>
  <si>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</si>
  <si>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</si>
  <si>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</si>
  <si>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</si>
  <si>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</si>
  <si>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</si>
  <si>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</si>
  <si>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</si>
  <si>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</si>
  <si>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</si>
  <si>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</si>
  <si>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</si>
  <si>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</si>
  <si>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</si>
  <si>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</si>
  <si>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</si>
  <si>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</si>
  <si>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</si>
  <si>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</si>
  <si>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</si>
  <si>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</si>
  <si>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</si>
  <si>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</si>
  <si>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</si>
  <si>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</si>
  <si>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</si>
  <si>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</si>
  <si>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</si>
  <si>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</si>
  <si>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</si>
  <si>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</si>
  <si>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</si>
  <si>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</si>
  <si>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</si>
  <si>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</si>
  <si>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</si>
  <si>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</si>
  <si>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</si>
  <si>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</si>
  <si>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</si>
  <si>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</si>
  <si>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</si>
  <si>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</si>
  <si>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</si>
  <si>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</si>
  <si>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</si>
  <si>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</si>
  <si>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</si>
  <si>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</si>
  <si>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</si>
  <si>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</si>
  <si>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</si>
  <si>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</si>
  <si>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</si>
  <si>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</si>
  <si>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</si>
  <si>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</si>
  <si>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</si>
  <si>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</si>
  <si>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</si>
  <si>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</si>
  <si>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</si>
  <si>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</si>
  <si>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</si>
  <si>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</si>
  <si>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</si>
  <si>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</si>
  <si>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</si>
  <si>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</si>
  <si>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</si>
  <si>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</si>
  <si>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</si>
  <si>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</si>
  <si>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</si>
  <si>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</si>
  <si>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</si>
  <si>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</si>
  <si>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</si>
  <si>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</si>
  <si>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</si>
  <si>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</si>
  <si>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</si>
  <si>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</si>
  <si>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</si>
  <si>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</si>
  <si>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</si>
  <si>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</si>
  <si>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</si>
  <si>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</si>
  <si>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</si>
  <si>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</si>
  <si>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</si>
  <si>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</si>
  <si>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</si>
  <si>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</si>
  <si>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</si>
  <si>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</si>
  <si>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</si>
  <si>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</si>
  <si>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</si>
  <si>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</si>
  <si>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</si>
  <si>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</si>
  <si>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</si>
  <si>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</si>
  <si>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</si>
  <si>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</si>
  <si>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</si>
  <si>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</si>
  <si>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</si>
  <si>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</si>
  <si>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</si>
  <si>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</si>
  <si>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</si>
  <si>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</si>
  <si>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</si>
  <si>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</si>
  <si>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</si>
  <si>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</si>
  <si>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</si>
  <si>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</si>
  <si>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</si>
  <si>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</si>
  <si>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</si>
  <si>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</si>
  <si>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</si>
  <si>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</si>
  <si>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</si>
  <si>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</si>
  <si>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</si>
  <si>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</si>
  <si>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</si>
  <si>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</si>
  <si>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</si>
  <si>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</si>
  <si>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</si>
  <si>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</si>
  <si>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</si>
  <si>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</si>
  <si>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</si>
  <si>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</si>
  <si>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</si>
  <si>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</si>
  <si>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</si>
  <si>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</si>
  <si>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</si>
  <si>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</si>
  <si>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</si>
  <si>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</si>
  <si>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</si>
  <si>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</si>
  <si>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</si>
  <si>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</si>
  <si>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</si>
  <si>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</si>
  <si>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</si>
  <si>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</si>
  <si>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</si>
  <si>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</si>
  <si>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</si>
  <si>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</si>
  <si>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</si>
  <si>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</si>
  <si>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</si>
  <si>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</si>
  <si>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</si>
  <si>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</si>
  <si>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</si>
  <si>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</si>
  <si>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</si>
  <si>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</si>
  <si>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</si>
  <si>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</si>
  <si>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</si>
  <si>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</si>
  <si>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</si>
  <si>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</si>
  <si>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</si>
  <si>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</si>
  <si>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</si>
  <si>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</si>
  <si>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</si>
  <si>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</si>
  <si>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</si>
  <si>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</si>
  <si>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</si>
  <si>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</si>
  <si>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</si>
  <si>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</si>
  <si>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</si>
  <si>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</si>
  <si>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</si>
  <si>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</si>
  <si>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</si>
  <si>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</si>
  <si>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</si>
  <si>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</si>
  <si>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</si>
  <si>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</si>
  <si>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</si>
  <si>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</si>
  <si>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</si>
  <si>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</si>
  <si>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</si>
  <si>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</si>
  <si>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</si>
  <si>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</si>
  <si>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</si>
  <si>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</si>
  <si>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</si>
  <si>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</si>
  <si>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</si>
  <si>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</si>
  <si>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</si>
  <si>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</si>
  <si>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</si>
  <si>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</si>
  <si>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</si>
  <si>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</si>
  <si>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</si>
  <si>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</si>
  <si>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</si>
  <si>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</si>
  <si>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</si>
  <si>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</si>
  <si>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</si>
  <si>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</si>
  <si>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</si>
  <si>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</si>
  <si>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</si>
  <si>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</si>
  <si>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</si>
  <si>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</si>
  <si>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</si>
  <si>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</si>
  <si>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</si>
  <si>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</si>
  <si>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</si>
  <si>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</si>
  <si>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</si>
  <si>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</si>
  <si>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</si>
  <si>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</si>
  <si>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</si>
  <si>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</si>
  <si>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</si>
  <si>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</si>
  <si>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</si>
  <si>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</si>
  <si>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</si>
  <si>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</si>
  <si>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</si>
  <si>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</si>
  <si>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</si>
  <si>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</si>
  <si>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</si>
  <si>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</si>
  <si>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</si>
  <si>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</si>
  <si>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</si>
  <si>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</si>
  <si>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</si>
  <si>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</si>
  <si>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</si>
  <si>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</si>
  <si>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</si>
  <si>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</si>
  <si>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</si>
  <si>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</si>
  <si>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</si>
  <si>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</si>
  <si>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</si>
  <si>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</si>
  <si>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</si>
  <si>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</si>
  <si>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</si>
  <si>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</si>
  <si>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</si>
  <si>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</si>
  <si>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</si>
  <si>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</si>
  <si>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</si>
  <si>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</si>
  <si>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</si>
  <si>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</si>
  <si>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</si>
  <si>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</si>
  <si>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</si>
  <si>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</si>
  <si>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</si>
  <si>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</si>
  <si>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</si>
  <si>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</si>
  <si>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</si>
  <si>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</si>
  <si>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</si>
  <si>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</si>
  <si>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</si>
  <si>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</si>
  <si>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</si>
  <si>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</si>
  <si>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</si>
  <si>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</si>
  <si>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</si>
  <si>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</si>
  <si>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</si>
  <si>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</si>
  <si>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</si>
  <si>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</si>
  <si>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</si>
  <si>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</si>
  <si>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</si>
  <si>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</si>
  <si>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</si>
  <si>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</si>
  <si>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</si>
  <si>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</si>
  <si>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</si>
  <si>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</si>
  <si>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</si>
  <si>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</si>
  <si>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</si>
  <si>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</si>
  <si>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</si>
  <si>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</si>
  <si>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</si>
  <si>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</si>
  <si>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</si>
  <si>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</si>
  <si>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</si>
  <si>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</si>
  <si>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</si>
  <si>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</si>
  <si>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</si>
  <si>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</si>
  <si>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</si>
  <si>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</si>
  <si>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</si>
  <si>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</si>
  <si>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</si>
  <si>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</si>
  <si>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</si>
  <si>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</si>
  <si>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</si>
  <si>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</si>
  <si>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</si>
  <si>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</si>
  <si>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</si>
  <si>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</si>
  <si>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</si>
  <si>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</si>
  <si>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</si>
  <si>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</si>
  <si>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</si>
  <si>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</si>
  <si>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</si>
  <si>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</si>
  <si>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</si>
  <si>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</si>
  <si>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</si>
  <si>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</si>
  <si>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</si>
  <si>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</si>
  <si>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</si>
  <si>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</si>
  <si>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</si>
  <si>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</si>
  <si>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</si>
  <si>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</si>
  <si>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</si>
  <si>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</si>
  <si>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</si>
  <si>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</si>
  <si>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</si>
  <si>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</si>
  <si>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</si>
  <si>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</si>
  <si>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</si>
  <si>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</si>
  <si>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</si>
  <si>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</si>
  <si>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</si>
  <si>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</si>
  <si>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</si>
  <si>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</si>
  <si>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</si>
  <si>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</si>
  <si>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</si>
  <si>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</si>
  <si>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</si>
  <si>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</si>
  <si>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</si>
  <si>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</si>
  <si>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</si>
  <si>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</si>
  <si>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</si>
  <si>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</si>
  <si>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</si>
  <si>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</si>
  <si>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</si>
  <si>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</si>
  <si>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</si>
  <si>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</si>
  <si>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</si>
  <si>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</si>
  <si>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</si>
  <si>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</si>
  <si>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</si>
  <si>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</si>
  <si>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</si>
  <si>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</si>
  <si>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</si>
  <si>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</si>
  <si>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</si>
  <si>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</si>
  <si>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</si>
  <si>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</si>
  <si>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</si>
  <si>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</si>
  <si>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</si>
  <si>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</si>
  <si>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</si>
  <si>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</si>
  <si>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</si>
  <si>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</si>
  <si>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</si>
  <si>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</si>
  <si>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</si>
  <si>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</si>
  <si>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</si>
  <si>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</si>
  <si>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</si>
  <si>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</si>
  <si>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</si>
  <si>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</si>
  <si>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</si>
  <si>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</si>
  <si>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</si>
  <si>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</si>
  <si>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</si>
  <si>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</si>
  <si>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</si>
  <si>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</si>
  <si>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</si>
  <si>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</si>
  <si>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</si>
  <si>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</si>
  <si>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</si>
  <si>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</si>
  <si>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</si>
  <si>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</si>
  <si>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</si>
  <si>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</si>
  <si>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</si>
  <si>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</si>
  <si>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</si>
  <si>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</si>
  <si>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</si>
  <si>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</si>
  <si>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</si>
  <si>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</si>
  <si>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</si>
  <si>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</si>
  <si>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</si>
  <si>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</si>
  <si>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</si>
  <si>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</si>
  <si>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</si>
  <si>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</si>
  <si>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</si>
  <si>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</si>
  <si>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</si>
  <si>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</si>
  <si>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</si>
  <si>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</si>
  <si>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</si>
  <si>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</si>
  <si>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</si>
  <si>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</si>
  <si>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</si>
  <si>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</si>
  <si>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</si>
  <si>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</si>
  <si>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</si>
  <si>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</si>
  <si>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</si>
  <si>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</si>
  <si>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</si>
  <si>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</si>
  <si>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</si>
  <si>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</si>
  <si>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</si>
  <si>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</si>
  <si>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</si>
  <si>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</si>
  <si>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</si>
  <si>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</si>
  <si>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</si>
  <si>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</si>
  <si>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</si>
  <si>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</si>
  <si>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</si>
  <si>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</si>
  <si>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</si>
  <si>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</si>
  <si>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</si>
  <si>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</si>
  <si>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</si>
  <si>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</si>
  <si>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</si>
  <si>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</si>
  <si>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</si>
  <si>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</si>
  <si>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</si>
  <si>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</si>
  <si>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</si>
  <si>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</si>
  <si>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</si>
  <si>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</si>
  <si>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</si>
  <si>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</si>
  <si>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</si>
  <si>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</si>
  <si>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</si>
  <si>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</si>
  <si>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</si>
  <si>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</si>
  <si>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</si>
  <si>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</si>
  <si>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</si>
  <si>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</si>
  <si>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</si>
  <si>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</si>
  <si>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</si>
  <si>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</si>
  <si>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</si>
  <si>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</si>
  <si>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</si>
  <si>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</si>
  <si>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</si>
  <si>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</si>
  <si>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</si>
  <si>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</si>
  <si>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</si>
  <si>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</si>
  <si>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</si>
  <si>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</si>
  <si>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</si>
  <si>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</si>
  <si>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</si>
  <si>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</si>
  <si>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</si>
  <si>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</si>
  <si>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</si>
  <si>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</si>
  <si>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</si>
  <si>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</si>
  <si>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</si>
  <si>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</si>
  <si>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</si>
  <si>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</si>
  <si>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</si>
  <si>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</si>
  <si>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</si>
  <si>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</si>
  <si>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</si>
  <si>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</si>
  <si>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</si>
  <si>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</si>
  <si>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</si>
  <si>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</si>
  <si>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</si>
  <si>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</si>
  <si>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</si>
  <si>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</si>
  <si>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</si>
  <si>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</si>
  <si>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</si>
  <si>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</si>
  <si>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</si>
  <si>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</si>
  <si>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</si>
  <si>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</si>
  <si>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</si>
  <si>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</si>
  <si>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</si>
  <si>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</si>
  <si>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</si>
  <si>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</si>
  <si>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</si>
  <si>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</si>
  <si>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</si>
  <si>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</si>
  <si>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</si>
  <si>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</si>
  <si>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</si>
  <si>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</si>
  <si>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</si>
  <si>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</si>
  <si>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</si>
  <si>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</si>
  <si>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</si>
  <si>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</si>
  <si>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</si>
  <si>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</si>
  <si>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</si>
  <si>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</si>
  <si>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</si>
  <si>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</si>
  <si>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</si>
  <si>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</si>
  <si>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</si>
  <si>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</si>
  <si>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</si>
  <si>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</si>
  <si>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</si>
  <si>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</si>
  <si>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</si>
  <si>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</si>
  <si>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</si>
  <si>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</si>
  <si>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</si>
  <si>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</si>
  <si>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</si>
  <si>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</si>
  <si>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</si>
  <si>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</si>
  <si>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</si>
  <si>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</si>
  <si>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</si>
  <si>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</si>
  <si>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</si>
  <si>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</si>
  <si>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</si>
  <si>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</si>
  <si>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</si>
  <si>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</si>
  <si>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</si>
  <si>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</si>
  <si>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</si>
  <si>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</si>
  <si>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</si>
  <si>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</si>
  <si>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</si>
  <si>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</si>
  <si>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</si>
  <si>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</si>
  <si>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</si>
  <si>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</si>
  <si>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</si>
  <si>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</si>
  <si>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</si>
  <si>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</si>
  <si>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</si>
  <si>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</si>
  <si>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</si>
  <si>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</si>
  <si>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</si>
  <si>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</si>
  <si>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</si>
  <si>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</si>
  <si>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</si>
  <si>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</si>
  <si>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</si>
  <si>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</si>
  <si>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</si>
  <si>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</si>
  <si>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</si>
  <si>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</si>
  <si>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</si>
  <si>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</si>
  <si>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</si>
  <si>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</si>
  <si>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</si>
  <si>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</si>
  <si>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</si>
  <si>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</si>
  <si>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</si>
  <si>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</si>
  <si>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</si>
  <si>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</si>
  <si>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</si>
  <si>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</si>
  <si>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</si>
  <si>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</si>
  <si>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</si>
  <si>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</si>
  <si>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</si>
  <si>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</si>
  <si>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</si>
  <si>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</si>
  <si>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</si>
  <si>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</si>
  <si>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</si>
  <si>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</si>
  <si>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</si>
  <si>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</si>
  <si>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</si>
  <si>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</si>
  <si>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</si>
  <si>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</si>
  <si>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</si>
  <si>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</si>
  <si>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</si>
  <si>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</si>
  <si>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</si>
  <si>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</si>
  <si>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</si>
  <si>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</si>
  <si>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</si>
  <si>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</si>
  <si>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</si>
  <si>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</si>
  <si>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</si>
  <si>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</si>
  <si>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</si>
  <si>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</si>
  <si>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</si>
  <si>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</si>
  <si>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</si>
  <si>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</si>
  <si>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</si>
  <si>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</si>
  <si>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</si>
  <si>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</si>
  <si>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</si>
  <si>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</si>
  <si>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</si>
  <si>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</si>
  <si>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</si>
  <si>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</si>
  <si>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</si>
  <si>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</si>
  <si>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</si>
  <si>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</si>
  <si>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</si>
  <si>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</si>
  <si>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</si>
  <si>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</si>
  <si>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</si>
  <si>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</si>
  <si>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</si>
  <si>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</si>
  <si>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</si>
  <si>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</si>
  <si>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</si>
  <si>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</si>
  <si>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</si>
  <si>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</si>
  <si>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</si>
  <si>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</si>
  <si>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</si>
  <si>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</si>
  <si>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</si>
  <si>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</si>
  <si>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</si>
  <si>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</si>
  <si>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</si>
  <si>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</si>
  <si>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</si>
  <si>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</si>
  <si>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</si>
  <si>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</si>
  <si>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</si>
  <si>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</si>
  <si>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</si>
  <si>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</si>
  <si>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</si>
  <si>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</si>
  <si>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</si>
  <si>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</si>
  <si>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</si>
  <si>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</si>
  <si>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</si>
  <si>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</si>
  <si>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</si>
  <si>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</si>
  <si>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</si>
  <si>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</si>
  <si>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</si>
  <si>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</si>
  <si>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</si>
  <si>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</si>
  <si>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</si>
  <si>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</si>
  <si>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</si>
  <si>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</si>
  <si>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</si>
  <si>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</si>
  <si>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</si>
  <si>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</si>
  <si>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</si>
  <si>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</si>
  <si>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</si>
  <si>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</si>
  <si>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</si>
  <si>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</si>
  <si>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</si>
  <si>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</si>
  <si>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</si>
  <si>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</si>
  <si>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</si>
  <si>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</si>
  <si>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</si>
  <si>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</si>
  <si>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</si>
  <si>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</si>
  <si>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</si>
  <si>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</si>
  <si>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</si>
  <si>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</si>
  <si>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</si>
  <si>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</si>
  <si>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</si>
  <si>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</si>
  <si>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</si>
  <si>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</si>
  <si>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</si>
  <si>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</si>
  <si>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</si>
  <si>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</si>
  <si>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</si>
  <si>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</si>
  <si>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</si>
  <si>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</si>
  <si>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</si>
  <si>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</si>
  <si>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</si>
  <si>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</si>
  <si>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</si>
  <si>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</si>
  <si>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</si>
  <si>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</si>
  <si>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</si>
  <si>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</si>
  <si>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</si>
  <si>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</si>
  <si>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</si>
  <si>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</si>
  <si>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</si>
  <si>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</si>
  <si>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</si>
  <si>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</si>
  <si>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</si>
  <si>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</si>
  <si>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</si>
  <si>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</si>
  <si>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</si>
  <si>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</si>
  <si>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</si>
  <si>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</si>
  <si>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</si>
  <si>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</si>
  <si>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</si>
  <si>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</si>
  <si>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</si>
  <si>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</si>
  <si>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</si>
  <si>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</si>
  <si>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</si>
  <si>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</si>
  <si>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</si>
  <si>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</si>
  <si>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</si>
  <si>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</si>
  <si>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</si>
  <si>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</si>
  <si>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</si>
  <si>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</si>
  <si>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</si>
  <si>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</si>
  <si>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</si>
  <si>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</si>
  <si>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</si>
  <si>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</si>
  <si>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</si>
  <si>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</si>
  <si>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</si>
  <si>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</si>
  <si>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</si>
  <si>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</si>
  <si>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</si>
  <si>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</si>
  <si>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</si>
  <si>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</si>
  <si>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</si>
  <si>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</si>
  <si>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</si>
  <si>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</si>
  <si>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</si>
  <si>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</si>
  <si>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</si>
  <si>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</si>
  <si>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</si>
  <si>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</si>
  <si>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</si>
  <si>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</si>
  <si>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</si>
  <si>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</si>
  <si>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</si>
  <si>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</si>
  <si>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</si>
  <si>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</si>
  <si>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</si>
  <si>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</si>
  <si>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</si>
  <si>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</si>
  <si>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</si>
  <si>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</si>
  <si>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</si>
  <si>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</si>
  <si>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</si>
  <si>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</si>
  <si>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</si>
  <si>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</si>
  <si>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</si>
  <si>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</si>
  <si>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</si>
  <si>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</si>
  <si>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</si>
  <si>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</si>
  <si>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</si>
  <si>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</si>
  <si>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</si>
  <si>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</si>
  <si>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</si>
  <si>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</si>
  <si>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</si>
  <si>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</si>
  <si>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</si>
  <si>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</si>
  <si>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</si>
  <si>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</si>
  <si>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</si>
  <si>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</si>
  <si>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</si>
  <si>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</si>
  <si>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</si>
  <si>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</si>
  <si>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</si>
  <si>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</si>
  <si>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</si>
  <si>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</si>
  <si>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</si>
  <si>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</si>
  <si>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</si>
  <si>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</si>
  <si>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</si>
  <si>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</si>
  <si>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</si>
  <si>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</si>
  <si>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</si>
  <si>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</si>
  <si>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</si>
  <si>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</si>
  <si>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</si>
  <si>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</si>
  <si>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</si>
  <si>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</si>
  <si>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</si>
  <si>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</si>
  <si>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</si>
  <si>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</si>
  <si>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</si>
  <si>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</si>
  <si>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</si>
  <si>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</si>
  <si>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</si>
  <si>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</si>
  <si>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</si>
  <si>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</si>
  <si>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</si>
  <si>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</si>
  <si>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</si>
  <si>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</si>
  <si>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</si>
  <si>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</si>
  <si>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</si>
  <si>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</si>
  <si>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</si>
  <si>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</si>
  <si>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</si>
  <si>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</si>
  <si>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</si>
  <si>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</si>
  <si>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</si>
  <si>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</si>
  <si>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</si>
  <si>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</si>
  <si>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</si>
  <si>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</si>
  <si>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</si>
  <si>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</si>
  <si>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</si>
  <si>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</si>
  <si>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</si>
  <si>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</si>
  <si>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</si>
  <si>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</si>
  <si>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</si>
  <si>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</si>
  <si>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</si>
  <si>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</si>
  <si>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</si>
  <si>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</si>
  <si>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</si>
  <si>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</si>
  <si>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</si>
  <si>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</si>
  <si>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</si>
  <si>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</si>
  <si>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</si>
  <si>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</si>
  <si>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</si>
  <si>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</si>
  <si>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</si>
  <si>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</si>
  <si>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</si>
  <si>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</si>
  <si>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</si>
  <si>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</si>
  <si>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</si>
  <si>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</si>
  <si>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</si>
  <si>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</si>
  <si>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</si>
  <si>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</si>
  <si>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</si>
  <si>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</si>
  <si>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</si>
  <si>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</si>
  <si>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</si>
  <si>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</si>
  <si>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</si>
  <si>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</si>
  <si>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</si>
  <si>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</si>
  <si>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</si>
  <si>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</si>
  <si>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</si>
  <si>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</si>
  <si>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</si>
  <si>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</si>
  <si>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</si>
  <si>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</si>
  <si>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</si>
  <si>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</si>
  <si>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</si>
  <si>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</si>
  <si>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</si>
  <si>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</si>
  <si>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</si>
  <si>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</si>
  <si>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</si>
  <si>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</si>
  <si>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</si>
  <si>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</si>
  <si>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</si>
  <si>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</si>
  <si>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</si>
  <si>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</si>
  <si>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</si>
  <si>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</si>
  <si>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</si>
  <si>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</si>
  <si>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</si>
  <si>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</si>
  <si>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</si>
  <si>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</si>
  <si>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</si>
  <si>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</si>
  <si>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</si>
  <si>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</si>
  <si>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</si>
  <si>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</si>
  <si>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</si>
  <si>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</si>
  <si>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</si>
  <si>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</si>
  <si>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</si>
  <si>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</si>
  <si>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</si>
  <si>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</si>
  <si>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</si>
  <si>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</si>
  <si>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</si>
  <si>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</si>
  <si>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</si>
  <si>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</si>
  <si>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</si>
  <si>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MOJI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</si>
  <si>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</si>
  <si>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</si>
  <si>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</si>
  <si>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</si>
  <si>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</si>
  <si>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</si>
  <si>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</si>
  <si>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</si>
  <si>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</si>
  <si>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</si>
  <si>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</si>
  <si>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</si>
  <si>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</si>
  <si>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</si>
  <si>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</si>
  <si>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</si>
  <si>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</si>
  <si>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</si>
  <si>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</si>
  <si>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</si>
  <si>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</si>
  <si>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</si>
  <si>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</si>
  <si>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</si>
  <si>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</si>
  <si>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</si>
  <si>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</si>
  <si>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</si>
  <si>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</si>
  <si>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</si>
  <si>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</si>
  <si>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</si>
  <si>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</si>
  <si>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</si>
  <si>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</si>
  <si>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</si>
  <si>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</si>
  <si>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</si>
  <si>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</si>
  <si>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</si>
  <si>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</si>
  <si>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</si>
  <si>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</si>
  <si>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</si>
  <si>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</si>
  <si>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</si>
  <si>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</si>
  <si>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</si>
  <si>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</si>
  <si>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</si>
  <si>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</si>
  <si>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</si>
  <si>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</si>
  <si>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</si>
  <si>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</si>
  <si>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</si>
  <si>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</si>
  <si>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</si>
  <si>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</si>
  <si>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</si>
  <si>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</si>
  <si>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</si>
  <si>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</si>
  <si>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</si>
  <si>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</si>
  <si>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</si>
  <si>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</si>
  <si>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</si>
  <si>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</si>
  <si>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</si>
  <si>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</si>
  <si>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</si>
  <si>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</si>
  <si>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</si>
  <si>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</si>
  <si>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</si>
  <si>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</si>
  <si>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</si>
  <si>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</si>
  <si>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</si>
  <si>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</si>
  <si>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</si>
  <si>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</si>
  <si>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</si>
  <si>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</si>
  <si>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</si>
  <si>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</si>
  <si>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</si>
  <si>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</si>
  <si>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</si>
  <si>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</si>
  <si>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</si>
  <si>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</si>
  <si>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</si>
  <si>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</si>
  <si>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</si>
  <si>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</si>
  <si>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</si>
  <si>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</si>
  <si>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</si>
  <si>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</si>
  <si>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</si>
  <si>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</si>
  <si>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</si>
  <si>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</si>
  <si>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</si>
  <si>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</si>
  <si>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</si>
  <si>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</si>
  <si>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</si>
  <si>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</si>
  <si>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</si>
  <si>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</si>
  <si>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</si>
  <si>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</si>
  <si>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</si>
  <si>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</si>
  <si>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</si>
  <si>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</si>
  <si>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</si>
  <si>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</si>
  <si>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</si>
  <si>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</si>
  <si>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</si>
  <si>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</si>
  <si>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</si>
  <si>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</si>
  <si>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</si>
  <si>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</si>
  <si>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</si>
  <si>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</si>
  <si>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</si>
  <si>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</si>
  <si>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</si>
  <si>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</si>
  <si>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</si>
  <si>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</si>
  <si>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</si>
  <si>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</si>
  <si>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</si>
  <si>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</si>
  <si>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</si>
  <si>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</si>
  <si>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</si>
  <si>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</si>
  <si>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</si>
  <si>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</si>
  <si>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</si>
  <si>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</si>
  <si>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</si>
  <si>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</si>
  <si>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</si>
  <si>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</si>
  <si>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</si>
  <si>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</si>
  <si>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</si>
  <si>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</si>
  <si>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</si>
  <si>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</si>
  <si>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</si>
  <si>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</si>
  <si>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</si>
  <si>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</si>
  <si>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</si>
  <si>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</si>
  <si>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</si>
  <si>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</si>
  <si>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</si>
  <si>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</si>
  <si>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</si>
  <si>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</si>
  <si>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</si>
  <si>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</si>
  <si>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</si>
  <si>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</si>
  <si>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</si>
  <si>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</si>
  <si>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</si>
  <si>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</si>
  <si>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</si>
  <si>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</si>
  <si>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</si>
  <si>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</si>
  <si>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</si>
  <si>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</si>
  <si>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</si>
  <si>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</si>
  <si>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</si>
  <si>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</si>
  <si>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</si>
  <si>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</si>
  <si>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</si>
  <si>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</si>
  <si>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</si>
  <si>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</si>
  <si>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</si>
  <si>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</si>
  <si>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</si>
  <si>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</si>
  <si>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</si>
  <si>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</si>
  <si>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</si>
  <si>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</si>
  <si>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</si>
  <si>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</si>
  <si>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</si>
  <si>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</si>
  <si>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</si>
  <si>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</si>
  <si>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</si>
  <si>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</si>
  <si>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</si>
  <si>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</si>
  <si>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</si>
  <si>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</si>
  <si>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</si>
  <si>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</si>
  <si>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</si>
  <si>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</si>
  <si>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</si>
  <si>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</si>
  <si>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</si>
  <si>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</si>
  <si>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</si>
  <si>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</si>
  <si>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</si>
  <si>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</si>
  <si>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</si>
  <si>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</si>
  <si>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</si>
  <si>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</si>
  <si>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</si>
  <si>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</si>
  <si>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</si>
  <si>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</si>
  <si>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</si>
  <si>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</si>
  <si>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</si>
  <si>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</si>
  <si>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</si>
  <si>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</si>
  <si>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</si>
  <si>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</si>
  <si>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</si>
  <si>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</si>
  <si>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</si>
  <si>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</si>
  <si>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</si>
  <si>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</si>
  <si>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</si>
  <si>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</si>
  <si>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</si>
  <si>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</si>
  <si>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</si>
  <si>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</si>
  <si>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</si>
  <si>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</si>
  <si>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</si>
  <si>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</si>
  <si>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</si>
  <si>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</si>
  <si>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</si>
  <si>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</si>
  <si>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</si>
  <si>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</si>
  <si>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</si>
  <si>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</si>
  <si>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</si>
  <si>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</si>
  <si>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</si>
  <si>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</si>
  <si>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</si>
  <si>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</si>
  <si>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</si>
  <si>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</si>
  <si>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</si>
  <si>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</si>
  <si>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</si>
  <si>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</si>
  <si>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</si>
  <si>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</si>
  <si>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</si>
  <si>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</si>
  <si>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</si>
  <si>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</si>
  <si>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</si>
  <si>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</si>
  <si>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</si>
  <si>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</si>
  <si>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</si>
  <si>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</si>
  <si>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</si>
  <si>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</si>
  <si>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</si>
  <si>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</si>
  <si>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</si>
  <si>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</si>
  <si>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</si>
  <si>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</si>
  <si>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</si>
  <si>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</si>
  <si>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</si>
  <si>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</si>
  <si>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</si>
  <si>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</si>
  <si>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</si>
  <si>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</si>
  <si>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</si>
  <si>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</si>
  <si>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</si>
  <si>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</si>
  <si>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</si>
  <si>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</si>
  <si>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</si>
  <si>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</si>
  <si>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</si>
  <si>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</si>
  <si>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</si>
  <si>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</si>
  <si>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</si>
  <si>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</si>
  <si>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</si>
  <si>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</si>
  <si>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</si>
  <si>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</si>
  <si>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</si>
  <si>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</si>
  <si>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</si>
  <si>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</si>
  <si>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</si>
  <si>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</si>
  <si>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</si>
  <si>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</si>
  <si>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</si>
  <si>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</si>
  <si>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</si>
  <si>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</si>
  <si>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</si>
  <si>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</si>
  <si>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</si>
  <si>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</si>
  <si>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</si>
  <si>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</si>
  <si>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</si>
  <si>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</si>
  <si>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</si>
  <si>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</si>
  <si>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</si>
  <si>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</si>
  <si>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</si>
  <si>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</si>
  <si>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</si>
  <si>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</si>
  <si>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</si>
  <si>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</si>
  <si>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</si>
  <si>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</si>
  <si>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</si>
  <si>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</si>
  <si>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</si>
  <si>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</si>
  <si>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</si>
  <si>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</si>
  <si>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</si>
  <si>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</si>
  <si>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</si>
  <si>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</si>
  <si>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</si>
  <si>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</si>
  <si>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</si>
  <si>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</si>
  <si>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</si>
  <si>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</si>
  <si>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</si>
  <si>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</si>
  <si>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</si>
  <si>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</si>
  <si>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</si>
  <si>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</si>
  <si>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</si>
  <si>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</si>
  <si>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</si>
  <si>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</si>
  <si>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</si>
  <si>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</si>
  <si>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</si>
  <si>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</si>
  <si>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</si>
  <si>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</si>
  <si>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</si>
  <si>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</si>
  <si>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</si>
  <si>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</si>
  <si>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</si>
  <si>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</si>
  <si>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</si>
  <si>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</si>
  <si>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</si>
  <si>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</si>
  <si>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</si>
  <si>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</si>
  <si>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</si>
  <si>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</si>
  <si>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</si>
  <si>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</si>
  <si>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</si>
  <si>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</si>
  <si>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</si>
  <si>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</si>
  <si>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</si>
  <si>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</si>
  <si>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</si>
  <si>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</si>
  <si>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</si>
  <si>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</si>
  <si>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</si>
  <si>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</si>
  <si>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</si>
  <si>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</si>
  <si>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</si>
  <si>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</si>
  <si>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</si>
  <si>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</si>
  <si>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</si>
  <si>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</si>
  <si>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</si>
  <si>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</si>
  <si>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</si>
  <si>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</si>
  <si>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</si>
  <si>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</si>
  <si>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</si>
  <si>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</si>
  <si>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</si>
  <si>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</si>
  <si>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</si>
  <si>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</si>
  <si>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</si>
  <si>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</si>
  <si>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</si>
  <si>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</si>
  <si>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</si>
  <si>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</si>
  <si>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</si>
  <si>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</si>
  <si>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</si>
  <si>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</si>
  <si>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</si>
  <si>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</si>
  <si>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</si>
  <si>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</si>
  <si>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</si>
  <si>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</si>
  <si>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</si>
  <si>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</si>
  <si>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</si>
  <si>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</si>
  <si>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</si>
  <si>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</si>
  <si>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</si>
  <si>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</si>
  <si>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</si>
  <si>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</si>
  <si>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</si>
  <si>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</si>
  <si>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</si>
  <si>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</si>
  <si>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</si>
  <si>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</si>
  <si>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</si>
  <si>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</si>
  <si>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</si>
  <si>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</si>
  <si>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</si>
  <si>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</si>
  <si>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</si>
  <si>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</si>
  <si>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</si>
  <si>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</si>
  <si>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</si>
  <si>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</si>
  <si>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</si>
  <si>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</si>
  <si>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</si>
  <si>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</si>
  <si>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</si>
  <si>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</si>
  <si>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</si>
  <si>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</si>
  <si>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</si>
  <si>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</si>
  <si>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</si>
  <si>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</si>
  <si>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</si>
  <si>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</si>
  <si>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</si>
  <si>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</si>
  <si>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</si>
  <si>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</si>
  <si>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</si>
  <si>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</si>
  <si>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</si>
  <si>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</si>
  <si>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</si>
  <si>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</si>
  <si>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</si>
  <si>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</si>
  <si>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</si>
  <si>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</si>
  <si>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</si>
  <si>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</si>
  <si>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</si>
  <si>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</si>
  <si>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</si>
  <si>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</si>
  <si>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</si>
  <si>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</si>
  <si>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</si>
  <si>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</si>
  <si>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</si>
  <si>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</si>
  <si>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</si>
  <si>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</si>
  <si>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</si>
  <si>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</si>
  <si>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</si>
  <si>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</si>
  <si>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</si>
  <si>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</si>
  <si>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</si>
  <si>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</si>
  <si>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</si>
  <si>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</si>
  <si>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</si>
  <si>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</si>
  <si>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</si>
  <si>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</si>
  <si>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</si>
  <si>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</si>
  <si>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</si>
  <si>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</si>
  <si>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</si>
  <si>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</si>
  <si>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</si>
  <si>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</si>
  <si>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</si>
  <si>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</si>
  <si>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</si>
  <si>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</si>
  <si>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</si>
  <si>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</si>
  <si>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</si>
  <si>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</si>
  <si>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</si>
  <si>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</si>
  <si>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</si>
  <si>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</si>
  <si>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</si>
  <si>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</si>
  <si>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</si>
  <si>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</si>
  <si>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</si>
  <si>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</si>
  <si>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</si>
  <si>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</si>
  <si>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</si>
  <si>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</si>
  <si>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</si>
  <si>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</si>
  <si>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</si>
  <si>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</si>
  <si>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</si>
  <si>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</si>
  <si>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</si>
  <si>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</si>
  <si>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</si>
  <si>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</si>
  <si>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</si>
  <si>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</si>
  <si>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</si>
  <si>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</si>
  <si>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</si>
  <si>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</si>
  <si>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</si>
  <si>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</si>
  <si>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</si>
  <si>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</si>
  <si>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</si>
  <si>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</si>
  <si>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</si>
  <si>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</si>
  <si>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</si>
  <si>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</si>
  <si>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</si>
  <si>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</si>
  <si>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</si>
  <si>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</si>
  <si>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</si>
  <si>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</si>
  <si>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</si>
  <si>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</si>
  <si>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</si>
  <si>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</si>
  <si>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</si>
  <si>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</si>
  <si>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</si>
  <si>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</si>
  <si>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</si>
  <si>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</si>
  <si>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</si>
  <si>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</si>
  <si>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</si>
  <si>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</si>
  <si>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</si>
  <si>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</si>
  <si>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</si>
  <si>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</si>
  <si>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</si>
  <si>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</si>
  <si>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</si>
  <si>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</si>
  <si>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</si>
  <si>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</si>
  <si>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</si>
  <si>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</si>
  <si>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</si>
  <si>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</si>
  <si>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</si>
  <si>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</si>
  <si>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</si>
  <si>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</si>
  <si>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</si>
  <si>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</si>
  <si>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</si>
  <si>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</si>
  <si>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</si>
  <si>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</si>
  <si>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</si>
  <si>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</si>
  <si>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</si>
  <si>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</si>
  <si>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</si>
  <si>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</si>
  <si>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</si>
  <si>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</si>
  <si>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</si>
  <si>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</si>
  <si>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</si>
  <si>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</si>
  <si>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</si>
  <si>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</si>
  <si>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</si>
  <si>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</si>
  <si>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</si>
  <si>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</si>
  <si>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</si>
  <si>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</si>
  <si>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</si>
  <si>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</si>
  <si>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</si>
  <si>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</si>
  <si>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</si>
  <si>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</si>
  <si>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</si>
  <si>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</si>
  <si>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</si>
  <si>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</si>
  <si>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</si>
  <si>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</si>
  <si>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</si>
  <si>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</si>
  <si>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</si>
  <si>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</si>
  <si>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</si>
  <si>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</si>
  <si>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</si>
  <si>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</si>
  <si>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</si>
  <si>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</si>
  <si>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</si>
  <si>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</si>
  <si>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</si>
  <si>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</si>
  <si>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</si>
  <si>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</si>
  <si>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</si>
  <si>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</si>
  <si>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</si>
  <si>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</si>
  <si>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</si>
  <si>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</si>
  <si>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</si>
  <si>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</si>
  <si>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</si>
  <si>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</si>
  <si>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</si>
  <si>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</si>
  <si>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</si>
  <si>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</si>
  <si>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</si>
  <si>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</si>
  <si>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</si>
  <si>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</si>
  <si>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</si>
  <si>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</si>
  <si>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</si>
  <si>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</si>
  <si>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</si>
  <si>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</si>
  <si>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</si>
  <si>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</si>
  <si>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</si>
  <si>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</si>
  <si>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</si>
  <si>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</si>
  <si>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</si>
  <si>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</si>
  <si>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</si>
  <si>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</si>
  <si>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</si>
  <si>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</si>
  <si>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</si>
  <si>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</si>
  <si>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</si>
  <si>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</si>
  <si>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</si>
  <si>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</si>
  <si>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</si>
  <si>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</si>
  <si>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</si>
  <si>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</si>
  <si>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</si>
  <si>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</si>
  <si>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</si>
  <si>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</si>
  <si>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</si>
  <si>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</si>
  <si>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</si>
  <si>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</si>
  <si>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</si>
  <si>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</si>
  <si>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</si>
  <si>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</si>
  <si>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</si>
  <si>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</si>
  <si>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</si>
  <si>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</si>
  <si>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</si>
  <si>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</si>
  <si>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</si>
  <si>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</si>
  <si>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</si>
  <si>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</si>
  <si>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</si>
  <si>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</si>
  <si>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</si>
  <si>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</si>
  <si>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</si>
  <si>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</si>
  <si>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</si>
  <si>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</si>
  <si>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</si>
  <si>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</si>
  <si>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</si>
  <si>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</si>
  <si>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</si>
  <si>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</si>
  <si>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</si>
  <si>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</si>
  <si>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</si>
  <si>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</si>
  <si>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</si>
  <si>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</si>
  <si>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</si>
  <si>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</si>
  <si>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</si>
  <si>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</si>
  <si>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</si>
  <si>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</si>
  <si>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</si>
  <si>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</si>
  <si>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</si>
  <si>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</si>
  <si>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</si>
  <si>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</si>
  <si>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</si>
  <si>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</si>
  <si>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</si>
  <si>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</si>
  <si>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</si>
  <si>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</si>
  <si>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</si>
  <si>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</si>
  <si>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</si>
  <si>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</si>
  <si>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</si>
  <si>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</si>
  <si>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</si>
  <si>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</si>
  <si>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</si>
  <si>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</si>
  <si>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</si>
  <si>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</si>
  <si>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</si>
  <si>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</si>
  <si>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</si>
  <si>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</si>
  <si>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</si>
  <si>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</si>
  <si>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</si>
  <si>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</si>
  <si>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</si>
  <si>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</si>
  <si>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</si>
  <si>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</si>
  <si>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</si>
  <si>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BALNEARIO 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</si>
  <si>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</si>
  <si>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</si>
  <si>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</si>
  <si>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</si>
  <si>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</si>
  <si>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</si>
  <si>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</si>
  <si>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</si>
  <si>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</si>
  <si>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</si>
  <si>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</si>
  <si>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</si>
  <si>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</si>
  <si>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</si>
  <si>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</si>
  <si>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</si>
  <si>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</si>
  <si>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</si>
  <si>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</si>
  <si>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</si>
  <si>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</si>
  <si>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</si>
  <si>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</si>
  <si>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</si>
  <si>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</si>
  <si>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</si>
  <si>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</si>
  <si>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</si>
  <si>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</si>
  <si>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</si>
  <si>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</si>
  <si>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</si>
  <si>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</si>
  <si>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</si>
  <si>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</si>
  <si>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</si>
  <si>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</si>
  <si>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</si>
  <si>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</si>
  <si>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</si>
  <si>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</si>
  <si>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</si>
  <si>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</si>
  <si>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</si>
  <si>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</si>
  <si>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</si>
  <si>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</si>
  <si>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</si>
  <si>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</si>
  <si>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</si>
  <si>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</si>
  <si>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</si>
  <si>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</si>
  <si>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</si>
  <si>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</si>
  <si>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</si>
  <si>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</si>
  <si>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</si>
  <si>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</si>
  <si>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</si>
  <si>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</si>
  <si>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</si>
  <si>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</si>
  <si>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</si>
  <si>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</si>
  <si>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</si>
  <si>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</si>
  <si>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</si>
  <si>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</si>
  <si>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</si>
  <si>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</si>
  <si>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</si>
  <si>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</si>
  <si>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</si>
  <si>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</si>
  <si>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</si>
  <si>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</si>
  <si>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</si>
  <si>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</si>
  <si>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</si>
  <si>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</si>
  <si>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</si>
  <si>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</si>
  <si>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</si>
  <si>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</si>
  <si>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</si>
  <si>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</si>
  <si>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</si>
  <si>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</si>
  <si>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</si>
  <si>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</si>
  <si>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</si>
  <si>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</si>
  <si>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</si>
  <si>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</si>
  <si>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</si>
  <si>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</si>
  <si>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</si>
  <si>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</si>
  <si>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</si>
  <si>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</si>
  <si>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</si>
  <si>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</si>
  <si>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</si>
  <si>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</si>
  <si>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</si>
  <si>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</si>
  <si>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</si>
  <si>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</si>
  <si>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</si>
  <si>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</si>
  <si>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</si>
  <si>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</si>
  <si>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</si>
  <si>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</si>
  <si>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</si>
  <si>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</si>
  <si>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</si>
  <si>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</si>
  <si>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</si>
  <si>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</si>
  <si>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</si>
  <si>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</si>
  <si>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</si>
  <si>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</si>
  <si>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</si>
  <si>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</si>
  <si>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</si>
  <si>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</si>
  <si>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</si>
  <si>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</si>
  <si>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</si>
  <si>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</si>
  <si>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</si>
  <si>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</si>
  <si>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</si>
  <si>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</si>
  <si>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</si>
  <si>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</si>
  <si>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</si>
  <si>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</si>
  <si>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</si>
  <si>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</si>
  <si>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</si>
  <si>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</si>
  <si>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</si>
  <si>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</si>
  <si>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</si>
  <si>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</si>
  <si>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</si>
  <si>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</si>
  <si>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</si>
  <si>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</si>
  <si>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</si>
  <si>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</si>
  <si>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</si>
  <si>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</si>
  <si>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</si>
  <si>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</si>
  <si>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</si>
  <si>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</si>
  <si>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</si>
  <si>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</si>
  <si>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</si>
  <si>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</si>
  <si>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</si>
  <si>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</si>
  <si>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</si>
  <si>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</si>
  <si>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</si>
  <si>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</si>
  <si>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</si>
  <si>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</si>
  <si>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</si>
  <si>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</si>
  <si>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</si>
  <si>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</si>
  <si>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</si>
  <si>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</si>
  <si>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</si>
  <si>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</si>
  <si>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</si>
  <si>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</si>
  <si>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</si>
  <si>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</si>
  <si>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</si>
  <si>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</si>
  <si>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</si>
  <si>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</si>
  <si>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</si>
  <si>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</si>
  <si>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</si>
  <si>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</si>
  <si>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</si>
  <si>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</si>
  <si>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</si>
  <si>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</si>
  <si>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</si>
  <si>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</si>
  <si>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</si>
  <si>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</si>
  <si>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</si>
  <si>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</si>
  <si>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</si>
  <si>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</si>
  <si>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</si>
  <si>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</si>
  <si>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</si>
  <si>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</si>
  <si>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</si>
  <si>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</si>
  <si>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</si>
  <si>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</si>
  <si>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</si>
  <si>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</si>
  <si>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</si>
  <si>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</si>
  <si>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</si>
  <si>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</si>
  <si>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</si>
  <si>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</si>
  <si>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</si>
  <si>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</si>
  <si>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</si>
  <si>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</si>
  <si>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</si>
  <si>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</si>
  <si>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</si>
  <si>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</si>
  <si>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</si>
  <si>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</si>
  <si>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</si>
  <si>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</si>
  <si>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</si>
  <si>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</si>
  <si>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</si>
  <si>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</si>
  <si>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</si>
  <si>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</si>
  <si>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</si>
  <si>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</si>
  <si>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</si>
  <si>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</si>
  <si>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</si>
  <si>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</si>
  <si>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</si>
  <si>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</si>
  <si>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</si>
  <si>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</si>
  <si>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</si>
  <si>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</si>
  <si>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</si>
  <si>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</si>
  <si>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</si>
  <si>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</si>
  <si>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</si>
  <si>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</si>
  <si>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</si>
  <si>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</si>
  <si>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</si>
  <si>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</si>
  <si>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</si>
  <si>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</si>
  <si>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</si>
  <si>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</si>
  <si>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</si>
  <si>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</si>
  <si>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</si>
  <si>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</si>
  <si>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</si>
  <si>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</si>
  <si>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</si>
  <si>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</si>
  <si>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</si>
  <si>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</si>
  <si>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</si>
  <si>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</si>
  <si>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</si>
  <si>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</si>
  <si>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</si>
  <si>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</si>
  <si>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</si>
  <si>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</si>
  <si>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</si>
  <si>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</si>
  <si>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</si>
  <si>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</si>
  <si>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</si>
  <si>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</si>
  <si>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</si>
  <si>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</si>
  <si>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</si>
  <si>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</si>
  <si>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</si>
  <si>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</si>
  <si>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</si>
  <si>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</si>
  <si>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</si>
  <si>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</si>
  <si>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</si>
  <si>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</si>
  <si>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DOS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</si>
  <si>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</si>
  <si>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</si>
  <si>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</si>
  <si>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</si>
  <si>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</si>
  <si>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</si>
  <si>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</si>
  <si>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</si>
  <si>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</si>
  <si>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</si>
  <si>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</si>
  <si>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</si>
  <si>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</si>
  <si>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</si>
  <si>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</si>
  <si>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</si>
  <si>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</si>
  <si>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</si>
  <si>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</si>
  <si>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</si>
  <si>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</si>
  <si>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</si>
  <si>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</si>
  <si>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</si>
  <si>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</si>
  <si>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</si>
  <si>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</si>
  <si>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</si>
  <si>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</si>
  <si>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</si>
  <si>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</si>
  <si>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</si>
  <si>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</si>
  <si>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</si>
  <si>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</si>
  <si>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</si>
  <si>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</si>
  <si>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</si>
  <si>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</si>
  <si>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</si>
  <si>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</si>
  <si>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</si>
  <si>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</si>
  <si>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</si>
  <si>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</si>
  <si>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</si>
  <si>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</si>
  <si>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</si>
  <si>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</si>
  <si>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</si>
  <si>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</si>
  <si>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</si>
  <si>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</si>
  <si>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</si>
  <si>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</si>
  <si>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</si>
  <si>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</si>
  <si>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</si>
  <si>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</si>
  <si>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</si>
  <si>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</si>
  <si>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</si>
  <si>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</si>
  <si>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</si>
  <si>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</si>
  <si>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</si>
  <si>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</si>
  <si>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</si>
  <si>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</si>
  <si>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</si>
  <si>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</si>
  <si>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</si>
  <si>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</si>
  <si>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</si>
  <si>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</si>
  <si>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</si>
  <si>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</si>
  <si>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</si>
  <si>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</si>
  <si>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</si>
  <si>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</si>
  <si>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</si>
  <si>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</si>
  <si>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</si>
  <si>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</si>
  <si>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</si>
  <si>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</si>
  <si>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</si>
  <si>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</si>
  <si>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</si>
  <si>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</si>
  <si>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</si>
  <si>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</si>
  <si>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</si>
  <si>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</si>
  <si>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</si>
  <si>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</si>
  <si>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</si>
  <si>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</si>
  <si>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</si>
  <si>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</si>
  <si>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</si>
  <si>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</si>
  <si>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</si>
  <si>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</si>
  <si>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</si>
  <si>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</si>
  <si>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</si>
  <si>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</si>
  <si>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</si>
  <si>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</si>
  <si>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</si>
  <si>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</si>
  <si>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</si>
  <si>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</si>
  <si>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</si>
  <si>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</si>
  <si>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</si>
  <si>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</si>
  <si>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</si>
  <si>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</si>
  <si>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</si>
  <si>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</si>
  <si>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</si>
  <si>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</si>
  <si>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</si>
  <si>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</si>
  <si>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</si>
  <si>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</si>
  <si>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</si>
  <si>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</si>
  <si>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</si>
  <si>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</si>
  <si>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</si>
  <si>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</si>
  <si>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</si>
  <si>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</si>
  <si>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</si>
  <si>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</si>
  <si>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</si>
  <si>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</si>
  <si>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</si>
  <si>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</si>
  <si>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</si>
  <si>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</si>
  <si>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</si>
  <si>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</si>
  <si>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</si>
  <si>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</si>
  <si>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</si>
  <si>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</si>
  <si>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</si>
  <si>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</si>
  <si>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</si>
  <si>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</si>
  <si>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</si>
  <si>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</si>
  <si>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</si>
  <si>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</si>
  <si>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</si>
  <si>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</si>
  <si>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</si>
  <si>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</si>
  <si>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</si>
  <si>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</si>
  <si>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</si>
  <si>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</si>
  <si>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</si>
  <si>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</si>
  <si>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</si>
  <si>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</si>
  <si>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</si>
  <si>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</si>
  <si>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</si>
  <si>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</si>
  <si>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</si>
  <si>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</si>
  <si>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</si>
  <si>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</si>
  <si>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</si>
  <si>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</si>
  <si>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</si>
  <si>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</si>
  <si>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</si>
  <si>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</si>
  <si>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</si>
  <si>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</si>
  <si>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</si>
  <si>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</si>
  <si>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</si>
  <si>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</si>
  <si>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</si>
  <si>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</si>
  <si>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</si>
  <si>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</si>
  <si>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</si>
  <si>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</si>
  <si>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</si>
  <si>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</si>
  <si>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</si>
  <si>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</si>
  <si>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</si>
  <si>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</si>
  <si>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</si>
  <si>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</si>
  <si>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</si>
  <si>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</si>
  <si>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</si>
  <si>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</si>
  <si>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</si>
  <si>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</si>
  <si>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</si>
  <si>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</si>
  <si>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</si>
  <si>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</si>
  <si>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</si>
  <si>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</si>
  <si>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</si>
  <si>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</si>
  <si>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</si>
  <si>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</si>
  <si>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</si>
  <si>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</si>
  <si>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</si>
  <si>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</si>
  <si>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</si>
  <si>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</si>
  <si>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</si>
  <si>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</si>
  <si>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</si>
  <si>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</si>
  <si>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</si>
  <si>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</si>
  <si>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</si>
  <si>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</si>
  <si>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</si>
  <si>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</si>
  <si>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</si>
  <si>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</si>
  <si>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</si>
  <si>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</si>
  <si>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</si>
  <si>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</si>
  <si>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</si>
  <si>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</si>
  <si>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</si>
  <si>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</si>
  <si>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</si>
  <si>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</si>
  <si>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</si>
  <si>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</si>
  <si>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</si>
  <si>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</si>
  <si>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</si>
  <si>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</si>
  <si>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</si>
  <si>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</si>
  <si>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</si>
  <si>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</si>
  <si>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</si>
  <si>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</si>
  <si>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</si>
  <si>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</si>
  <si>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</si>
  <si>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</si>
  <si>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</si>
  <si>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</si>
  <si>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</si>
  <si>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</si>
  <si>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</si>
  <si>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</si>
  <si>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</si>
  <si>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</si>
  <si>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</si>
  <si>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</si>
  <si>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</si>
  <si>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</si>
  <si>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</si>
  <si>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</si>
  <si>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</si>
  <si>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</si>
  <si>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</si>
  <si>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</si>
  <si>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</si>
  <si>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</si>
  <si>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</si>
  <si>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</si>
  <si>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</si>
  <si>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</si>
  <si>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</si>
  <si>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</si>
  <si>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</si>
  <si>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</si>
  <si>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</si>
  <si>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</si>
  <si>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</si>
  <si>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</si>
  <si>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</si>
  <si>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</si>
  <si>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</si>
  <si>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</si>
  <si>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</si>
  <si>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</si>
  <si>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</si>
  <si>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</si>
  <si>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</si>
  <si>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</si>
  <si>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</si>
  <si>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</si>
  <si>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</si>
  <si>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</si>
  <si>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</si>
  <si>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</si>
  <si>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</si>
  <si>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</si>
  <si>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</si>
  <si>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</si>
  <si>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</si>
  <si>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</si>
  <si>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</si>
  <si>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</si>
  <si>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</si>
  <si>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</si>
  <si>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</si>
  <si>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</si>
  <si>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</si>
  <si>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</si>
  <si>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</si>
  <si>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</si>
  <si>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</si>
  <si>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</si>
  <si>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</si>
  <si>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</si>
  <si>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</si>
  <si>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</si>
  <si>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</si>
  <si>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</si>
  <si>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</si>
  <si>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</si>
  <si>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</si>
  <si>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</si>
  <si>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</si>
  <si>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</si>
  <si>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</si>
  <si>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</si>
  <si>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</si>
  <si>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</si>
  <si>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</si>
  <si>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</si>
  <si>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</si>
  <si>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</si>
  <si>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</si>
  <si>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</si>
  <si>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</si>
  <si>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</si>
  <si>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</si>
  <si>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</si>
  <si>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</si>
  <si>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</si>
  <si>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</si>
  <si>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</si>
  <si>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</si>
  <si>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</si>
  <si>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</si>
  <si>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</si>
  <si>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</si>
  <si>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</si>
  <si>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</si>
  <si>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</si>
  <si>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</si>
  <si>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</si>
  <si>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</si>
  <si>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</si>
  <si>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</si>
  <si>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</si>
  <si>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</si>
  <si>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</si>
  <si>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</si>
  <si>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</si>
  <si>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</si>
  <si>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</si>
  <si>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</si>
  <si>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</si>
  <si>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</si>
  <si>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</si>
  <si>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</si>
  <si>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</si>
  <si>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</si>
  <si>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</si>
  <si>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</si>
  <si>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</si>
  <si>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</si>
  <si>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</si>
  <si>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</si>
  <si>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</si>
  <si>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</si>
  <si>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</si>
  <si>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</si>
  <si>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</si>
  <si>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</si>
  <si>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</si>
  <si>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</si>
  <si>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</si>
  <si>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</si>
  <si>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</si>
  <si>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</si>
  <si>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</si>
  <si>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</si>
  <si>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</si>
  <si>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</si>
  <si>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</si>
  <si>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</si>
  <si>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</si>
  <si>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</si>
  <si>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</si>
  <si>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</si>
  <si>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</si>
  <si>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</si>
  <si>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</si>
  <si>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</si>
  <si>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</si>
  <si>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</si>
  <si>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</si>
  <si>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</si>
  <si>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</si>
  <si>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</si>
  <si>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</si>
  <si>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</si>
  <si>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</si>
  <si>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</si>
  <si>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</si>
  <si>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</si>
  <si>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</si>
  <si>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</si>
  <si>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</si>
  <si>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</si>
  <si>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</si>
  <si>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</si>
  <si>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</si>
  <si>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</si>
  <si>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</si>
  <si>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</si>
  <si>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</si>
  <si>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</si>
  <si>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</si>
  <si>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</si>
  <si>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</si>
  <si>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</si>
  <si>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</si>
  <si>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</si>
  <si>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</si>
  <si>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</si>
  <si>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</si>
  <si>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</si>
  <si>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</si>
  <si>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</si>
  <si>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</si>
  <si>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</si>
  <si>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</si>
  <si>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</si>
  <si>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</si>
  <si>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</si>
  <si>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</si>
  <si>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</si>
  <si>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</si>
  <si>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</si>
  <si>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</si>
  <si>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</si>
  <si>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</si>
  <si>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</si>
  <si>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</si>
  <si>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</si>
  <si>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</si>
  <si>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</si>
  <si>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</si>
  <si>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</si>
  <si>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</si>
  <si>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</si>
  <si>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</si>
  <si>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</si>
  <si>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</si>
  <si>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</si>
  <si>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</si>
  <si>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</si>
  <si>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</si>
  <si>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</si>
  <si>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</si>
  <si>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</si>
  <si>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</si>
  <si>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</si>
  <si>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</si>
  <si>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</si>
  <si>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</si>
  <si>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</si>
  <si>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</si>
  <si>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</si>
  <si>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</si>
  <si>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</si>
  <si>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</si>
  <si>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</si>
  <si>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</si>
  <si>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</si>
  <si>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</si>
  <si>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</si>
  <si>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</si>
  <si>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</si>
  <si>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</si>
  <si>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</si>
  <si>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</si>
  <si>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</si>
  <si>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</si>
  <si>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</si>
  <si>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</si>
  <si>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</si>
  <si>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</si>
  <si>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</si>
  <si>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</si>
  <si>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</si>
  <si>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</si>
  <si>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</si>
  <si>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</si>
  <si>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</si>
  <si>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</si>
  <si>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</si>
  <si>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</si>
  <si>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</si>
  <si>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</si>
  <si>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</si>
  <si>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</si>
  <si>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</si>
  <si>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</si>
  <si>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</si>
  <si>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</si>
  <si>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</si>
  <si>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</si>
  <si>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</si>
  <si>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</si>
  <si>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</si>
  <si>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</si>
  <si>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</si>
  <si>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</si>
  <si>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</si>
  <si>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</si>
  <si>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</si>
  <si>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</si>
  <si>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</si>
  <si>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</si>
  <si>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</si>
  <si>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</si>
  <si>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</si>
  <si>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</si>
  <si>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</si>
  <si>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</si>
  <si>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</si>
  <si>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</si>
  <si>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</si>
  <si>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</si>
  <si>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</si>
  <si>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</si>
  <si>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</si>
  <si>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</si>
  <si>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</si>
  <si>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</si>
  <si>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</si>
  <si>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</si>
  <si>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</si>
  <si>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</si>
  <si>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</si>
  <si>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</si>
  <si>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</si>
  <si>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</si>
  <si>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</si>
  <si>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</si>
  <si>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</si>
  <si>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</si>
  <si>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</si>
  <si>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</si>
  <si>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</si>
  <si>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</si>
  <si>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</si>
  <si>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</si>
  <si>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</si>
  <si>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</si>
  <si>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</si>
  <si>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</si>
  <si>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</si>
  <si>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</si>
  <si>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</si>
  <si>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</si>
  <si>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</si>
  <si>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</si>
  <si>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</si>
  <si>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</si>
  <si>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</si>
  <si>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</si>
  <si>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</si>
  <si>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</si>
  <si>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</si>
  <si>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</si>
  <si>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</si>
  <si>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</si>
  <si>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</si>
  <si>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</si>
  <si>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</si>
  <si>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</si>
  <si>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</si>
  <si>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</si>
  <si>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</si>
  <si>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</si>
  <si>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</si>
  <si>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</si>
  <si>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</si>
  <si>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</si>
  <si>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</si>
  <si>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</si>
  <si>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</si>
  <si>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</si>
  <si>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</si>
  <si>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</si>
  <si>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</si>
  <si>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</si>
  <si>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</si>
  <si>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</si>
  <si>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</si>
  <si>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</si>
  <si>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</si>
  <si>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</si>
  <si>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</si>
  <si>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</si>
  <si>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</si>
  <si>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</si>
  <si>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</si>
  <si>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</si>
  <si>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</si>
  <si>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</si>
  <si>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</si>
  <si>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</si>
  <si>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</si>
  <si>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</si>
  <si>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</si>
  <si>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</si>
  <si>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</si>
  <si>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</si>
  <si>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</si>
  <si>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</si>
  <si>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</si>
  <si>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</si>
  <si>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</si>
  <si>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</si>
  <si>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</si>
  <si>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</si>
  <si>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</si>
  <si>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</si>
  <si>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</si>
  <si>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</si>
  <si>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</si>
  <si>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</si>
  <si>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</si>
  <si>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</si>
  <si>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</si>
  <si>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</si>
  <si>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</si>
  <si>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</si>
  <si>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</si>
  <si>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</si>
  <si>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</si>
  <si>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</si>
  <si>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</si>
  <si>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</si>
  <si>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</si>
  <si>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</si>
  <si>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</si>
  <si>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</si>
  <si>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</si>
  <si>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</si>
  <si>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</si>
  <si>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</si>
  <si>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</si>
  <si>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</si>
  <si>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Abreulândia</t>
  </si>
  <si>
    <t>abreulandia</t>
  </si>
  <si>
    <t>America/Sao_Paulo</t>
  </si>
  <si>
    <t>TO</t>
  </si>
  <si>
    <t>Tocantins</t>
  </si>
  <si>
    <t>tocantins</t>
  </si>
  <si>
    <t>Norte</t>
  </si>
  <si>
    <t>norte</t>
  </si>
  <si>
    <t>Aguiarnópolis</t>
  </si>
  <si>
    <t>aguiarnopolis</t>
  </si>
  <si>
    <t>Aliança do Tocantins</t>
  </si>
  <si>
    <t>alianca-do-tocantins</t>
  </si>
  <si>
    <t>Almas</t>
  </si>
  <si>
    <t>almas</t>
  </si>
  <si>
    <t>Alvorada</t>
  </si>
  <si>
    <t>alvorada</t>
  </si>
  <si>
    <t>Ananás</t>
  </si>
  <si>
    <t>ananas</t>
  </si>
  <si>
    <t>Angico</t>
  </si>
  <si>
    <t>angico</t>
  </si>
  <si>
    <t>Aparecida do Rio Negro</t>
  </si>
  <si>
    <t>aparecida-do-rio-negro</t>
  </si>
  <si>
    <t>Aragominas</t>
  </si>
  <si>
    <t>aragominas</t>
  </si>
  <si>
    <t>Araguacema</t>
  </si>
  <si>
    <t>araguacema</t>
  </si>
  <si>
    <t>Araguanã</t>
  </si>
  <si>
    <t>araguana</t>
  </si>
  <si>
    <t>Araguatins</t>
  </si>
  <si>
    <t>araguatins</t>
  </si>
  <si>
    <t>Araguaçu</t>
  </si>
  <si>
    <t>araguacu</t>
  </si>
  <si>
    <t>Araguaína</t>
  </si>
  <si>
    <t>araguaina</t>
  </si>
  <si>
    <t>Arapoema</t>
  </si>
  <si>
    <t>arapoema</t>
  </si>
  <si>
    <t>Arraias</t>
  </si>
  <si>
    <t>arraias</t>
  </si>
  <si>
    <t>Augustinópolis</t>
  </si>
  <si>
    <t>augustinopolis</t>
  </si>
  <si>
    <t>Aurora do Tocantins</t>
  </si>
  <si>
    <t>aurora-do-tocantins</t>
  </si>
  <si>
    <t>Axixá do Tocantins</t>
  </si>
  <si>
    <t>axixa-do-tocantins</t>
  </si>
  <si>
    <t>Babaçulândia</t>
  </si>
  <si>
    <t>babaculandia</t>
  </si>
  <si>
    <t>Bandeirantes do Tocantins</t>
  </si>
  <si>
    <t>bandeirantes-do-tocantins</t>
  </si>
  <si>
    <t>Barra do Ouro</t>
  </si>
  <si>
    <t>barra-do-ouro</t>
  </si>
  <si>
    <t>Barrolândia</t>
  </si>
  <si>
    <t>barrolandia</t>
  </si>
  <si>
    <t>Bernardo Sayão</t>
  </si>
  <si>
    <t>bernardo-sayao</t>
  </si>
  <si>
    <t>Bom Jesus do Tocantins</t>
  </si>
  <si>
    <t>bom-jesus-do-tocantins</t>
  </si>
  <si>
    <t>Brasilândia do Tocantins</t>
  </si>
  <si>
    <t>brasilandia-do-tocantins</t>
  </si>
  <si>
    <t>Brejinho de Nazaré</t>
  </si>
  <si>
    <t>brejinho-de-nazare</t>
  </si>
  <si>
    <t>Buriti do Tocantins</t>
  </si>
  <si>
    <t>buriti-do-tocantins</t>
  </si>
  <si>
    <t>Cachoeirinha</t>
  </si>
  <si>
    <t>cachoeirinha</t>
  </si>
  <si>
    <t>Campos Lindos</t>
  </si>
  <si>
    <t>campos-lindos</t>
  </si>
  <si>
    <t>Cariri do Tocantins</t>
  </si>
  <si>
    <t>cariri-do-tocantins</t>
  </si>
  <si>
    <t>Carmolândia</t>
  </si>
  <si>
    <t>carmolandia</t>
  </si>
  <si>
    <t>Carrasco Bonito</t>
  </si>
  <si>
    <t>carrasco-bonito</t>
  </si>
  <si>
    <t>Caseara</t>
  </si>
  <si>
    <t>caseara</t>
  </si>
  <si>
    <t>Centenário</t>
  </si>
  <si>
    <t>centenario</t>
  </si>
  <si>
    <t>Chapada da Natividade</t>
  </si>
  <si>
    <t>chapada-da-natividade</t>
  </si>
  <si>
    <t>Chapada de Areia</t>
  </si>
  <si>
    <t>chapada-de-areia</t>
  </si>
  <si>
    <t>Colinas do Tocantins</t>
  </si>
  <si>
    <t>colinas-do-tocantins</t>
  </si>
  <si>
    <t>Colméia</t>
  </si>
  <si>
    <t>colmeia</t>
  </si>
  <si>
    <t>Combinado</t>
  </si>
  <si>
    <t>combinado</t>
  </si>
  <si>
    <t>Conceição do Tocantins</t>
  </si>
  <si>
    <t>conceicao-do-tocantins</t>
  </si>
  <si>
    <t>Couto Magalhães</t>
  </si>
  <si>
    <t>couto-magalhaes</t>
  </si>
  <si>
    <t>Cristalândia</t>
  </si>
  <si>
    <t>cristalandia</t>
  </si>
  <si>
    <t>Crixás do Tocantins</t>
  </si>
  <si>
    <t>crixas-do-tocantins</t>
  </si>
  <si>
    <t>Darcinópolis</t>
  </si>
  <si>
    <t>darcinopolis</t>
  </si>
  <si>
    <t>Dianópolis</t>
  </si>
  <si>
    <t>dianopolis</t>
  </si>
  <si>
    <t>Divinópolis do Tocantins</t>
  </si>
  <si>
    <t>divinopolis-do-tocantins</t>
  </si>
  <si>
    <t>Dois Irmãos do Tocantins</t>
  </si>
  <si>
    <t>dois-irmaos-do-tocantins</t>
  </si>
  <si>
    <t>Dueré</t>
  </si>
  <si>
    <t>duere</t>
  </si>
  <si>
    <t>Esperantina</t>
  </si>
  <si>
    <t>esperantina</t>
  </si>
  <si>
    <t>Figueirópolis</t>
  </si>
  <si>
    <t>figueiropolis</t>
  </si>
  <si>
    <t>Filadélfia</t>
  </si>
  <si>
    <t>filadelfia</t>
  </si>
  <si>
    <t>Formoso do Araguaia</t>
  </si>
  <si>
    <t>Fortaleza do Tabocão</t>
  </si>
  <si>
    <t>fortaleza-do-tabocao</t>
  </si>
  <si>
    <t>Fátima</t>
  </si>
  <si>
    <t>fatima</t>
  </si>
  <si>
    <t>Goianorte</t>
  </si>
  <si>
    <t>goianorte</t>
  </si>
  <si>
    <t>Goiatins</t>
  </si>
  <si>
    <t>goiatins</t>
  </si>
  <si>
    <t>Guaraí</t>
  </si>
  <si>
    <t>guarai</t>
  </si>
  <si>
    <t>Gurupi</t>
  </si>
  <si>
    <t>gurupi</t>
  </si>
  <si>
    <t>Ipueiras</t>
  </si>
  <si>
    <t>ipueiras</t>
  </si>
  <si>
    <t>-48.46</t>
  </si>
  <si>
    <t>Itacajá</t>
  </si>
  <si>
    <t>itacaja</t>
  </si>
  <si>
    <t>Itaguatins</t>
  </si>
  <si>
    <t>itaguatins</t>
  </si>
  <si>
    <t>Itapiratins</t>
  </si>
  <si>
    <t>itapiratins</t>
  </si>
  <si>
    <t>Itaporã do Tocantins</t>
  </si>
  <si>
    <t>itapora-do-tocantins</t>
  </si>
  <si>
    <t>Jaú do Tocantins</t>
  </si>
  <si>
    <t>Juarina</t>
  </si>
  <si>
    <t>juarina</t>
  </si>
  <si>
    <t>Lagoa da Confusão</t>
  </si>
  <si>
    <t>lagoa-da-confusao</t>
  </si>
  <si>
    <t>Lagoa do Tocantins</t>
  </si>
  <si>
    <t>lagoa-do-tocantins</t>
  </si>
  <si>
    <t>Lajeado</t>
  </si>
  <si>
    <t>lajeado</t>
  </si>
  <si>
    <t>Lavandeira</t>
  </si>
  <si>
    <t>lavandeira</t>
  </si>
  <si>
    <t>Lizarda</t>
  </si>
  <si>
    <t>lizarda</t>
  </si>
  <si>
    <t>Luzinópolis</t>
  </si>
  <si>
    <t>luzinopolis</t>
  </si>
  <si>
    <t>Marianópolis do Tocantins</t>
  </si>
  <si>
    <t>marianopolis-do-tocantins</t>
  </si>
  <si>
    <t>Mateiros</t>
  </si>
  <si>
    <t>mateiros</t>
  </si>
  <si>
    <t>Maurilândia do Tocantins</t>
  </si>
  <si>
    <t>maurilandia-do-tocantins</t>
  </si>
  <si>
    <t>Miracema do Tocantins</t>
  </si>
  <si>
    <t>miracema-do-tocantins</t>
  </si>
  <si>
    <t>Miranorte</t>
  </si>
  <si>
    <t>miranorte</t>
  </si>
  <si>
    <t>Monte Santo do Tocantins</t>
  </si>
  <si>
    <t>monte-santo-do-tocantins</t>
  </si>
  <si>
    <t>Monte do Carmo</t>
  </si>
  <si>
    <t>monte-do-carmo</t>
  </si>
  <si>
    <t>Muricilândia</t>
  </si>
  <si>
    <t>muricilandia</t>
  </si>
  <si>
    <t>Natividade</t>
  </si>
  <si>
    <t>natividade</t>
  </si>
  <si>
    <t>Nazaré</t>
  </si>
  <si>
    <t>nazare</t>
  </si>
  <si>
    <t>Nova Olinda</t>
  </si>
  <si>
    <t>nova-olinda</t>
  </si>
  <si>
    <t>Nova Rosalândia</t>
  </si>
  <si>
    <t>nova-rosalandia</t>
  </si>
  <si>
    <t>Novo Acordo</t>
  </si>
  <si>
    <t>novo-acordo</t>
  </si>
  <si>
    <t>Novo Alegre</t>
  </si>
  <si>
    <t>novo-alegre</t>
  </si>
  <si>
    <t>Novo Jardim</t>
  </si>
  <si>
    <t>novo-jardim</t>
  </si>
  <si>
    <t>Oliveira de Fátima</t>
  </si>
  <si>
    <t>oliveira-de-fatima</t>
  </si>
  <si>
    <t>Palmas</t>
  </si>
  <si>
    <t>palmas</t>
  </si>
  <si>
    <t>true</t>
  </si>
  <si>
    <t>-10.24</t>
  </si>
  <si>
    <t>Palmeirante</t>
  </si>
  <si>
    <t>palmeirante</t>
  </si>
  <si>
    <t>Palmeiras do Tocantins</t>
  </si>
  <si>
    <t>palmeiras-do-tocantins</t>
  </si>
  <si>
    <t>Palmeirópolis</t>
  </si>
  <si>
    <t>palmeiropolis</t>
  </si>
  <si>
    <t>Paranã</t>
  </si>
  <si>
    <t>parana</t>
  </si>
  <si>
    <t>Paraíso do Tocantins</t>
  </si>
  <si>
    <t>paraiso-do-tocantins</t>
  </si>
  <si>
    <t>Pau D'Arco</t>
  </si>
  <si>
    <t>pau-darco</t>
  </si>
  <si>
    <t>Pedro Afonso</t>
  </si>
  <si>
    <t>pedro-afonso</t>
  </si>
  <si>
    <t>Peixe</t>
  </si>
  <si>
    <t>peixe</t>
  </si>
  <si>
    <t>Pequizeiro</t>
  </si>
  <si>
    <t>pequizeiro</t>
  </si>
  <si>
    <t>Pindorama do Tocantins</t>
  </si>
  <si>
    <t>pindorama-do-tocantins</t>
  </si>
  <si>
    <t>Piraquê</t>
  </si>
  <si>
    <t>piraque</t>
  </si>
  <si>
    <t>Pium</t>
  </si>
  <si>
    <t>pium</t>
  </si>
  <si>
    <t>Ponte Alta do Bom Jesus</t>
  </si>
  <si>
    <t>Ponte Alta do Tocantins</t>
  </si>
  <si>
    <t>Porto Alegre do Tocantins</t>
  </si>
  <si>
    <t>porto-alegre-do-tocantins</t>
  </si>
  <si>
    <t>Porto Nacional</t>
  </si>
  <si>
    <t>porto-nacional</t>
  </si>
  <si>
    <t>Praia Norte</t>
  </si>
  <si>
    <t>praia-norte</t>
  </si>
  <si>
    <t>Presidente Kennedy</t>
  </si>
  <si>
    <t>presidente-kennedy</t>
  </si>
  <si>
    <t>Pugmil</t>
  </si>
  <si>
    <t>pugmil</t>
  </si>
  <si>
    <t>Recursolândia</t>
  </si>
  <si>
    <t>recursolandia</t>
  </si>
  <si>
    <t>Riachinho</t>
  </si>
  <si>
    <t>riachinho</t>
  </si>
  <si>
    <t>Rio Sono</t>
  </si>
  <si>
    <t>Rio da Conceição</t>
  </si>
  <si>
    <t>rio-da-conceicao</t>
  </si>
  <si>
    <t>Rio dos Bois</t>
  </si>
  <si>
    <t>rio-dos-bois</t>
  </si>
  <si>
    <t>Sampaio</t>
  </si>
  <si>
    <t>sampaio</t>
  </si>
  <si>
    <t>Sandolândia</t>
  </si>
  <si>
    <t>sandolandia</t>
  </si>
  <si>
    <t>Santa Fé do Araguaia</t>
  </si>
  <si>
    <t>santa-fe-do-araguaia</t>
  </si>
  <si>
    <t>Santa Maria do Tocantins</t>
  </si>
  <si>
    <t>santa-maria-do-tocantins</t>
  </si>
  <si>
    <t>Santa Rita do Tocantins</t>
  </si>
  <si>
    <t>santa-rita-do-tocantins</t>
  </si>
  <si>
    <t>Santa Rosa do Tocantins</t>
  </si>
  <si>
    <t>santa-rosa-do-tocantins</t>
  </si>
  <si>
    <t>Santa Tereza do Tocantins</t>
  </si>
  <si>
    <t>santa-tereza-do-tocantins</t>
  </si>
  <si>
    <t>Santa Terezinha do Tocantins</t>
  </si>
  <si>
    <t>santa-terezinha-do-tocantins</t>
  </si>
  <si>
    <t>Silvanópolis</t>
  </si>
  <si>
    <t>silvanopolis</t>
  </si>
  <si>
    <t>Sucupira</t>
  </si>
  <si>
    <t>sucupira</t>
  </si>
  <si>
    <t>São Bento do Tocantins</t>
  </si>
  <si>
    <t>São Félix do Tocantins</t>
  </si>
  <si>
    <t>sao-felix-do-tocantins</t>
  </si>
  <si>
    <t>São Miguel do Tocantins</t>
  </si>
  <si>
    <t>sao-miguel-do-tocantins</t>
  </si>
  <si>
    <t>São Salvador do Tocantins</t>
  </si>
  <si>
    <t>sao-salvador-do-tocantins</t>
  </si>
  <si>
    <t>São Sebastião do Tocantins</t>
  </si>
  <si>
    <t>sao-sebastiao-do-tocantins</t>
  </si>
  <si>
    <t>São Valério</t>
  </si>
  <si>
    <t>sao-valerio</t>
  </si>
  <si>
    <t>Sítio Novo do Tocantins</t>
  </si>
  <si>
    <t>sitio-novo-do-tocantins</t>
  </si>
  <si>
    <t>Taguatinga</t>
  </si>
  <si>
    <t>taguatinga</t>
  </si>
  <si>
    <t>Taipas do Tocantins</t>
  </si>
  <si>
    <t>taipas-do-tocantins</t>
  </si>
  <si>
    <t>Talismã</t>
  </si>
  <si>
    <t>talisma</t>
  </si>
  <si>
    <t>Tocantinópolis</t>
  </si>
  <si>
    <t>tocantinopolis</t>
  </si>
  <si>
    <t>Tocantínia</t>
  </si>
  <si>
    <t>tocantinia</t>
  </si>
  <si>
    <t>Tupirama</t>
  </si>
  <si>
    <t>tupirama</t>
  </si>
  <si>
    <t>Tupiratins</t>
  </si>
  <si>
    <t>tupiratins</t>
  </si>
  <si>
    <t>Wanderlândia</t>
  </si>
  <si>
    <t>wanderlandia</t>
  </si>
  <si>
    <t>Xambioá</t>
  </si>
  <si>
    <t>xambioa</t>
  </si>
  <si>
    <t>tocan</t>
  </si>
  <si>
    <t>PROJETO</t>
  </si>
  <si>
    <t>QTD</t>
  </si>
  <si>
    <t>TO 2a</t>
  </si>
  <si>
    <t>3508155</t>
  </si>
  <si>
    <t>3509559</t>
  </si>
  <si>
    <t>3485572</t>
  </si>
  <si>
    <t>3508196</t>
  </si>
  <si>
    <t>3508194</t>
  </si>
  <si>
    <t>3508165</t>
  </si>
  <si>
    <t>3508162</t>
  </si>
  <si>
    <t>3507782</t>
  </si>
  <si>
    <t>3507784</t>
  </si>
  <si>
    <t>3507785</t>
  </si>
  <si>
    <t>3507827</t>
  </si>
  <si>
    <t>3507830</t>
  </si>
  <si>
    <t>3507831</t>
  </si>
  <si>
    <t>3508160</t>
  </si>
  <si>
    <t>3507833</t>
  </si>
  <si>
    <t>3507834</t>
  </si>
  <si>
    <t>3507989</t>
  </si>
  <si>
    <t>3507856</t>
  </si>
  <si>
    <t>3507859</t>
  </si>
  <si>
    <t>3507860</t>
  </si>
  <si>
    <t>3507863</t>
  </si>
  <si>
    <t>3507906</t>
  </si>
  <si>
    <t>3508925</t>
  </si>
  <si>
    <t>3507910</t>
  </si>
  <si>
    <t>3508926</t>
  </si>
  <si>
    <t>3507913</t>
  </si>
  <si>
    <t>3507914</t>
  </si>
  <si>
    <t>3507916</t>
  </si>
  <si>
    <t>3507920</t>
  </si>
  <si>
    <t>3507922</t>
  </si>
  <si>
    <t>3507923</t>
  </si>
  <si>
    <t>3507924</t>
  </si>
  <si>
    <t>3513994</t>
  </si>
  <si>
    <t>3507926</t>
  </si>
  <si>
    <t>3513891</t>
  </si>
  <si>
    <t>3507929</t>
  </si>
  <si>
    <t>3507930</t>
  </si>
  <si>
    <t>3508920</t>
  </si>
  <si>
    <t>3507931</t>
  </si>
  <si>
    <t>3507935</t>
  </si>
  <si>
    <t>3509740</t>
  </si>
  <si>
    <t>3507990</t>
  </si>
  <si>
    <t>3507939</t>
  </si>
  <si>
    <t>3507991</t>
  </si>
  <si>
    <t>3507992</t>
  </si>
  <si>
    <t>3507945</t>
  </si>
  <si>
    <t>3507986</t>
  </si>
  <si>
    <t>3508922</t>
  </si>
  <si>
    <t>3509737</t>
  </si>
  <si>
    <t>3509738</t>
  </si>
  <si>
    <t>3507987</t>
  </si>
  <si>
    <t>3507993</t>
  </si>
  <si>
    <t>3507994</t>
  </si>
  <si>
    <t>3509739</t>
  </si>
  <si>
    <t>3508923</t>
  </si>
  <si>
    <t>3507995</t>
  </si>
  <si>
    <t>3507996</t>
  </si>
  <si>
    <t>3507751</t>
  </si>
  <si>
    <t>3508008</t>
  </si>
  <si>
    <t>3508007</t>
  </si>
  <si>
    <t>3509733</t>
  </si>
  <si>
    <t>3507984</t>
  </si>
  <si>
    <t>3508006</t>
  </si>
  <si>
    <t>3507981</t>
  </si>
  <si>
    <t>3507980</t>
  </si>
  <si>
    <t>3507977</t>
  </si>
  <si>
    <t>3509734</t>
  </si>
  <si>
    <t>3507970</t>
  </si>
  <si>
    <t>3507969</t>
  </si>
  <si>
    <t>3507966</t>
  </si>
  <si>
    <t>3495810</t>
  </si>
  <si>
    <t>3507885</t>
  </si>
  <si>
    <t>3507883</t>
  </si>
  <si>
    <t>3507877</t>
  </si>
  <si>
    <t>3507874</t>
  </si>
  <si>
    <t>3507870</t>
  </si>
  <si>
    <t>3508349</t>
  </si>
  <si>
    <t>3513927</t>
  </si>
  <si>
    <t>3508467</t>
  </si>
  <si>
    <t>3508351</t>
  </si>
  <si>
    <t>3508353</t>
  </si>
  <si>
    <t>3508355</t>
  </si>
  <si>
    <t>3507868</t>
  </si>
  <si>
    <t>3507824</t>
  </si>
  <si>
    <t>3507811</t>
  </si>
  <si>
    <t>3508357</t>
  </si>
  <si>
    <t>3509551</t>
  </si>
  <si>
    <t>3507820</t>
  </si>
  <si>
    <t>3507816</t>
  </si>
  <si>
    <t>3509555</t>
  </si>
  <si>
    <t>3508157</t>
  </si>
  <si>
    <t>3508359</t>
  </si>
  <si>
    <t>3513962</t>
  </si>
  <si>
    <t>3513964</t>
  </si>
  <si>
    <t>3513929</t>
  </si>
  <si>
    <t>3514150</t>
  </si>
  <si>
    <t>3507759</t>
  </si>
  <si>
    <t>3509729</t>
  </si>
  <si>
    <t>3508363</t>
  </si>
  <si>
    <t>3507815</t>
  </si>
  <si>
    <t>3510606</t>
  </si>
  <si>
    <t>3508469</t>
  </si>
  <si>
    <t>3508415</t>
  </si>
  <si>
    <t>3508419</t>
  </si>
  <si>
    <t>3513996</t>
  </si>
  <si>
    <t>3508928</t>
  </si>
  <si>
    <t>3508929</t>
  </si>
  <si>
    <t>3508425</t>
  </si>
  <si>
    <t>3509233</t>
  </si>
  <si>
    <t>3508426</t>
  </si>
  <si>
    <t>3509237</t>
  </si>
  <si>
    <t>3509730</t>
  </si>
  <si>
    <t>3509731</t>
  </si>
  <si>
    <t>3508430</t>
  </si>
  <si>
    <t>3509556</t>
  </si>
  <si>
    <t>3508432</t>
  </si>
  <si>
    <t>3508433</t>
  </si>
  <si>
    <t>3508931</t>
  </si>
  <si>
    <t>3513665</t>
  </si>
  <si>
    <t>3508706</t>
  </si>
  <si>
    <t>3509239</t>
  </si>
  <si>
    <t>3508434</t>
  </si>
  <si>
    <t>3508435</t>
  </si>
  <si>
    <t>3510194</t>
  </si>
  <si>
    <t>3513952</t>
  </si>
  <si>
    <t>3508932</t>
  </si>
  <si>
    <t>3509319</t>
  </si>
  <si>
    <t>3509322</t>
  </si>
  <si>
    <t>3510196</t>
  </si>
  <si>
    <t>3510198</t>
  </si>
  <si>
    <t>3508437</t>
  </si>
  <si>
    <t>3508934</t>
  </si>
  <si>
    <t>3513664</t>
  </si>
  <si>
    <t>3508439</t>
  </si>
  <si>
    <t>3513954</t>
  </si>
  <si>
    <t>3508441</t>
  </si>
  <si>
    <t>3508470</t>
  </si>
  <si>
    <t>3508471</t>
  </si>
  <si>
    <t>3508472</t>
  </si>
  <si>
    <t>3509742</t>
  </si>
  <si>
    <t>3513663</t>
  </si>
  <si>
    <t>3509726</t>
  </si>
  <si>
    <t>3509741</t>
  </si>
  <si>
    <t>3510200</t>
  </si>
  <si>
    <t>3510201</t>
  </si>
  <si>
    <t>3510202</t>
  </si>
  <si>
    <t>3513662</t>
  </si>
  <si>
    <t>3509728</t>
  </si>
  <si>
    <t>3508622</t>
  </si>
  <si>
    <t>3509565</t>
  </si>
  <si>
    <t>3513896</t>
  </si>
  <si>
    <t>3508473</t>
  </si>
  <si>
    <t>3512836</t>
  </si>
  <si>
    <t>3508956</t>
  </si>
  <si>
    <t>3508474</t>
  </si>
  <si>
    <t>3509743</t>
  </si>
  <si>
    <t>3508916</t>
  </si>
  <si>
    <t>3509531</t>
  </si>
  <si>
    <t>3513993</t>
  </si>
  <si>
    <t>3513025</t>
  </si>
  <si>
    <t>3509744</t>
  </si>
  <si>
    <t>3508508</t>
  </si>
  <si>
    <t>3496272</t>
  </si>
  <si>
    <t>3508957</t>
  </si>
  <si>
    <t>3509349</t>
  </si>
  <si>
    <t>3509350</t>
  </si>
  <si>
    <t>3509352</t>
  </si>
  <si>
    <t>3509356</t>
  </si>
  <si>
    <t>3509534</t>
  </si>
  <si>
    <t>3508477</t>
  </si>
  <si>
    <t>3496270</t>
  </si>
  <si>
    <t>3496269</t>
  </si>
  <si>
    <t>3509537</t>
  </si>
  <si>
    <t>3509540</t>
  </si>
  <si>
    <t>3495818</t>
  </si>
  <si>
    <t>3509544</t>
  </si>
  <si>
    <t>3509608</t>
  </si>
  <si>
    <t>3513966</t>
  </si>
  <si>
    <t>3496267</t>
  </si>
  <si>
    <t>3508479</t>
  </si>
  <si>
    <t>3495895</t>
  </si>
  <si>
    <t>3495894</t>
  </si>
  <si>
    <t>3509545</t>
  </si>
  <si>
    <t>3509547</t>
  </si>
  <si>
    <t>3508482</t>
  </si>
  <si>
    <t>3508483</t>
  </si>
  <si>
    <t>3508484</t>
  </si>
  <si>
    <t>3509548</t>
  </si>
  <si>
    <t>3508509</t>
  </si>
  <si>
    <t>3514680</t>
  </si>
  <si>
    <t>3508510</t>
  </si>
  <si>
    <t>3508513</t>
  </si>
  <si>
    <t>3508919</t>
  </si>
  <si>
    <t>3508959</t>
  </si>
  <si>
    <t>3495892</t>
  </si>
  <si>
    <t>3495891</t>
  </si>
  <si>
    <t>3496278</t>
  </si>
  <si>
    <t>3496277</t>
  </si>
  <si>
    <t>3496276</t>
  </si>
  <si>
    <t>3495890</t>
  </si>
  <si>
    <t>3495808</t>
  </si>
  <si>
    <t>3495814</t>
  </si>
  <si>
    <t>3496275</t>
  </si>
  <si>
    <t>3513798</t>
  </si>
  <si>
    <t>3514222</t>
  </si>
  <si>
    <t>3507755</t>
  </si>
  <si>
    <t>3495819</t>
  </si>
  <si>
    <t>3508960</t>
  </si>
  <si>
    <t>3496274</t>
  </si>
  <si>
    <t>3514221</t>
  </si>
  <si>
    <t>3496273</t>
  </si>
  <si>
    <t>3508961</t>
  </si>
  <si>
    <t>3513658</t>
  </si>
  <si>
    <t>3508963</t>
  </si>
  <si>
    <t>3508698</t>
  </si>
  <si>
    <t>3508965</t>
  </si>
  <si>
    <t>3509618</t>
  </si>
  <si>
    <t>3509614</t>
  </si>
  <si>
    <t>3510204</t>
  </si>
  <si>
    <t>3514166</t>
  </si>
  <si>
    <t>3508966</t>
  </si>
  <si>
    <t>3509620</t>
  </si>
  <si>
    <t>3509725</t>
  </si>
  <si>
    <t>3509622</t>
  </si>
  <si>
    <t>3509724</t>
  </si>
  <si>
    <t>3509623</t>
  </si>
  <si>
    <t>3508968</t>
  </si>
  <si>
    <t>3508971</t>
  </si>
  <si>
    <t>3509625</t>
  </si>
  <si>
    <t>3509647</t>
  </si>
  <si>
    <t>3509650</t>
  </si>
  <si>
    <t>3514163</t>
  </si>
  <si>
    <t>3514161</t>
  </si>
  <si>
    <t>3508972</t>
  </si>
  <si>
    <t>3509651</t>
  </si>
  <si>
    <t>3509653</t>
  </si>
  <si>
    <t>3509664</t>
  </si>
  <si>
    <t>3509655</t>
  </si>
  <si>
    <t>3513667</t>
  </si>
  <si>
    <t>3514158</t>
  </si>
  <si>
    <t>3514153</t>
  </si>
  <si>
    <t>3509656</t>
  </si>
  <si>
    <t>3513864</t>
  </si>
  <si>
    <t>3509658</t>
  </si>
  <si>
    <t>3510208</t>
  </si>
  <si>
    <t>3509661</t>
  </si>
  <si>
    <t>3509662</t>
  </si>
  <si>
    <t>3510240</t>
  </si>
  <si>
    <t>3508521</t>
  </si>
  <si>
    <t>3509583</t>
  </si>
  <si>
    <t>3513791</t>
  </si>
  <si>
    <t>3509723</t>
  </si>
  <si>
    <t>3509579</t>
  </si>
  <si>
    <t>3508527</t>
  </si>
  <si>
    <t>3508973</t>
  </si>
  <si>
    <t>3508974</t>
  </si>
  <si>
    <t>3509018</t>
  </si>
  <si>
    <t>3509021</t>
  </si>
  <si>
    <t>3514143</t>
  </si>
  <si>
    <t>3514137</t>
  </si>
  <si>
    <t>3508632</t>
  </si>
  <si>
    <t>3509024</t>
  </si>
  <si>
    <t>3509025</t>
  </si>
  <si>
    <t>3508975</t>
  </si>
  <si>
    <t>3514135</t>
  </si>
  <si>
    <t>3513999</t>
  </si>
  <si>
    <t>3509574</t>
  </si>
  <si>
    <t>3509571</t>
  </si>
  <si>
    <t>3509566</t>
  </si>
  <si>
    <t>3509465</t>
  </si>
  <si>
    <t>3510233</t>
  </si>
  <si>
    <t>3510235</t>
  </si>
  <si>
    <t>3509722</t>
  </si>
  <si>
    <t>3509099</t>
  </si>
  <si>
    <t>3509098</t>
  </si>
  <si>
    <t>3509035</t>
  </si>
  <si>
    <t>3509029</t>
  </si>
  <si>
    <t>3514220</t>
  </si>
  <si>
    <t>3514218</t>
  </si>
  <si>
    <t>3509028</t>
  </si>
  <si>
    <t>3509026</t>
  </si>
  <si>
    <t>3514217</t>
  </si>
  <si>
    <t>3514216</t>
  </si>
  <si>
    <t>3509706</t>
  </si>
  <si>
    <t>3509709</t>
  </si>
  <si>
    <t>3509711</t>
  </si>
  <si>
    <t>3510241</t>
  </si>
  <si>
    <t>3509712</t>
  </si>
  <si>
    <t>3513789</t>
  </si>
  <si>
    <t>3509714</t>
  </si>
  <si>
    <t>3509718</t>
  </si>
  <si>
    <t>3509719</t>
  </si>
  <si>
    <t>3509721</t>
  </si>
  <si>
    <t>3510192</t>
  </si>
  <si>
    <t>3509720</t>
  </si>
  <si>
    <t>3509020</t>
  </si>
  <si>
    <t>3508631</t>
  </si>
  <si>
    <t>3509001</t>
  </si>
  <si>
    <t>3508996</t>
  </si>
  <si>
    <t>3513998</t>
  </si>
  <si>
    <t>3508009</t>
  </si>
  <si>
    <t>3510263</t>
  </si>
  <si>
    <t>3508627</t>
  </si>
  <si>
    <t>3508948</t>
  </si>
  <si>
    <t>3508944</t>
  </si>
  <si>
    <t>3508063</t>
  </si>
  <si>
    <t>3508061</t>
  </si>
  <si>
    <t>3508058</t>
  </si>
  <si>
    <t>3508941</t>
  </si>
  <si>
    <t>3508938</t>
  </si>
  <si>
    <t>3508911</t>
  </si>
  <si>
    <t>3509106</t>
  </si>
  <si>
    <t>3509104</t>
  </si>
  <si>
    <t>3509102</t>
  </si>
  <si>
    <t>3508150</t>
  </si>
  <si>
    <t>3509100</t>
  </si>
  <si>
    <t>3509097</t>
  </si>
  <si>
    <t>3508057</t>
  </si>
  <si>
    <t>3509096</t>
  </si>
  <si>
    <t>3509032</t>
  </si>
  <si>
    <t>3508969</t>
  </si>
  <si>
    <t>3513860</t>
  </si>
  <si>
    <t>3508967</t>
  </si>
  <si>
    <t>3508964</t>
  </si>
  <si>
    <t>3513655</t>
  </si>
  <si>
    <t>3510609</t>
  </si>
  <si>
    <t>3510603</t>
  </si>
  <si>
    <t>3508056</t>
  </si>
  <si>
    <t>3513774</t>
  </si>
  <si>
    <t>3508625</t>
  </si>
  <si>
    <t>3512837</t>
  </si>
  <si>
    <t>3508962</t>
  </si>
  <si>
    <t>3508935</t>
  </si>
  <si>
    <t>3508930</t>
  </si>
  <si>
    <t>3508624</t>
  </si>
  <si>
    <t>3508921</t>
  </si>
  <si>
    <t>3508746</t>
  </si>
  <si>
    <t>3508623</t>
  </si>
  <si>
    <t>3508918</t>
  </si>
  <si>
    <t>3508871</t>
  </si>
  <si>
    <t>3508868</t>
  </si>
  <si>
    <t>3508866</t>
  </si>
  <si>
    <t>3508864</t>
  </si>
  <si>
    <t>3508863</t>
  </si>
  <si>
    <t>3513859</t>
  </si>
  <si>
    <t>3513852</t>
  </si>
  <si>
    <t>3508055</t>
  </si>
  <si>
    <t>3508054</t>
  </si>
  <si>
    <t>3508529</t>
  </si>
  <si>
    <t>3508528</t>
  </si>
  <si>
    <t>3508526</t>
  </si>
  <si>
    <t>3506133</t>
  </si>
  <si>
    <t>3508525</t>
  </si>
  <si>
    <t>3508148</t>
  </si>
  <si>
    <t>3513772</t>
  </si>
  <si>
    <t>3508819</t>
  </si>
  <si>
    <t>3508754</t>
  </si>
  <si>
    <t>3508753</t>
  </si>
  <si>
    <t>3508751</t>
  </si>
  <si>
    <t>3508524</t>
  </si>
  <si>
    <t>3508095</t>
  </si>
  <si>
    <t>3508094</t>
  </si>
  <si>
    <t>3508093</t>
  </si>
  <si>
    <t>3508089</t>
  </si>
  <si>
    <t>3509227</t>
  </si>
  <si>
    <t>3509226</t>
  </si>
  <si>
    <t>3509230</t>
  </si>
  <si>
    <t>3512832</t>
  </si>
  <si>
    <t>3509228</t>
  </si>
  <si>
    <t>3508088</t>
  </si>
  <si>
    <t>3513679</t>
  </si>
  <si>
    <t>3508065</t>
  </si>
  <si>
    <t>3508743</t>
  </si>
  <si>
    <t>3510245</t>
  </si>
  <si>
    <t>3508739</t>
  </si>
  <si>
    <t>3508715</t>
  </si>
  <si>
    <t>3508708</t>
  </si>
  <si>
    <t>3509464</t>
  </si>
  <si>
    <t>3509463</t>
  </si>
  <si>
    <t>3509461</t>
  </si>
  <si>
    <t>3508064</t>
  </si>
  <si>
    <t>3508051</t>
  </si>
  <si>
    <t>3514215</t>
  </si>
  <si>
    <t>3513780</t>
  </si>
  <si>
    <t>3509459</t>
  </si>
  <si>
    <t>3509456</t>
  </si>
  <si>
    <t>3508052</t>
  </si>
  <si>
    <t>3509454</t>
  </si>
  <si>
    <t>3514214</t>
  </si>
  <si>
    <t>3514212</t>
  </si>
  <si>
    <t>3514169</t>
  </si>
  <si>
    <t>3509472</t>
  </si>
  <si>
    <t>3513997</t>
  </si>
  <si>
    <t>3513785</t>
  </si>
  <si>
    <t>3513990</t>
  </si>
  <si>
    <t>3514728</t>
  </si>
  <si>
    <t>3513968</t>
  </si>
  <si>
    <t>3513675</t>
  </si>
  <si>
    <t>3514846</t>
  </si>
  <si>
    <t>3513967</t>
  </si>
  <si>
    <t>3513924</t>
  </si>
  <si>
    <t>3513921</t>
  </si>
  <si>
    <t>3513776</t>
  </si>
  <si>
    <t>3513917</t>
  </si>
  <si>
    <t>3513914</t>
  </si>
  <si>
    <t>3513908</t>
  </si>
  <si>
    <t>3513673</t>
  </si>
  <si>
    <t>3513777</t>
  </si>
  <si>
    <t>3513795</t>
  </si>
  <si>
    <t>3512909</t>
  </si>
  <si>
    <t>3513671</t>
  </si>
  <si>
    <t>3513906</t>
  </si>
  <si>
    <t>3513901</t>
  </si>
  <si>
    <t>3513024</t>
  </si>
  <si>
    <t>3513023</t>
  </si>
  <si>
    <t>3513021</t>
  </si>
  <si>
    <t>3513020</t>
  </si>
  <si>
    <t>3513017</t>
  </si>
  <si>
    <t>3513015</t>
  </si>
  <si>
    <t>3513783</t>
  </si>
  <si>
    <t>3513650</t>
  </si>
  <si>
    <t>3513417</t>
  </si>
  <si>
    <t>3512967</t>
  </si>
  <si>
    <t>3512966</t>
  </si>
  <si>
    <t>3512964</t>
  </si>
  <si>
    <t>3512962</t>
  </si>
  <si>
    <t>3512806</t>
  </si>
  <si>
    <t>3512957</t>
  </si>
  <si>
    <t>3512956</t>
  </si>
  <si>
    <t>3512953</t>
  </si>
  <si>
    <t>3512951</t>
  </si>
  <si>
    <t>3513019</t>
  </si>
  <si>
    <t>3512843</t>
  </si>
  <si>
    <t>3512841</t>
  </si>
  <si>
    <t>3512839</t>
  </si>
  <si>
    <t>3512796</t>
  </si>
  <si>
    <t>3512792</t>
  </si>
  <si>
    <t>3512790</t>
  </si>
  <si>
    <t>3513589</t>
  </si>
  <si>
    <t>3513794</t>
  </si>
  <si>
    <t>3514681</t>
  </si>
  <si>
    <t>3513415</t>
  </si>
  <si>
    <t>3513585</t>
  </si>
  <si>
    <t>3513354</t>
  </si>
  <si>
    <t>3513583</t>
  </si>
  <si>
    <t>3513802</t>
  </si>
  <si>
    <t>3512768</t>
  </si>
  <si>
    <t>3513581</t>
  </si>
  <si>
    <t>3512801</t>
  </si>
  <si>
    <t>3512763</t>
  </si>
  <si>
    <t>TO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</si>
</sst>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1A1A1A"/>
      <name val="Arial"/>
      <family val="2"/>
    </font>
    <font>
      <sz val="11"/>
      <color rgb="FF5A5A5A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medium">
        <color rgb="FFE5E7EB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2" applyNumberFormat="0" applyAlignment="0" applyProtection="0"/>
    <xf numFmtId="0" fontId="6" fillId="22" borderId="3" applyNumberFormat="0" applyAlignment="0" applyProtection="0"/>
    <xf numFmtId="0" fontId="7" fillId="0" borderId="4" applyNumberFormat="0" applyFill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8" fillId="29" borderId="2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2" fillId="32" borderId="5" applyNumberFormat="0" applyFont="0" applyAlignment="0" applyProtection="0"/>
    <xf numFmtId="0" fontId="11" fillId="21" borderId="6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" fillId="0" borderId="0"/>
  </cellStyleXfs>
  <cellXfs count="64">
    <xf numFmtId="0" fontId="0" fillId="0" borderId="0" xfId="0"/>
    <xf numFmtId="0" fontId="20" fillId="0" borderId="0" xfId="42" applyFont="1" applyAlignment="1">
      <alignment vertical="center"/>
    </xf>
    <xf numFmtId="49" fontId="20" fillId="0" borderId="0" xfId="42" applyNumberFormat="1" applyFont="1" applyAlignment="1">
      <alignment vertical="center"/>
    </xf>
    <xf numFmtId="0" fontId="1" fillId="0" borderId="0" xfId="42" applyAlignment="1">
      <alignment vertical="center"/>
    </xf>
    <xf numFmtId="0" fontId="0" fillId="0" borderId="0" xfId="0" applyAlignment="1">
      <alignment vertical="center"/>
    </xf>
    <xf numFmtId="164" fontId="1" fillId="0" borderId="0" xfId="42" applyNumberFormat="1" applyAlignment="1">
      <alignment vertical="center"/>
    </xf>
    <xf numFmtId="1" fontId="0" fillId="33" borderId="1" xfId="0" applyNumberFormat="1" applyFill="1" applyBorder="1" applyAlignment="1">
      <alignment horizontal="left" vertical="center"/>
    </xf>
    <xf numFmtId="0" fontId="0" fillId="33" borderId="1" xfId="0" applyFill="1" applyBorder="1" applyAlignment="1">
      <alignment horizontal="left" vertical="center"/>
    </xf>
    <xf numFmtId="49" fontId="0" fillId="33" borderId="1" xfId="0" applyNumberForma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" fontId="0" fillId="35" borderId="0" xfId="0" applyNumberFormat="1" applyFill="1" applyAlignment="1">
      <alignment vertical="center"/>
    </xf>
    <xf numFmtId="0" fontId="1" fillId="35" borderId="0" xfId="42" applyFill="1" applyAlignment="1">
      <alignment vertical="center"/>
    </xf>
    <xf numFmtId="0" fontId="21" fillId="34" borderId="1" xfId="42" applyFont="1" applyFill="1" applyBorder="1" applyAlignment="1">
      <alignment horizontal="center" vertical="center"/>
    </xf>
    <xf numFmtId="14" fontId="21" fillId="34" borderId="1" xfId="42" applyNumberFormat="1" applyFont="1" applyFill="1" applyBorder="1" applyAlignment="1">
      <alignment horizontal="center" vertical="center" wrapText="1"/>
    </xf>
    <xf numFmtId="4" fontId="21" fillId="34" borderId="1" xfId="42" applyNumberFormat="1" applyFont="1" applyFill="1" applyBorder="1" applyAlignment="1">
      <alignment horizontal="center" vertical="center" wrapText="1"/>
    </xf>
    <xf numFmtId="3" fontId="21" fillId="34" borderId="1" xfId="42" applyNumberFormat="1" applyFont="1" applyFill="1" applyBorder="1" applyAlignment="1">
      <alignment horizontal="center" vertical="center"/>
    </xf>
    <xf numFmtId="4" fontId="21" fillId="34" borderId="1" xfId="4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33" borderId="1" xfId="0" applyNumberFormat="1" applyFill="1" applyBorder="1" applyAlignment="1">
      <alignment horizontal="left" vertical="center"/>
    </xf>
    <xf numFmtId="4" fontId="0" fillId="0" borderId="1" xfId="0" applyNumberFormat="1" applyBorder="1" applyAlignment="1">
      <alignment horizontal="center"/>
    </xf>
    <xf numFmtId="0" fontId="18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23" fillId="0" borderId="1" xfId="0" applyFont="1" applyBorder="1" applyAlignment="1">
      <alignment horizontal="center" vertical="center"/>
    </xf>
    <xf numFmtId="0" fontId="18" fillId="0" borderId="0" xfId="0" applyFon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21" fillId="34" borderId="11" xfId="0" applyFont="1" applyFill="1" applyBorder="1" applyAlignment="1">
      <alignment horizontal="center" vertical="center"/>
    </xf>
    <xf numFmtId="14" fontId="21" fillId="34" borderId="11" xfId="0" applyNumberFormat="1" applyFont="1" applyFill="1" applyBorder="1" applyAlignment="1">
      <alignment horizontal="center" vertical="center" wrapText="1"/>
    </xf>
    <xf numFmtId="4" fontId="21" fillId="34" borderId="11" xfId="0" applyNumberFormat="1" applyFont="1" applyFill="1" applyBorder="1" applyAlignment="1">
      <alignment horizontal="center" vertical="center"/>
    </xf>
    <xf numFmtId="3" fontId="21" fillId="34" borderId="11" xfId="0" applyNumberFormat="1" applyFont="1" applyFill="1" applyBorder="1" applyAlignment="1">
      <alignment horizontal="center" vertical="center"/>
    </xf>
    <xf numFmtId="4" fontId="21" fillId="34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1" fillId="0" borderId="0" xfId="42" applyNumberFormat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49" fontId="0" fillId="0" borderId="0" xfId="0" applyNumberFormat="1"/>
    <xf numFmtId="2" fontId="0" fillId="0" borderId="0" xfId="0" applyNumberFormat="1"/>
    <xf numFmtId="14" fontId="2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0" fillId="0" borderId="0" xfId="0" applyFont="1" applyAlignment="1">
      <alignment horizontal="left" vertical="center"/>
    </xf>
    <xf numFmtId="49" fontId="20" fillId="0" borderId="0" xfId="42" applyNumberFormat="1" applyFont="1" applyAlignment="1">
      <alignment horizontal="left" vertical="center"/>
    </xf>
    <xf numFmtId="14" fontId="1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5" fillId="0" borderId="0" xfId="0" applyFont="1" applyAlignment="1">
      <alignment horizontal="center"/>
    </xf>
    <xf numFmtId="164" fontId="25" fillId="0" borderId="0" xfId="0" applyNumberFormat="1" applyFont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0" fontId="27" fillId="0" borderId="12" xfId="0" applyFont="1" applyBorder="1" applyAlignment="1">
      <alignment horizontal="left" vertical="top" wrapText="1" indent="1"/>
    </xf>
    <xf numFmtId="0" fontId="28" fillId="0" borderId="12" xfId="0" applyFont="1" applyBorder="1" applyAlignment="1">
      <alignment horizontal="left" vertical="top" wrapText="1" indent="1"/>
    </xf>
    <xf numFmtId="49" fontId="28" fillId="0" borderId="12" xfId="0" applyNumberFormat="1" applyFont="1" applyBorder="1" applyAlignment="1">
      <alignment horizontal="left" vertical="top" wrapText="1" indent="1"/>
    </xf>
    <xf numFmtId="1" fontId="0" fillId="0" borderId="0" xfId="0" applyNumberFormat="1" applyAlignment="1">
      <alignment horizontal="center"/>
    </xf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/>
    <cellStyle name="Normal 2" xfId="42" xr:uid="{00000000-0005-0000-0000-000020000000}"/>
    <cellStyle name="Nota" xfId="32" builtinId="10" customBuiltin="1"/>
    <cellStyle name="Ruim" xfId="30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9" defaultPivotStyle="PivotStyleLight16">
    <tableStyle name="Invisible" pivot="0" table="0" count="0" xr9:uid="{A779DF5F-4E15-4A8A-80F2-19C0EC76B5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bparsa.sharepoint.com/sites/EquipeLPTMLAENBPar/Shared%20Documents/02.%20Gest&#227;o%20de%20Contratos/08.%20Amostras/TO_2&#170;_TRANCHE_AmL/Informe%20Coordenadas.xlsx" TargetMode="External"/><Relationship Id="rId1" Type="http://schemas.openxmlformats.org/officeDocument/2006/relationships/externalLinkPath" Target="Informe%20Coordena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ORDENADAS_GEOGRÁFICAS"/>
      <sheetName val="PROC-MLA_V2 2d_ENERGISA-TO-2a-T"/>
      <sheetName val="Planilha2"/>
      <sheetName val="Planilha3"/>
      <sheetName val="Planilha1"/>
    </sheetNames>
    <sheetDataSet>
      <sheetData sheetId="0">
        <row r="8">
          <cell r="D8" t="str">
            <v>UC</v>
          </cell>
          <cell r="F8" t="str">
            <v>SIGFI</v>
          </cell>
          <cell r="G8" t="str">
            <v>LATITUDE</v>
          </cell>
          <cell r="H8" t="str">
            <v>LONGITUDE</v>
          </cell>
        </row>
        <row r="9">
          <cell r="D9">
            <v>3464081</v>
          </cell>
          <cell r="F9">
            <v>80</v>
          </cell>
          <cell r="G9">
            <v>-12.35899</v>
          </cell>
          <cell r="H9">
            <v>-47.950809999999997</v>
          </cell>
        </row>
        <row r="10">
          <cell r="D10">
            <v>3459335</v>
          </cell>
          <cell r="F10">
            <v>80</v>
          </cell>
          <cell r="G10">
            <v>-12.772738</v>
          </cell>
          <cell r="H10">
            <v>-47.416423000000002</v>
          </cell>
        </row>
        <row r="11">
          <cell r="D11">
            <v>3467062</v>
          </cell>
          <cell r="F11">
            <v>80</v>
          </cell>
          <cell r="G11">
            <v>-12.781725</v>
          </cell>
          <cell r="H11">
            <v>-47.409683000000001</v>
          </cell>
        </row>
        <row r="12">
          <cell r="D12">
            <v>3430975</v>
          </cell>
          <cell r="F12">
            <v>80</v>
          </cell>
          <cell r="G12">
            <v>-12.7499</v>
          </cell>
          <cell r="H12">
            <v>-47.446300000000001</v>
          </cell>
        </row>
        <row r="13">
          <cell r="D13">
            <v>3434827</v>
          </cell>
          <cell r="F13">
            <v>80</v>
          </cell>
          <cell r="G13">
            <v>-12.758900000000001</v>
          </cell>
          <cell r="H13">
            <v>-47.426900000000003</v>
          </cell>
        </row>
        <row r="14">
          <cell r="D14">
            <v>3434698</v>
          </cell>
          <cell r="F14">
            <v>80</v>
          </cell>
          <cell r="G14">
            <v>-12.768599999999999</v>
          </cell>
          <cell r="H14">
            <v>-47.398499999999999</v>
          </cell>
        </row>
        <row r="15">
          <cell r="D15">
            <v>3466701</v>
          </cell>
          <cell r="F15">
            <v>80</v>
          </cell>
          <cell r="G15">
            <v>-12.776825000000001</v>
          </cell>
          <cell r="H15">
            <v>-47.413893000000002</v>
          </cell>
        </row>
        <row r="16">
          <cell r="D16">
            <v>3464244</v>
          </cell>
          <cell r="F16">
            <v>80</v>
          </cell>
          <cell r="G16">
            <v>-12.381087000000001</v>
          </cell>
          <cell r="H16">
            <v>-48.215147999999999</v>
          </cell>
        </row>
        <row r="17">
          <cell r="D17">
            <v>3465687</v>
          </cell>
          <cell r="F17">
            <v>80</v>
          </cell>
          <cell r="G17">
            <v>-12.330187</v>
          </cell>
          <cell r="H17">
            <v>-48.187702000000002</v>
          </cell>
        </row>
        <row r="18">
          <cell r="D18">
            <v>3435800</v>
          </cell>
          <cell r="F18">
            <v>80</v>
          </cell>
          <cell r="G18">
            <v>-12.399542</v>
          </cell>
          <cell r="H18">
            <v>-47.897137999999998</v>
          </cell>
        </row>
        <row r="19">
          <cell r="D19">
            <v>3463633</v>
          </cell>
          <cell r="F19">
            <v>80</v>
          </cell>
          <cell r="G19">
            <v>-12.394500000000001</v>
          </cell>
          <cell r="H19">
            <v>-47.930900000000001</v>
          </cell>
        </row>
        <row r="20">
          <cell r="D20">
            <v>3439684</v>
          </cell>
          <cell r="F20">
            <v>80</v>
          </cell>
          <cell r="G20">
            <v>-12.335967</v>
          </cell>
          <cell r="H20">
            <v>-48.202075000000001</v>
          </cell>
        </row>
        <row r="21">
          <cell r="D21">
            <v>3466189</v>
          </cell>
          <cell r="F21">
            <v>80</v>
          </cell>
          <cell r="G21">
            <v>-12.285527</v>
          </cell>
          <cell r="H21">
            <v>-48.186433000000001</v>
          </cell>
        </row>
        <row r="22">
          <cell r="D22">
            <v>3459487</v>
          </cell>
          <cell r="F22">
            <v>80</v>
          </cell>
          <cell r="G22">
            <v>-12.285871999999999</v>
          </cell>
          <cell r="H22">
            <v>-48.183301999999998</v>
          </cell>
        </row>
        <row r="23">
          <cell r="D23">
            <v>3466458</v>
          </cell>
          <cell r="F23">
            <v>80</v>
          </cell>
          <cell r="G23">
            <v>-12.481156</v>
          </cell>
          <cell r="H23">
            <v>-48.120317</v>
          </cell>
        </row>
        <row r="24">
          <cell r="D24">
            <v>3439267</v>
          </cell>
          <cell r="F24">
            <v>80</v>
          </cell>
          <cell r="G24">
            <v>-12.485378000000001</v>
          </cell>
          <cell r="H24">
            <v>-48.104868000000003</v>
          </cell>
        </row>
        <row r="25">
          <cell r="D25">
            <v>3439403</v>
          </cell>
          <cell r="F25">
            <v>80</v>
          </cell>
          <cell r="G25">
            <v>-12.375287999999999</v>
          </cell>
          <cell r="H25">
            <v>-48.107132999999997</v>
          </cell>
        </row>
        <row r="26">
          <cell r="D26">
            <v>3466640</v>
          </cell>
          <cell r="F26">
            <v>80</v>
          </cell>
          <cell r="G26">
            <v>-12.358734999999999</v>
          </cell>
          <cell r="H26">
            <v>-47.985798000000003</v>
          </cell>
        </row>
        <row r="27">
          <cell r="D27">
            <v>3466448</v>
          </cell>
          <cell r="F27">
            <v>80</v>
          </cell>
          <cell r="G27">
            <v>-12.377700000000001</v>
          </cell>
          <cell r="H27">
            <v>-48.140999999999998</v>
          </cell>
        </row>
        <row r="28">
          <cell r="D28">
            <v>3466727</v>
          </cell>
          <cell r="F28">
            <v>80</v>
          </cell>
          <cell r="G28">
            <v>-12.330387999999999</v>
          </cell>
          <cell r="H28">
            <v>-48.191267000000003</v>
          </cell>
        </row>
        <row r="29">
          <cell r="D29">
            <v>3463647</v>
          </cell>
          <cell r="F29">
            <v>80</v>
          </cell>
          <cell r="G29">
            <v>-12.480683000000001</v>
          </cell>
          <cell r="H29">
            <v>-48.106127999999998</v>
          </cell>
        </row>
        <row r="30">
          <cell r="D30">
            <v>3466162</v>
          </cell>
          <cell r="F30">
            <v>80</v>
          </cell>
          <cell r="G30">
            <v>-12.377084999999999</v>
          </cell>
          <cell r="H30">
            <v>-48.211579</v>
          </cell>
        </row>
        <row r="31">
          <cell r="D31">
            <v>3466948</v>
          </cell>
          <cell r="F31">
            <v>80</v>
          </cell>
          <cell r="G31">
            <v>-12.7516</v>
          </cell>
          <cell r="H31">
            <v>-47.4452</v>
          </cell>
        </row>
        <row r="32">
          <cell r="D32">
            <v>3467077</v>
          </cell>
          <cell r="F32">
            <v>80</v>
          </cell>
          <cell r="G32">
            <v>-12.762413</v>
          </cell>
          <cell r="H32">
            <v>-47.421542000000002</v>
          </cell>
        </row>
        <row r="33">
          <cell r="D33">
            <v>3440353</v>
          </cell>
          <cell r="F33">
            <v>80</v>
          </cell>
          <cell r="G33">
            <v>-12.766393000000001</v>
          </cell>
          <cell r="H33">
            <v>-47.404176999999997</v>
          </cell>
        </row>
        <row r="34">
          <cell r="D34">
            <v>3434916</v>
          </cell>
          <cell r="F34">
            <v>80</v>
          </cell>
          <cell r="G34">
            <v>-12.767196</v>
          </cell>
          <cell r="H34">
            <v>-47.421228999999997</v>
          </cell>
        </row>
        <row r="35">
          <cell r="D35">
            <v>3466164</v>
          </cell>
          <cell r="F35">
            <v>80</v>
          </cell>
          <cell r="G35">
            <v>-12.748760000000001</v>
          </cell>
          <cell r="H35">
            <v>-47.464922000000001</v>
          </cell>
        </row>
        <row r="36">
          <cell r="D36">
            <v>3466404</v>
          </cell>
          <cell r="F36">
            <v>80</v>
          </cell>
          <cell r="G36">
            <v>-12.351800000000001</v>
          </cell>
          <cell r="H36">
            <v>-47.983800000000002</v>
          </cell>
        </row>
        <row r="37">
          <cell r="D37">
            <v>3466593</v>
          </cell>
          <cell r="F37">
            <v>80</v>
          </cell>
          <cell r="G37">
            <v>-12.274850000000001</v>
          </cell>
          <cell r="H37">
            <v>-48.175871999999998</v>
          </cell>
        </row>
        <row r="38">
          <cell r="D38">
            <v>3466186</v>
          </cell>
          <cell r="F38">
            <v>80</v>
          </cell>
          <cell r="G38">
            <v>-12.8592</v>
          </cell>
          <cell r="H38">
            <v>-47.567</v>
          </cell>
        </row>
        <row r="39">
          <cell r="D39">
            <v>3466405</v>
          </cell>
          <cell r="F39">
            <v>80</v>
          </cell>
          <cell r="G39">
            <v>-12.911899999999999</v>
          </cell>
          <cell r="H39">
            <v>-47.552599999999998</v>
          </cell>
        </row>
        <row r="40">
          <cell r="D40">
            <v>3463640</v>
          </cell>
          <cell r="F40">
            <v>80</v>
          </cell>
          <cell r="G40">
            <v>-12.762919</v>
          </cell>
          <cell r="H40">
            <v>-47.688402000000004</v>
          </cell>
        </row>
        <row r="41">
          <cell r="D41">
            <v>3466479</v>
          </cell>
          <cell r="F41">
            <v>80</v>
          </cell>
          <cell r="G41">
            <v>-12.8607</v>
          </cell>
          <cell r="H41">
            <v>-47.5732</v>
          </cell>
        </row>
        <row r="42">
          <cell r="D42">
            <v>3436168</v>
          </cell>
          <cell r="F42">
            <v>80</v>
          </cell>
          <cell r="G42">
            <v>-12.8636</v>
          </cell>
          <cell r="H42">
            <v>-47.547199999999997</v>
          </cell>
        </row>
        <row r="43">
          <cell r="D43">
            <v>3436237</v>
          </cell>
          <cell r="F43">
            <v>80</v>
          </cell>
          <cell r="G43">
            <v>-12.9092</v>
          </cell>
          <cell r="H43">
            <v>-47.549399999999999</v>
          </cell>
        </row>
        <row r="44">
          <cell r="D44">
            <v>3463060</v>
          </cell>
          <cell r="F44">
            <v>80</v>
          </cell>
          <cell r="G44">
            <v>-12.859546999999999</v>
          </cell>
          <cell r="H44">
            <v>-47.548071999999998</v>
          </cell>
        </row>
        <row r="45">
          <cell r="D45">
            <v>3437340</v>
          </cell>
          <cell r="F45">
            <v>80</v>
          </cell>
          <cell r="G45">
            <v>-12.418200000000001</v>
          </cell>
          <cell r="H45">
            <v>-48.129916000000001</v>
          </cell>
        </row>
        <row r="46">
          <cell r="D46">
            <v>3434689</v>
          </cell>
          <cell r="F46">
            <v>80</v>
          </cell>
          <cell r="G46">
            <v>-12.430982</v>
          </cell>
          <cell r="H46">
            <v>-48.123123</v>
          </cell>
        </row>
        <row r="47">
          <cell r="D47">
            <v>3437486</v>
          </cell>
          <cell r="F47">
            <v>80</v>
          </cell>
          <cell r="G47">
            <v>-12.9148</v>
          </cell>
          <cell r="H47">
            <v>-47.575200000000002</v>
          </cell>
        </row>
        <row r="48">
          <cell r="D48">
            <v>3438400</v>
          </cell>
          <cell r="F48">
            <v>80</v>
          </cell>
          <cell r="G48">
            <v>-12.879007</v>
          </cell>
          <cell r="H48">
            <v>-47.595930000000003</v>
          </cell>
        </row>
        <row r="49">
          <cell r="D49">
            <v>3437300</v>
          </cell>
          <cell r="F49">
            <v>80</v>
          </cell>
          <cell r="G49">
            <v>-12.906499999999999</v>
          </cell>
          <cell r="H49">
            <v>-47.556899999999999</v>
          </cell>
        </row>
        <row r="50">
          <cell r="D50">
            <v>3437292</v>
          </cell>
          <cell r="F50">
            <v>80</v>
          </cell>
          <cell r="G50">
            <v>-12.8096</v>
          </cell>
          <cell r="H50">
            <v>-47.561300000000003</v>
          </cell>
        </row>
        <row r="51">
          <cell r="D51">
            <v>3437100</v>
          </cell>
          <cell r="F51">
            <v>80</v>
          </cell>
          <cell r="G51">
            <v>-12.933299999999999</v>
          </cell>
          <cell r="H51">
            <v>-47.603700000000003</v>
          </cell>
        </row>
        <row r="52">
          <cell r="D52">
            <v>3438286</v>
          </cell>
          <cell r="F52">
            <v>80</v>
          </cell>
          <cell r="G52">
            <v>-12.860711999999999</v>
          </cell>
          <cell r="H52">
            <v>-47.545569999999998</v>
          </cell>
        </row>
        <row r="53">
          <cell r="D53">
            <v>3436982</v>
          </cell>
          <cell r="F53">
            <v>80</v>
          </cell>
          <cell r="G53">
            <v>-12.8056</v>
          </cell>
          <cell r="H53">
            <v>-47.572099999999999</v>
          </cell>
        </row>
        <row r="54">
          <cell r="D54">
            <v>3438303</v>
          </cell>
          <cell r="F54">
            <v>80</v>
          </cell>
          <cell r="G54">
            <v>-12.904855</v>
          </cell>
          <cell r="H54">
            <v>-47.405112000000003</v>
          </cell>
        </row>
        <row r="55">
          <cell r="D55">
            <v>3435616</v>
          </cell>
          <cell r="F55">
            <v>80</v>
          </cell>
          <cell r="G55">
            <v>-12.588514999999999</v>
          </cell>
          <cell r="H55">
            <v>-47.430883000000001</v>
          </cell>
        </row>
        <row r="56">
          <cell r="D56">
            <v>3436817</v>
          </cell>
          <cell r="F56">
            <v>80</v>
          </cell>
          <cell r="G56">
            <v>-12.789752999999999</v>
          </cell>
          <cell r="H56">
            <v>-47.396413000000003</v>
          </cell>
        </row>
        <row r="57">
          <cell r="D57">
            <v>3435651</v>
          </cell>
          <cell r="F57">
            <v>80</v>
          </cell>
          <cell r="G57">
            <v>-12.709350000000001</v>
          </cell>
          <cell r="H57">
            <v>-47.420141999999998</v>
          </cell>
        </row>
        <row r="58">
          <cell r="D58">
            <v>3459423</v>
          </cell>
          <cell r="F58">
            <v>80</v>
          </cell>
          <cell r="G58">
            <v>-13.089622</v>
          </cell>
          <cell r="H58">
            <v>-47.643808</v>
          </cell>
        </row>
        <row r="59">
          <cell r="D59">
            <v>3464158</v>
          </cell>
          <cell r="F59">
            <v>80</v>
          </cell>
          <cell r="G59">
            <v>-12.997166999999999</v>
          </cell>
          <cell r="H59">
            <v>-47.775126999999998</v>
          </cell>
        </row>
        <row r="60">
          <cell r="D60">
            <v>3465694</v>
          </cell>
          <cell r="F60">
            <v>80</v>
          </cell>
          <cell r="G60">
            <v>-12.745969000000001</v>
          </cell>
          <cell r="H60">
            <v>-47.417520000000003</v>
          </cell>
        </row>
        <row r="61">
          <cell r="D61">
            <v>3464101</v>
          </cell>
          <cell r="F61">
            <v>80</v>
          </cell>
          <cell r="G61">
            <v>-13.090835</v>
          </cell>
          <cell r="H61">
            <v>-47.645553</v>
          </cell>
        </row>
        <row r="62">
          <cell r="D62">
            <v>3438296</v>
          </cell>
          <cell r="F62">
            <v>80</v>
          </cell>
          <cell r="G62">
            <v>-12.602887000000001</v>
          </cell>
          <cell r="H62">
            <v>-47.402797999999997</v>
          </cell>
        </row>
        <row r="63">
          <cell r="D63">
            <v>3439715</v>
          </cell>
          <cell r="F63">
            <v>80</v>
          </cell>
          <cell r="G63">
            <v>-12.6564</v>
          </cell>
          <cell r="H63">
            <v>-47.156700000000001</v>
          </cell>
        </row>
        <row r="64">
          <cell r="D64">
            <v>3438388</v>
          </cell>
          <cell r="F64">
            <v>80</v>
          </cell>
          <cell r="G64">
            <v>-12.634980000000001</v>
          </cell>
          <cell r="H64">
            <v>-47.173062000000002</v>
          </cell>
        </row>
        <row r="65">
          <cell r="D65">
            <v>3464098</v>
          </cell>
          <cell r="F65">
            <v>80</v>
          </cell>
          <cell r="G65">
            <v>-12.532322000000001</v>
          </cell>
          <cell r="H65">
            <v>-47.183525000000003</v>
          </cell>
        </row>
        <row r="66">
          <cell r="D66">
            <v>3434970</v>
          </cell>
          <cell r="F66">
            <v>80</v>
          </cell>
          <cell r="G66">
            <v>-12.582008</v>
          </cell>
          <cell r="H66">
            <v>-47.229097000000003</v>
          </cell>
        </row>
        <row r="67">
          <cell r="D67">
            <v>3439401</v>
          </cell>
          <cell r="F67">
            <v>80</v>
          </cell>
          <cell r="G67">
            <v>-12.584153000000001</v>
          </cell>
          <cell r="H67">
            <v>-47.231073000000002</v>
          </cell>
        </row>
        <row r="68">
          <cell r="D68">
            <v>3442507</v>
          </cell>
          <cell r="F68">
            <v>80</v>
          </cell>
          <cell r="G68">
            <v>-12.638745</v>
          </cell>
          <cell r="H68">
            <v>-47.150374999999997</v>
          </cell>
        </row>
        <row r="69">
          <cell r="D69">
            <v>3442753</v>
          </cell>
          <cell r="F69">
            <v>80</v>
          </cell>
          <cell r="G69">
            <v>-12.669122</v>
          </cell>
          <cell r="H69">
            <v>-47.164050000000003</v>
          </cell>
        </row>
        <row r="70">
          <cell r="D70">
            <v>3466402</v>
          </cell>
          <cell r="F70">
            <v>80</v>
          </cell>
          <cell r="G70">
            <v>-12.668633</v>
          </cell>
          <cell r="H70">
            <v>-47.163702000000001</v>
          </cell>
        </row>
        <row r="71">
          <cell r="D71">
            <v>3464096</v>
          </cell>
          <cell r="F71">
            <v>80</v>
          </cell>
          <cell r="G71">
            <v>-12.769475</v>
          </cell>
          <cell r="H71">
            <v>-47.413406999999999</v>
          </cell>
        </row>
        <row r="72">
          <cell r="D72">
            <v>3438387</v>
          </cell>
          <cell r="F72">
            <v>80</v>
          </cell>
          <cell r="G72">
            <v>-12.794957999999999</v>
          </cell>
          <cell r="H72">
            <v>-47.391027999999999</v>
          </cell>
        </row>
        <row r="73">
          <cell r="D73">
            <v>3437334</v>
          </cell>
          <cell r="F73">
            <v>80</v>
          </cell>
          <cell r="G73">
            <v>-12.862887000000001</v>
          </cell>
          <cell r="H73">
            <v>-47.506734999999999</v>
          </cell>
        </row>
        <row r="74">
          <cell r="D74">
            <v>3436137</v>
          </cell>
          <cell r="F74">
            <v>80</v>
          </cell>
          <cell r="G74">
            <v>-12.910793</v>
          </cell>
          <cell r="H74">
            <v>-47.574967999999998</v>
          </cell>
        </row>
        <row r="75">
          <cell r="D75">
            <v>3441679</v>
          </cell>
          <cell r="F75">
            <v>80</v>
          </cell>
          <cell r="G75">
            <v>-12.396100000000001</v>
          </cell>
          <cell r="H75">
            <v>-47.916601999999997</v>
          </cell>
        </row>
        <row r="76">
          <cell r="D76">
            <v>3435661</v>
          </cell>
          <cell r="F76">
            <v>80</v>
          </cell>
          <cell r="G76">
            <v>-12.657102</v>
          </cell>
          <cell r="H76">
            <v>-47.495545</v>
          </cell>
        </row>
        <row r="77">
          <cell r="D77">
            <v>3437161</v>
          </cell>
          <cell r="F77">
            <v>80</v>
          </cell>
          <cell r="G77">
            <v>-12.626338000000001</v>
          </cell>
          <cell r="H77">
            <v>-47.335728000000003</v>
          </cell>
        </row>
        <row r="78">
          <cell r="D78">
            <v>3463147</v>
          </cell>
          <cell r="F78">
            <v>80</v>
          </cell>
          <cell r="G78">
            <v>-13.166345</v>
          </cell>
          <cell r="H78">
            <v>-47.513137999999998</v>
          </cell>
        </row>
        <row r="79">
          <cell r="D79">
            <v>3463150</v>
          </cell>
          <cell r="F79">
            <v>80</v>
          </cell>
          <cell r="G79">
            <v>-12.99184</v>
          </cell>
          <cell r="H79">
            <v>-47.755490000000002</v>
          </cell>
        </row>
        <row r="80">
          <cell r="D80">
            <v>3442186</v>
          </cell>
          <cell r="F80">
            <v>80</v>
          </cell>
          <cell r="G80">
            <v>-12.915127</v>
          </cell>
          <cell r="H80">
            <v>-47.573565000000002</v>
          </cell>
        </row>
        <row r="81">
          <cell r="D81">
            <v>3437395</v>
          </cell>
          <cell r="F81">
            <v>80</v>
          </cell>
          <cell r="G81">
            <v>-13.16581</v>
          </cell>
          <cell r="H81">
            <v>-47.763773</v>
          </cell>
        </row>
        <row r="82">
          <cell r="D82">
            <v>3463146</v>
          </cell>
          <cell r="F82">
            <v>80</v>
          </cell>
          <cell r="G82">
            <v>-13.158518000000001</v>
          </cell>
          <cell r="H82">
            <v>-47.758232</v>
          </cell>
        </row>
        <row r="83">
          <cell r="D83">
            <v>3438342</v>
          </cell>
          <cell r="F83">
            <v>80</v>
          </cell>
          <cell r="G83">
            <v>-13.155227</v>
          </cell>
          <cell r="H83">
            <v>-47.757444999999997</v>
          </cell>
        </row>
        <row r="84">
          <cell r="D84">
            <v>3434980</v>
          </cell>
          <cell r="F84">
            <v>80</v>
          </cell>
          <cell r="G84">
            <v>-13.172051</v>
          </cell>
          <cell r="H84">
            <v>-47.765577</v>
          </cell>
        </row>
        <row r="85">
          <cell r="D85">
            <v>3436977</v>
          </cell>
          <cell r="F85">
            <v>80</v>
          </cell>
          <cell r="G85">
            <v>-12.398402000000001</v>
          </cell>
          <cell r="H85">
            <v>-47.908344999999997</v>
          </cell>
        </row>
        <row r="86">
          <cell r="D86">
            <v>3442974</v>
          </cell>
          <cell r="F86">
            <v>80</v>
          </cell>
          <cell r="G86">
            <v>-12.700027</v>
          </cell>
          <cell r="H86">
            <v>-47.446153000000002</v>
          </cell>
        </row>
        <row r="87">
          <cell r="D87">
            <v>3437948</v>
          </cell>
          <cell r="F87">
            <v>80</v>
          </cell>
          <cell r="G87">
            <v>-12.641795</v>
          </cell>
          <cell r="H87">
            <v>-47.166645000000003</v>
          </cell>
        </row>
        <row r="88">
          <cell r="D88">
            <v>3462412</v>
          </cell>
          <cell r="F88">
            <v>80</v>
          </cell>
          <cell r="G88">
            <v>-12.957241</v>
          </cell>
          <cell r="H88">
            <v>-47.620010000000001</v>
          </cell>
        </row>
        <row r="89">
          <cell r="D89">
            <v>3465696</v>
          </cell>
          <cell r="F89">
            <v>80</v>
          </cell>
          <cell r="G89">
            <v>-12.955277000000001</v>
          </cell>
          <cell r="H89">
            <v>-47.616407000000002</v>
          </cell>
        </row>
        <row r="90">
          <cell r="D90">
            <v>3459926</v>
          </cell>
          <cell r="F90">
            <v>80</v>
          </cell>
          <cell r="G90">
            <v>-12.948325000000001</v>
          </cell>
          <cell r="H90">
            <v>-47.613393000000002</v>
          </cell>
        </row>
        <row r="91">
          <cell r="D91">
            <v>3463643</v>
          </cell>
          <cell r="F91">
            <v>80</v>
          </cell>
          <cell r="G91">
            <v>-12.382766999999999</v>
          </cell>
          <cell r="H91">
            <v>-47.872453</v>
          </cell>
        </row>
        <row r="92">
          <cell r="D92">
            <v>3462419</v>
          </cell>
          <cell r="F92">
            <v>80</v>
          </cell>
          <cell r="G92">
            <v>-12.3255</v>
          </cell>
          <cell r="H92">
            <v>-47.861199999999997</v>
          </cell>
        </row>
        <row r="93">
          <cell r="D93">
            <v>3466494</v>
          </cell>
          <cell r="F93">
            <v>80</v>
          </cell>
          <cell r="G93">
            <v>-12.322188000000001</v>
          </cell>
          <cell r="H93">
            <v>-47.844791999999998</v>
          </cell>
        </row>
        <row r="94">
          <cell r="D94">
            <v>3463230</v>
          </cell>
          <cell r="F94">
            <v>80</v>
          </cell>
          <cell r="G94">
            <v>-13.095865</v>
          </cell>
          <cell r="H94">
            <v>-47.663361999999999</v>
          </cell>
        </row>
        <row r="95">
          <cell r="D95">
            <v>3466981</v>
          </cell>
          <cell r="F95">
            <v>80</v>
          </cell>
          <cell r="G95">
            <v>-12.362855</v>
          </cell>
          <cell r="H95">
            <v>-47.869526999999998</v>
          </cell>
        </row>
        <row r="96">
          <cell r="D96">
            <v>3466644</v>
          </cell>
          <cell r="F96">
            <v>80</v>
          </cell>
          <cell r="G96">
            <v>-12.413212</v>
          </cell>
          <cell r="H96">
            <v>-47.908487999999998</v>
          </cell>
        </row>
        <row r="97">
          <cell r="D97">
            <v>3466744</v>
          </cell>
          <cell r="F97">
            <v>80</v>
          </cell>
          <cell r="G97">
            <v>-12.862022</v>
          </cell>
          <cell r="H97">
            <v>-47.545366999999999</v>
          </cell>
        </row>
        <row r="98">
          <cell r="D98">
            <v>3466627</v>
          </cell>
          <cell r="F98">
            <v>80</v>
          </cell>
          <cell r="G98">
            <v>-12.346299999999999</v>
          </cell>
          <cell r="H98">
            <v>-47.979399999999998</v>
          </cell>
        </row>
        <row r="99">
          <cell r="D99">
            <v>3466160</v>
          </cell>
          <cell r="F99">
            <v>80</v>
          </cell>
          <cell r="G99">
            <v>-13.142602</v>
          </cell>
          <cell r="H99">
            <v>-47.720477000000002</v>
          </cell>
        </row>
        <row r="100">
          <cell r="D100">
            <v>3466424</v>
          </cell>
          <cell r="F100">
            <v>80</v>
          </cell>
          <cell r="G100">
            <v>-13.204587999999999</v>
          </cell>
          <cell r="H100">
            <v>-47.766472</v>
          </cell>
        </row>
        <row r="101">
          <cell r="D101">
            <v>3463791</v>
          </cell>
          <cell r="F101">
            <v>80</v>
          </cell>
          <cell r="G101">
            <v>-13.135028</v>
          </cell>
          <cell r="H101">
            <v>-47.718153000000001</v>
          </cell>
        </row>
        <row r="102">
          <cell r="D102">
            <v>3463790</v>
          </cell>
          <cell r="F102">
            <v>80</v>
          </cell>
          <cell r="G102">
            <v>-13.133018</v>
          </cell>
          <cell r="H102">
            <v>-47.716025999999999</v>
          </cell>
        </row>
        <row r="103">
          <cell r="D103">
            <v>3464190</v>
          </cell>
          <cell r="F103">
            <v>80</v>
          </cell>
          <cell r="G103">
            <v>-13.11458</v>
          </cell>
          <cell r="H103">
            <v>-47.642355000000002</v>
          </cell>
        </row>
        <row r="104">
          <cell r="D104">
            <v>3464228</v>
          </cell>
          <cell r="F104">
            <v>80</v>
          </cell>
          <cell r="G104">
            <v>-13.208562000000001</v>
          </cell>
          <cell r="H104">
            <v>-47.667427000000004</v>
          </cell>
        </row>
        <row r="105">
          <cell r="D105">
            <v>3463772</v>
          </cell>
          <cell r="F105">
            <v>80</v>
          </cell>
          <cell r="G105">
            <v>-13.294447999999999</v>
          </cell>
          <cell r="H105">
            <v>-47.729444000000001</v>
          </cell>
        </row>
        <row r="106">
          <cell r="D106">
            <v>3465689</v>
          </cell>
          <cell r="F106">
            <v>80</v>
          </cell>
          <cell r="G106">
            <v>-13.165887</v>
          </cell>
          <cell r="H106">
            <v>-47.679451999999998</v>
          </cell>
        </row>
        <row r="107">
          <cell r="D107">
            <v>3466454</v>
          </cell>
          <cell r="F107">
            <v>80</v>
          </cell>
          <cell r="G107">
            <v>-13.153548000000001</v>
          </cell>
          <cell r="H107">
            <v>-47.746454999999997</v>
          </cell>
        </row>
        <row r="108">
          <cell r="D108">
            <v>3466485</v>
          </cell>
          <cell r="F108">
            <v>80</v>
          </cell>
          <cell r="G108">
            <v>-13.245725</v>
          </cell>
          <cell r="H108">
            <v>-47.648857</v>
          </cell>
        </row>
        <row r="109">
          <cell r="D109">
            <v>3466159</v>
          </cell>
          <cell r="F109">
            <v>80</v>
          </cell>
          <cell r="G109">
            <v>-13.117179999999999</v>
          </cell>
          <cell r="H109">
            <v>-47.646675000000002</v>
          </cell>
        </row>
        <row r="110">
          <cell r="D110">
            <v>3459827</v>
          </cell>
          <cell r="F110">
            <v>80</v>
          </cell>
          <cell r="G110">
            <v>-13.149633</v>
          </cell>
          <cell r="H110">
            <v>-47.647573000000001</v>
          </cell>
        </row>
        <row r="111">
          <cell r="D111">
            <v>3465690</v>
          </cell>
          <cell r="F111">
            <v>80</v>
          </cell>
          <cell r="G111">
            <v>-13.129222</v>
          </cell>
          <cell r="H111">
            <v>-47.648972000000001</v>
          </cell>
        </row>
        <row r="112">
          <cell r="D112">
            <v>3464086</v>
          </cell>
          <cell r="F112">
            <v>80</v>
          </cell>
          <cell r="G112">
            <v>-13.120227</v>
          </cell>
          <cell r="H112">
            <v>-47.649735</v>
          </cell>
        </row>
        <row r="113">
          <cell r="D113">
            <v>3464241</v>
          </cell>
          <cell r="F113">
            <v>80</v>
          </cell>
          <cell r="G113">
            <v>-13.193633</v>
          </cell>
          <cell r="H113">
            <v>-47.765037</v>
          </cell>
        </row>
        <row r="114">
          <cell r="D114">
            <v>3459757</v>
          </cell>
          <cell r="F114">
            <v>80</v>
          </cell>
          <cell r="G114">
            <v>-13.134473</v>
          </cell>
          <cell r="H114">
            <v>-47.648712000000003</v>
          </cell>
        </row>
        <row r="115">
          <cell r="D115">
            <v>3459758</v>
          </cell>
          <cell r="F115">
            <v>80</v>
          </cell>
          <cell r="G115">
            <v>-13.130457</v>
          </cell>
          <cell r="H115">
            <v>-47.714562000000001</v>
          </cell>
        </row>
        <row r="116">
          <cell r="D116">
            <v>3463151</v>
          </cell>
          <cell r="F116">
            <v>80</v>
          </cell>
          <cell r="G116">
            <v>-13.093818000000001</v>
          </cell>
          <cell r="H116">
            <v>-47.649832000000004</v>
          </cell>
        </row>
        <row r="117">
          <cell r="D117">
            <v>3466922</v>
          </cell>
          <cell r="F117">
            <v>80</v>
          </cell>
          <cell r="G117">
            <v>-13.252043</v>
          </cell>
          <cell r="H117">
            <v>-47.680987999999999</v>
          </cell>
        </row>
        <row r="118">
          <cell r="D118">
            <v>3466798</v>
          </cell>
          <cell r="F118">
            <v>80</v>
          </cell>
          <cell r="G118">
            <v>-13.134798</v>
          </cell>
          <cell r="H118">
            <v>-47.715648999999999</v>
          </cell>
        </row>
        <row r="119">
          <cell r="D119">
            <v>3463228</v>
          </cell>
          <cell r="F119">
            <v>80</v>
          </cell>
          <cell r="G119">
            <v>-12.697615000000001</v>
          </cell>
          <cell r="H119">
            <v>-47.420172000000001</v>
          </cell>
        </row>
        <row r="120">
          <cell r="D120">
            <v>3466800</v>
          </cell>
          <cell r="F120">
            <v>80</v>
          </cell>
          <cell r="G120">
            <v>-13.122972000000001</v>
          </cell>
          <cell r="H120">
            <v>-47.714762</v>
          </cell>
        </row>
        <row r="121">
          <cell r="D121">
            <v>3466911</v>
          </cell>
          <cell r="F121">
            <v>80</v>
          </cell>
          <cell r="G121">
            <v>-13.250382</v>
          </cell>
          <cell r="H121">
            <v>-47.681317</v>
          </cell>
        </row>
        <row r="122">
          <cell r="D122">
            <v>3466828</v>
          </cell>
          <cell r="F122">
            <v>80</v>
          </cell>
          <cell r="G122">
            <v>-13.148413</v>
          </cell>
          <cell r="H122">
            <v>-47.651178000000002</v>
          </cell>
        </row>
        <row r="123">
          <cell r="D123">
            <v>3463158</v>
          </cell>
          <cell r="F123">
            <v>80</v>
          </cell>
          <cell r="G123">
            <v>-13.233722999999999</v>
          </cell>
          <cell r="H123" t="str">
            <v xml:space="preserve">-47,66909_x000D_
</v>
          </cell>
        </row>
        <row r="124">
          <cell r="D124">
            <v>3466920</v>
          </cell>
          <cell r="F124">
            <v>80</v>
          </cell>
          <cell r="G124">
            <v>-13.216032999999999</v>
          </cell>
          <cell r="H124">
            <v>-47.670985000000002</v>
          </cell>
        </row>
        <row r="125">
          <cell r="D125">
            <v>3463198</v>
          </cell>
          <cell r="F125">
            <v>80</v>
          </cell>
          <cell r="G125">
            <v>-13.293277</v>
          </cell>
          <cell r="H125">
            <v>-47.729391999999997</v>
          </cell>
        </row>
        <row r="126">
          <cell r="D126">
            <v>3467106</v>
          </cell>
          <cell r="F126">
            <v>80</v>
          </cell>
          <cell r="G126">
            <v>-13.278975000000001</v>
          </cell>
          <cell r="H126">
            <v>-47.710357000000002</v>
          </cell>
        </row>
        <row r="127">
          <cell r="D127">
            <v>3464197</v>
          </cell>
          <cell r="F127">
            <v>80</v>
          </cell>
          <cell r="G127">
            <v>-12.991809999999999</v>
          </cell>
          <cell r="H127">
            <v>-47.754275</v>
          </cell>
        </row>
        <row r="128">
          <cell r="D128">
            <v>3467083</v>
          </cell>
          <cell r="F128">
            <v>80</v>
          </cell>
          <cell r="G128">
            <v>-12.958562000000001</v>
          </cell>
          <cell r="H128">
            <v>-47.623714999999997</v>
          </cell>
        </row>
        <row r="129">
          <cell r="D129">
            <v>3463232</v>
          </cell>
          <cell r="F129">
            <v>80</v>
          </cell>
          <cell r="G129">
            <v>-12.362678000000001</v>
          </cell>
          <cell r="H129">
            <v>-47.869373000000003</v>
          </cell>
        </row>
        <row r="130">
          <cell r="D130">
            <v>3462372</v>
          </cell>
          <cell r="F130">
            <v>80</v>
          </cell>
          <cell r="G130">
            <v>-12.870557</v>
          </cell>
          <cell r="H130">
            <v>-47.543640000000003</v>
          </cell>
        </row>
        <row r="131">
          <cell r="D131">
            <v>3466805</v>
          </cell>
          <cell r="F131">
            <v>80</v>
          </cell>
          <cell r="G131">
            <v>-13.121487</v>
          </cell>
          <cell r="H131">
            <v>-47.715932000000002</v>
          </cell>
        </row>
        <row r="132">
          <cell r="D132">
            <v>3463161</v>
          </cell>
          <cell r="F132">
            <v>80</v>
          </cell>
          <cell r="G132">
            <v>-13.244778</v>
          </cell>
          <cell r="H132">
            <v>-47.649160999999999</v>
          </cell>
        </row>
        <row r="133">
          <cell r="D133">
            <v>3463573</v>
          </cell>
          <cell r="F133">
            <v>80</v>
          </cell>
          <cell r="G133">
            <v>-13.163478</v>
          </cell>
          <cell r="H133">
            <v>-47.667717000000003</v>
          </cell>
        </row>
        <row r="134">
          <cell r="D134">
            <v>3466790</v>
          </cell>
          <cell r="F134">
            <v>80</v>
          </cell>
          <cell r="G134">
            <v>-12.753415</v>
          </cell>
          <cell r="H134">
            <v>-47.426274999999997</v>
          </cell>
        </row>
        <row r="135">
          <cell r="D135">
            <v>3466916</v>
          </cell>
          <cell r="F135">
            <v>80</v>
          </cell>
          <cell r="G135">
            <v>-13.247202</v>
          </cell>
          <cell r="H135">
            <v>-47.675961999999998</v>
          </cell>
        </row>
        <row r="136">
          <cell r="D136">
            <v>3466794</v>
          </cell>
          <cell r="F136">
            <v>80</v>
          </cell>
          <cell r="G136">
            <v>-13.174642</v>
          </cell>
          <cell r="H136">
            <v>-47.764428000000002</v>
          </cell>
        </row>
        <row r="137">
          <cell r="D137">
            <v>3466700</v>
          </cell>
          <cell r="F137">
            <v>80</v>
          </cell>
          <cell r="G137">
            <v>-13.136782</v>
          </cell>
          <cell r="H137">
            <v>-47.648404999999997</v>
          </cell>
        </row>
        <row r="138">
          <cell r="D138">
            <v>3466913</v>
          </cell>
          <cell r="F138">
            <v>80</v>
          </cell>
          <cell r="G138">
            <v>-13.11664</v>
          </cell>
          <cell r="H138">
            <v>-47.645285000000001</v>
          </cell>
        </row>
        <row r="139">
          <cell r="D139">
            <v>3466835</v>
          </cell>
          <cell r="F139">
            <v>80</v>
          </cell>
          <cell r="G139">
            <v>-13.135467</v>
          </cell>
          <cell r="H139">
            <v>-47.648224999999996</v>
          </cell>
        </row>
        <row r="140">
          <cell r="D140">
            <v>3466788</v>
          </cell>
          <cell r="F140">
            <v>80</v>
          </cell>
          <cell r="G140">
            <v>-12.824617</v>
          </cell>
          <cell r="H140">
            <v>-47.432302999999997</v>
          </cell>
        </row>
        <row r="141">
          <cell r="D141">
            <v>3466827</v>
          </cell>
          <cell r="F141">
            <v>80</v>
          </cell>
          <cell r="G141">
            <v>-13.156428</v>
          </cell>
          <cell r="H141">
            <v>-47.658636999999999</v>
          </cell>
        </row>
        <row r="142">
          <cell r="D142">
            <v>3463200</v>
          </cell>
          <cell r="F142">
            <v>80</v>
          </cell>
          <cell r="G142">
            <v>-13.159743000000001</v>
          </cell>
          <cell r="H142">
            <v>-47.661932</v>
          </cell>
        </row>
        <row r="143">
          <cell r="D143">
            <v>3466796</v>
          </cell>
          <cell r="F143">
            <v>80</v>
          </cell>
          <cell r="G143">
            <v>-13.216996999999999</v>
          </cell>
          <cell r="H143">
            <v>-47.791538000000003</v>
          </cell>
        </row>
        <row r="144">
          <cell r="D144">
            <v>3466702</v>
          </cell>
          <cell r="F144">
            <v>80</v>
          </cell>
          <cell r="G144">
            <v>-13.229213</v>
          </cell>
          <cell r="H144">
            <v>-47.712463999999997</v>
          </cell>
        </row>
        <row r="145">
          <cell r="D145">
            <v>3463226</v>
          </cell>
          <cell r="F145">
            <v>80</v>
          </cell>
          <cell r="G145">
            <v>-12.621373</v>
          </cell>
          <cell r="H145">
            <v>-47.189050000000002</v>
          </cell>
        </row>
        <row r="146">
          <cell r="D146">
            <v>3464164</v>
          </cell>
          <cell r="F146">
            <v>80</v>
          </cell>
          <cell r="G146">
            <v>-12.800022</v>
          </cell>
          <cell r="H146">
            <v>-47.370617000000003</v>
          </cell>
        </row>
        <row r="147">
          <cell r="D147">
            <v>3464188</v>
          </cell>
          <cell r="F147">
            <v>80</v>
          </cell>
          <cell r="G147">
            <v>-12.638662</v>
          </cell>
          <cell r="H147">
            <v>-47.150368</v>
          </cell>
        </row>
        <row r="148">
          <cell r="D148">
            <v>3463768</v>
          </cell>
          <cell r="F148">
            <v>80</v>
          </cell>
          <cell r="G148">
            <v>-13.305917000000001</v>
          </cell>
          <cell r="H148">
            <v>-47.685155000000002</v>
          </cell>
        </row>
        <row r="149">
          <cell r="D149">
            <v>3466403</v>
          </cell>
          <cell r="F149">
            <v>80</v>
          </cell>
          <cell r="G149">
            <v>-13.300147000000001</v>
          </cell>
          <cell r="H149">
            <v>-47.663437000000002</v>
          </cell>
        </row>
        <row r="150">
          <cell r="D150">
            <v>3462383</v>
          </cell>
          <cell r="F150">
            <v>80</v>
          </cell>
          <cell r="G150">
            <v>-13.309205</v>
          </cell>
          <cell r="H150">
            <v>-47.709792</v>
          </cell>
        </row>
        <row r="151">
          <cell r="D151">
            <v>3466637</v>
          </cell>
          <cell r="F151">
            <v>80</v>
          </cell>
          <cell r="G151">
            <v>-13.283047</v>
          </cell>
          <cell r="H151">
            <v>-47.673997</v>
          </cell>
        </row>
        <row r="152">
          <cell r="D152">
            <v>3466867</v>
          </cell>
          <cell r="F152">
            <v>80</v>
          </cell>
          <cell r="G152">
            <v>-13.39442</v>
          </cell>
          <cell r="H152">
            <v>-47.694913</v>
          </cell>
        </row>
        <row r="153">
          <cell r="D153">
            <v>3463788</v>
          </cell>
          <cell r="F153">
            <v>80</v>
          </cell>
          <cell r="G153">
            <v>-13.386588</v>
          </cell>
          <cell r="H153">
            <v>-47.691177000000003</v>
          </cell>
        </row>
        <row r="154">
          <cell r="D154">
            <v>3466488</v>
          </cell>
          <cell r="F154">
            <v>80</v>
          </cell>
          <cell r="G154">
            <v>-13.379332</v>
          </cell>
          <cell r="H154">
            <v>-47.698765000000002</v>
          </cell>
        </row>
        <row r="155">
          <cell r="D155">
            <v>3466643</v>
          </cell>
          <cell r="F155">
            <v>80</v>
          </cell>
          <cell r="G155">
            <v>-13.281515000000001</v>
          </cell>
          <cell r="H155">
            <v>-47.657032999999998</v>
          </cell>
        </row>
        <row r="156">
          <cell r="D156">
            <v>3466586</v>
          </cell>
          <cell r="F156">
            <v>80</v>
          </cell>
          <cell r="G156">
            <v>-13.250030000000001</v>
          </cell>
          <cell r="H156">
            <v>-47.717782999999997</v>
          </cell>
        </row>
        <row r="157">
          <cell r="D157">
            <v>3464202</v>
          </cell>
          <cell r="F157">
            <v>80</v>
          </cell>
          <cell r="G157">
            <v>-13.245927</v>
          </cell>
          <cell r="H157">
            <v>-47.719141999999998</v>
          </cell>
        </row>
        <row r="158">
          <cell r="D158">
            <v>3466632</v>
          </cell>
          <cell r="F158">
            <v>80</v>
          </cell>
          <cell r="G158">
            <v>-13.379082</v>
          </cell>
          <cell r="H158">
            <v>-47.698892000000001</v>
          </cell>
        </row>
        <row r="159">
          <cell r="D159">
            <v>3463779</v>
          </cell>
          <cell r="F159">
            <v>80</v>
          </cell>
          <cell r="G159">
            <v>-13.236416999999999</v>
          </cell>
          <cell r="H159">
            <v>-47.671441000000002</v>
          </cell>
        </row>
        <row r="160">
          <cell r="D160">
            <v>3463770</v>
          </cell>
          <cell r="F160">
            <v>80</v>
          </cell>
          <cell r="G160">
            <v>-13.306405</v>
          </cell>
          <cell r="H160">
            <v>-47.685738000000001</v>
          </cell>
        </row>
        <row r="161">
          <cell r="D161">
            <v>3463789</v>
          </cell>
          <cell r="F161">
            <v>80</v>
          </cell>
          <cell r="G161">
            <v>-13.378665</v>
          </cell>
          <cell r="H161">
            <v>-47.684871999999999</v>
          </cell>
        </row>
        <row r="162">
          <cell r="D162">
            <v>3464200</v>
          </cell>
          <cell r="F162">
            <v>80</v>
          </cell>
          <cell r="G162">
            <v>-13.174105000000001</v>
          </cell>
          <cell r="H162">
            <v>-47.661403</v>
          </cell>
        </row>
        <row r="163">
          <cell r="D163">
            <v>3463771</v>
          </cell>
          <cell r="F163">
            <v>80</v>
          </cell>
          <cell r="G163">
            <v>-13.378826999999999</v>
          </cell>
          <cell r="H163">
            <v>-47.691336999999997</v>
          </cell>
        </row>
        <row r="164">
          <cell r="D164">
            <v>3462457</v>
          </cell>
          <cell r="F164">
            <v>80</v>
          </cell>
          <cell r="G164">
            <v>-13.309512</v>
          </cell>
          <cell r="H164">
            <v>-47.679645000000001</v>
          </cell>
        </row>
        <row r="165">
          <cell r="D165">
            <v>3466191</v>
          </cell>
          <cell r="F165">
            <v>80</v>
          </cell>
          <cell r="G165">
            <v>-13.380747</v>
          </cell>
          <cell r="H165">
            <v>-47.693243000000002</v>
          </cell>
        </row>
        <row r="166">
          <cell r="D166">
            <v>3462414</v>
          </cell>
          <cell r="F166">
            <v>80</v>
          </cell>
          <cell r="G166">
            <v>-13.316635</v>
          </cell>
          <cell r="H166">
            <v>-47.675229999999999</v>
          </cell>
        </row>
        <row r="167">
          <cell r="D167">
            <v>3464198</v>
          </cell>
          <cell r="F167">
            <v>80</v>
          </cell>
          <cell r="G167">
            <v>-13.249046999999999</v>
          </cell>
          <cell r="H167">
            <v>-47.648598</v>
          </cell>
        </row>
        <row r="168">
          <cell r="D168">
            <v>3462455</v>
          </cell>
          <cell r="F168">
            <v>80</v>
          </cell>
          <cell r="G168">
            <v>-13.346162</v>
          </cell>
          <cell r="H168">
            <v>-47.712173</v>
          </cell>
        </row>
        <row r="169">
          <cell r="D169">
            <v>3466657</v>
          </cell>
          <cell r="F169">
            <v>80</v>
          </cell>
          <cell r="G169">
            <v>-13.357551000000001</v>
          </cell>
          <cell r="H169">
            <v>-47.681842000000003</v>
          </cell>
        </row>
        <row r="170">
          <cell r="D170">
            <v>3466908</v>
          </cell>
          <cell r="F170">
            <v>80</v>
          </cell>
          <cell r="G170">
            <v>-13.006885</v>
          </cell>
          <cell r="H170">
            <v>-47.776085000000002</v>
          </cell>
        </row>
        <row r="171">
          <cell r="D171">
            <v>3462319</v>
          </cell>
          <cell r="F171">
            <v>80</v>
          </cell>
          <cell r="G171">
            <v>-13.16835</v>
          </cell>
          <cell r="H171">
            <v>-47.511457</v>
          </cell>
        </row>
        <row r="172">
          <cell r="D172">
            <v>3464159</v>
          </cell>
          <cell r="F172">
            <v>80</v>
          </cell>
          <cell r="G172">
            <v>-12.455057</v>
          </cell>
          <cell r="H172">
            <v>-47.378993000000001</v>
          </cell>
        </row>
        <row r="173">
          <cell r="D173">
            <v>3466603</v>
          </cell>
          <cell r="F173">
            <v>80</v>
          </cell>
          <cell r="G173">
            <v>-12.585203</v>
          </cell>
          <cell r="H173">
            <v>-47.383938000000001</v>
          </cell>
        </row>
        <row r="174">
          <cell r="D174">
            <v>3467063</v>
          </cell>
          <cell r="F174">
            <v>80</v>
          </cell>
          <cell r="G174">
            <v>-13.072502999999999</v>
          </cell>
          <cell r="H174">
            <v>-47.854787000000002</v>
          </cell>
        </row>
        <row r="175">
          <cell r="D175">
            <v>3464243</v>
          </cell>
          <cell r="F175">
            <v>80</v>
          </cell>
          <cell r="G175">
            <v>-13.185368</v>
          </cell>
          <cell r="H175">
            <v>-47.764654999999998</v>
          </cell>
        </row>
        <row r="176">
          <cell r="D176">
            <v>3465692</v>
          </cell>
          <cell r="F176">
            <v>80</v>
          </cell>
          <cell r="G176">
            <v>-13.155523000000001</v>
          </cell>
          <cell r="H176">
            <v>-47.751842000000003</v>
          </cell>
        </row>
        <row r="177">
          <cell r="D177">
            <v>3466872</v>
          </cell>
          <cell r="F177">
            <v>80</v>
          </cell>
          <cell r="G177">
            <v>-13.188103</v>
          </cell>
          <cell r="H177">
            <v>-47.766142000000002</v>
          </cell>
        </row>
        <row r="178">
          <cell r="D178">
            <v>3467216</v>
          </cell>
          <cell r="F178">
            <v>80</v>
          </cell>
          <cell r="G178">
            <v>-13.161802</v>
          </cell>
          <cell r="H178">
            <v>-47.761401999999997</v>
          </cell>
        </row>
        <row r="179">
          <cell r="D179">
            <v>3466852</v>
          </cell>
          <cell r="F179">
            <v>80</v>
          </cell>
          <cell r="G179">
            <v>-13.131835000000001</v>
          </cell>
          <cell r="H179">
            <v>-47.712527999999999</v>
          </cell>
        </row>
        <row r="180">
          <cell r="D180">
            <v>3466645</v>
          </cell>
          <cell r="F180">
            <v>80</v>
          </cell>
          <cell r="G180">
            <v>-13.146307999999999</v>
          </cell>
          <cell r="H180">
            <v>-47.728355000000001</v>
          </cell>
        </row>
        <row r="181">
          <cell r="D181">
            <v>3467211</v>
          </cell>
          <cell r="F181">
            <v>80</v>
          </cell>
          <cell r="G181">
            <v>-13.291494999999999</v>
          </cell>
          <cell r="H181">
            <v>-47.727004999999998</v>
          </cell>
        </row>
        <row r="182">
          <cell r="D182">
            <v>3467209</v>
          </cell>
          <cell r="F182">
            <v>80</v>
          </cell>
          <cell r="G182">
            <v>-13.243907</v>
          </cell>
          <cell r="H182">
            <v>-47.649003</v>
          </cell>
        </row>
        <row r="183">
          <cell r="D183">
            <v>3466926</v>
          </cell>
          <cell r="F183">
            <v>80</v>
          </cell>
          <cell r="G183">
            <v>-13.242452</v>
          </cell>
          <cell r="H183">
            <v>-47.648352000000003</v>
          </cell>
        </row>
        <row r="184">
          <cell r="D184">
            <v>3463162</v>
          </cell>
          <cell r="F184">
            <v>80</v>
          </cell>
          <cell r="G184">
            <v>-13.294635</v>
          </cell>
          <cell r="H184">
            <v>-47.683407000000003</v>
          </cell>
        </row>
        <row r="185">
          <cell r="D185">
            <v>3463156</v>
          </cell>
          <cell r="F185">
            <v>80</v>
          </cell>
          <cell r="G185">
            <v>-13.379536999999999</v>
          </cell>
          <cell r="H185">
            <v>-47.691772</v>
          </cell>
        </row>
        <row r="186">
          <cell r="D186">
            <v>3466906</v>
          </cell>
          <cell r="F186">
            <v>80</v>
          </cell>
          <cell r="G186">
            <v>-13.237385</v>
          </cell>
          <cell r="H186">
            <v>-47.654606999999999</v>
          </cell>
        </row>
        <row r="187">
          <cell r="D187">
            <v>3463187</v>
          </cell>
          <cell r="F187">
            <v>80</v>
          </cell>
          <cell r="G187">
            <v>-13.295778</v>
          </cell>
          <cell r="H187">
            <v>-47.681640000000002</v>
          </cell>
        </row>
        <row r="188">
          <cell r="D188">
            <v>3467117</v>
          </cell>
          <cell r="F188">
            <v>80</v>
          </cell>
          <cell r="G188" t="str">
            <v xml:space="preserve">-13,089010_x000D_
</v>
          </cell>
          <cell r="H188">
            <v>-47.674202000000001</v>
          </cell>
        </row>
        <row r="189">
          <cell r="D189">
            <v>3467212</v>
          </cell>
          <cell r="F189">
            <v>80</v>
          </cell>
          <cell r="G189">
            <v>-13.250114</v>
          </cell>
          <cell r="H189">
            <v>-47.674072000000002</v>
          </cell>
        </row>
        <row r="190">
          <cell r="D190">
            <v>3463163</v>
          </cell>
          <cell r="F190">
            <v>80</v>
          </cell>
          <cell r="G190">
            <v>-13.288798</v>
          </cell>
          <cell r="H190">
            <v>-47.656587000000002</v>
          </cell>
        </row>
        <row r="191">
          <cell r="D191">
            <v>3466879</v>
          </cell>
          <cell r="F191">
            <v>80</v>
          </cell>
          <cell r="G191">
            <v>-13.303592999999999</v>
          </cell>
          <cell r="H191">
            <v>-47.663682999999999</v>
          </cell>
        </row>
        <row r="192">
          <cell r="D192">
            <v>3466930</v>
          </cell>
          <cell r="F192">
            <v>80</v>
          </cell>
          <cell r="G192">
            <v>-13.296087</v>
          </cell>
          <cell r="H192">
            <v>-47.685901000000001</v>
          </cell>
        </row>
        <row r="193">
          <cell r="D193">
            <v>3467213</v>
          </cell>
          <cell r="F193">
            <v>80</v>
          </cell>
          <cell r="G193">
            <v>-13.320015</v>
          </cell>
          <cell r="H193">
            <v>-47.677818000000002</v>
          </cell>
        </row>
        <row r="194">
          <cell r="D194">
            <v>3466770</v>
          </cell>
          <cell r="F194">
            <v>80</v>
          </cell>
          <cell r="G194">
            <v>-13.146948</v>
          </cell>
          <cell r="H194">
            <v>-47.775047000000001</v>
          </cell>
        </row>
        <row r="195">
          <cell r="D195">
            <v>3466873</v>
          </cell>
          <cell r="F195">
            <v>80</v>
          </cell>
          <cell r="G195">
            <v>-13.151652</v>
          </cell>
          <cell r="H195">
            <v>-47.741591</v>
          </cell>
        </row>
        <row r="196">
          <cell r="D196">
            <v>3466950</v>
          </cell>
          <cell r="F196">
            <v>80</v>
          </cell>
          <cell r="G196">
            <v>-13.149967999999999</v>
          </cell>
          <cell r="H196">
            <v>-47.736065000000004</v>
          </cell>
        </row>
        <row r="197">
          <cell r="D197">
            <v>3466158</v>
          </cell>
          <cell r="F197">
            <v>80</v>
          </cell>
          <cell r="G197">
            <v>-13.194426</v>
          </cell>
          <cell r="H197">
            <v>-47.666097000000001</v>
          </cell>
        </row>
        <row r="198">
          <cell r="D198">
            <v>3467116</v>
          </cell>
          <cell r="F198">
            <v>80</v>
          </cell>
          <cell r="G198">
            <v>-13.221864</v>
          </cell>
          <cell r="H198">
            <v>-47.672583000000003</v>
          </cell>
        </row>
        <row r="199">
          <cell r="D199">
            <v>3466884</v>
          </cell>
          <cell r="F199">
            <v>80</v>
          </cell>
          <cell r="G199">
            <v>-13.221212</v>
          </cell>
          <cell r="H199">
            <v>-47.658037</v>
          </cell>
        </row>
        <row r="200">
          <cell r="D200">
            <v>3466703</v>
          </cell>
          <cell r="F200">
            <v>80</v>
          </cell>
          <cell r="G200">
            <v>-13.227563</v>
          </cell>
          <cell r="H200">
            <v>-47.655817999999996</v>
          </cell>
        </row>
        <row r="201">
          <cell r="D201">
            <v>3466780</v>
          </cell>
          <cell r="F201">
            <v>80</v>
          </cell>
          <cell r="G201">
            <v>-13.241897</v>
          </cell>
          <cell r="H201">
            <v>-47.674247000000001</v>
          </cell>
        </row>
        <row r="202">
          <cell r="D202">
            <v>3463777</v>
          </cell>
          <cell r="F202">
            <v>80</v>
          </cell>
          <cell r="G202">
            <v>-13.219754999999999</v>
          </cell>
          <cell r="H202">
            <v>-47.672986999999999</v>
          </cell>
        </row>
        <row r="203">
          <cell r="D203">
            <v>3466983</v>
          </cell>
          <cell r="F203">
            <v>80</v>
          </cell>
          <cell r="G203">
            <v>-13.179347</v>
          </cell>
          <cell r="H203">
            <v>-47.764156999999997</v>
          </cell>
        </row>
        <row r="204">
          <cell r="D204">
            <v>3467206</v>
          </cell>
          <cell r="F204">
            <v>80</v>
          </cell>
          <cell r="G204">
            <v>-13.297195</v>
          </cell>
          <cell r="H204">
            <v>-47.704028000000001</v>
          </cell>
        </row>
        <row r="205">
          <cell r="D205">
            <v>3463190</v>
          </cell>
          <cell r="F205">
            <v>80</v>
          </cell>
          <cell r="G205">
            <v>-13.196372999999999</v>
          </cell>
          <cell r="H205">
            <v>-47.764293000000002</v>
          </cell>
        </row>
        <row r="206">
          <cell r="D206">
            <v>3463193</v>
          </cell>
          <cell r="F206">
            <v>80</v>
          </cell>
          <cell r="G206">
            <v>-13.295636999999999</v>
          </cell>
          <cell r="H206">
            <v>-47.682267000000003</v>
          </cell>
        </row>
        <row r="207">
          <cell r="D207">
            <v>3467166</v>
          </cell>
          <cell r="F207">
            <v>80</v>
          </cell>
          <cell r="G207">
            <v>-13.233387</v>
          </cell>
          <cell r="H207">
            <v>-47.673141000000001</v>
          </cell>
        </row>
        <row r="208">
          <cell r="D208">
            <v>3466194</v>
          </cell>
          <cell r="F208">
            <v>80</v>
          </cell>
          <cell r="G208">
            <v>-12.993143</v>
          </cell>
          <cell r="H208">
            <v>-47.871547999999997</v>
          </cell>
        </row>
        <row r="209">
          <cell r="D209">
            <v>3466724</v>
          </cell>
          <cell r="F209">
            <v>80</v>
          </cell>
          <cell r="G209">
            <v>-12.399545</v>
          </cell>
          <cell r="H209">
            <v>-47.897022</v>
          </cell>
        </row>
        <row r="210">
          <cell r="D210">
            <v>3481963</v>
          </cell>
          <cell r="F210">
            <v>80</v>
          </cell>
          <cell r="G210">
            <v>-12.581518000000001</v>
          </cell>
          <cell r="H210">
            <v>-47.266643000000002</v>
          </cell>
        </row>
        <row r="211">
          <cell r="D211">
            <v>3466738</v>
          </cell>
          <cell r="F211">
            <v>80</v>
          </cell>
          <cell r="G211">
            <v>-12.266662</v>
          </cell>
          <cell r="H211">
            <v>-48.101238000000002</v>
          </cell>
        </row>
        <row r="212">
          <cell r="D212">
            <v>3467112</v>
          </cell>
          <cell r="F212">
            <v>80</v>
          </cell>
          <cell r="G212">
            <v>-12.272475</v>
          </cell>
          <cell r="H212">
            <v>-48.112765000000003</v>
          </cell>
        </row>
        <row r="213">
          <cell r="D213">
            <v>3466767</v>
          </cell>
          <cell r="F213">
            <v>80</v>
          </cell>
          <cell r="G213">
            <v>-12.377274</v>
          </cell>
          <cell r="H213">
            <v>-48.138862000000003</v>
          </cell>
        </row>
        <row r="214">
          <cell r="D214">
            <v>3464002</v>
          </cell>
          <cell r="F214">
            <v>80</v>
          </cell>
          <cell r="G214">
            <v>-12.376287</v>
          </cell>
          <cell r="H214">
            <v>-48.137326999999999</v>
          </cell>
        </row>
        <row r="215">
          <cell r="D215">
            <v>3467121</v>
          </cell>
          <cell r="F215">
            <v>80</v>
          </cell>
          <cell r="G215">
            <v>-12.413119</v>
          </cell>
          <cell r="H215">
            <v>-48.124639000000002</v>
          </cell>
        </row>
        <row r="216">
          <cell r="D216">
            <v>3466859</v>
          </cell>
          <cell r="F216">
            <v>80</v>
          </cell>
          <cell r="G216">
            <v>-12.477772</v>
          </cell>
          <cell r="H216">
            <v>-48.124668</v>
          </cell>
        </row>
        <row r="217">
          <cell r="D217">
            <v>3466741</v>
          </cell>
          <cell r="F217">
            <v>80</v>
          </cell>
          <cell r="G217">
            <v>-12.486492</v>
          </cell>
          <cell r="H217">
            <v>-48.151127000000002</v>
          </cell>
        </row>
        <row r="218">
          <cell r="D218">
            <v>3466121</v>
          </cell>
          <cell r="F218">
            <v>80</v>
          </cell>
          <cell r="G218">
            <v>-12.395507</v>
          </cell>
          <cell r="H218">
            <v>-47.919023000000003</v>
          </cell>
        </row>
        <row r="219">
          <cell r="D219">
            <v>3466967</v>
          </cell>
          <cell r="F219">
            <v>80</v>
          </cell>
          <cell r="G219">
            <v>-12.398683</v>
          </cell>
          <cell r="H219">
            <v>-47.897922000000001</v>
          </cell>
        </row>
        <row r="220">
          <cell r="D220">
            <v>3466124</v>
          </cell>
          <cell r="F220">
            <v>80</v>
          </cell>
          <cell r="G220">
            <v>-12.663038</v>
          </cell>
          <cell r="H220">
            <v>-47.391868000000002</v>
          </cell>
        </row>
        <row r="221">
          <cell r="D221">
            <v>3462368</v>
          </cell>
          <cell r="F221">
            <v>80</v>
          </cell>
          <cell r="G221">
            <v>-12.336717</v>
          </cell>
          <cell r="H221">
            <v>-48.181638</v>
          </cell>
        </row>
        <row r="222">
          <cell r="D222">
            <v>3465691</v>
          </cell>
          <cell r="F222">
            <v>80</v>
          </cell>
          <cell r="G222">
            <v>-12.661802</v>
          </cell>
          <cell r="H222">
            <v>-47.381329999999998</v>
          </cell>
        </row>
        <row r="223">
          <cell r="D223">
            <v>3464193</v>
          </cell>
          <cell r="F223">
            <v>80</v>
          </cell>
          <cell r="G223">
            <v>-12.488853000000001</v>
          </cell>
          <cell r="H223">
            <v>-48.117212000000002</v>
          </cell>
        </row>
        <row r="224">
          <cell r="D224">
            <v>3468085</v>
          </cell>
          <cell r="F224">
            <v>160</v>
          </cell>
          <cell r="G224">
            <v>-6.2578719999999999</v>
          </cell>
          <cell r="H224">
            <v>-47.571891999999998</v>
          </cell>
        </row>
        <row r="225">
          <cell r="D225">
            <v>3467993</v>
          </cell>
          <cell r="F225">
            <v>160</v>
          </cell>
          <cell r="G225">
            <v>-6.0366020000000002</v>
          </cell>
          <cell r="H225">
            <v>-47.857222999999998</v>
          </cell>
        </row>
        <row r="226">
          <cell r="D226">
            <v>3468607</v>
          </cell>
          <cell r="F226">
            <v>160</v>
          </cell>
          <cell r="G226">
            <v>-6.0184319999999998</v>
          </cell>
          <cell r="H226">
            <v>-47.804993000000003</v>
          </cell>
        </row>
        <row r="227">
          <cell r="D227">
            <v>3467394</v>
          </cell>
          <cell r="F227">
            <v>160</v>
          </cell>
          <cell r="G227">
            <v>-8.4776849999999992</v>
          </cell>
          <cell r="H227">
            <v>-46.904307000000003</v>
          </cell>
        </row>
        <row r="228">
          <cell r="D228">
            <v>3466549</v>
          </cell>
          <cell r="F228">
            <v>80</v>
          </cell>
          <cell r="G228">
            <v>-13.091058</v>
          </cell>
          <cell r="H228">
            <v>-47.657127000000003</v>
          </cell>
        </row>
        <row r="229">
          <cell r="D229">
            <v>3467610</v>
          </cell>
          <cell r="F229">
            <v>80</v>
          </cell>
          <cell r="G229">
            <v>-8.3634850000000007</v>
          </cell>
          <cell r="H229">
            <v>-46.823653</v>
          </cell>
        </row>
        <row r="230">
          <cell r="D230">
            <v>3467218</v>
          </cell>
          <cell r="F230">
            <v>80</v>
          </cell>
          <cell r="G230">
            <v>-12.987048</v>
          </cell>
          <cell r="H230">
            <v>-47.773347999999999</v>
          </cell>
        </row>
        <row r="231">
          <cell r="D231">
            <v>3467219</v>
          </cell>
          <cell r="F231">
            <v>80</v>
          </cell>
          <cell r="G231">
            <v>-12.764913</v>
          </cell>
          <cell r="H231">
            <v>-47.405475000000003</v>
          </cell>
        </row>
        <row r="232">
          <cell r="D232">
            <v>3466734</v>
          </cell>
          <cell r="F232">
            <v>80</v>
          </cell>
          <cell r="G232">
            <v>-12.622353</v>
          </cell>
          <cell r="H232">
            <v>-47.33276</v>
          </cell>
        </row>
        <row r="233">
          <cell r="D233">
            <v>3466167</v>
          </cell>
          <cell r="F233">
            <v>80</v>
          </cell>
          <cell r="G233">
            <v>-12.378947</v>
          </cell>
          <cell r="H233">
            <v>-48.138917999999997</v>
          </cell>
        </row>
        <row r="234">
          <cell r="D234">
            <v>3464005</v>
          </cell>
          <cell r="F234">
            <v>80</v>
          </cell>
          <cell r="G234">
            <v>-12.661391999999999</v>
          </cell>
          <cell r="H234">
            <v>-47.380924999999998</v>
          </cell>
        </row>
        <row r="235">
          <cell r="D235">
            <v>3464092</v>
          </cell>
          <cell r="F235">
            <v>80</v>
          </cell>
          <cell r="G235">
            <v>-12.59488</v>
          </cell>
          <cell r="H235">
            <v>-47.430872999999998</v>
          </cell>
        </row>
        <row r="236">
          <cell r="D236">
            <v>3466722</v>
          </cell>
          <cell r="F236">
            <v>80</v>
          </cell>
          <cell r="G236">
            <v>-12.909477000000001</v>
          </cell>
          <cell r="H236">
            <v>-47.407792000000001</v>
          </cell>
        </row>
        <row r="237">
          <cell r="D237">
            <v>3466777</v>
          </cell>
          <cell r="F237">
            <v>80</v>
          </cell>
          <cell r="G237">
            <v>-12.392538</v>
          </cell>
          <cell r="H237">
            <v>-47.887058000000003</v>
          </cell>
        </row>
        <row r="238">
          <cell r="D238">
            <v>3466966</v>
          </cell>
          <cell r="F238">
            <v>80</v>
          </cell>
          <cell r="G238">
            <v>-12.700873</v>
          </cell>
          <cell r="H238">
            <v>-47.407473000000003</v>
          </cell>
        </row>
        <row r="239">
          <cell r="D239">
            <v>3464004</v>
          </cell>
          <cell r="F239">
            <v>80</v>
          </cell>
          <cell r="G239">
            <v>-12.700708000000001</v>
          </cell>
          <cell r="H239">
            <v>-47.407873000000002</v>
          </cell>
        </row>
        <row r="240">
          <cell r="D240">
            <v>3467182</v>
          </cell>
          <cell r="F240">
            <v>80</v>
          </cell>
          <cell r="G240">
            <v>-12.884347</v>
          </cell>
          <cell r="H240">
            <v>-47.504112999999997</v>
          </cell>
        </row>
        <row r="241">
          <cell r="D241">
            <v>3466735</v>
          </cell>
          <cell r="F241">
            <v>80</v>
          </cell>
          <cell r="G241">
            <v>-11.792977</v>
          </cell>
          <cell r="H241">
            <v>-46.397263000000002</v>
          </cell>
        </row>
        <row r="242">
          <cell r="D242">
            <v>3466498</v>
          </cell>
          <cell r="F242">
            <v>80</v>
          </cell>
          <cell r="G242">
            <v>-11.890832</v>
          </cell>
          <cell r="H242">
            <v>-46.422016999999997</v>
          </cell>
        </row>
        <row r="243">
          <cell r="D243">
            <v>3464270</v>
          </cell>
          <cell r="F243">
            <v>80</v>
          </cell>
          <cell r="G243">
            <v>-12.136687999999999</v>
          </cell>
          <cell r="H243">
            <v>-46.746023000000001</v>
          </cell>
        </row>
        <row r="244">
          <cell r="D244">
            <v>3459762</v>
          </cell>
          <cell r="F244">
            <v>80</v>
          </cell>
          <cell r="G244">
            <v>-5.8596620000000001</v>
          </cell>
          <cell r="H244">
            <v>-48.107534999999999</v>
          </cell>
        </row>
        <row r="245">
          <cell r="D245">
            <v>3467245</v>
          </cell>
          <cell r="F245">
            <v>80</v>
          </cell>
          <cell r="G245">
            <v>-13.268815</v>
          </cell>
          <cell r="H245">
            <v>-48.586042999999997</v>
          </cell>
        </row>
        <row r="246">
          <cell r="D246">
            <v>3466726</v>
          </cell>
          <cell r="F246">
            <v>80</v>
          </cell>
          <cell r="G246">
            <v>-10.807563</v>
          </cell>
          <cell r="H246">
            <v>-47.737107999999999</v>
          </cell>
        </row>
        <row r="247">
          <cell r="D247">
            <v>3466660</v>
          </cell>
          <cell r="F247">
            <v>80</v>
          </cell>
          <cell r="G247">
            <v>-10.993237000000001</v>
          </cell>
          <cell r="H247">
            <v>-47.159185000000001</v>
          </cell>
        </row>
        <row r="248">
          <cell r="D248">
            <v>3466551</v>
          </cell>
          <cell r="F248">
            <v>80</v>
          </cell>
          <cell r="G248">
            <v>-5.8622670000000001</v>
          </cell>
          <cell r="H248">
            <v>-48.111021999999998</v>
          </cell>
        </row>
        <row r="249">
          <cell r="D249">
            <v>3466172</v>
          </cell>
          <cell r="F249">
            <v>80</v>
          </cell>
          <cell r="G249">
            <v>-11.478218</v>
          </cell>
          <cell r="H249">
            <v>-47.409377999999997</v>
          </cell>
        </row>
        <row r="250">
          <cell r="D250">
            <v>3466171</v>
          </cell>
          <cell r="F250">
            <v>80</v>
          </cell>
          <cell r="G250">
            <v>-11.48302</v>
          </cell>
          <cell r="H250">
            <v>-47.434804999999997</v>
          </cell>
        </row>
        <row r="251">
          <cell r="D251">
            <v>3467056</v>
          </cell>
          <cell r="F251">
            <v>80</v>
          </cell>
          <cell r="G251">
            <v>-11.462440000000001</v>
          </cell>
          <cell r="H251">
            <v>-47.412421999999999</v>
          </cell>
        </row>
        <row r="252">
          <cell r="D252">
            <v>3466848</v>
          </cell>
          <cell r="F252">
            <v>80</v>
          </cell>
          <cell r="G252">
            <v>-12.478725000000001</v>
          </cell>
          <cell r="H252">
            <v>-48.103177000000002</v>
          </cell>
        </row>
        <row r="253">
          <cell r="D253">
            <v>3467108</v>
          </cell>
          <cell r="F253">
            <v>80</v>
          </cell>
          <cell r="G253">
            <v>-9.9761729999999993</v>
          </cell>
          <cell r="H253">
            <v>-46.969562000000003</v>
          </cell>
        </row>
        <row r="254">
          <cell r="D254">
            <v>3466707</v>
          </cell>
          <cell r="F254">
            <v>80</v>
          </cell>
          <cell r="G254">
            <v>-9.9736820000000002</v>
          </cell>
          <cell r="H254">
            <v>-46.956851999999998</v>
          </cell>
        </row>
        <row r="255">
          <cell r="D255">
            <v>3467082</v>
          </cell>
          <cell r="F255">
            <v>80</v>
          </cell>
          <cell r="G255">
            <v>-9.8008120000000005</v>
          </cell>
          <cell r="H255">
            <v>-46.855114999999998</v>
          </cell>
        </row>
        <row r="256">
          <cell r="D256">
            <v>3466423</v>
          </cell>
          <cell r="F256">
            <v>80</v>
          </cell>
          <cell r="G256">
            <v>-9.9108920000000005</v>
          </cell>
          <cell r="H256">
            <v>-47.088132000000002</v>
          </cell>
        </row>
        <row r="257">
          <cell r="D257">
            <v>3465683</v>
          </cell>
          <cell r="F257">
            <v>80</v>
          </cell>
          <cell r="G257">
            <v>-9.9763830000000002</v>
          </cell>
          <cell r="H257">
            <v>-46.969790000000003</v>
          </cell>
        </row>
        <row r="258">
          <cell r="D258">
            <v>3465679</v>
          </cell>
          <cell r="F258">
            <v>80</v>
          </cell>
          <cell r="G258">
            <v>-9.9874749999999999</v>
          </cell>
          <cell r="H258">
            <v>-46.960487999999998</v>
          </cell>
        </row>
        <row r="259">
          <cell r="D259">
            <v>3465675</v>
          </cell>
          <cell r="F259">
            <v>80</v>
          </cell>
          <cell r="G259">
            <v>-9.9882369999999998</v>
          </cell>
          <cell r="H259">
            <v>-46.958942999999998</v>
          </cell>
        </row>
        <row r="260">
          <cell r="D260">
            <v>3467075</v>
          </cell>
          <cell r="F260">
            <v>80</v>
          </cell>
          <cell r="G260">
            <v>-9.9336479999999998</v>
          </cell>
          <cell r="H260">
            <v>-47.050246999999999</v>
          </cell>
        </row>
        <row r="261">
          <cell r="D261">
            <v>3466173</v>
          </cell>
          <cell r="F261">
            <v>80</v>
          </cell>
          <cell r="G261">
            <v>-9.9104229999999998</v>
          </cell>
          <cell r="H261">
            <v>-47.08905</v>
          </cell>
        </row>
        <row r="262">
          <cell r="D262">
            <v>3465670</v>
          </cell>
          <cell r="F262">
            <v>80</v>
          </cell>
          <cell r="G262">
            <v>-9.6602650000000008</v>
          </cell>
          <cell r="H262">
            <v>-46.853267000000002</v>
          </cell>
        </row>
        <row r="263">
          <cell r="D263">
            <v>3466113</v>
          </cell>
          <cell r="F263">
            <v>80</v>
          </cell>
          <cell r="G263">
            <v>-9.8788429999999998</v>
          </cell>
          <cell r="H263">
            <v>-46.897548</v>
          </cell>
        </row>
        <row r="264">
          <cell r="D264">
            <v>3465695</v>
          </cell>
          <cell r="F264">
            <v>80</v>
          </cell>
          <cell r="G264">
            <v>-9.8606280000000002</v>
          </cell>
          <cell r="H264">
            <v>-46.936169999999997</v>
          </cell>
        </row>
        <row r="265">
          <cell r="D265">
            <v>3467078</v>
          </cell>
          <cell r="F265">
            <v>80</v>
          </cell>
          <cell r="G265">
            <v>-9.9746319999999997</v>
          </cell>
          <cell r="H265">
            <v>-46.958213000000001</v>
          </cell>
        </row>
        <row r="266">
          <cell r="D266">
            <v>3466775</v>
          </cell>
          <cell r="F266">
            <v>80</v>
          </cell>
          <cell r="G266">
            <v>-9.8367950000000004</v>
          </cell>
          <cell r="H266">
            <v>-46.903098</v>
          </cell>
        </row>
        <row r="267">
          <cell r="D267">
            <v>3467173</v>
          </cell>
          <cell r="F267">
            <v>80</v>
          </cell>
          <cell r="G267">
            <v>-9.9641420000000007</v>
          </cell>
          <cell r="H267">
            <v>-46.941581999999997</v>
          </cell>
        </row>
        <row r="268">
          <cell r="D268">
            <v>3466704</v>
          </cell>
          <cell r="F268">
            <v>80</v>
          </cell>
          <cell r="G268">
            <v>-9.7164029999999997</v>
          </cell>
          <cell r="H268">
            <v>-46.853414999999998</v>
          </cell>
        </row>
        <row r="269">
          <cell r="D269">
            <v>3467248</v>
          </cell>
          <cell r="F269">
            <v>80</v>
          </cell>
          <cell r="G269">
            <v>-9.7169720000000002</v>
          </cell>
          <cell r="H269">
            <v>-46.850977</v>
          </cell>
        </row>
        <row r="270">
          <cell r="D270">
            <v>3467064</v>
          </cell>
          <cell r="F270">
            <v>80</v>
          </cell>
          <cell r="G270">
            <v>-9.8040070000000004</v>
          </cell>
          <cell r="H270">
            <v>-46.861187999999999</v>
          </cell>
        </row>
        <row r="271">
          <cell r="D271">
            <v>3467223</v>
          </cell>
          <cell r="F271">
            <v>80</v>
          </cell>
          <cell r="G271">
            <v>-9.8716000000000008</v>
          </cell>
          <cell r="H271">
            <v>-46.985875</v>
          </cell>
        </row>
        <row r="272">
          <cell r="D272">
            <v>3465684</v>
          </cell>
          <cell r="F272">
            <v>80</v>
          </cell>
          <cell r="G272">
            <v>-9.9227729999999994</v>
          </cell>
          <cell r="H272">
            <v>-46.930177</v>
          </cell>
        </row>
        <row r="273">
          <cell r="D273">
            <v>3466000</v>
          </cell>
          <cell r="F273">
            <v>80</v>
          </cell>
          <cell r="G273">
            <v>-9.8488930000000003</v>
          </cell>
          <cell r="H273">
            <v>-47.006945000000002</v>
          </cell>
        </row>
        <row r="274">
          <cell r="D274">
            <v>3466729</v>
          </cell>
          <cell r="F274">
            <v>80</v>
          </cell>
          <cell r="G274">
            <v>-9.8638600000000007</v>
          </cell>
          <cell r="H274">
            <v>-46.999478000000003</v>
          </cell>
        </row>
        <row r="275">
          <cell r="D275">
            <v>3466959</v>
          </cell>
          <cell r="F275">
            <v>80</v>
          </cell>
          <cell r="G275">
            <v>-9.8484999999999996</v>
          </cell>
          <cell r="H275">
            <v>-47.004775000000002</v>
          </cell>
        </row>
        <row r="276">
          <cell r="D276">
            <v>3466962</v>
          </cell>
          <cell r="F276">
            <v>80</v>
          </cell>
          <cell r="G276">
            <v>-9.8231999999999999</v>
          </cell>
          <cell r="H276">
            <v>-46.838990000000003</v>
          </cell>
        </row>
        <row r="277">
          <cell r="D277">
            <v>3466720</v>
          </cell>
          <cell r="F277">
            <v>80</v>
          </cell>
          <cell r="G277">
            <v>-9.8238830000000004</v>
          </cell>
          <cell r="H277">
            <v>-46.845146999999997</v>
          </cell>
        </row>
        <row r="278">
          <cell r="D278">
            <v>3466731</v>
          </cell>
          <cell r="F278">
            <v>80</v>
          </cell>
          <cell r="G278">
            <v>-9.8449179999999998</v>
          </cell>
          <cell r="H278">
            <v>-46.831097999999997</v>
          </cell>
        </row>
        <row r="279">
          <cell r="D279">
            <v>3466844</v>
          </cell>
          <cell r="F279">
            <v>80</v>
          </cell>
          <cell r="G279">
            <v>-9.8280270000000005</v>
          </cell>
          <cell r="H279">
            <v>-46.835079999999998</v>
          </cell>
        </row>
        <row r="280">
          <cell r="D280">
            <v>3466045</v>
          </cell>
          <cell r="F280">
            <v>80</v>
          </cell>
          <cell r="G280">
            <v>-9.8385370000000005</v>
          </cell>
          <cell r="H280">
            <v>-46.830517999999998</v>
          </cell>
        </row>
        <row r="281">
          <cell r="D281">
            <v>3466044</v>
          </cell>
          <cell r="F281">
            <v>80</v>
          </cell>
          <cell r="G281">
            <v>-9.8282380000000007</v>
          </cell>
          <cell r="H281">
            <v>-46.830807999999998</v>
          </cell>
        </row>
        <row r="282">
          <cell r="D282">
            <v>3466705</v>
          </cell>
          <cell r="F282">
            <v>80</v>
          </cell>
          <cell r="G282">
            <v>-9.8308319999999991</v>
          </cell>
          <cell r="H282">
            <v>-46.829839999999997</v>
          </cell>
        </row>
        <row r="283">
          <cell r="D283">
            <v>3467222</v>
          </cell>
          <cell r="F283">
            <v>80</v>
          </cell>
          <cell r="G283">
            <v>-9.834638</v>
          </cell>
          <cell r="H283">
            <v>-46.829867</v>
          </cell>
        </row>
        <row r="284">
          <cell r="D284">
            <v>3467177</v>
          </cell>
          <cell r="F284">
            <v>80</v>
          </cell>
          <cell r="G284">
            <v>-9.9419679999999993</v>
          </cell>
          <cell r="H284">
            <v>-47.015794999999997</v>
          </cell>
        </row>
        <row r="285">
          <cell r="D285">
            <v>3466728</v>
          </cell>
          <cell r="F285">
            <v>80</v>
          </cell>
          <cell r="G285">
            <v>-9.9481249999999992</v>
          </cell>
          <cell r="H285">
            <v>-46.945642999999997</v>
          </cell>
        </row>
        <row r="286">
          <cell r="D286">
            <v>3467246</v>
          </cell>
          <cell r="F286">
            <v>80</v>
          </cell>
          <cell r="G286">
            <v>-9.8813150000000007</v>
          </cell>
          <cell r="H286">
            <v>-46.913598</v>
          </cell>
        </row>
        <row r="287">
          <cell r="D287">
            <v>3466982</v>
          </cell>
          <cell r="F287">
            <v>80</v>
          </cell>
          <cell r="G287">
            <v>-9.8815270000000002</v>
          </cell>
          <cell r="H287">
            <v>-46.916719999999998</v>
          </cell>
        </row>
        <row r="288">
          <cell r="D288">
            <v>3465685</v>
          </cell>
          <cell r="F288">
            <v>80</v>
          </cell>
          <cell r="G288">
            <v>-9.8781199999999991</v>
          </cell>
          <cell r="H288">
            <v>-46.884214999999998</v>
          </cell>
        </row>
        <row r="289">
          <cell r="D289">
            <v>3465686</v>
          </cell>
          <cell r="F289">
            <v>80</v>
          </cell>
          <cell r="G289">
            <v>-9.8730080000000005</v>
          </cell>
          <cell r="H289">
            <v>-46.884031999999998</v>
          </cell>
        </row>
        <row r="290">
          <cell r="D290">
            <v>3466469</v>
          </cell>
          <cell r="F290">
            <v>80</v>
          </cell>
          <cell r="G290">
            <v>-9.8724179999999997</v>
          </cell>
          <cell r="H290">
            <v>-46.884324999999997</v>
          </cell>
        </row>
        <row r="291">
          <cell r="D291">
            <v>3466953</v>
          </cell>
          <cell r="F291">
            <v>80</v>
          </cell>
          <cell r="G291">
            <v>-9.8241770000000006</v>
          </cell>
          <cell r="H291">
            <v>-46.863847</v>
          </cell>
        </row>
        <row r="292">
          <cell r="D292">
            <v>3467054</v>
          </cell>
          <cell r="F292">
            <v>80</v>
          </cell>
          <cell r="G292">
            <v>-9.8252880000000005</v>
          </cell>
          <cell r="H292">
            <v>-46.916718000000003</v>
          </cell>
        </row>
        <row r="293">
          <cell r="D293">
            <v>3466663</v>
          </cell>
          <cell r="F293">
            <v>80</v>
          </cell>
          <cell r="G293">
            <v>-9.8255049999999997</v>
          </cell>
          <cell r="H293">
            <v>-46.919494999999998</v>
          </cell>
        </row>
        <row r="294">
          <cell r="D294">
            <v>3466952</v>
          </cell>
          <cell r="F294">
            <v>80</v>
          </cell>
          <cell r="G294">
            <v>-9.8266299999999998</v>
          </cell>
          <cell r="H294">
            <v>-46.920403</v>
          </cell>
        </row>
        <row r="295">
          <cell r="D295">
            <v>3466482</v>
          </cell>
          <cell r="F295">
            <v>80</v>
          </cell>
          <cell r="G295">
            <v>-9.8436369999999993</v>
          </cell>
          <cell r="H295">
            <v>-46.882803000000003</v>
          </cell>
        </row>
        <row r="296">
          <cell r="D296">
            <v>3467051</v>
          </cell>
          <cell r="F296">
            <v>80</v>
          </cell>
          <cell r="G296">
            <v>-9.8533279999999994</v>
          </cell>
          <cell r="H296">
            <v>-46.870187999999999</v>
          </cell>
        </row>
        <row r="297">
          <cell r="D297">
            <v>3467110</v>
          </cell>
          <cell r="F297">
            <v>80</v>
          </cell>
          <cell r="G297">
            <v>-9.8550649999999997</v>
          </cell>
          <cell r="H297">
            <v>-46.870274999999999</v>
          </cell>
        </row>
        <row r="298">
          <cell r="D298">
            <v>3466648</v>
          </cell>
          <cell r="F298">
            <v>80</v>
          </cell>
          <cell r="G298">
            <v>-9.8718419999999991</v>
          </cell>
          <cell r="H298">
            <v>-46.872723000000001</v>
          </cell>
        </row>
        <row r="299">
          <cell r="D299">
            <v>3467118</v>
          </cell>
          <cell r="F299">
            <v>80</v>
          </cell>
          <cell r="G299">
            <v>-9.866517</v>
          </cell>
          <cell r="H299">
            <v>-46.887946999999997</v>
          </cell>
        </row>
        <row r="300">
          <cell r="D300">
            <v>3469637</v>
          </cell>
          <cell r="F300">
            <v>80</v>
          </cell>
          <cell r="G300">
            <v>-9.8667730000000002</v>
          </cell>
          <cell r="H300">
            <v>-46.890453000000001</v>
          </cell>
        </row>
        <row r="301">
          <cell r="D301">
            <v>3466559</v>
          </cell>
          <cell r="F301">
            <v>80</v>
          </cell>
          <cell r="G301">
            <v>-9.8712769999999992</v>
          </cell>
          <cell r="H301">
            <v>-46.887185000000002</v>
          </cell>
        </row>
        <row r="302">
          <cell r="D302">
            <v>3467224</v>
          </cell>
          <cell r="F302">
            <v>80</v>
          </cell>
          <cell r="G302">
            <v>-9.8800519999999992</v>
          </cell>
          <cell r="H302">
            <v>-46.885902999999999</v>
          </cell>
        </row>
        <row r="303">
          <cell r="D303">
            <v>3463153</v>
          </cell>
          <cell r="F303">
            <v>80</v>
          </cell>
          <cell r="G303">
            <v>-9.6556800000000003</v>
          </cell>
          <cell r="H303">
            <v>-46.844332000000001</v>
          </cell>
        </row>
        <row r="304">
          <cell r="D304">
            <v>3467048</v>
          </cell>
          <cell r="F304">
            <v>80</v>
          </cell>
          <cell r="G304">
            <v>-9.8689400000000003</v>
          </cell>
          <cell r="H304">
            <v>-46.885283000000001</v>
          </cell>
        </row>
        <row r="305">
          <cell r="D305">
            <v>3465557</v>
          </cell>
          <cell r="F305">
            <v>80</v>
          </cell>
          <cell r="G305">
            <v>-9.9202919999999999</v>
          </cell>
          <cell r="H305">
            <v>-47.040819999999997</v>
          </cell>
        </row>
        <row r="306">
          <cell r="D306">
            <v>3466157</v>
          </cell>
          <cell r="F306">
            <v>80</v>
          </cell>
          <cell r="G306">
            <v>-9.9001149999999996</v>
          </cell>
          <cell r="H306">
            <v>-47.049218000000003</v>
          </cell>
        </row>
        <row r="307">
          <cell r="D307">
            <v>3467250</v>
          </cell>
          <cell r="F307">
            <v>80</v>
          </cell>
          <cell r="G307">
            <v>-9.8880750000000006</v>
          </cell>
          <cell r="H307">
            <v>-47.043872</v>
          </cell>
        </row>
        <row r="308">
          <cell r="D308">
            <v>3466111</v>
          </cell>
          <cell r="F308">
            <v>80</v>
          </cell>
          <cell r="G308">
            <v>-9.8640950000000007</v>
          </cell>
          <cell r="H308">
            <v>-47.162292999999998</v>
          </cell>
        </row>
        <row r="309">
          <cell r="D309">
            <v>3465676</v>
          </cell>
          <cell r="F309">
            <v>80</v>
          </cell>
          <cell r="G309">
            <v>-9.9880630000000004</v>
          </cell>
          <cell r="H309">
            <v>-46.95429</v>
          </cell>
        </row>
        <row r="310">
          <cell r="D310">
            <v>3466118</v>
          </cell>
          <cell r="F310">
            <v>80</v>
          </cell>
          <cell r="G310">
            <v>-9.956035</v>
          </cell>
          <cell r="H310">
            <v>-46.939566999999997</v>
          </cell>
        </row>
        <row r="311">
          <cell r="D311">
            <v>3466117</v>
          </cell>
          <cell r="F311">
            <v>80</v>
          </cell>
          <cell r="G311">
            <v>-9.9596119999999999</v>
          </cell>
          <cell r="H311">
            <v>-46.939100000000003</v>
          </cell>
        </row>
        <row r="312">
          <cell r="D312">
            <v>3466107</v>
          </cell>
          <cell r="F312">
            <v>80</v>
          </cell>
          <cell r="G312">
            <v>-9.9365670000000001</v>
          </cell>
          <cell r="H312">
            <v>-46.956429999999997</v>
          </cell>
        </row>
        <row r="313">
          <cell r="D313">
            <v>3467613</v>
          </cell>
          <cell r="F313">
            <v>80</v>
          </cell>
          <cell r="G313">
            <v>-9.8761369999999999</v>
          </cell>
          <cell r="H313">
            <v>-46.745440000000002</v>
          </cell>
        </row>
        <row r="314">
          <cell r="D314">
            <v>3465682</v>
          </cell>
          <cell r="F314">
            <v>80</v>
          </cell>
          <cell r="G314">
            <v>-9.9707849999999993</v>
          </cell>
          <cell r="H314">
            <v>-46.812967999999998</v>
          </cell>
        </row>
        <row r="315">
          <cell r="D315">
            <v>3466120</v>
          </cell>
          <cell r="F315">
            <v>80</v>
          </cell>
          <cell r="G315">
            <v>-9.9217069999999996</v>
          </cell>
          <cell r="H315">
            <v>-46.734990000000003</v>
          </cell>
        </row>
        <row r="316">
          <cell r="D316">
            <v>3467609</v>
          </cell>
          <cell r="F316">
            <v>80</v>
          </cell>
          <cell r="G316">
            <v>-10.042355000000001</v>
          </cell>
          <cell r="H316">
            <v>-48.276260000000001</v>
          </cell>
        </row>
        <row r="317">
          <cell r="D317">
            <v>3466169</v>
          </cell>
          <cell r="F317">
            <v>80</v>
          </cell>
          <cell r="G317">
            <v>-8.9074050000000007</v>
          </cell>
          <cell r="H317">
            <v>-47.378976999999999</v>
          </cell>
        </row>
        <row r="318">
          <cell r="D318">
            <v>3466166</v>
          </cell>
          <cell r="F318">
            <v>80</v>
          </cell>
          <cell r="G318">
            <v>-9.1522670000000002</v>
          </cell>
          <cell r="H318">
            <v>-47.579120000000003</v>
          </cell>
        </row>
        <row r="319">
          <cell r="D319">
            <v>3466109</v>
          </cell>
          <cell r="F319">
            <v>80</v>
          </cell>
          <cell r="G319">
            <v>-9.1529450000000008</v>
          </cell>
          <cell r="H319">
            <v>-47.576842999999997</v>
          </cell>
        </row>
        <row r="320">
          <cell r="D320">
            <v>3465997</v>
          </cell>
          <cell r="F320">
            <v>80</v>
          </cell>
          <cell r="G320">
            <v>-12.427847</v>
          </cell>
          <cell r="H320">
            <v>-47.864252</v>
          </cell>
        </row>
        <row r="321">
          <cell r="D321">
            <v>3465993</v>
          </cell>
          <cell r="F321">
            <v>80</v>
          </cell>
          <cell r="G321">
            <v>-12.42671</v>
          </cell>
          <cell r="H321">
            <v>-47.865538000000001</v>
          </cell>
        </row>
        <row r="322">
          <cell r="D322">
            <v>3465921</v>
          </cell>
          <cell r="F322">
            <v>80</v>
          </cell>
          <cell r="G322">
            <v>-12.388208000000001</v>
          </cell>
          <cell r="H322">
            <v>-47.834162999999997</v>
          </cell>
        </row>
        <row r="323">
          <cell r="D323">
            <v>3466652</v>
          </cell>
          <cell r="F323">
            <v>80</v>
          </cell>
          <cell r="G323">
            <v>-12.388525</v>
          </cell>
          <cell r="H323">
            <v>-47.835192999999997</v>
          </cell>
        </row>
        <row r="324">
          <cell r="D324">
            <v>3466659</v>
          </cell>
          <cell r="F324">
            <v>80</v>
          </cell>
          <cell r="G324">
            <v>-12.386248</v>
          </cell>
          <cell r="H324">
            <v>-47.826537000000002</v>
          </cell>
        </row>
        <row r="325">
          <cell r="D325">
            <v>3467059</v>
          </cell>
          <cell r="F325">
            <v>80</v>
          </cell>
          <cell r="G325">
            <v>-12.362837000000001</v>
          </cell>
          <cell r="H325">
            <v>-47.869565000000001</v>
          </cell>
        </row>
        <row r="326">
          <cell r="D326">
            <v>3464240</v>
          </cell>
          <cell r="F326">
            <v>80</v>
          </cell>
          <cell r="G326">
            <v>-12.196638</v>
          </cell>
          <cell r="H326">
            <v>-50.094884999999998</v>
          </cell>
        </row>
        <row r="327">
          <cell r="D327">
            <v>3466845</v>
          </cell>
          <cell r="F327">
            <v>80</v>
          </cell>
          <cell r="G327">
            <v>-12.368321999999999</v>
          </cell>
          <cell r="H327">
            <v>-48.128221000000003</v>
          </cell>
        </row>
        <row r="328">
          <cell r="D328">
            <v>3467576</v>
          </cell>
          <cell r="F328">
            <v>45</v>
          </cell>
          <cell r="G328">
            <v>-11.454803</v>
          </cell>
          <cell r="H328">
            <v>-47.423090000000002</v>
          </cell>
        </row>
        <row r="329">
          <cell r="D329">
            <v>3467514</v>
          </cell>
          <cell r="F329">
            <v>45</v>
          </cell>
          <cell r="G329">
            <v>-11.454148</v>
          </cell>
          <cell r="H329">
            <v>-47.427323000000001</v>
          </cell>
        </row>
        <row r="330">
          <cell r="D330">
            <v>3467510</v>
          </cell>
          <cell r="F330">
            <v>45</v>
          </cell>
          <cell r="G330">
            <v>-11.468282</v>
          </cell>
          <cell r="H330">
            <v>-47.424757999999997</v>
          </cell>
        </row>
        <row r="331">
          <cell r="D331">
            <v>3467571</v>
          </cell>
          <cell r="F331">
            <v>45</v>
          </cell>
          <cell r="G331">
            <v>-11.471537</v>
          </cell>
          <cell r="H331">
            <v>-47.429637999999997</v>
          </cell>
        </row>
        <row r="332">
          <cell r="D332">
            <v>3467566</v>
          </cell>
          <cell r="F332">
            <v>45</v>
          </cell>
          <cell r="G332">
            <v>-11.46715</v>
          </cell>
          <cell r="H332">
            <v>-47.421880000000002</v>
          </cell>
        </row>
        <row r="333">
          <cell r="D333">
            <v>3467520</v>
          </cell>
          <cell r="F333">
            <v>45</v>
          </cell>
          <cell r="G333">
            <v>-11.452742000000001</v>
          </cell>
          <cell r="H333">
            <v>-47.427636</v>
          </cell>
        </row>
        <row r="334">
          <cell r="D334">
            <v>3468366</v>
          </cell>
          <cell r="F334">
            <v>45</v>
          </cell>
          <cell r="G334">
            <v>-6.0182880000000001</v>
          </cell>
          <cell r="H334">
            <v>-47.805022000000001</v>
          </cell>
        </row>
        <row r="335">
          <cell r="D335">
            <v>3468368</v>
          </cell>
          <cell r="F335">
            <v>45</v>
          </cell>
          <cell r="G335">
            <v>-6.0114080000000003</v>
          </cell>
          <cell r="H335">
            <v>-47.755406999999998</v>
          </cell>
        </row>
        <row r="336">
          <cell r="D336">
            <v>3468187</v>
          </cell>
          <cell r="F336">
            <v>45</v>
          </cell>
          <cell r="G336">
            <v>-6.257155</v>
          </cell>
          <cell r="H336">
            <v>-47.570611</v>
          </cell>
        </row>
        <row r="337">
          <cell r="D337">
            <v>3470588</v>
          </cell>
          <cell r="F337">
            <v>45</v>
          </cell>
          <cell r="G337">
            <v>-6.0437630000000002</v>
          </cell>
          <cell r="H337">
            <v>-47.767924999999998</v>
          </cell>
        </row>
        <row r="338">
          <cell r="D338">
            <v>3468416</v>
          </cell>
          <cell r="F338">
            <v>45</v>
          </cell>
          <cell r="G338" t="str">
            <v xml:space="preserve">-6,035947_x000D_
</v>
          </cell>
          <cell r="H338">
            <v>-47.857773000000002</v>
          </cell>
        </row>
        <row r="339">
          <cell r="D339">
            <v>3468192</v>
          </cell>
          <cell r="F339">
            <v>45</v>
          </cell>
          <cell r="G339">
            <v>-6.2556320000000003</v>
          </cell>
          <cell r="H339">
            <v>-47.580987</v>
          </cell>
        </row>
        <row r="340">
          <cell r="D340">
            <v>3468372</v>
          </cell>
          <cell r="F340">
            <v>45</v>
          </cell>
          <cell r="G340">
            <v>-6.2375319999999999</v>
          </cell>
          <cell r="H340">
            <v>-47.540143</v>
          </cell>
        </row>
        <row r="341">
          <cell r="D341">
            <v>3468369</v>
          </cell>
          <cell r="F341">
            <v>45</v>
          </cell>
          <cell r="G341">
            <v>-6.2453570000000003</v>
          </cell>
          <cell r="H341" t="str">
            <v xml:space="preserve">-47,547140_x000D_
</v>
          </cell>
        </row>
        <row r="342">
          <cell r="D342">
            <v>3468186</v>
          </cell>
          <cell r="F342">
            <v>45</v>
          </cell>
          <cell r="G342" t="str">
            <v xml:space="preserve">-6,257885_x000D_
</v>
          </cell>
          <cell r="H342">
            <v>-47.571002</v>
          </cell>
        </row>
        <row r="343">
          <cell r="D343">
            <v>3468641</v>
          </cell>
          <cell r="F343">
            <v>45</v>
          </cell>
          <cell r="G343">
            <v>-6.0184819999999997</v>
          </cell>
          <cell r="H343">
            <v>-47.804032999999997</v>
          </cell>
        </row>
        <row r="344">
          <cell r="D344">
            <v>3468199</v>
          </cell>
          <cell r="F344">
            <v>45</v>
          </cell>
          <cell r="G344">
            <v>-6.0189149999999998</v>
          </cell>
          <cell r="H344" t="str">
            <v xml:space="preserve">-47,80497_x000D_
</v>
          </cell>
        </row>
        <row r="345">
          <cell r="D345">
            <v>3468630</v>
          </cell>
          <cell r="F345">
            <v>45</v>
          </cell>
          <cell r="G345">
            <v>-6.0188370000000004</v>
          </cell>
          <cell r="H345">
            <v>-47.804927999999997</v>
          </cell>
        </row>
        <row r="346">
          <cell r="D346">
            <v>3468584</v>
          </cell>
          <cell r="F346">
            <v>45</v>
          </cell>
          <cell r="G346">
            <v>-6.2203580000000001</v>
          </cell>
          <cell r="H346">
            <v>-47.675705000000001</v>
          </cell>
        </row>
        <row r="347">
          <cell r="D347">
            <v>3468323</v>
          </cell>
          <cell r="F347">
            <v>45</v>
          </cell>
          <cell r="G347">
            <v>-6.019247</v>
          </cell>
          <cell r="H347">
            <v>-47.804319999999997</v>
          </cell>
        </row>
        <row r="348">
          <cell r="D348">
            <v>3468381</v>
          </cell>
          <cell r="F348">
            <v>45</v>
          </cell>
          <cell r="G348">
            <v>-6.166372</v>
          </cell>
          <cell r="H348">
            <v>-47.507537999999997</v>
          </cell>
        </row>
        <row r="349">
          <cell r="D349">
            <v>3468322</v>
          </cell>
          <cell r="F349">
            <v>45</v>
          </cell>
          <cell r="G349">
            <v>-6.0193370000000002</v>
          </cell>
          <cell r="H349">
            <v>-47.80489</v>
          </cell>
        </row>
        <row r="350">
          <cell r="D350">
            <v>3468632</v>
          </cell>
          <cell r="F350">
            <v>45</v>
          </cell>
          <cell r="G350">
            <v>-6.0193029999999998</v>
          </cell>
          <cell r="H350">
            <v>-47.803708</v>
          </cell>
        </row>
        <row r="351">
          <cell r="D351">
            <v>3468585</v>
          </cell>
          <cell r="F351">
            <v>45</v>
          </cell>
          <cell r="G351">
            <v>-6.1666369999999997</v>
          </cell>
          <cell r="H351">
            <v>-47.507596999999997</v>
          </cell>
        </row>
        <row r="352">
          <cell r="D352">
            <v>3468384</v>
          </cell>
          <cell r="F352">
            <v>45</v>
          </cell>
          <cell r="G352">
            <v>-6.0435720000000002</v>
          </cell>
          <cell r="H352">
            <v>-47.768676999999997</v>
          </cell>
        </row>
        <row r="353">
          <cell r="D353">
            <v>3468371</v>
          </cell>
          <cell r="F353">
            <v>45</v>
          </cell>
          <cell r="G353">
            <v>-6.2390679999999996</v>
          </cell>
          <cell r="H353">
            <v>-47.539847999999999</v>
          </cell>
        </row>
        <row r="354">
          <cell r="D354">
            <v>3468198</v>
          </cell>
          <cell r="F354">
            <v>45</v>
          </cell>
          <cell r="G354">
            <v>-6.239007</v>
          </cell>
          <cell r="H354">
            <v>-47.540132999999997</v>
          </cell>
        </row>
        <row r="355">
          <cell r="D355">
            <v>3468193</v>
          </cell>
          <cell r="F355">
            <v>45</v>
          </cell>
          <cell r="G355">
            <v>-6.2375429999999996</v>
          </cell>
          <cell r="H355">
            <v>-47.540368000000001</v>
          </cell>
        </row>
        <row r="356">
          <cell r="D356">
            <v>3468202</v>
          </cell>
          <cell r="F356">
            <v>45</v>
          </cell>
          <cell r="G356">
            <v>-6.1071049999999998</v>
          </cell>
          <cell r="H356">
            <v>-47.536087000000002</v>
          </cell>
        </row>
        <row r="357">
          <cell r="D357">
            <v>3468319</v>
          </cell>
          <cell r="F357">
            <v>45</v>
          </cell>
          <cell r="G357">
            <v>-6.1071119999999999</v>
          </cell>
          <cell r="H357">
            <v>-47.536816999999999</v>
          </cell>
        </row>
        <row r="358">
          <cell r="D358">
            <v>3468201</v>
          </cell>
          <cell r="F358">
            <v>45</v>
          </cell>
          <cell r="G358">
            <v>-6.1073029999999999</v>
          </cell>
          <cell r="H358">
            <v>-47.536879999999996</v>
          </cell>
        </row>
        <row r="359">
          <cell r="D359">
            <v>3468196</v>
          </cell>
          <cell r="F359">
            <v>45</v>
          </cell>
          <cell r="G359">
            <v>-6.1077180000000002</v>
          </cell>
          <cell r="H359">
            <v>-47.536340000000003</v>
          </cell>
        </row>
        <row r="360">
          <cell r="D360">
            <v>3468137</v>
          </cell>
          <cell r="F360">
            <v>45</v>
          </cell>
          <cell r="G360">
            <v>-6.0105219999999999</v>
          </cell>
          <cell r="H360">
            <v>-47.757272</v>
          </cell>
        </row>
        <row r="361">
          <cell r="D361">
            <v>3468582</v>
          </cell>
          <cell r="F361">
            <v>45</v>
          </cell>
          <cell r="G361">
            <v>-6.0367980000000001</v>
          </cell>
          <cell r="H361">
            <v>-47.857664999999997</v>
          </cell>
        </row>
        <row r="362">
          <cell r="D362">
            <v>3468472</v>
          </cell>
          <cell r="F362">
            <v>45</v>
          </cell>
          <cell r="G362">
            <v>-6.0365419999999999</v>
          </cell>
          <cell r="H362">
            <v>-47.857967000000002</v>
          </cell>
        </row>
        <row r="363">
          <cell r="D363">
            <v>3468413</v>
          </cell>
          <cell r="F363">
            <v>45</v>
          </cell>
          <cell r="G363">
            <v>-6.0367800000000003</v>
          </cell>
          <cell r="H363">
            <v>-47.856158000000001</v>
          </cell>
        </row>
        <row r="364">
          <cell r="D364">
            <v>3468412</v>
          </cell>
          <cell r="F364">
            <v>45</v>
          </cell>
          <cell r="G364">
            <v>-6.0371620000000004</v>
          </cell>
          <cell r="H364">
            <v>-47.856496999999997</v>
          </cell>
        </row>
        <row r="365">
          <cell r="D365">
            <v>3468414</v>
          </cell>
          <cell r="F365">
            <v>45</v>
          </cell>
          <cell r="G365">
            <v>-6.0362580000000001</v>
          </cell>
          <cell r="H365">
            <v>-47.856262999999998</v>
          </cell>
        </row>
        <row r="366">
          <cell r="D366">
            <v>3468583</v>
          </cell>
          <cell r="F366">
            <v>45</v>
          </cell>
          <cell r="G366">
            <v>-6.0441050000000001</v>
          </cell>
          <cell r="H366">
            <v>-47.767760000000003</v>
          </cell>
        </row>
        <row r="367">
          <cell r="D367">
            <v>3468642</v>
          </cell>
          <cell r="F367">
            <v>45</v>
          </cell>
          <cell r="G367">
            <v>-6.0439829999999999</v>
          </cell>
          <cell r="H367">
            <v>-47.767752000000002</v>
          </cell>
        </row>
        <row r="368">
          <cell r="D368">
            <v>3468383</v>
          </cell>
          <cell r="F368">
            <v>45</v>
          </cell>
          <cell r="G368">
            <v>-6.0436449999999997</v>
          </cell>
          <cell r="H368">
            <v>-47.768062</v>
          </cell>
        </row>
        <row r="369">
          <cell r="D369">
            <v>3468687</v>
          </cell>
          <cell r="F369">
            <v>45</v>
          </cell>
          <cell r="G369">
            <v>-6.0435980000000002</v>
          </cell>
          <cell r="H369">
            <v>-47.768237999999997</v>
          </cell>
        </row>
        <row r="370">
          <cell r="D370">
            <v>3468423</v>
          </cell>
          <cell r="F370">
            <v>45</v>
          </cell>
          <cell r="G370">
            <v>-6.256437</v>
          </cell>
          <cell r="H370">
            <v>-47.580638</v>
          </cell>
        </row>
        <row r="371">
          <cell r="D371">
            <v>3468643</v>
          </cell>
          <cell r="F371">
            <v>45</v>
          </cell>
          <cell r="G371">
            <v>-6.1074479999999998</v>
          </cell>
          <cell r="H371">
            <v>-47.536527</v>
          </cell>
        </row>
        <row r="372">
          <cell r="D372">
            <v>3468468</v>
          </cell>
          <cell r="F372">
            <v>45</v>
          </cell>
          <cell r="G372">
            <v>-6.2580879999999999</v>
          </cell>
          <cell r="H372">
            <v>-47.571857999999999</v>
          </cell>
        </row>
        <row r="373">
          <cell r="D373">
            <v>3468407</v>
          </cell>
          <cell r="F373">
            <v>45</v>
          </cell>
          <cell r="G373">
            <v>-6.1672479999999998</v>
          </cell>
          <cell r="H373">
            <v>-47.506433000000001</v>
          </cell>
        </row>
        <row r="374">
          <cell r="D374">
            <v>3468627</v>
          </cell>
          <cell r="F374">
            <v>45</v>
          </cell>
          <cell r="G374">
            <v>-6.1672750000000001</v>
          </cell>
          <cell r="H374">
            <v>-47.507210000000001</v>
          </cell>
        </row>
        <row r="375">
          <cell r="D375">
            <v>3468408</v>
          </cell>
          <cell r="F375">
            <v>45</v>
          </cell>
          <cell r="G375">
            <v>-6.2384370000000002</v>
          </cell>
          <cell r="H375">
            <v>-47.541082000000003</v>
          </cell>
        </row>
        <row r="376">
          <cell r="D376">
            <v>3468410</v>
          </cell>
          <cell r="F376">
            <v>45</v>
          </cell>
          <cell r="G376">
            <v>-6.2387280000000001</v>
          </cell>
          <cell r="H376">
            <v>-47.540855000000001</v>
          </cell>
        </row>
        <row r="377">
          <cell r="D377">
            <v>3468379</v>
          </cell>
          <cell r="F377">
            <v>45</v>
          </cell>
          <cell r="G377">
            <v>-6.1663500000000004</v>
          </cell>
          <cell r="H377">
            <v>-47.507202999999997</v>
          </cell>
        </row>
        <row r="378">
          <cell r="D378">
            <v>3468191</v>
          </cell>
          <cell r="F378">
            <v>45</v>
          </cell>
          <cell r="G378">
            <v>-6.237838</v>
          </cell>
          <cell r="H378">
            <v>-47.539808000000001</v>
          </cell>
        </row>
        <row r="379">
          <cell r="D379">
            <v>3468639</v>
          </cell>
          <cell r="F379">
            <v>45</v>
          </cell>
          <cell r="G379">
            <v>-6.1067220000000004</v>
          </cell>
          <cell r="H379">
            <v>-47.536473000000001</v>
          </cell>
        </row>
        <row r="380">
          <cell r="D380">
            <v>3468637</v>
          </cell>
          <cell r="F380">
            <v>45</v>
          </cell>
          <cell r="G380">
            <v>-6.1069750000000003</v>
          </cell>
          <cell r="H380">
            <v>-47.536681999999999</v>
          </cell>
        </row>
        <row r="381">
          <cell r="D381">
            <v>3468424</v>
          </cell>
          <cell r="F381">
            <v>45</v>
          </cell>
          <cell r="G381">
            <v>-6.2554220000000003</v>
          </cell>
          <cell r="H381">
            <v>-47.581057000000001</v>
          </cell>
        </row>
        <row r="382">
          <cell r="D382">
            <v>3468081</v>
          </cell>
          <cell r="F382">
            <v>45</v>
          </cell>
          <cell r="G382">
            <v>-6.2568849999999996</v>
          </cell>
          <cell r="H382">
            <v>-47.571032000000002</v>
          </cell>
        </row>
        <row r="383">
          <cell r="D383">
            <v>3468375</v>
          </cell>
          <cell r="F383">
            <v>45</v>
          </cell>
          <cell r="G383">
            <v>-6.221088</v>
          </cell>
          <cell r="H383">
            <v>-47.675114999999998</v>
          </cell>
        </row>
        <row r="384">
          <cell r="D384">
            <v>3468135</v>
          </cell>
          <cell r="F384">
            <v>45</v>
          </cell>
          <cell r="G384">
            <v>-6.2574730000000001</v>
          </cell>
          <cell r="H384">
            <v>-47.570746999999997</v>
          </cell>
        </row>
        <row r="385">
          <cell r="D385">
            <v>3468377</v>
          </cell>
          <cell r="F385">
            <v>45</v>
          </cell>
          <cell r="G385">
            <v>-6.2207780000000001</v>
          </cell>
          <cell r="H385">
            <v>-47.675936999999998</v>
          </cell>
        </row>
        <row r="386">
          <cell r="D386">
            <v>3468195</v>
          </cell>
          <cell r="F386">
            <v>45</v>
          </cell>
          <cell r="G386">
            <v>-6.2385419999999998</v>
          </cell>
          <cell r="H386">
            <v>-47.539591999999999</v>
          </cell>
        </row>
        <row r="387">
          <cell r="D387">
            <v>3468134</v>
          </cell>
          <cell r="F387">
            <v>45</v>
          </cell>
          <cell r="G387">
            <v>-6.2213219999999998</v>
          </cell>
          <cell r="H387">
            <v>-47.675542999999998</v>
          </cell>
        </row>
        <row r="388">
          <cell r="D388">
            <v>3468634</v>
          </cell>
          <cell r="F388">
            <v>45</v>
          </cell>
          <cell r="G388">
            <v>-6.0100680000000004</v>
          </cell>
          <cell r="H388">
            <v>-47.757559999999998</v>
          </cell>
        </row>
        <row r="389">
          <cell r="D389">
            <v>3468144</v>
          </cell>
          <cell r="F389">
            <v>45</v>
          </cell>
          <cell r="G389">
            <v>-6.107907</v>
          </cell>
          <cell r="H389">
            <v>-47.536057</v>
          </cell>
        </row>
        <row r="390">
          <cell r="D390">
            <v>3468419</v>
          </cell>
          <cell r="F390">
            <v>45</v>
          </cell>
          <cell r="G390">
            <v>-6.2565030000000004</v>
          </cell>
          <cell r="H390">
            <v>-47.581620000000001</v>
          </cell>
        </row>
        <row r="391">
          <cell r="D391">
            <v>3468629</v>
          </cell>
          <cell r="F391">
            <v>45</v>
          </cell>
          <cell r="G391">
            <v>-6.2204129999999997</v>
          </cell>
          <cell r="H391">
            <v>-47.675362</v>
          </cell>
        </row>
        <row r="392">
          <cell r="D392">
            <v>3468140</v>
          </cell>
          <cell r="F392">
            <v>45</v>
          </cell>
          <cell r="G392">
            <v>-6.1074479999999998</v>
          </cell>
          <cell r="H392">
            <v>-47.536225000000002</v>
          </cell>
        </row>
        <row r="393">
          <cell r="D393">
            <v>3468188</v>
          </cell>
          <cell r="F393">
            <v>45</v>
          </cell>
          <cell r="G393">
            <v>-6.2554530000000002</v>
          </cell>
          <cell r="H393">
            <v>-47.581462999999999</v>
          </cell>
        </row>
        <row r="394">
          <cell r="D394">
            <v>3468425</v>
          </cell>
          <cell r="F394">
            <v>45</v>
          </cell>
          <cell r="G394">
            <v>-6.2582899999999997</v>
          </cell>
          <cell r="H394">
            <v>-47.571396</v>
          </cell>
        </row>
        <row r="395">
          <cell r="D395">
            <v>3468467</v>
          </cell>
          <cell r="F395">
            <v>45</v>
          </cell>
          <cell r="G395">
            <v>-6.2574969999999999</v>
          </cell>
          <cell r="H395">
            <v>-47.571967999999998</v>
          </cell>
        </row>
        <row r="396">
          <cell r="D396">
            <v>3468321</v>
          </cell>
          <cell r="F396">
            <v>45</v>
          </cell>
          <cell r="G396">
            <v>-6.1067780000000003</v>
          </cell>
          <cell r="H396">
            <v>-47.536233000000003</v>
          </cell>
        </row>
        <row r="397">
          <cell r="D397">
            <v>3467592</v>
          </cell>
          <cell r="F397">
            <v>45</v>
          </cell>
          <cell r="G397">
            <v>-11.449983</v>
          </cell>
          <cell r="H397">
            <v>-47.423087000000002</v>
          </cell>
        </row>
        <row r="398">
          <cell r="D398">
            <v>3467599</v>
          </cell>
          <cell r="F398">
            <v>45</v>
          </cell>
          <cell r="G398">
            <v>-11.455173</v>
          </cell>
          <cell r="H398">
            <v>-47.426907999999997</v>
          </cell>
        </row>
        <row r="399">
          <cell r="D399">
            <v>3467602</v>
          </cell>
          <cell r="F399">
            <v>45</v>
          </cell>
          <cell r="G399">
            <v>-11.472803000000001</v>
          </cell>
          <cell r="H399">
            <v>-47.430993000000001</v>
          </cell>
        </row>
        <row r="400">
          <cell r="D400">
            <v>3467606</v>
          </cell>
          <cell r="F400">
            <v>45</v>
          </cell>
          <cell r="G400">
            <v>-11.495846999999999</v>
          </cell>
          <cell r="H400">
            <v>-47.431983000000002</v>
          </cell>
        </row>
        <row r="401">
          <cell r="D401">
            <v>3467607</v>
          </cell>
          <cell r="F401">
            <v>45</v>
          </cell>
          <cell r="G401">
            <v>-12.724577999999999</v>
          </cell>
          <cell r="H401">
            <v>-47.368977000000001</v>
          </cell>
        </row>
        <row r="402">
          <cell r="D402">
            <v>3467387</v>
          </cell>
          <cell r="F402">
            <v>45</v>
          </cell>
          <cell r="G402">
            <v>-12.197642</v>
          </cell>
          <cell r="H402">
            <v>-50.094504999999998</v>
          </cell>
        </row>
        <row r="403">
          <cell r="D403">
            <v>3467392</v>
          </cell>
          <cell r="F403">
            <v>45</v>
          </cell>
          <cell r="G403">
            <v>-12.197492</v>
          </cell>
          <cell r="H403">
            <v>-50.094987000000003</v>
          </cell>
        </row>
        <row r="404">
          <cell r="D404">
            <v>3468190</v>
          </cell>
          <cell r="F404">
            <v>45</v>
          </cell>
          <cell r="G404">
            <v>-6.1667719999999999</v>
          </cell>
          <cell r="H404">
            <v>-47.507677000000001</v>
          </cell>
        </row>
        <row r="405">
          <cell r="D405">
            <v>3467455</v>
          </cell>
          <cell r="F405">
            <v>45</v>
          </cell>
          <cell r="G405">
            <v>-12.19647</v>
          </cell>
          <cell r="H405">
            <v>-50.094701999999998</v>
          </cell>
        </row>
        <row r="406">
          <cell r="D406">
            <v>3467450</v>
          </cell>
          <cell r="F406">
            <v>45</v>
          </cell>
          <cell r="G406">
            <v>-12.196933</v>
          </cell>
          <cell r="H406">
            <v>-50.094684999999998</v>
          </cell>
        </row>
        <row r="407">
          <cell r="D407">
            <v>3467301</v>
          </cell>
          <cell r="F407">
            <v>45</v>
          </cell>
          <cell r="G407">
            <v>-12.197445</v>
          </cell>
          <cell r="H407">
            <v>-50.095607000000001</v>
          </cell>
        </row>
        <row r="408">
          <cell r="D408">
            <v>3467303</v>
          </cell>
          <cell r="F408">
            <v>45</v>
          </cell>
          <cell r="G408">
            <v>-12.197042</v>
          </cell>
          <cell r="H408">
            <v>-50.095292000000001</v>
          </cell>
        </row>
        <row r="409">
          <cell r="D409">
            <v>3467405</v>
          </cell>
          <cell r="F409">
            <v>45</v>
          </cell>
          <cell r="G409">
            <v>-12.197815</v>
          </cell>
          <cell r="H409">
            <v>-50.095635000000001</v>
          </cell>
        </row>
        <row r="410">
          <cell r="D410">
            <v>3467388</v>
          </cell>
          <cell r="F410">
            <v>45</v>
          </cell>
          <cell r="G410">
            <v>-12.197618</v>
          </cell>
          <cell r="H410">
            <v>-50.094889999999999</v>
          </cell>
        </row>
        <row r="411">
          <cell r="D411">
            <v>3467400</v>
          </cell>
          <cell r="F411">
            <v>45</v>
          </cell>
          <cell r="G411">
            <v>-12.197412999999999</v>
          </cell>
          <cell r="H411">
            <v>-50.094515000000001</v>
          </cell>
        </row>
        <row r="412">
          <cell r="D412">
            <v>3467396</v>
          </cell>
          <cell r="F412">
            <v>45</v>
          </cell>
          <cell r="G412">
            <v>-12.1976</v>
          </cell>
          <cell r="H412">
            <v>-50.094501999999999</v>
          </cell>
        </row>
        <row r="413">
          <cell r="D413">
            <v>3467608</v>
          </cell>
          <cell r="F413">
            <v>45</v>
          </cell>
          <cell r="G413">
            <v>-12.423501999999999</v>
          </cell>
          <cell r="H413">
            <v>-47.857796999999998</v>
          </cell>
        </row>
        <row r="414">
          <cell r="D414">
            <v>3436355</v>
          </cell>
          <cell r="F414">
            <v>80</v>
          </cell>
          <cell r="G414">
            <v>-12.333500000000001</v>
          </cell>
          <cell r="H414">
            <v>-47.8508</v>
          </cell>
        </row>
        <row r="415">
          <cell r="D415">
            <v>3436288</v>
          </cell>
          <cell r="F415">
            <v>80</v>
          </cell>
          <cell r="G415">
            <v>-12.325799999999999</v>
          </cell>
          <cell r="H415">
            <v>-47.848199999999999</v>
          </cell>
        </row>
        <row r="416">
          <cell r="D416">
            <v>3464077</v>
          </cell>
          <cell r="F416">
            <v>80</v>
          </cell>
          <cell r="G416">
            <v>-12.955157</v>
          </cell>
          <cell r="H416">
            <v>-47.630921999999998</v>
          </cell>
        </row>
        <row r="417">
          <cell r="D417">
            <v>3436172</v>
          </cell>
          <cell r="F417">
            <v>80</v>
          </cell>
          <cell r="G417">
            <v>-12.926428</v>
          </cell>
          <cell r="H417">
            <v>-47.596561999999999</v>
          </cell>
        </row>
        <row r="418">
          <cell r="D418">
            <v>3438200</v>
          </cell>
          <cell r="F418">
            <v>80</v>
          </cell>
          <cell r="G418">
            <v>-12.922685</v>
          </cell>
          <cell r="H418">
            <v>-47.596122000000001</v>
          </cell>
        </row>
        <row r="419">
          <cell r="D419">
            <v>3436141</v>
          </cell>
          <cell r="F419">
            <v>80</v>
          </cell>
          <cell r="G419">
            <v>-12.805738</v>
          </cell>
          <cell r="H419">
            <v>-47.566172000000002</v>
          </cell>
        </row>
        <row r="420">
          <cell r="D420">
            <v>3434736</v>
          </cell>
          <cell r="F420">
            <v>80</v>
          </cell>
          <cell r="G420">
            <v>-12.81193</v>
          </cell>
          <cell r="H420">
            <v>-47.566298000000003</v>
          </cell>
        </row>
        <row r="421">
          <cell r="D421">
            <v>3463056</v>
          </cell>
          <cell r="F421">
            <v>80</v>
          </cell>
          <cell r="G421">
            <v>-12.810357</v>
          </cell>
          <cell r="H421">
            <v>-47.520453000000003</v>
          </cell>
        </row>
        <row r="422">
          <cell r="D422">
            <v>3435863</v>
          </cell>
          <cell r="F422">
            <v>80</v>
          </cell>
          <cell r="G422">
            <v>-12.747832000000001</v>
          </cell>
          <cell r="H422">
            <v>-47.690358000000003</v>
          </cell>
        </row>
        <row r="423">
          <cell r="D423">
            <v>3463054</v>
          </cell>
          <cell r="F423">
            <v>80</v>
          </cell>
          <cell r="G423">
            <v>-12.837142999999999</v>
          </cell>
          <cell r="H423">
            <v>-47.583865000000003</v>
          </cell>
        </row>
        <row r="424">
          <cell r="D424">
            <v>3434554</v>
          </cell>
          <cell r="F424">
            <v>80</v>
          </cell>
          <cell r="G424">
            <v>-12.406777999999999</v>
          </cell>
          <cell r="H424">
            <v>-47.867162</v>
          </cell>
        </row>
        <row r="425">
          <cell r="D425">
            <v>3435691</v>
          </cell>
          <cell r="F425">
            <v>80</v>
          </cell>
          <cell r="G425">
            <v>-12.661765000000001</v>
          </cell>
          <cell r="H425">
            <v>-47.402709999999999</v>
          </cell>
        </row>
        <row r="426">
          <cell r="D426">
            <v>3435664</v>
          </cell>
          <cell r="F426">
            <v>80</v>
          </cell>
          <cell r="G426">
            <v>-12.658329999999999</v>
          </cell>
          <cell r="H426">
            <v>-47.510680000000001</v>
          </cell>
        </row>
        <row r="427">
          <cell r="D427">
            <v>3442849</v>
          </cell>
          <cell r="F427">
            <v>80</v>
          </cell>
          <cell r="G427">
            <v>-12.363905000000001</v>
          </cell>
          <cell r="H427">
            <v>-47.882938000000003</v>
          </cell>
        </row>
        <row r="428">
          <cell r="D428">
            <v>3459501</v>
          </cell>
          <cell r="F428">
            <v>80</v>
          </cell>
          <cell r="G428">
            <v>-13.089831999999999</v>
          </cell>
          <cell r="H428">
            <v>-47.673453000000002</v>
          </cell>
        </row>
        <row r="429">
          <cell r="D429">
            <v>3464078</v>
          </cell>
          <cell r="F429">
            <v>80</v>
          </cell>
          <cell r="G429">
            <v>-12.851457999999999</v>
          </cell>
          <cell r="H429">
            <v>-47.374831999999998</v>
          </cell>
        </row>
        <row r="430">
          <cell r="D430">
            <v>3466401</v>
          </cell>
          <cell r="F430">
            <v>80</v>
          </cell>
          <cell r="G430">
            <v>-12.809355</v>
          </cell>
          <cell r="H430">
            <v>-47.365519999999997</v>
          </cell>
        </row>
        <row r="431">
          <cell r="D431">
            <v>3464094</v>
          </cell>
          <cell r="F431">
            <v>80</v>
          </cell>
          <cell r="G431">
            <v>-13.089542</v>
          </cell>
          <cell r="H431">
            <v>-47.672871999999998</v>
          </cell>
        </row>
        <row r="432">
          <cell r="D432">
            <v>3459529</v>
          </cell>
          <cell r="F432">
            <v>80</v>
          </cell>
          <cell r="G432">
            <v>-12.878975000000001</v>
          </cell>
          <cell r="H432">
            <v>-47.513492999999997</v>
          </cell>
        </row>
        <row r="433">
          <cell r="D433">
            <v>3440363</v>
          </cell>
          <cell r="F433">
            <v>80</v>
          </cell>
          <cell r="G433">
            <v>-12.74658</v>
          </cell>
          <cell r="H433">
            <v>-47.674140000000001</v>
          </cell>
        </row>
        <row r="434">
          <cell r="D434">
            <v>3442003</v>
          </cell>
          <cell r="F434">
            <v>80</v>
          </cell>
          <cell r="G434">
            <v>-12.951898</v>
          </cell>
          <cell r="H434">
            <v>-47.616199999999999</v>
          </cell>
        </row>
        <row r="435">
          <cell r="D435">
            <v>3441717</v>
          </cell>
          <cell r="F435">
            <v>80</v>
          </cell>
          <cell r="G435">
            <v>-12.822153</v>
          </cell>
          <cell r="H435">
            <v>-47.428212000000002</v>
          </cell>
        </row>
        <row r="436">
          <cell r="D436">
            <v>3442799</v>
          </cell>
          <cell r="F436">
            <v>80</v>
          </cell>
          <cell r="G436">
            <v>-12.347481999999999</v>
          </cell>
          <cell r="H436">
            <v>-47.861693000000002</v>
          </cell>
        </row>
        <row r="437">
          <cell r="D437">
            <v>3442757</v>
          </cell>
          <cell r="F437">
            <v>80</v>
          </cell>
          <cell r="G437">
            <v>-12.740418</v>
          </cell>
          <cell r="H437">
            <v>-47.374369999999999</v>
          </cell>
        </row>
        <row r="438">
          <cell r="D438">
            <v>3441416</v>
          </cell>
          <cell r="F438">
            <v>80</v>
          </cell>
          <cell r="G438">
            <v>-12.352792000000001</v>
          </cell>
          <cell r="H438">
            <v>-47.890115000000002</v>
          </cell>
        </row>
        <row r="439">
          <cell r="D439">
            <v>3459495</v>
          </cell>
          <cell r="F439">
            <v>80</v>
          </cell>
          <cell r="G439">
            <v>-12.390495</v>
          </cell>
          <cell r="H439">
            <v>-47.88288</v>
          </cell>
        </row>
        <row r="440">
          <cell r="D440">
            <v>3442966</v>
          </cell>
          <cell r="F440">
            <v>80</v>
          </cell>
          <cell r="G440">
            <v>-12.412756999999999</v>
          </cell>
          <cell r="H440">
            <v>-47.867587</v>
          </cell>
        </row>
        <row r="441">
          <cell r="D441">
            <v>3463057</v>
          </cell>
          <cell r="F441">
            <v>80</v>
          </cell>
          <cell r="G441">
            <v>-13.087888</v>
          </cell>
          <cell r="H441">
            <v>-47.645552000000002</v>
          </cell>
        </row>
        <row r="442">
          <cell r="D442">
            <v>3441274</v>
          </cell>
          <cell r="F442">
            <v>80</v>
          </cell>
          <cell r="G442">
            <v>-12.36548</v>
          </cell>
          <cell r="H442">
            <v>-47.879947000000001</v>
          </cell>
        </row>
        <row r="443">
          <cell r="D443">
            <v>3438233</v>
          </cell>
          <cell r="F443">
            <v>80</v>
          </cell>
          <cell r="G443">
            <v>-12.841587000000001</v>
          </cell>
          <cell r="H443">
            <v>-47.509557999999998</v>
          </cell>
        </row>
        <row r="444">
          <cell r="D444">
            <v>3442792</v>
          </cell>
          <cell r="F444">
            <v>80</v>
          </cell>
          <cell r="G444">
            <v>-12.353985</v>
          </cell>
          <cell r="H444">
            <v>-47.542580000000001</v>
          </cell>
        </row>
        <row r="445">
          <cell r="D445">
            <v>3464089</v>
          </cell>
          <cell r="F445">
            <v>80</v>
          </cell>
          <cell r="G445">
            <v>-12.578110000000001</v>
          </cell>
          <cell r="H445">
            <v>-47.405462999999997</v>
          </cell>
        </row>
        <row r="446">
          <cell r="D446">
            <v>3459394</v>
          </cell>
          <cell r="F446">
            <v>80</v>
          </cell>
          <cell r="G446">
            <v>-12.76708</v>
          </cell>
          <cell r="H446">
            <v>-47.692427000000002</v>
          </cell>
        </row>
        <row r="447">
          <cell r="D447">
            <v>3440700</v>
          </cell>
          <cell r="F447">
            <v>80</v>
          </cell>
          <cell r="G447">
            <v>-12.764678</v>
          </cell>
          <cell r="H447">
            <v>-47.692905000000003</v>
          </cell>
        </row>
        <row r="448">
          <cell r="D448">
            <v>3440476</v>
          </cell>
          <cell r="F448">
            <v>80</v>
          </cell>
          <cell r="G448">
            <v>-12.883687999999999</v>
          </cell>
          <cell r="H448">
            <v>-47.498860000000001</v>
          </cell>
        </row>
        <row r="449">
          <cell r="D449">
            <v>3440634</v>
          </cell>
          <cell r="F449">
            <v>80</v>
          </cell>
          <cell r="G449">
            <v>-12.884007</v>
          </cell>
          <cell r="H449">
            <v>-47.498469999999998</v>
          </cell>
        </row>
        <row r="450">
          <cell r="D450">
            <v>3439528</v>
          </cell>
          <cell r="F450">
            <v>80</v>
          </cell>
          <cell r="G450">
            <v>-12.838188000000001</v>
          </cell>
          <cell r="H450">
            <v>-47.489032999999999</v>
          </cell>
        </row>
        <row r="451">
          <cell r="D451">
            <v>3442201</v>
          </cell>
          <cell r="F451">
            <v>80</v>
          </cell>
          <cell r="G451">
            <v>-12.741455</v>
          </cell>
          <cell r="H451">
            <v>-47.374828000000001</v>
          </cell>
        </row>
        <row r="452">
          <cell r="D452">
            <v>3442283</v>
          </cell>
          <cell r="F452">
            <v>80</v>
          </cell>
          <cell r="G452">
            <v>-12.705632</v>
          </cell>
          <cell r="H452">
            <v>-47.374578</v>
          </cell>
        </row>
        <row r="453">
          <cell r="D453">
            <v>3463053</v>
          </cell>
          <cell r="F453">
            <v>80</v>
          </cell>
          <cell r="G453">
            <v>-12.65499</v>
          </cell>
          <cell r="H453">
            <v>-47.396852000000003</v>
          </cell>
        </row>
        <row r="454">
          <cell r="D454">
            <v>3459540</v>
          </cell>
          <cell r="F454">
            <v>80</v>
          </cell>
          <cell r="G454">
            <v>-12.870118</v>
          </cell>
          <cell r="H454">
            <v>-47.579957</v>
          </cell>
        </row>
        <row r="455">
          <cell r="D455">
            <v>3463051</v>
          </cell>
          <cell r="F455">
            <v>80</v>
          </cell>
          <cell r="G455">
            <v>-12.409048</v>
          </cell>
          <cell r="H455">
            <v>-48.127732999999999</v>
          </cell>
        </row>
        <row r="456">
          <cell r="D456">
            <v>3464069</v>
          </cell>
          <cell r="F456">
            <v>80</v>
          </cell>
          <cell r="G456">
            <v>-12.657158000000001</v>
          </cell>
          <cell r="H456">
            <v>-47.399990000000003</v>
          </cell>
        </row>
        <row r="457">
          <cell r="D457">
            <v>3440124</v>
          </cell>
          <cell r="F457">
            <v>80</v>
          </cell>
          <cell r="G457">
            <v>-12.870329999999999</v>
          </cell>
          <cell r="H457">
            <v>-47.565942</v>
          </cell>
        </row>
        <row r="458">
          <cell r="D458">
            <v>3441258</v>
          </cell>
          <cell r="F458">
            <v>80</v>
          </cell>
          <cell r="G458">
            <v>-12.747966999999999</v>
          </cell>
          <cell r="H458">
            <v>-47.689593000000002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cimar Oliveira de Castro" id="{CE3F88FA-9507-471E-8EE8-421B962C3563}" userId="S::lucimar.castro@enbpar.gov.br::3ea0693b-df1e-4cee-a611-3d357a4103c3" providerId="AD"/>
  <person displayName="Edvando Da Silva Pereira" id="{F3C4B268-8784-42C0-ABF8-FA1DE8627CB2}" userId="S::edvando.pereira@roraimaenergia.com.br::4b6100a1-cebc-4eea-a420-138437bb2cb3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FC5B1C5-E2FA-4FD0-902D-EEBADB46BB4E}" autoFormatId="16" applyNumberFormats="0" applyBorderFormats="0" applyFontFormats="0" applyPatternFormats="0" applyAlignmentFormats="0" applyWidthHeightFormats="0">
  <queryTableRefresh nextId="26">
    <queryTableFields count="25">
      <queryTableField id="1" name="ODI" tableColumnId="1"/>
      <queryTableField id="2" name="Projeto" tableColumnId="2"/>
      <queryTableField id="3" name="Municipio" tableColumnId="3"/>
      <queryTableField id="4" name="Localidade" tableColumnId="4"/>
      <queryTableField id="5" name="Data_Inicio" tableColumnId="5"/>
      <queryTableField id="6" name="Data_Fim" tableColumnId="6"/>
      <queryTableField id="7" name="Data_Recebimento" tableColumnId="7"/>
      <queryTableField id="8" name="Custo_ODI" tableColumnId="8"/>
      <queryTableField id="9" name="Tipo_Sist" tableColumnId="9"/>
      <queryTableField id="10" name="Quant_Cons" tableColumnId="10"/>
      <queryTableField id="11" name="Quant_Kits" tableColumnId="11"/>
      <queryTableField id="12" name="Quant_SIGFI" tableColumnId="12"/>
      <queryTableField id="13" name="Quant_MIGDI" tableColumnId="13"/>
      <queryTableField id="14" name="Quant_Poste" tableColumnId="14"/>
      <queryTableField id="15" name="Quant_Rede" tableColumnId="15"/>
      <queryTableField id="16" name="Quant_Padrao" tableColumnId="16"/>
      <queryTableField id="17" name="Lote" tableColumnId="17"/>
      <queryTableField id="18" name="PAOC" tableColumnId="18"/>
      <queryTableField id="19" name="Quant_Paineis" tableColumnId="19"/>
      <queryTableField id="20" name="Potencia_Total" tableColumnId="20"/>
      <queryTableField id="21" name="Disp_45" tableColumnId="21"/>
      <queryTableField id="22" name="Disp_80" tableColumnId="22"/>
      <queryTableField id="23" name="Disp_160" tableColumnId="23"/>
      <queryTableField id="24" name="Disp_D" tableColumnId="24"/>
      <queryTableField id="25" name="Disp_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83613-EB20-4A54-BBDB-6A981D072DB0}" name="T_ObrasRegistradas" displayName="T_ObrasRegistradas" ref="A1:Y451" tableType="queryTable" totalsRowShown="0" headerRowDxfId="11">
  <autoFilter ref="A1:Y451" xr:uid="{64C83613-EB20-4A54-BBDB-6A981D072DB0}"/>
  <tableColumns count="25">
    <tableColumn id="1" xr3:uid="{5166540B-B636-4334-A183-57F6383740AC}" uniqueName="1" name="ODI" queryTableFieldId="1"/>
    <tableColumn id="2" xr3:uid="{681A323D-68E5-4F5E-BB10-0E7359C86D0D}" uniqueName="2" name="Projeto" queryTableFieldId="2" dataDxfId="10"/>
    <tableColumn id="3" xr3:uid="{CD567F67-6C80-4CD6-89A3-66F71728D067}" uniqueName="3" name="Municipio" queryTableFieldId="3" dataDxfId="9"/>
    <tableColumn id="4" xr3:uid="{EEE8A779-838B-46F5-9728-71713A9F7A96}" uniqueName="4" name="Localidade" queryTableFieldId="4" dataDxfId="8"/>
    <tableColumn id="5" xr3:uid="{6A95819F-515D-4B5C-A872-72C12CB0FFAA}" uniqueName="5" name="Data_Inicio" queryTableFieldId="5" dataDxfId="7"/>
    <tableColumn id="6" xr3:uid="{B90A5514-6F0D-4CFB-8E8C-E9E82A6D30B2}" uniqueName="6" name="Data_Fim" queryTableFieldId="6" dataDxfId="6"/>
    <tableColumn id="7" xr3:uid="{160CAF30-C8F9-4394-8D28-1527B0DF613A}" uniqueName="7" name="Data_Recebimento" queryTableFieldId="7" dataDxfId="5"/>
    <tableColumn id="8" xr3:uid="{2AC5DCFD-5709-44BC-AAD8-D4E11A6C5934}" uniqueName="8" name="Custo_ODI" queryTableFieldId="8"/>
    <tableColumn id="9" xr3:uid="{3CB955BB-E915-4FC5-8285-B8B26A27E27C}" uniqueName="9" name="Tipo_Sist" queryTableFieldId="9" dataDxfId="4"/>
    <tableColumn id="10" xr3:uid="{E6DE15C7-092C-4E58-A2F5-4843C2A964D5}" uniqueName="10" name="Quant_Cons" queryTableFieldId="10"/>
    <tableColumn id="11" xr3:uid="{3D8318D2-C76D-4E3F-8CDE-E572361B4242}" uniqueName="11" name="Quant_Kits" queryTableFieldId="11"/>
    <tableColumn id="12" xr3:uid="{F56255C6-9C98-4FDC-8A8C-83D21434C8F0}" uniqueName="12" name="Quant_SIGFI" queryTableFieldId="12"/>
    <tableColumn id="13" xr3:uid="{B5EDF4D2-A2DE-4867-B775-2FC8E3BF5C65}" uniqueName="13" name="Quant_MIGDI" queryTableFieldId="13"/>
    <tableColumn id="14" xr3:uid="{94E6607D-1CE4-4189-A16D-43ED04CC11BF}" uniqueName="14" name="Quant_Poste" queryTableFieldId="14"/>
    <tableColumn id="15" xr3:uid="{251446C7-091F-4106-AA92-92BA4723E8DB}" uniqueName="15" name="Quant_Rede" queryTableFieldId="15"/>
    <tableColumn id="16" xr3:uid="{6B8C4DFD-1D07-4A0E-9C4B-BD78826EEB02}" uniqueName="16" name="Quant_Padrao" queryTableFieldId="16"/>
    <tableColumn id="17" xr3:uid="{B3C6B8CC-EF01-47CF-9295-A972ED6FF63A}" uniqueName="17" name="Lote" queryTableFieldId="17"/>
    <tableColumn id="18" xr3:uid="{331A1784-8F81-45AE-A546-BB309F3DCA63}" uniqueName="18" name="PAOC" queryTableFieldId="18"/>
    <tableColumn id="19" xr3:uid="{611D0AA0-0D83-44E2-AD77-2D48D3FEE77F}" uniqueName="19" name="Quant_Paineis" queryTableFieldId="19"/>
    <tableColumn id="20" xr3:uid="{384E2973-8009-4648-A802-45F80D91DC2D}" uniqueName="20" name="Potencia_Total" queryTableFieldId="20"/>
    <tableColumn id="21" xr3:uid="{22B0038F-3A44-45DC-A25D-FECB716F4EE5}" uniqueName="21" name="Disp_45" queryTableFieldId="21"/>
    <tableColumn id="22" xr3:uid="{B9EF0345-1CF1-4A50-A27E-62161FC5C9A6}" uniqueName="22" name="Disp_80" queryTableFieldId="22"/>
    <tableColumn id="23" xr3:uid="{EE3582C0-6F02-46D9-9353-8608908EE4E8}" uniqueName="23" name="Disp_160" queryTableFieldId="23"/>
    <tableColumn id="24" xr3:uid="{CBC566E8-7B64-45B9-BF81-D958E51573A2}" uniqueName="24" name="Disp_D" queryTableFieldId="24"/>
    <tableColumn id="25" xr3:uid="{FD7884DE-5155-4593-B43C-6E0A355B0D79}" uniqueName="25" name="Disp_E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29" dT="2025-09-24T13:48:34.22" personId="{F3C4B268-8784-42C0-ABF8-FA1DE8627CB2}" id="{46DC25DF-213E-4B2F-AA13-BE2271C7A78A}">
    <text>CANTA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9-17T18:34:07.65" personId="{CE3F88FA-9507-471E-8EE8-421B962C3563}" id="{800E750F-FCE6-482F-9588-63D00F45DEB1}">
    <text xml:space="preserve">Preenchimento deve ser realizado em graus decimais.
</text>
  </threadedComment>
  <threadedComment ref="H121" dT="2025-09-24T13:48:34.22" personId="{F3C4B268-8784-42C0-ABF8-FA1DE8627CB2}" id="{14D55C86-C1CA-4EC7-A4B5-503F5DC20AEC}">
    <text>CANTA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3"/>
  <sheetViews>
    <sheetView zoomScale="80" zoomScaleNormal="80" workbookViewId="0">
      <selection activeCell="T3" sqref="T3:W3"/>
    </sheetView>
  </sheetViews>
  <sheetFormatPr defaultColWidth="9.109375" defaultRowHeight="15.6" zeroHeight="1" x14ac:dyDescent="0.3"/>
  <cols>
    <col min="1" max="1" width="20.6640625" style="4" customWidth="1"/>
    <col min="2" max="2" width="20.6640625" style="24" customWidth="1"/>
    <col min="3" max="3" width="25.88671875" style="10" customWidth="1"/>
    <col min="4" max="4" width="46.88671875" style="24" customWidth="1"/>
    <col min="5" max="5" width="21.6640625" style="24" customWidth="1"/>
    <col min="6" max="6" width="21.6640625" style="37" customWidth="1"/>
    <col min="7" max="7" width="22.109375" style="11" customWidth="1"/>
    <col min="8" max="8" width="24.33203125" style="11" customWidth="1"/>
    <col min="9" max="9" width="19.33203125" style="23" customWidth="1"/>
    <col min="10" max="10" width="10.109375" style="6" customWidth="1"/>
    <col min="11" max="11" width="13.6640625" style="24" customWidth="1"/>
    <col min="12" max="12" width="16.44140625" style="10" customWidth="1"/>
    <col min="13" max="13" width="17.6640625" style="10" customWidth="1"/>
    <col min="14" max="14" width="23" style="52" customWidth="1"/>
    <col min="15" max="15" width="20.5546875" style="52" bestFit="1" customWidth="1"/>
    <col min="16" max="16" width="20.109375" style="52" customWidth="1"/>
    <col min="17" max="17" width="36" style="52" customWidth="1"/>
    <col min="18" max="18" width="9.44140625" style="11" customWidth="1"/>
    <col min="19" max="19" width="9.109375" style="4"/>
    <col min="20" max="20" width="12.109375" style="4" customWidth="1"/>
    <col min="21" max="21" width="13.88671875" style="4" customWidth="1"/>
    <col min="22" max="23" width="11" style="4" bestFit="1" customWidth="1"/>
    <col min="24" max="16384" width="9.109375" style="4"/>
  </cols>
  <sheetData>
    <row r="1" spans="1:18" ht="14.4" x14ac:dyDescent="0.3">
      <c r="A1" s="1" t="s">
        <v>14</v>
      </c>
      <c r="B1" s="1"/>
      <c r="C1" s="13"/>
      <c r="D1" s="13"/>
      <c r="E1" s="3"/>
      <c r="F1" s="35"/>
      <c r="G1" s="3"/>
      <c r="H1" s="3"/>
      <c r="I1" s="3"/>
      <c r="J1" s="3"/>
      <c r="K1" s="3"/>
      <c r="L1" s="3"/>
      <c r="M1" s="3"/>
      <c r="N1" s="12" t="s">
        <v>15</v>
      </c>
      <c r="O1" s="13"/>
      <c r="P1" s="13"/>
      <c r="Q1" s="3"/>
      <c r="R1" s="3"/>
    </row>
    <row r="2" spans="1:18" ht="14.4" x14ac:dyDescent="0.3">
      <c r="A2" s="2" t="s">
        <v>761</v>
      </c>
      <c r="B2" s="2"/>
      <c r="C2" s="3"/>
      <c r="D2" s="3"/>
      <c r="E2" s="3"/>
      <c r="F2" s="35"/>
      <c r="G2" s="3"/>
      <c r="H2" s="5"/>
      <c r="I2" s="13"/>
      <c r="J2" s="3"/>
      <c r="K2" s="3"/>
      <c r="L2" s="3"/>
      <c r="N2" s="12" t="s">
        <v>0</v>
      </c>
      <c r="O2" s="12"/>
      <c r="P2" s="13"/>
      <c r="Q2" s="3"/>
      <c r="R2" s="3"/>
    </row>
    <row r="3" spans="1:18" ht="14.4" x14ac:dyDescent="0.3">
      <c r="A3" s="14" t="s">
        <v>1</v>
      </c>
      <c r="B3" s="14" t="s">
        <v>6585</v>
      </c>
      <c r="C3" s="14" t="s">
        <v>16</v>
      </c>
      <c r="D3" s="14" t="s">
        <v>2</v>
      </c>
      <c r="E3" s="14" t="s">
        <v>6586</v>
      </c>
      <c r="F3" s="14" t="s">
        <v>122</v>
      </c>
      <c r="G3" s="14" t="s">
        <v>123</v>
      </c>
      <c r="H3" s="14" t="s">
        <v>124</v>
      </c>
      <c r="I3" s="15" t="s">
        <v>5</v>
      </c>
      <c r="J3" s="15" t="s">
        <v>6</v>
      </c>
      <c r="K3" s="15" t="s">
        <v>18</v>
      </c>
      <c r="L3" s="15" t="s">
        <v>7</v>
      </c>
      <c r="M3" s="15" t="s">
        <v>8</v>
      </c>
      <c r="N3" s="15" t="s">
        <v>9</v>
      </c>
      <c r="O3" s="15" t="s">
        <v>10</v>
      </c>
      <c r="P3" s="16" t="s">
        <v>11</v>
      </c>
      <c r="Q3" s="17" t="s">
        <v>12</v>
      </c>
      <c r="R3" s="18" t="s">
        <v>13</v>
      </c>
    </row>
    <row r="4" spans="1:18" s="9" customFormat="1" x14ac:dyDescent="0.3">
      <c r="A4" s="24">
        <v>3464081</v>
      </c>
      <c r="B4" s="24" t="s">
        <v>765</v>
      </c>
      <c r="C4" s="24">
        <v>402301057</v>
      </c>
      <c r="D4" s="24" t="str">
        <f>_xlfn.XLOOKUP(C4,Planilha3!A:A,Planilha3!C:C)</f>
        <v>PARANÃ</v>
      </c>
      <c r="E4" s="24">
        <v>1</v>
      </c>
      <c r="F4" s="36">
        <f>_xlfn.XLOOKUP(C4,Planilha3!A:A,Planilha3!E:E)</f>
        <v>45436.387141203704</v>
      </c>
      <c r="G4" s="55">
        <f>_xlfn.XLOOKUP(C4,Planilha3!A:A,Planilha3!F:F)</f>
        <v>45447.387141203704</v>
      </c>
      <c r="H4" s="54">
        <f>_xlfn.XLOOKUP(C4,Planilha3!A:A,Planilha3!G:G)</f>
        <v>45916</v>
      </c>
      <c r="I4" s="23">
        <f>_xlfn.XLOOKUP(K4,Grupo!F:F,Grupo!G:G)</f>
        <v>46440.22</v>
      </c>
      <c r="J4" s="6">
        <f>_xlfn.XLOOKUP(D4,Grupo!B:B,Grupo!C:C)</f>
        <v>10</v>
      </c>
      <c r="K4" s="24">
        <f>_xlfn.XLOOKUP(A4,[1]COORDENADAS_GEOGRÁFICAS!$D:$D,[1]COORDENADAS_GEOGRÁFICAS!$F:$F)</f>
        <v>80</v>
      </c>
      <c r="L4" s="7"/>
      <c r="M4" s="7"/>
      <c r="N4" s="52">
        <f>_xlfn.XLOOKUP(D4,Grupo!B:B,Grupo!D:D)</f>
        <v>-12.620481488718251</v>
      </c>
      <c r="O4" s="52">
        <f>_xlfn.XLOOKUP(D4,Grupo!B:B,Grupo!E:E)</f>
        <v>-47.884083728442604</v>
      </c>
      <c r="P4" s="52">
        <f>_xlfn.XLOOKUP(A4,[1]COORDENADAS_GEOGRÁFICAS!$D:$D,[1]COORDENADAS_GEOGRÁFICAS!$G:$G)</f>
        <v>-12.35899</v>
      </c>
      <c r="Q4" s="52">
        <f>_xlfn.XLOOKUP(A4,[1]COORDENADAS_GEOGRÁFICAS!$D:$D,[1]COORDENADAS_GEOGRÁFICAS!$H:$H)</f>
        <v>-47.950809999999997</v>
      </c>
      <c r="R4" s="20">
        <f>6371*ACOS(COS(PI()*(90-P4)/180)*COS((90-N4)*PI()/180)+SIN((90-P4)*PI()/180)*SIN((90-N4)*PI()/180)*COS((Q4-O4)*PI()/180))</f>
        <v>29.965319390751425</v>
      </c>
    </row>
    <row r="5" spans="1:18" s="9" customFormat="1" x14ac:dyDescent="0.3">
      <c r="A5" s="24">
        <v>3459335</v>
      </c>
      <c r="B5" s="24" t="s">
        <v>765</v>
      </c>
      <c r="C5" s="24">
        <v>402301073</v>
      </c>
      <c r="D5" s="24" t="str">
        <f>_xlfn.XLOOKUP(C5,Planilha3!A:A,Planilha3!C:C)</f>
        <v>PARANÃ</v>
      </c>
      <c r="E5" s="24">
        <v>1</v>
      </c>
      <c r="F5" s="36">
        <f>_xlfn.XLOOKUP(C5,Planilha3!A:A,Planilha3!E:E)</f>
        <v>45445.697465277779</v>
      </c>
      <c r="G5" s="55">
        <f>_xlfn.XLOOKUP(C5,Planilha3!A:A,Planilha3!F:F)</f>
        <v>45457.697465277779</v>
      </c>
      <c r="H5" s="54">
        <f>_xlfn.XLOOKUP(C5,Planilha3!A:A,Planilha3!G:G)</f>
        <v>45916</v>
      </c>
      <c r="I5" s="23">
        <f>_xlfn.XLOOKUP(K5,Grupo!F:F,Grupo!G:G)</f>
        <v>46440.22</v>
      </c>
      <c r="J5" s="6">
        <f>_xlfn.XLOOKUP(D5,Grupo!B:B,Grupo!C:C)</f>
        <v>10</v>
      </c>
      <c r="K5" s="24">
        <f>_xlfn.XLOOKUP(A5,[1]COORDENADAS_GEOGRÁFICAS!$D:$D,[1]COORDENADAS_GEOGRÁFICAS!$F:$F)</f>
        <v>80</v>
      </c>
      <c r="L5" s="6"/>
      <c r="M5" s="6"/>
      <c r="N5" s="52">
        <f>_xlfn.XLOOKUP(D5,Grupo!B:B,Grupo!D:D)</f>
        <v>-12.620481488718251</v>
      </c>
      <c r="O5" s="52">
        <f>_xlfn.XLOOKUP(D5,Grupo!B:B,Grupo!E:E)</f>
        <v>-47.884083728442604</v>
      </c>
      <c r="P5" s="52">
        <f>_xlfn.XLOOKUP(A5,[1]COORDENADAS_GEOGRÁFICAS!$D:$D,[1]COORDENADAS_GEOGRÁFICAS!$G:$G)</f>
        <v>-12.772738</v>
      </c>
      <c r="Q5" s="52">
        <f>_xlfn.XLOOKUP(A5,[1]COORDENADAS_GEOGRÁFICAS!$D:$D,[1]COORDENADAS_GEOGRÁFICAS!$H:$H)</f>
        <v>-47.416423000000002</v>
      </c>
      <c r="R5" s="20">
        <f t="shared" ref="R5:R68" si="0">6371*ACOS(COS(PI()*(90-P5)/180)*COS((90-N5)*PI()/180)+SIN((90-P5)*PI()/180)*SIN((90-N5)*PI()/180)*COS((Q5-O5)*PI()/180))</f>
        <v>53.480407998911765</v>
      </c>
    </row>
    <row r="6" spans="1:18" s="9" customFormat="1" x14ac:dyDescent="0.3">
      <c r="A6" s="24">
        <v>3467062</v>
      </c>
      <c r="B6" s="24" t="s">
        <v>765</v>
      </c>
      <c r="C6" s="24">
        <v>402301111</v>
      </c>
      <c r="D6" s="24" t="str">
        <f>_xlfn.XLOOKUP(C6,Planilha3!A:A,Planilha3!C:C)</f>
        <v>PARANÃ</v>
      </c>
      <c r="E6" s="24">
        <v>1</v>
      </c>
      <c r="F6" s="36">
        <f>_xlfn.XLOOKUP(C6,Planilha3!A:A,Planilha3!E:E)</f>
        <v>45447.662604166668</v>
      </c>
      <c r="G6" s="55">
        <f>_xlfn.XLOOKUP(C6,Planilha3!A:A,Planilha3!F:F)</f>
        <v>45460.662604166668</v>
      </c>
      <c r="H6" s="54">
        <f>_xlfn.XLOOKUP(C6,Planilha3!A:A,Planilha3!G:G)</f>
        <v>45916</v>
      </c>
      <c r="I6" s="23">
        <f>_xlfn.XLOOKUP(K6,Grupo!F:F,Grupo!G:G)</f>
        <v>46440.22</v>
      </c>
      <c r="J6" s="6">
        <f>_xlfn.XLOOKUP(D6,Grupo!B:B,Grupo!C:C)</f>
        <v>10</v>
      </c>
      <c r="K6" s="24">
        <f>_xlfn.XLOOKUP(A6,[1]COORDENADAS_GEOGRÁFICAS!$D:$D,[1]COORDENADAS_GEOGRÁFICAS!$F:$F)</f>
        <v>80</v>
      </c>
      <c r="L6" s="8"/>
      <c r="M6" s="8"/>
      <c r="N6" s="52">
        <f>_xlfn.XLOOKUP(D6,Grupo!B:B,Grupo!D:D)</f>
        <v>-12.620481488718251</v>
      </c>
      <c r="O6" s="52">
        <f>_xlfn.XLOOKUP(D6,Grupo!B:B,Grupo!E:E)</f>
        <v>-47.884083728442604</v>
      </c>
      <c r="P6" s="52">
        <f>_xlfn.XLOOKUP(A6,[1]COORDENADAS_GEOGRÁFICAS!$D:$D,[1]COORDENADAS_GEOGRÁFICAS!$G:$G)</f>
        <v>-12.781725</v>
      </c>
      <c r="Q6" s="52">
        <f>_xlfn.XLOOKUP(A6,[1]COORDENADAS_GEOGRÁFICAS!$D:$D,[1]COORDENADAS_GEOGRÁFICAS!$H:$H)</f>
        <v>-47.409683000000001</v>
      </c>
      <c r="R6" s="20">
        <f t="shared" si="0"/>
        <v>54.494131154217385</v>
      </c>
    </row>
    <row r="7" spans="1:18" s="9" customFormat="1" x14ac:dyDescent="0.3">
      <c r="A7" s="24">
        <v>3430975</v>
      </c>
      <c r="B7" s="24" t="s">
        <v>765</v>
      </c>
      <c r="C7" s="24">
        <v>402301015</v>
      </c>
      <c r="D7" s="24" t="str">
        <f>_xlfn.XLOOKUP(C7,Planilha3!A:A,Planilha3!C:C)</f>
        <v>PARANÃ</v>
      </c>
      <c r="E7" s="24">
        <v>1</v>
      </c>
      <c r="F7" s="36">
        <f>_xlfn.XLOOKUP(C7,Planilha3!A:A,Planilha3!E:E)</f>
        <v>45299.633703703701</v>
      </c>
      <c r="G7" s="55">
        <f>_xlfn.XLOOKUP(C7,Planilha3!A:A,Planilha3!F:F)</f>
        <v>45314.633703703701</v>
      </c>
      <c r="H7" s="54">
        <f>_xlfn.XLOOKUP(C7,Planilha3!A:A,Planilha3!G:G)</f>
        <v>45916</v>
      </c>
      <c r="I7" s="23">
        <f>_xlfn.XLOOKUP(K7,Grupo!F:F,Grupo!G:G)</f>
        <v>46440.22</v>
      </c>
      <c r="J7" s="6">
        <f>_xlfn.XLOOKUP(D7,Grupo!B:B,Grupo!C:C)</f>
        <v>10</v>
      </c>
      <c r="K7" s="24">
        <f>_xlfn.XLOOKUP(A7,[1]COORDENADAS_GEOGRÁFICAS!$D:$D,[1]COORDENADAS_GEOGRÁFICAS!$F:$F)</f>
        <v>80</v>
      </c>
      <c r="L7" s="6"/>
      <c r="M7" s="6"/>
      <c r="N7" s="52">
        <f>_xlfn.XLOOKUP(D7,Grupo!B:B,Grupo!D:D)</f>
        <v>-12.620481488718251</v>
      </c>
      <c r="O7" s="52">
        <f>_xlfn.XLOOKUP(D7,Grupo!B:B,Grupo!E:E)</f>
        <v>-47.884083728442604</v>
      </c>
      <c r="P7" s="52">
        <f>_xlfn.XLOOKUP(A7,[1]COORDENADAS_GEOGRÁFICAS!$D:$D,[1]COORDENADAS_GEOGRÁFICAS!$G:$G)</f>
        <v>-12.7499</v>
      </c>
      <c r="Q7" s="52">
        <f>_xlfn.XLOOKUP(A7,[1]COORDENADAS_GEOGRÁFICAS!$D:$D,[1]COORDENADAS_GEOGRÁFICAS!$H:$H)</f>
        <v>-47.446300000000001</v>
      </c>
      <c r="R7" s="20">
        <f t="shared" si="0"/>
        <v>49.623560144363218</v>
      </c>
    </row>
    <row r="8" spans="1:18" x14ac:dyDescent="0.3">
      <c r="A8" s="24">
        <v>3434827</v>
      </c>
      <c r="B8" s="24" t="s">
        <v>765</v>
      </c>
      <c r="C8" s="24">
        <v>402301013</v>
      </c>
      <c r="D8" s="24" t="str">
        <f>_xlfn.XLOOKUP(C8,Planilha3!A:A,Planilha3!C:C)</f>
        <v>PARANÃ</v>
      </c>
      <c r="E8" s="24">
        <v>1</v>
      </c>
      <c r="F8" s="36">
        <f>_xlfn.XLOOKUP(C8,Planilha3!A:A,Planilha3!E:E)</f>
        <v>45298.603113425925</v>
      </c>
      <c r="G8" s="55">
        <f>_xlfn.XLOOKUP(C8,Planilha3!A:A,Planilha3!F:F)</f>
        <v>45314.603113425925</v>
      </c>
      <c r="H8" s="54">
        <f>_xlfn.XLOOKUP(C8,Planilha3!A:A,Planilha3!G:G)</f>
        <v>45916</v>
      </c>
      <c r="I8" s="23">
        <f>_xlfn.XLOOKUP(K8,Grupo!F:F,Grupo!G:G)</f>
        <v>46440.22</v>
      </c>
      <c r="J8" s="6">
        <f>_xlfn.XLOOKUP(D8,Grupo!B:B,Grupo!C:C)</f>
        <v>10</v>
      </c>
      <c r="K8" s="24">
        <f>_xlfn.XLOOKUP(A8,[1]COORDENADAS_GEOGRÁFICAS!$D:$D,[1]COORDENADAS_GEOGRÁFICAS!$F:$F)</f>
        <v>80</v>
      </c>
      <c r="L8" s="6"/>
      <c r="M8" s="6"/>
      <c r="N8" s="52">
        <f>_xlfn.XLOOKUP(D8,Grupo!B:B,Grupo!D:D)</f>
        <v>-12.620481488718251</v>
      </c>
      <c r="O8" s="52">
        <f>_xlfn.XLOOKUP(D8,Grupo!B:B,Grupo!E:E)</f>
        <v>-47.884083728442604</v>
      </c>
      <c r="P8" s="52">
        <f>_xlfn.XLOOKUP(A8,[1]COORDENADAS_GEOGRÁFICAS!$D:$D,[1]COORDENADAS_GEOGRÁFICAS!$G:$G)</f>
        <v>-12.758900000000001</v>
      </c>
      <c r="Q8" s="52">
        <f>_xlfn.XLOOKUP(A8,[1]COORDENADAS_GEOGRÁFICAS!$D:$D,[1]COORDENADAS_GEOGRÁFICAS!$H:$H)</f>
        <v>-47.426900000000003</v>
      </c>
      <c r="R8" s="20">
        <f t="shared" si="0"/>
        <v>51.928188752427744</v>
      </c>
    </row>
    <row r="9" spans="1:18" x14ac:dyDescent="0.3">
      <c r="A9" s="24">
        <v>3434698</v>
      </c>
      <c r="B9" s="24" t="s">
        <v>765</v>
      </c>
      <c r="C9" s="24">
        <v>402301012</v>
      </c>
      <c r="D9" s="24" t="str">
        <f>_xlfn.XLOOKUP(C9,Planilha3!A:A,Planilha3!C:C)</f>
        <v>PARANÃ</v>
      </c>
      <c r="E9" s="24">
        <v>1</v>
      </c>
      <c r="F9" s="36">
        <f>_xlfn.XLOOKUP(C9,Planilha3!A:A,Planilha3!E:E)</f>
        <v>45303.598402777781</v>
      </c>
      <c r="G9" s="55">
        <f>_xlfn.XLOOKUP(C9,Planilha3!A:A,Planilha3!F:F)</f>
        <v>45314.598402777781</v>
      </c>
      <c r="H9" s="54">
        <f>_xlfn.XLOOKUP(C9,Planilha3!A:A,Planilha3!G:G)</f>
        <v>45916</v>
      </c>
      <c r="I9" s="23">
        <f>_xlfn.XLOOKUP(K9,Grupo!F:F,Grupo!G:G)</f>
        <v>46440.22</v>
      </c>
      <c r="J9" s="6">
        <f>_xlfn.XLOOKUP(D9,Grupo!B:B,Grupo!C:C)</f>
        <v>10</v>
      </c>
      <c r="K9" s="24">
        <f>_xlfn.XLOOKUP(A9,[1]COORDENADAS_GEOGRÁFICAS!$D:$D,[1]COORDENADAS_GEOGRÁFICAS!$F:$F)</f>
        <v>80</v>
      </c>
      <c r="L9" s="7"/>
      <c r="M9" s="7"/>
      <c r="N9" s="52">
        <f>_xlfn.XLOOKUP(D9,Grupo!B:B,Grupo!D:D)</f>
        <v>-12.620481488718251</v>
      </c>
      <c r="O9" s="52">
        <f>_xlfn.XLOOKUP(D9,Grupo!B:B,Grupo!E:E)</f>
        <v>-47.884083728442604</v>
      </c>
      <c r="P9" s="52">
        <f>_xlfn.XLOOKUP(A9,[1]COORDENADAS_GEOGRÁFICAS!$D:$D,[1]COORDENADAS_GEOGRÁFICAS!$G:$G)</f>
        <v>-12.768599999999999</v>
      </c>
      <c r="Q9" s="52">
        <f>_xlfn.XLOOKUP(A9,[1]COORDENADAS_GEOGRÁFICAS!$D:$D,[1]COORDENADAS_GEOGRÁFICAS!$H:$H)</f>
        <v>-47.398499999999999</v>
      </c>
      <c r="R9" s="20">
        <f t="shared" si="0"/>
        <v>55.189405592787558</v>
      </c>
    </row>
    <row r="10" spans="1:18" x14ac:dyDescent="0.3">
      <c r="A10" s="24">
        <v>3466701</v>
      </c>
      <c r="B10" s="24" t="s">
        <v>765</v>
      </c>
      <c r="C10" s="24">
        <v>402301072</v>
      </c>
      <c r="D10" s="24" t="str">
        <f>_xlfn.XLOOKUP(C10,Planilha3!A:A,Planilha3!C:C)</f>
        <v>PARANÃ</v>
      </c>
      <c r="E10" s="24">
        <v>1</v>
      </c>
      <c r="F10" s="36">
        <f>_xlfn.XLOOKUP(C10,Planilha3!A:A,Planilha3!E:E)</f>
        <v>45445.662835648145</v>
      </c>
      <c r="G10" s="55">
        <f>_xlfn.XLOOKUP(C10,Planilha3!A:A,Planilha3!F:F)</f>
        <v>45457.662835648145</v>
      </c>
      <c r="H10" s="54">
        <f>_xlfn.XLOOKUP(C10,Planilha3!A:A,Planilha3!G:G)</f>
        <v>45916</v>
      </c>
      <c r="I10" s="23">
        <f>_xlfn.XLOOKUP(K10,Grupo!F:F,Grupo!G:G)</f>
        <v>46440.22</v>
      </c>
      <c r="J10" s="6">
        <f>_xlfn.XLOOKUP(D10,Grupo!B:B,Grupo!C:C)</f>
        <v>10</v>
      </c>
      <c r="K10" s="24">
        <f>_xlfn.XLOOKUP(A10,[1]COORDENADAS_GEOGRÁFICAS!$D:$D,[1]COORDENADAS_GEOGRÁFICAS!$F:$F)</f>
        <v>80</v>
      </c>
      <c r="L10" s="8"/>
      <c r="M10" s="8"/>
      <c r="N10" s="52">
        <f>_xlfn.XLOOKUP(D10,Grupo!B:B,Grupo!D:D)</f>
        <v>-12.620481488718251</v>
      </c>
      <c r="O10" s="52">
        <f>_xlfn.XLOOKUP(D10,Grupo!B:B,Grupo!E:E)</f>
        <v>-47.884083728442604</v>
      </c>
      <c r="P10" s="52">
        <f>_xlfn.XLOOKUP(A10,[1]COORDENADAS_GEOGRÁFICAS!$D:$D,[1]COORDENADAS_GEOGRÁFICAS!$G:$G)</f>
        <v>-12.776825000000001</v>
      </c>
      <c r="Q10" s="52">
        <f>_xlfn.XLOOKUP(A10,[1]COORDENADAS_GEOGRÁFICAS!$D:$D,[1]COORDENADAS_GEOGRÁFICAS!$H:$H)</f>
        <v>-47.413893000000002</v>
      </c>
      <c r="R10" s="20">
        <f t="shared" si="0"/>
        <v>53.885312947294189</v>
      </c>
    </row>
    <row r="11" spans="1:18" x14ac:dyDescent="0.3">
      <c r="A11" s="24">
        <v>3464244</v>
      </c>
      <c r="B11" s="24" t="s">
        <v>765</v>
      </c>
      <c r="C11" s="24">
        <v>402301056</v>
      </c>
      <c r="D11" s="24" t="str">
        <f>_xlfn.XLOOKUP(C11,Planilha3!A:A,Planilha3!C:C)</f>
        <v>PARANÃ</v>
      </c>
      <c r="E11" s="24">
        <v>1</v>
      </c>
      <c r="F11" s="36">
        <f>_xlfn.XLOOKUP(C11,Planilha3!A:A,Planilha3!E:E)</f>
        <v>45443.453564814816</v>
      </c>
      <c r="G11" s="55">
        <f>_xlfn.XLOOKUP(C11,Planilha3!A:A,Planilha3!F:F)</f>
        <v>45456.453564814816</v>
      </c>
      <c r="H11" s="54">
        <f>_xlfn.XLOOKUP(C11,Planilha3!A:A,Planilha3!G:G)</f>
        <v>45916</v>
      </c>
      <c r="I11" s="23">
        <f>_xlfn.XLOOKUP(K11,Grupo!F:F,Grupo!G:G)</f>
        <v>46440.22</v>
      </c>
      <c r="J11" s="6">
        <f>_xlfn.XLOOKUP(D11,Grupo!B:B,Grupo!C:C)</f>
        <v>10</v>
      </c>
      <c r="K11" s="24">
        <f>_xlfn.XLOOKUP(A11,[1]COORDENADAS_GEOGRÁFICAS!$D:$D,[1]COORDENADAS_GEOGRÁFICAS!$F:$F)</f>
        <v>80</v>
      </c>
      <c r="L11" s="7"/>
      <c r="M11" s="7"/>
      <c r="N11" s="52">
        <f>_xlfn.XLOOKUP(D11,Grupo!B:B,Grupo!D:D)</f>
        <v>-12.620481488718251</v>
      </c>
      <c r="O11" s="52">
        <f>_xlfn.XLOOKUP(D11,Grupo!B:B,Grupo!E:E)</f>
        <v>-47.884083728442604</v>
      </c>
      <c r="P11" s="52">
        <f>_xlfn.XLOOKUP(A11,[1]COORDENADAS_GEOGRÁFICAS!$D:$D,[1]COORDENADAS_GEOGRÁFICAS!$G:$G)</f>
        <v>-12.381087000000001</v>
      </c>
      <c r="Q11" s="52">
        <f>_xlfn.XLOOKUP(A11,[1]COORDENADAS_GEOGRÁFICAS!$D:$D,[1]COORDENADAS_GEOGRÁFICAS!$H:$H)</f>
        <v>-48.215147999999999</v>
      </c>
      <c r="R11" s="20">
        <f t="shared" si="0"/>
        <v>44.724411895693095</v>
      </c>
    </row>
    <row r="12" spans="1:18" x14ac:dyDescent="0.3">
      <c r="A12" s="24">
        <v>3465687</v>
      </c>
      <c r="B12" s="24" t="s">
        <v>765</v>
      </c>
      <c r="C12" s="24">
        <v>402301070</v>
      </c>
      <c r="D12" s="24" t="str">
        <f>_xlfn.XLOOKUP(C12,Planilha3!A:A,Planilha3!C:C)</f>
        <v>PARANÃ</v>
      </c>
      <c r="E12" s="24">
        <v>1</v>
      </c>
      <c r="F12" s="36">
        <f>_xlfn.XLOOKUP(C12,Planilha3!A:A,Planilha3!E:E)</f>
        <v>45442.63758101852</v>
      </c>
      <c r="G12" s="55">
        <f>_xlfn.XLOOKUP(C12,Planilha3!A:A,Planilha3!F:F)</f>
        <v>45457.63758101852</v>
      </c>
      <c r="H12" s="54">
        <f>_xlfn.XLOOKUP(C12,Planilha3!A:A,Planilha3!G:G)</f>
        <v>45916</v>
      </c>
      <c r="I12" s="23">
        <f>_xlfn.XLOOKUP(K12,Grupo!F:F,Grupo!G:G)</f>
        <v>46440.22</v>
      </c>
      <c r="J12" s="6">
        <f>_xlfn.XLOOKUP(D12,Grupo!B:B,Grupo!C:C)</f>
        <v>10</v>
      </c>
      <c r="K12" s="24">
        <f>_xlfn.XLOOKUP(A12,[1]COORDENADAS_GEOGRÁFICAS!$D:$D,[1]COORDENADAS_GEOGRÁFICAS!$F:$F)</f>
        <v>80</v>
      </c>
      <c r="L12" s="6"/>
      <c r="M12" s="6"/>
      <c r="N12" s="52">
        <f>_xlfn.XLOOKUP(D12,Grupo!B:B,Grupo!D:D)</f>
        <v>-12.620481488718251</v>
      </c>
      <c r="O12" s="52">
        <f>_xlfn.XLOOKUP(D12,Grupo!B:B,Grupo!E:E)</f>
        <v>-47.884083728442604</v>
      </c>
      <c r="P12" s="52">
        <f>_xlfn.XLOOKUP(A12,[1]COORDENADAS_GEOGRÁFICAS!$D:$D,[1]COORDENADAS_GEOGRÁFICAS!$G:$G)</f>
        <v>-12.330187</v>
      </c>
      <c r="Q12" s="52">
        <f>_xlfn.XLOOKUP(A12,[1]COORDENADAS_GEOGRÁFICAS!$D:$D,[1]COORDENADAS_GEOGRÁFICAS!$H:$H)</f>
        <v>-48.187702000000002</v>
      </c>
      <c r="R12" s="20">
        <f t="shared" si="0"/>
        <v>46.13624932160355</v>
      </c>
    </row>
    <row r="13" spans="1:18" x14ac:dyDescent="0.3">
      <c r="A13" s="24">
        <v>3435800</v>
      </c>
      <c r="B13" s="24" t="s">
        <v>765</v>
      </c>
      <c r="C13" s="24">
        <v>402301017</v>
      </c>
      <c r="D13" s="24" t="str">
        <f>_xlfn.XLOOKUP(C13,Planilha3!A:A,Planilha3!C:C)</f>
        <v>PARANÃ</v>
      </c>
      <c r="E13" s="24">
        <v>1</v>
      </c>
      <c r="F13" s="36">
        <f>_xlfn.XLOOKUP(C13,Planilha3!A:A,Planilha3!E:E)</f>
        <v>45305.615914351853</v>
      </c>
      <c r="G13" s="55">
        <f>_xlfn.XLOOKUP(C13,Planilha3!A:A,Planilha3!F:F)</f>
        <v>45316.615914351853</v>
      </c>
      <c r="H13" s="54">
        <f>_xlfn.XLOOKUP(C13,Planilha3!A:A,Planilha3!G:G)</f>
        <v>45916</v>
      </c>
      <c r="I13" s="23">
        <f>_xlfn.XLOOKUP(K13,Grupo!F:F,Grupo!G:G)</f>
        <v>46440.22</v>
      </c>
      <c r="J13" s="6">
        <f>_xlfn.XLOOKUP(D13,Grupo!B:B,Grupo!C:C)</f>
        <v>10</v>
      </c>
      <c r="K13" s="24">
        <f>_xlfn.XLOOKUP(A13,[1]COORDENADAS_GEOGRÁFICAS!$D:$D,[1]COORDENADAS_GEOGRÁFICAS!$F:$F)</f>
        <v>80</v>
      </c>
      <c r="L13" s="6"/>
      <c r="M13" s="6"/>
      <c r="N13" s="52">
        <f>_xlfn.XLOOKUP(D13,Grupo!B:B,Grupo!D:D)</f>
        <v>-12.620481488718251</v>
      </c>
      <c r="O13" s="52">
        <f>_xlfn.XLOOKUP(D13,Grupo!B:B,Grupo!E:E)</f>
        <v>-47.884083728442604</v>
      </c>
      <c r="P13" s="52">
        <f>_xlfn.XLOOKUP(A13,[1]COORDENADAS_GEOGRÁFICAS!$D:$D,[1]COORDENADAS_GEOGRÁFICAS!$G:$G)</f>
        <v>-12.399542</v>
      </c>
      <c r="Q13" s="52">
        <f>_xlfn.XLOOKUP(A13,[1]COORDENADAS_GEOGRÁFICAS!$D:$D,[1]COORDENADAS_GEOGRÁFICAS!$H:$H)</f>
        <v>-47.897137999999998</v>
      </c>
      <c r="R13" s="20">
        <f t="shared" si="0"/>
        <v>24.608187337934673</v>
      </c>
    </row>
    <row r="14" spans="1:18" x14ac:dyDescent="0.3">
      <c r="A14" s="24">
        <v>3463633</v>
      </c>
      <c r="B14" s="24" t="s">
        <v>765</v>
      </c>
      <c r="C14" s="24">
        <v>402301069</v>
      </c>
      <c r="D14" s="24" t="str">
        <f>_xlfn.XLOOKUP(C14,Planilha3!A:A,Planilha3!C:C)</f>
        <v>PARANÃ</v>
      </c>
      <c r="E14" s="24">
        <v>1</v>
      </c>
      <c r="F14" s="36">
        <f>_xlfn.XLOOKUP(C14,Planilha3!A:A,Planilha3!E:E)</f>
        <v>45436.680891203701</v>
      </c>
      <c r="G14" s="55">
        <f>_xlfn.XLOOKUP(C14,Planilha3!A:A,Planilha3!F:F)</f>
        <v>45448.680891203701</v>
      </c>
      <c r="H14" s="54">
        <f>_xlfn.XLOOKUP(C14,Planilha3!A:A,Planilha3!G:G)</f>
        <v>45916</v>
      </c>
      <c r="I14" s="23">
        <f>_xlfn.XLOOKUP(K14,Grupo!F:F,Grupo!G:G)</f>
        <v>46440.22</v>
      </c>
      <c r="J14" s="6">
        <f>_xlfn.XLOOKUP(D14,Grupo!B:B,Grupo!C:C)</f>
        <v>10</v>
      </c>
      <c r="K14" s="24">
        <f>_xlfn.XLOOKUP(A14,[1]COORDENADAS_GEOGRÁFICAS!$D:$D,[1]COORDENADAS_GEOGRÁFICAS!$F:$F)</f>
        <v>80</v>
      </c>
      <c r="L14" s="6"/>
      <c r="M14" s="6"/>
      <c r="N14" s="52">
        <f>_xlfn.XLOOKUP(D14,Grupo!B:B,Grupo!D:D)</f>
        <v>-12.620481488718251</v>
      </c>
      <c r="O14" s="52">
        <f>_xlfn.XLOOKUP(D14,Grupo!B:B,Grupo!E:E)</f>
        <v>-47.884083728442604</v>
      </c>
      <c r="P14" s="52">
        <f>_xlfn.XLOOKUP(A14,[1]COORDENADAS_GEOGRÁFICAS!$D:$D,[1]COORDENADAS_GEOGRÁFICAS!$G:$G)</f>
        <v>-12.394500000000001</v>
      </c>
      <c r="Q14" s="52">
        <f>_xlfn.XLOOKUP(A14,[1]COORDENADAS_GEOGRÁFICAS!$D:$D,[1]COORDENADAS_GEOGRÁFICAS!$H:$H)</f>
        <v>-47.930900000000001</v>
      </c>
      <c r="R14" s="20">
        <f t="shared" si="0"/>
        <v>25.636784727334486</v>
      </c>
    </row>
    <row r="15" spans="1:18" x14ac:dyDescent="0.3">
      <c r="A15" s="24">
        <v>3439684</v>
      </c>
      <c r="B15" s="24" t="s">
        <v>765</v>
      </c>
      <c r="C15" s="24">
        <v>402301016</v>
      </c>
      <c r="D15" s="24" t="str">
        <f>_xlfn.XLOOKUP(C15,Planilha3!A:A,Planilha3!C:C)</f>
        <v>PARANÃ</v>
      </c>
      <c r="E15" s="24">
        <v>1</v>
      </c>
      <c r="F15" s="36">
        <f>_xlfn.XLOOKUP(C15,Planilha3!A:A,Planilha3!E:E)</f>
        <v>45303.609166666669</v>
      </c>
      <c r="G15" s="55">
        <f>_xlfn.XLOOKUP(C15,Planilha3!A:A,Planilha3!F:F)</f>
        <v>45316.609166666669</v>
      </c>
      <c r="H15" s="54">
        <f>_xlfn.XLOOKUP(C15,Planilha3!A:A,Planilha3!G:G)</f>
        <v>45916</v>
      </c>
      <c r="I15" s="23">
        <f>_xlfn.XLOOKUP(K15,Grupo!F:F,Grupo!G:G)</f>
        <v>46440.22</v>
      </c>
      <c r="J15" s="6">
        <f>_xlfn.XLOOKUP(D15,Grupo!B:B,Grupo!C:C)</f>
        <v>10</v>
      </c>
      <c r="K15" s="24">
        <f>_xlfn.XLOOKUP(A15,[1]COORDENADAS_GEOGRÁFICAS!$D:$D,[1]COORDENADAS_GEOGRÁFICAS!$F:$F)</f>
        <v>80</v>
      </c>
      <c r="L15" s="7"/>
      <c r="M15" s="7"/>
      <c r="N15" s="52">
        <f>_xlfn.XLOOKUP(D15,Grupo!B:B,Grupo!D:D)</f>
        <v>-12.620481488718251</v>
      </c>
      <c r="O15" s="52">
        <f>_xlfn.XLOOKUP(D15,Grupo!B:B,Grupo!E:E)</f>
        <v>-47.884083728442604</v>
      </c>
      <c r="P15" s="52">
        <f>_xlfn.XLOOKUP(A15,[1]COORDENADAS_GEOGRÁFICAS!$D:$D,[1]COORDENADAS_GEOGRÁFICAS!$G:$G)</f>
        <v>-12.335967</v>
      </c>
      <c r="Q15" s="52">
        <f>_xlfn.XLOOKUP(A15,[1]COORDENADAS_GEOGRÁFICAS!$D:$D,[1]COORDENADAS_GEOGRÁFICAS!$H:$H)</f>
        <v>-48.202075000000001</v>
      </c>
      <c r="R15" s="20">
        <f t="shared" si="0"/>
        <v>46.82691879041257</v>
      </c>
    </row>
    <row r="16" spans="1:18" x14ac:dyDescent="0.3">
      <c r="A16" s="24">
        <v>3466189</v>
      </c>
      <c r="B16" s="24" t="s">
        <v>765</v>
      </c>
      <c r="C16" s="24">
        <v>402301109</v>
      </c>
      <c r="D16" s="24" t="str">
        <f>_xlfn.XLOOKUP(C16,Planilha3!A:A,Planilha3!C:C)</f>
        <v>PARANÃ</v>
      </c>
      <c r="E16" s="24">
        <v>1</v>
      </c>
      <c r="F16" s="36">
        <f>_xlfn.XLOOKUP(C16,Planilha3!A:A,Planilha3!E:E)</f>
        <v>45445.637280092589</v>
      </c>
      <c r="G16" s="55">
        <f>_xlfn.XLOOKUP(C16,Planilha3!A:A,Planilha3!F:F)</f>
        <v>45460.637280092589</v>
      </c>
      <c r="H16" s="54">
        <f>_xlfn.XLOOKUP(C16,Planilha3!A:A,Planilha3!G:G)</f>
        <v>45916</v>
      </c>
      <c r="I16" s="23">
        <f>_xlfn.XLOOKUP(K16,Grupo!F:F,Grupo!G:G)</f>
        <v>46440.22</v>
      </c>
      <c r="J16" s="6">
        <f>_xlfn.XLOOKUP(D16,Grupo!B:B,Grupo!C:C)</f>
        <v>10</v>
      </c>
      <c r="K16" s="24">
        <f>_xlfn.XLOOKUP(A16,[1]COORDENADAS_GEOGRÁFICAS!$D:$D,[1]COORDENADAS_GEOGRÁFICAS!$F:$F)</f>
        <v>80</v>
      </c>
      <c r="L16" s="6"/>
      <c r="M16" s="6"/>
      <c r="N16" s="52">
        <f>_xlfn.XLOOKUP(D16,Grupo!B:B,Grupo!D:D)</f>
        <v>-12.620481488718251</v>
      </c>
      <c r="O16" s="52">
        <f>_xlfn.XLOOKUP(D16,Grupo!B:B,Grupo!E:E)</f>
        <v>-47.884083728442604</v>
      </c>
      <c r="P16" s="52">
        <f>_xlfn.XLOOKUP(A16,[1]COORDENADAS_GEOGRÁFICAS!$D:$D,[1]COORDENADAS_GEOGRÁFICAS!$G:$G)</f>
        <v>-12.285527</v>
      </c>
      <c r="Q16" s="52">
        <f>_xlfn.XLOOKUP(A16,[1]COORDENADAS_GEOGRÁFICAS!$D:$D,[1]COORDENADAS_GEOGRÁFICAS!$H:$H)</f>
        <v>-48.186433000000001</v>
      </c>
      <c r="R16" s="20">
        <f t="shared" si="0"/>
        <v>49.648066513570569</v>
      </c>
    </row>
    <row r="17" spans="1:18" x14ac:dyDescent="0.3">
      <c r="A17" s="24">
        <v>3459487</v>
      </c>
      <c r="B17" s="24" t="s">
        <v>765</v>
      </c>
      <c r="C17" s="24">
        <v>402301110</v>
      </c>
      <c r="D17" s="24" t="str">
        <f>_xlfn.XLOOKUP(C17,Planilha3!A:A,Planilha3!C:C)</f>
        <v>PARANÃ</v>
      </c>
      <c r="E17" s="24">
        <v>1</v>
      </c>
      <c r="F17" s="36">
        <f>_xlfn.XLOOKUP(C17,Planilha3!A:A,Planilha3!E:E)</f>
        <v>45444.647199074076</v>
      </c>
      <c r="G17" s="55">
        <f>_xlfn.XLOOKUP(C17,Planilha3!A:A,Planilha3!F:F)</f>
        <v>45460.647199074076</v>
      </c>
      <c r="H17" s="54">
        <f>_xlfn.XLOOKUP(C17,Planilha3!A:A,Planilha3!G:G)</f>
        <v>45916</v>
      </c>
      <c r="I17" s="23">
        <f>_xlfn.XLOOKUP(K17,Grupo!F:F,Grupo!G:G)</f>
        <v>46440.22</v>
      </c>
      <c r="J17" s="6">
        <f>_xlfn.XLOOKUP(D17,Grupo!B:B,Grupo!C:C)</f>
        <v>10</v>
      </c>
      <c r="K17" s="24">
        <f>_xlfn.XLOOKUP(A17,[1]COORDENADAS_GEOGRÁFICAS!$D:$D,[1]COORDENADAS_GEOGRÁFICAS!$F:$F)</f>
        <v>80</v>
      </c>
      <c r="L17" s="6"/>
      <c r="M17" s="6"/>
      <c r="N17" s="52">
        <f>_xlfn.XLOOKUP(D17,Grupo!B:B,Grupo!D:D)</f>
        <v>-12.620481488718251</v>
      </c>
      <c r="O17" s="52">
        <f>_xlfn.XLOOKUP(D17,Grupo!B:B,Grupo!E:E)</f>
        <v>-47.884083728442604</v>
      </c>
      <c r="P17" s="52">
        <f>_xlfn.XLOOKUP(A17,[1]COORDENADAS_GEOGRÁFICAS!$D:$D,[1]COORDENADAS_GEOGRÁFICAS!$G:$G)</f>
        <v>-12.285871999999999</v>
      </c>
      <c r="Q17" s="52">
        <f>_xlfn.XLOOKUP(A17,[1]COORDENADAS_GEOGRÁFICAS!$D:$D,[1]COORDENADAS_GEOGRÁFICAS!$H:$H)</f>
        <v>-48.183301999999998</v>
      </c>
      <c r="R17" s="20">
        <f t="shared" si="0"/>
        <v>49.39501660606728</v>
      </c>
    </row>
    <row r="18" spans="1:18" x14ac:dyDescent="0.3">
      <c r="A18" s="24">
        <v>3466458</v>
      </c>
      <c r="B18" s="24" t="s">
        <v>765</v>
      </c>
      <c r="C18" s="24">
        <v>402301065</v>
      </c>
      <c r="D18" s="24" t="str">
        <f>_xlfn.XLOOKUP(C18,Planilha3!A:A,Planilha3!C:C)</f>
        <v>PARANÃ</v>
      </c>
      <c r="E18" s="24">
        <v>1</v>
      </c>
      <c r="F18" s="36">
        <f>_xlfn.XLOOKUP(C18,Planilha3!A:A,Planilha3!E:E)</f>
        <v>45446.587395833332</v>
      </c>
      <c r="G18" s="55">
        <f>_xlfn.XLOOKUP(C18,Planilha3!A:A,Planilha3!F:F)</f>
        <v>45457.587395833332</v>
      </c>
      <c r="H18" s="54">
        <f>_xlfn.XLOOKUP(C18,Planilha3!A:A,Planilha3!G:G)</f>
        <v>45916</v>
      </c>
      <c r="I18" s="23">
        <f>_xlfn.XLOOKUP(K18,Grupo!F:F,Grupo!G:G)</f>
        <v>46440.22</v>
      </c>
      <c r="J18" s="6">
        <f>_xlfn.XLOOKUP(D18,Grupo!B:B,Grupo!C:C)</f>
        <v>10</v>
      </c>
      <c r="K18" s="24">
        <f>_xlfn.XLOOKUP(A18,[1]COORDENADAS_GEOGRÁFICAS!$D:$D,[1]COORDENADAS_GEOGRÁFICAS!$F:$F)</f>
        <v>80</v>
      </c>
      <c r="L18" s="7"/>
      <c r="M18" s="7"/>
      <c r="N18" s="52">
        <f>_xlfn.XLOOKUP(D18,Grupo!B:B,Grupo!D:D)</f>
        <v>-12.620481488718251</v>
      </c>
      <c r="O18" s="52">
        <f>_xlfn.XLOOKUP(D18,Grupo!B:B,Grupo!E:E)</f>
        <v>-47.884083728442604</v>
      </c>
      <c r="P18" s="52">
        <f>_xlfn.XLOOKUP(A18,[1]COORDENADAS_GEOGRÁFICAS!$D:$D,[1]COORDENADAS_GEOGRÁFICAS!$G:$G)</f>
        <v>-12.481156</v>
      </c>
      <c r="Q18" s="52">
        <f>_xlfn.XLOOKUP(A18,[1]COORDENADAS_GEOGRÁFICAS!$D:$D,[1]COORDENADAS_GEOGRÁFICAS!$H:$H)</f>
        <v>-48.120317</v>
      </c>
      <c r="R18" s="20">
        <f t="shared" si="0"/>
        <v>29.957171514712797</v>
      </c>
    </row>
    <row r="19" spans="1:18" x14ac:dyDescent="0.3">
      <c r="A19" s="24">
        <v>3439267</v>
      </c>
      <c r="B19" s="24" t="s">
        <v>765</v>
      </c>
      <c r="C19" s="24">
        <v>402301035</v>
      </c>
      <c r="D19" s="24" t="str">
        <f>_xlfn.XLOOKUP(C19,Planilha3!A:A,Planilha3!C:C)</f>
        <v>PARANÃ</v>
      </c>
      <c r="E19" s="24">
        <v>1</v>
      </c>
      <c r="F19" s="36">
        <f>_xlfn.XLOOKUP(C19,Planilha3!A:A,Planilha3!E:E)</f>
        <v>45304.662638888891</v>
      </c>
      <c r="G19" s="55">
        <f>_xlfn.XLOOKUP(C19,Planilha3!A:A,Planilha3!F:F)</f>
        <v>45316.662638888891</v>
      </c>
      <c r="H19" s="54">
        <f>_xlfn.XLOOKUP(C19,Planilha3!A:A,Planilha3!G:G)</f>
        <v>45916</v>
      </c>
      <c r="I19" s="23">
        <f>_xlfn.XLOOKUP(K19,Grupo!F:F,Grupo!G:G)</f>
        <v>46440.22</v>
      </c>
      <c r="J19" s="6">
        <f>_xlfn.XLOOKUP(D19,Grupo!B:B,Grupo!C:C)</f>
        <v>10</v>
      </c>
      <c r="K19" s="24">
        <f>_xlfn.XLOOKUP(A19,[1]COORDENADAS_GEOGRÁFICAS!$D:$D,[1]COORDENADAS_GEOGRÁFICAS!$F:$F)</f>
        <v>80</v>
      </c>
      <c r="L19" s="6"/>
      <c r="M19" s="6"/>
      <c r="N19" s="52">
        <f>_xlfn.XLOOKUP(D19,Grupo!B:B,Grupo!D:D)</f>
        <v>-12.620481488718251</v>
      </c>
      <c r="O19" s="52">
        <f>_xlfn.XLOOKUP(D19,Grupo!B:B,Grupo!E:E)</f>
        <v>-47.884083728442604</v>
      </c>
      <c r="P19" s="52">
        <f>_xlfn.XLOOKUP(A19,[1]COORDENADAS_GEOGRÁFICAS!$D:$D,[1]COORDENADAS_GEOGRÁFICAS!$G:$G)</f>
        <v>-12.485378000000001</v>
      </c>
      <c r="Q19" s="52">
        <f>_xlfn.XLOOKUP(A19,[1]COORDENADAS_GEOGRÁFICAS!$D:$D,[1]COORDENADAS_GEOGRÁFICAS!$H:$H)</f>
        <v>-48.104868000000003</v>
      </c>
      <c r="R19" s="20">
        <f t="shared" si="0"/>
        <v>28.28288481718905</v>
      </c>
    </row>
    <row r="20" spans="1:18" x14ac:dyDescent="0.3">
      <c r="A20" s="24">
        <v>3439403</v>
      </c>
      <c r="B20" s="24" t="s">
        <v>765</v>
      </c>
      <c r="C20" s="24">
        <v>402301036</v>
      </c>
      <c r="D20" s="24" t="str">
        <f>_xlfn.XLOOKUP(C20,Planilha3!A:A,Planilha3!C:C)</f>
        <v>PARANÃ</v>
      </c>
      <c r="E20" s="24">
        <v>1</v>
      </c>
      <c r="F20" s="36">
        <f>_xlfn.XLOOKUP(C20,Planilha3!A:A,Planilha3!E:E)</f>
        <v>45385.412453703706</v>
      </c>
      <c r="G20" s="55">
        <f>_xlfn.XLOOKUP(C20,Planilha3!A:A,Planilha3!F:F)</f>
        <v>45398.412453703706</v>
      </c>
      <c r="H20" s="54">
        <f>_xlfn.XLOOKUP(C20,Planilha3!A:A,Planilha3!G:G)</f>
        <v>45916</v>
      </c>
      <c r="I20" s="23">
        <f>_xlfn.XLOOKUP(K20,Grupo!F:F,Grupo!G:G)</f>
        <v>46440.22</v>
      </c>
      <c r="J20" s="6">
        <f>_xlfn.XLOOKUP(D20,Grupo!B:B,Grupo!C:C)</f>
        <v>10</v>
      </c>
      <c r="K20" s="24">
        <f>_xlfn.XLOOKUP(A20,[1]COORDENADAS_GEOGRÁFICAS!$D:$D,[1]COORDENADAS_GEOGRÁFICAS!$F:$F)</f>
        <v>80</v>
      </c>
      <c r="L20" s="6"/>
      <c r="M20" s="6"/>
      <c r="N20" s="52">
        <f>_xlfn.XLOOKUP(D20,Grupo!B:B,Grupo!D:D)</f>
        <v>-12.620481488718251</v>
      </c>
      <c r="O20" s="52">
        <f>_xlfn.XLOOKUP(D20,Grupo!B:B,Grupo!E:E)</f>
        <v>-47.884083728442604</v>
      </c>
      <c r="P20" s="52">
        <f>_xlfn.XLOOKUP(A20,[1]COORDENADAS_GEOGRÁFICAS!$D:$D,[1]COORDENADAS_GEOGRÁFICAS!$G:$G)</f>
        <v>-12.375287999999999</v>
      </c>
      <c r="Q20" s="52">
        <f>_xlfn.XLOOKUP(A20,[1]COORDENADAS_GEOGRÁFICAS!$D:$D,[1]COORDENADAS_GEOGRÁFICAS!$H:$H)</f>
        <v>-48.107132999999997</v>
      </c>
      <c r="R20" s="20">
        <f t="shared" si="0"/>
        <v>36.464625358308027</v>
      </c>
    </row>
    <row r="21" spans="1:18" x14ac:dyDescent="0.3">
      <c r="A21" s="24">
        <v>3466640</v>
      </c>
      <c r="B21" s="24" t="s">
        <v>765</v>
      </c>
      <c r="C21" s="24">
        <v>402301061</v>
      </c>
      <c r="D21" s="24" t="str">
        <f>_xlfn.XLOOKUP(C21,Planilha3!A:A,Planilha3!C:C)</f>
        <v>PARANÃ</v>
      </c>
      <c r="E21" s="24">
        <v>1</v>
      </c>
      <c r="F21" s="36">
        <f>_xlfn.XLOOKUP(C21,Planilha3!A:A,Planilha3!E:E)</f>
        <v>45442.393692129626</v>
      </c>
      <c r="G21" s="55">
        <f>_xlfn.XLOOKUP(C21,Planilha3!A:A,Planilha3!F:F)</f>
        <v>45457.393692129626</v>
      </c>
      <c r="H21" s="54">
        <f>_xlfn.XLOOKUP(C21,Planilha3!A:A,Planilha3!G:G)</f>
        <v>45916</v>
      </c>
      <c r="I21" s="23">
        <f>_xlfn.XLOOKUP(K21,Grupo!F:F,Grupo!G:G)</f>
        <v>46440.22</v>
      </c>
      <c r="J21" s="6">
        <f>_xlfn.XLOOKUP(D21,Grupo!B:B,Grupo!C:C)</f>
        <v>10</v>
      </c>
      <c r="K21" s="24">
        <f>_xlfn.XLOOKUP(A21,[1]COORDENADAS_GEOGRÁFICAS!$D:$D,[1]COORDENADAS_GEOGRÁFICAS!$F:$F)</f>
        <v>80</v>
      </c>
      <c r="L21" s="6"/>
      <c r="M21" s="6"/>
      <c r="N21" s="52">
        <f>_xlfn.XLOOKUP(D21,Grupo!B:B,Grupo!D:D)</f>
        <v>-12.620481488718251</v>
      </c>
      <c r="O21" s="52">
        <f>_xlfn.XLOOKUP(D21,Grupo!B:B,Grupo!E:E)</f>
        <v>-47.884083728442604</v>
      </c>
      <c r="P21" s="52">
        <f>_xlfn.XLOOKUP(A21,[1]COORDENADAS_GEOGRÁFICAS!$D:$D,[1]COORDENADAS_GEOGRÁFICAS!$G:$G)</f>
        <v>-12.358734999999999</v>
      </c>
      <c r="Q21" s="52">
        <f>_xlfn.XLOOKUP(A21,[1]COORDENADAS_GEOGRÁFICAS!$D:$D,[1]COORDENADAS_GEOGRÁFICAS!$H:$H)</f>
        <v>-47.985798000000003</v>
      </c>
      <c r="R21" s="20">
        <f t="shared" si="0"/>
        <v>31.129243667266007</v>
      </c>
    </row>
    <row r="22" spans="1:18" x14ac:dyDescent="0.3">
      <c r="A22" s="24">
        <v>3466448</v>
      </c>
      <c r="B22" s="24" t="s">
        <v>765</v>
      </c>
      <c r="C22" s="24">
        <v>402301062</v>
      </c>
      <c r="D22" s="24" t="str">
        <f>_xlfn.XLOOKUP(C22,Planilha3!A:A,Planilha3!C:C)</f>
        <v>PARANÃ</v>
      </c>
      <c r="E22" s="24">
        <v>1</v>
      </c>
      <c r="F22" s="36">
        <f>_xlfn.XLOOKUP(C22,Planilha3!A:A,Planilha3!E:E)</f>
        <v>45446.423275462963</v>
      </c>
      <c r="G22" s="55">
        <f>_xlfn.XLOOKUP(C22,Planilha3!A:A,Planilha3!F:F)</f>
        <v>45457.423275462963</v>
      </c>
      <c r="H22" s="54">
        <f>_xlfn.XLOOKUP(C22,Planilha3!A:A,Planilha3!G:G)</f>
        <v>45916</v>
      </c>
      <c r="I22" s="23">
        <f>_xlfn.XLOOKUP(K22,Grupo!F:F,Grupo!G:G)</f>
        <v>46440.22</v>
      </c>
      <c r="J22" s="6">
        <f>_xlfn.XLOOKUP(D22,Grupo!B:B,Grupo!C:C)</f>
        <v>10</v>
      </c>
      <c r="K22" s="24">
        <f>_xlfn.XLOOKUP(A22,[1]COORDENADAS_GEOGRÁFICAS!$D:$D,[1]COORDENADAS_GEOGRÁFICAS!$F:$F)</f>
        <v>80</v>
      </c>
      <c r="L22" s="8"/>
      <c r="M22" s="8"/>
      <c r="N22" s="52">
        <f>_xlfn.XLOOKUP(D22,Grupo!B:B,Grupo!D:D)</f>
        <v>-12.620481488718251</v>
      </c>
      <c r="O22" s="52">
        <f>_xlfn.XLOOKUP(D22,Grupo!B:B,Grupo!E:E)</f>
        <v>-47.884083728442604</v>
      </c>
      <c r="P22" s="52">
        <f>_xlfn.XLOOKUP(A22,[1]COORDENADAS_GEOGRÁFICAS!$D:$D,[1]COORDENADAS_GEOGRÁFICAS!$G:$G)</f>
        <v>-12.377700000000001</v>
      </c>
      <c r="Q22" s="52">
        <f>_xlfn.XLOOKUP(A22,[1]COORDENADAS_GEOGRÁFICAS!$D:$D,[1]COORDENADAS_GEOGRÁFICAS!$H:$H)</f>
        <v>-48.140999999999998</v>
      </c>
      <c r="R22" s="20">
        <f t="shared" si="0"/>
        <v>38.815954051050113</v>
      </c>
    </row>
    <row r="23" spans="1:18" x14ac:dyDescent="0.3">
      <c r="A23" s="24">
        <v>3466727</v>
      </c>
      <c r="B23" s="24" t="s">
        <v>765</v>
      </c>
      <c r="C23" s="24">
        <v>402301040</v>
      </c>
      <c r="D23" s="24" t="str">
        <f>_xlfn.XLOOKUP(C23,Planilha3!A:A,Planilha3!C:C)</f>
        <v>PARANÃ</v>
      </c>
      <c r="E23" s="24">
        <v>1</v>
      </c>
      <c r="F23" s="36">
        <f>_xlfn.XLOOKUP(C23,Planilha3!A:A,Planilha3!E:E)</f>
        <v>45428.463449074072</v>
      </c>
      <c r="G23" s="55">
        <f>_xlfn.XLOOKUP(C23,Planilha3!A:A,Planilha3!F:F)</f>
        <v>45440.463449074072</v>
      </c>
      <c r="H23" s="54">
        <f>_xlfn.XLOOKUP(C23,Planilha3!A:A,Planilha3!G:G)</f>
        <v>45916</v>
      </c>
      <c r="I23" s="23">
        <f>_xlfn.XLOOKUP(K23,Grupo!F:F,Grupo!G:G)</f>
        <v>46440.22</v>
      </c>
      <c r="J23" s="6">
        <f>_xlfn.XLOOKUP(D23,Grupo!B:B,Grupo!C:C)</f>
        <v>10</v>
      </c>
      <c r="K23" s="24">
        <f>_xlfn.XLOOKUP(A23,[1]COORDENADAS_GEOGRÁFICAS!$D:$D,[1]COORDENADAS_GEOGRÁFICAS!$F:$F)</f>
        <v>80</v>
      </c>
      <c r="L23" s="6"/>
      <c r="M23" s="6"/>
      <c r="N23" s="52">
        <f>_xlfn.XLOOKUP(D23,Grupo!B:B,Grupo!D:D)</f>
        <v>-12.620481488718251</v>
      </c>
      <c r="O23" s="52">
        <f>_xlfn.XLOOKUP(D23,Grupo!B:B,Grupo!E:E)</f>
        <v>-47.884083728442604</v>
      </c>
      <c r="P23" s="52">
        <f>_xlfn.XLOOKUP(A23,[1]COORDENADAS_GEOGRÁFICAS!$D:$D,[1]COORDENADAS_GEOGRÁFICAS!$G:$G)</f>
        <v>-12.330387999999999</v>
      </c>
      <c r="Q23" s="52">
        <f>_xlfn.XLOOKUP(A23,[1]COORDENADAS_GEOGRÁFICAS!$D:$D,[1]COORDENADAS_GEOGRÁFICAS!$H:$H)</f>
        <v>-48.191267000000003</v>
      </c>
      <c r="R23" s="20">
        <f t="shared" si="0"/>
        <v>46.398030102117339</v>
      </c>
    </row>
    <row r="24" spans="1:18" x14ac:dyDescent="0.3">
      <c r="A24" s="24">
        <v>3463647</v>
      </c>
      <c r="B24" s="24" t="s">
        <v>765</v>
      </c>
      <c r="C24" s="24">
        <v>402301049</v>
      </c>
      <c r="D24" s="24" t="str">
        <f>_xlfn.XLOOKUP(C24,Planilha3!A:A,Planilha3!C:C)</f>
        <v>PARANÃ</v>
      </c>
      <c r="E24" s="24">
        <v>1</v>
      </c>
      <c r="F24" s="36">
        <f>_xlfn.XLOOKUP(C24,Planilha3!A:A,Planilha3!E:E)</f>
        <v>45435.648773148147</v>
      </c>
      <c r="G24" s="55">
        <f>_xlfn.XLOOKUP(C24,Planilha3!A:A,Planilha3!F:F)</f>
        <v>45448.648773148147</v>
      </c>
      <c r="H24" s="54">
        <f>_xlfn.XLOOKUP(C24,Planilha3!A:A,Planilha3!G:G)</f>
        <v>45916</v>
      </c>
      <c r="I24" s="23">
        <f>_xlfn.XLOOKUP(K24,Grupo!F:F,Grupo!G:G)</f>
        <v>46440.22</v>
      </c>
      <c r="J24" s="6">
        <f>_xlfn.XLOOKUP(D24,Grupo!B:B,Grupo!C:C)</f>
        <v>10</v>
      </c>
      <c r="K24" s="24">
        <f>_xlfn.XLOOKUP(A24,[1]COORDENADAS_GEOGRÁFICAS!$D:$D,[1]COORDENADAS_GEOGRÁFICAS!$F:$F)</f>
        <v>80</v>
      </c>
      <c r="L24" s="8"/>
      <c r="M24" s="7"/>
      <c r="N24" s="52">
        <f>_xlfn.XLOOKUP(D24,Grupo!B:B,Grupo!D:D)</f>
        <v>-12.620481488718251</v>
      </c>
      <c r="O24" s="52">
        <f>_xlfn.XLOOKUP(D24,Grupo!B:B,Grupo!E:E)</f>
        <v>-47.884083728442604</v>
      </c>
      <c r="P24" s="52">
        <f>_xlfn.XLOOKUP(A24,[1]COORDENADAS_GEOGRÁFICAS!$D:$D,[1]COORDENADAS_GEOGRÁFICAS!$G:$G)</f>
        <v>-12.480683000000001</v>
      </c>
      <c r="Q24" s="52">
        <f>_xlfn.XLOOKUP(A24,[1]COORDENADAS_GEOGRÁFICAS!$D:$D,[1]COORDENADAS_GEOGRÁFICAS!$H:$H)</f>
        <v>-48.106127999999998</v>
      </c>
      <c r="R24" s="20">
        <f t="shared" si="0"/>
        <v>28.678620668123553</v>
      </c>
    </row>
    <row r="25" spans="1:18" x14ac:dyDescent="0.3">
      <c r="A25" s="24">
        <v>3466162</v>
      </c>
      <c r="B25" s="24" t="s">
        <v>765</v>
      </c>
      <c r="C25" s="24">
        <v>402301059</v>
      </c>
      <c r="D25" s="24" t="str">
        <f>_xlfn.XLOOKUP(C25,Planilha3!A:A,Planilha3!C:C)</f>
        <v>PARANÃ</v>
      </c>
      <c r="E25" s="24">
        <v>1</v>
      </c>
      <c r="F25" s="36">
        <f>_xlfn.XLOOKUP(C25,Planilha3!A:A,Planilha3!E:E)</f>
        <v>45442.369629629633</v>
      </c>
      <c r="G25" s="55">
        <f>_xlfn.XLOOKUP(C25,Planilha3!A:A,Planilha3!F:F)</f>
        <v>45457.369629629633</v>
      </c>
      <c r="H25" s="54">
        <f>_xlfn.XLOOKUP(C25,Planilha3!A:A,Planilha3!G:G)</f>
        <v>45916</v>
      </c>
      <c r="I25" s="23">
        <f>_xlfn.XLOOKUP(K25,Grupo!F:F,Grupo!G:G)</f>
        <v>46440.22</v>
      </c>
      <c r="J25" s="6">
        <f>_xlfn.XLOOKUP(D25,Grupo!B:B,Grupo!C:C)</f>
        <v>10</v>
      </c>
      <c r="K25" s="24">
        <f>_xlfn.XLOOKUP(A25,[1]COORDENADAS_GEOGRÁFICAS!$D:$D,[1]COORDENADAS_GEOGRÁFICAS!$F:$F)</f>
        <v>80</v>
      </c>
      <c r="L25" s="8"/>
      <c r="M25" s="7"/>
      <c r="N25" s="52">
        <f>_xlfn.XLOOKUP(D25,Grupo!B:B,Grupo!D:D)</f>
        <v>-12.620481488718251</v>
      </c>
      <c r="O25" s="52">
        <f>_xlfn.XLOOKUP(D25,Grupo!B:B,Grupo!E:E)</f>
        <v>-47.884083728442604</v>
      </c>
      <c r="P25" s="52">
        <f>_xlfn.XLOOKUP(A25,[1]COORDENADAS_GEOGRÁFICAS!$D:$D,[1]COORDENADAS_GEOGRÁFICAS!$G:$G)</f>
        <v>-12.377084999999999</v>
      </c>
      <c r="Q25" s="52">
        <f>_xlfn.XLOOKUP(A25,[1]COORDENADAS_GEOGRÁFICAS!$D:$D,[1]COORDENADAS_GEOGRÁFICAS!$H:$H)</f>
        <v>-48.211579</v>
      </c>
      <c r="R25" s="20">
        <f t="shared" si="0"/>
        <v>44.682015682448025</v>
      </c>
    </row>
    <row r="26" spans="1:18" x14ac:dyDescent="0.3">
      <c r="A26" s="24">
        <v>3466948</v>
      </c>
      <c r="B26" s="24" t="s">
        <v>765</v>
      </c>
      <c r="C26" s="24">
        <v>402301068</v>
      </c>
      <c r="D26" s="24" t="str">
        <f>_xlfn.XLOOKUP(C26,Planilha3!A:A,Planilha3!C:C)</f>
        <v>PARANÃ</v>
      </c>
      <c r="E26" s="24">
        <v>1</v>
      </c>
      <c r="F26" s="36">
        <f>_xlfn.XLOOKUP(C26,Planilha3!A:A,Planilha3!E:E)</f>
        <v>45441.629895833335</v>
      </c>
      <c r="G26" s="55">
        <f>_xlfn.XLOOKUP(C26,Planilha3!A:A,Planilha3!F:F)</f>
        <v>45457.629895833335</v>
      </c>
      <c r="H26" s="54">
        <f>_xlfn.XLOOKUP(C26,Planilha3!A:A,Planilha3!G:G)</f>
        <v>45916</v>
      </c>
      <c r="I26" s="23">
        <f>_xlfn.XLOOKUP(K26,Grupo!F:F,Grupo!G:G)</f>
        <v>46440.22</v>
      </c>
      <c r="J26" s="6">
        <f>_xlfn.XLOOKUP(D26,Grupo!B:B,Grupo!C:C)</f>
        <v>10</v>
      </c>
      <c r="K26" s="24">
        <f>_xlfn.XLOOKUP(A26,[1]COORDENADAS_GEOGRÁFICAS!$D:$D,[1]COORDENADAS_GEOGRÁFICAS!$F:$F)</f>
        <v>80</v>
      </c>
      <c r="L26" s="6"/>
      <c r="M26" s="6"/>
      <c r="N26" s="52">
        <f>_xlfn.XLOOKUP(D26,Grupo!B:B,Grupo!D:D)</f>
        <v>-12.620481488718251</v>
      </c>
      <c r="O26" s="52">
        <f>_xlfn.XLOOKUP(D26,Grupo!B:B,Grupo!E:E)</f>
        <v>-47.884083728442604</v>
      </c>
      <c r="P26" s="52">
        <f>_xlfn.XLOOKUP(A26,[1]COORDENADAS_GEOGRÁFICAS!$D:$D,[1]COORDENADAS_GEOGRÁFICAS!$G:$G)</f>
        <v>-12.7516</v>
      </c>
      <c r="Q26" s="52">
        <f>_xlfn.XLOOKUP(A26,[1]COORDENADAS_GEOGRÁFICAS!$D:$D,[1]COORDENADAS_GEOGRÁFICAS!$H:$H)</f>
        <v>-47.4452</v>
      </c>
      <c r="R26" s="20">
        <f t="shared" si="0"/>
        <v>49.7926422577521</v>
      </c>
    </row>
    <row r="27" spans="1:18" x14ac:dyDescent="0.3">
      <c r="A27" s="24">
        <v>3467077</v>
      </c>
      <c r="B27" s="24" t="s">
        <v>765</v>
      </c>
      <c r="C27" s="24">
        <v>402301058</v>
      </c>
      <c r="D27" s="24" t="str">
        <f>_xlfn.XLOOKUP(C27,Planilha3!A:A,Planilha3!C:C)</f>
        <v>PARANÃ</v>
      </c>
      <c r="E27" s="24">
        <v>1</v>
      </c>
      <c r="F27" s="54">
        <f>_xlfn.XLOOKUP(C27,Planilha3!A:A,Planilha3!E:E)</f>
        <v>45445.470543981479</v>
      </c>
      <c r="G27" s="54">
        <f>_xlfn.XLOOKUP(C27,Planilha3!A:A,Planilha3!F:F)</f>
        <v>45456.470543981479</v>
      </c>
      <c r="H27" s="54">
        <f>_xlfn.XLOOKUP(C27,Planilha3!A:A,Planilha3!G:G)</f>
        <v>45916</v>
      </c>
      <c r="I27" s="23">
        <f>_xlfn.XLOOKUP(K27,Grupo!F:F,Grupo!G:G)</f>
        <v>46440.22</v>
      </c>
      <c r="J27" s="6">
        <f>_xlfn.XLOOKUP(D27,Grupo!B:B,Grupo!C:C)</f>
        <v>10</v>
      </c>
      <c r="K27" s="24">
        <f>_xlfn.XLOOKUP(A27,[1]COORDENADAS_GEOGRÁFICAS!$D:$D,[1]COORDENADAS_GEOGRÁFICAS!$F:$F)</f>
        <v>80</v>
      </c>
      <c r="L27" s="53"/>
      <c r="M27" s="53"/>
      <c r="N27" s="52">
        <f>_xlfn.XLOOKUP(D27,Grupo!B:B,Grupo!D:D)</f>
        <v>-12.620481488718251</v>
      </c>
      <c r="O27" s="52">
        <f>_xlfn.XLOOKUP(D27,Grupo!B:B,Grupo!E:E)</f>
        <v>-47.884083728442604</v>
      </c>
      <c r="P27" s="52">
        <f>_xlfn.XLOOKUP(A27,[1]COORDENADAS_GEOGRÁFICAS!$D:$D,[1]COORDENADAS_GEOGRÁFICAS!$G:$G)</f>
        <v>-12.762413</v>
      </c>
      <c r="Q27" s="52">
        <f>_xlfn.XLOOKUP(A27,[1]COORDENADAS_GEOGRÁFICAS!$D:$D,[1]COORDENADAS_GEOGRÁFICAS!$H:$H)</f>
        <v>-47.421542000000002</v>
      </c>
      <c r="R27" s="20">
        <f t="shared" si="0"/>
        <v>52.599133971084548</v>
      </c>
    </row>
    <row r="28" spans="1:18" x14ac:dyDescent="0.3">
      <c r="A28" s="24">
        <v>3440353</v>
      </c>
      <c r="B28" s="24" t="s">
        <v>765</v>
      </c>
      <c r="C28" s="24">
        <v>402300999</v>
      </c>
      <c r="D28" s="24" t="str">
        <f>_xlfn.XLOOKUP(C28,Planilha3!A:A,Planilha3!C:C)</f>
        <v>PARANÃ</v>
      </c>
      <c r="E28" s="24">
        <v>1</v>
      </c>
      <c r="F28" s="54">
        <f>_xlfn.XLOOKUP(C28,Planilha3!A:A,Planilha3!E:E)</f>
        <v>45385.676562499997</v>
      </c>
      <c r="G28" s="54">
        <f>_xlfn.XLOOKUP(C28,Planilha3!A:A,Planilha3!F:F)</f>
        <v>45397.676562499997</v>
      </c>
      <c r="H28" s="54">
        <f>_xlfn.XLOOKUP(C28,Planilha3!A:A,Planilha3!G:G)</f>
        <v>45916</v>
      </c>
      <c r="I28" s="23">
        <f>_xlfn.XLOOKUP(K28,Grupo!F:F,Grupo!G:G)</f>
        <v>46440.22</v>
      </c>
      <c r="J28" s="6">
        <f>_xlfn.XLOOKUP(D28,Grupo!B:B,Grupo!C:C)</f>
        <v>10</v>
      </c>
      <c r="K28" s="24">
        <f>_xlfn.XLOOKUP(A28,[1]COORDENADAS_GEOGRÁFICAS!$D:$D,[1]COORDENADAS_GEOGRÁFICAS!$F:$F)</f>
        <v>80</v>
      </c>
      <c r="L28" s="53"/>
      <c r="M28" s="53"/>
      <c r="N28" s="52">
        <f>_xlfn.XLOOKUP(D28,Grupo!B:B,Grupo!D:D)</f>
        <v>-12.620481488718251</v>
      </c>
      <c r="O28" s="52">
        <f>_xlfn.XLOOKUP(D28,Grupo!B:B,Grupo!E:E)</f>
        <v>-47.884083728442604</v>
      </c>
      <c r="P28" s="52">
        <f>_xlfn.XLOOKUP(A28,[1]COORDENADAS_GEOGRÁFICAS!$D:$D,[1]COORDENADAS_GEOGRÁFICAS!$G:$G)</f>
        <v>-12.766393000000001</v>
      </c>
      <c r="Q28" s="52">
        <f>_xlfn.XLOOKUP(A28,[1]COORDENADAS_GEOGRÁFICAS!$D:$D,[1]COORDENADAS_GEOGRÁFICAS!$H:$H)</f>
        <v>-47.404176999999997</v>
      </c>
      <c r="R28" s="20">
        <f t="shared" si="0"/>
        <v>54.528647925176138</v>
      </c>
    </row>
    <row r="29" spans="1:18" x14ac:dyDescent="0.3">
      <c r="A29" s="24">
        <v>3434916</v>
      </c>
      <c r="B29" s="24" t="s">
        <v>765</v>
      </c>
      <c r="C29" s="24">
        <v>402301014</v>
      </c>
      <c r="D29" s="24" t="str">
        <f>_xlfn.XLOOKUP(C29,Planilha3!A:A,Planilha3!C:C)</f>
        <v>PARANÃ</v>
      </c>
      <c r="E29" s="24">
        <v>1</v>
      </c>
      <c r="F29" s="54">
        <f>_xlfn.XLOOKUP(C29,Planilha3!A:A,Planilha3!E:E)</f>
        <v>45301.611122685186</v>
      </c>
      <c r="G29" s="54">
        <f>_xlfn.XLOOKUP(C29,Planilha3!A:A,Planilha3!F:F)</f>
        <v>45314.611122685186</v>
      </c>
      <c r="H29" s="54">
        <f>_xlfn.XLOOKUP(C29,Planilha3!A:A,Planilha3!G:G)</f>
        <v>45916</v>
      </c>
      <c r="I29" s="23">
        <f>_xlfn.XLOOKUP(K29,Grupo!F:F,Grupo!G:G)</f>
        <v>46440.22</v>
      </c>
      <c r="J29" s="6">
        <f>_xlfn.XLOOKUP(D29,Grupo!B:B,Grupo!C:C)</f>
        <v>10</v>
      </c>
      <c r="K29" s="24">
        <f>_xlfn.XLOOKUP(A29,[1]COORDENADAS_GEOGRÁFICAS!$D:$D,[1]COORDENADAS_GEOGRÁFICAS!$F:$F)</f>
        <v>80</v>
      </c>
      <c r="L29" s="53"/>
      <c r="M29" s="53"/>
      <c r="N29" s="52">
        <f>_xlfn.XLOOKUP(D29,Grupo!B:B,Grupo!D:D)</f>
        <v>-12.620481488718251</v>
      </c>
      <c r="O29" s="52">
        <f>_xlfn.XLOOKUP(D29,Grupo!B:B,Grupo!E:E)</f>
        <v>-47.884083728442604</v>
      </c>
      <c r="P29" s="52">
        <f>_xlfn.XLOOKUP(A29,[1]COORDENADAS_GEOGRÁFICAS!$D:$D,[1]COORDENADAS_GEOGRÁFICAS!$G:$G)</f>
        <v>-12.767196</v>
      </c>
      <c r="Q29" s="52">
        <f>_xlfn.XLOOKUP(A29,[1]COORDENADAS_GEOGRÁFICAS!$D:$D,[1]COORDENADAS_GEOGRÁFICAS!$H:$H)</f>
        <v>-47.421228999999997</v>
      </c>
      <c r="R29" s="20">
        <f t="shared" si="0"/>
        <v>52.792991310641469</v>
      </c>
    </row>
    <row r="30" spans="1:18" x14ac:dyDescent="0.3">
      <c r="A30" s="24">
        <v>3466164</v>
      </c>
      <c r="B30" s="24" t="s">
        <v>765</v>
      </c>
      <c r="C30" s="24">
        <v>402301063</v>
      </c>
      <c r="D30" s="24" t="str">
        <f>_xlfn.XLOOKUP(C30,Planilha3!A:A,Planilha3!C:C)</f>
        <v>PARANÃ</v>
      </c>
      <c r="E30" s="24">
        <v>1</v>
      </c>
      <c r="F30" s="54">
        <f>_xlfn.XLOOKUP(C30,Planilha3!A:A,Planilha3!E:E)</f>
        <v>45442.443020833336</v>
      </c>
      <c r="G30" s="54">
        <f>_xlfn.XLOOKUP(C30,Planilha3!A:A,Planilha3!F:F)</f>
        <v>45457.443020833336</v>
      </c>
      <c r="H30" s="54">
        <f>_xlfn.XLOOKUP(C30,Planilha3!A:A,Planilha3!G:G)</f>
        <v>45916</v>
      </c>
      <c r="I30" s="23">
        <f>_xlfn.XLOOKUP(K30,Grupo!F:F,Grupo!G:G)</f>
        <v>46440.22</v>
      </c>
      <c r="J30" s="6">
        <f>_xlfn.XLOOKUP(D30,Grupo!B:B,Grupo!C:C)</f>
        <v>10</v>
      </c>
      <c r="K30" s="24">
        <f>_xlfn.XLOOKUP(A30,[1]COORDENADAS_GEOGRÁFICAS!$D:$D,[1]COORDENADAS_GEOGRÁFICAS!$F:$F)</f>
        <v>80</v>
      </c>
      <c r="L30" s="53"/>
      <c r="M30" s="53"/>
      <c r="N30" s="52">
        <f>_xlfn.XLOOKUP(D30,Grupo!B:B,Grupo!D:D)</f>
        <v>-12.620481488718251</v>
      </c>
      <c r="O30" s="52">
        <f>_xlfn.XLOOKUP(D30,Grupo!B:B,Grupo!E:E)</f>
        <v>-47.884083728442604</v>
      </c>
      <c r="P30" s="52">
        <f>_xlfn.XLOOKUP(A30,[1]COORDENADAS_GEOGRÁFICAS!$D:$D,[1]COORDENADAS_GEOGRÁFICAS!$G:$G)</f>
        <v>-12.748760000000001</v>
      </c>
      <c r="Q30" s="52">
        <f>_xlfn.XLOOKUP(A30,[1]COORDENADAS_GEOGRÁFICAS!$D:$D,[1]COORDENADAS_GEOGRÁFICAS!$H:$H)</f>
        <v>-47.464922000000001</v>
      </c>
      <c r="R30" s="20">
        <f t="shared" si="0"/>
        <v>47.655842200110989</v>
      </c>
    </row>
    <row r="31" spans="1:18" x14ac:dyDescent="0.3">
      <c r="A31" s="24">
        <v>3466404</v>
      </c>
      <c r="B31" s="24" t="s">
        <v>765</v>
      </c>
      <c r="C31" s="24">
        <v>402301060</v>
      </c>
      <c r="D31" s="24" t="str">
        <f>_xlfn.XLOOKUP(C31,Planilha3!A:A,Planilha3!C:C)</f>
        <v>PARANÃ</v>
      </c>
      <c r="E31" s="24">
        <v>1</v>
      </c>
      <c r="F31" s="54">
        <f>_xlfn.XLOOKUP(C31,Planilha3!A:A,Planilha3!E:E)</f>
        <v>45446.382662037038</v>
      </c>
      <c r="G31" s="54">
        <f>_xlfn.XLOOKUP(C31,Planilha3!A:A,Planilha3!F:F)</f>
        <v>45457.382662037038</v>
      </c>
      <c r="H31" s="54">
        <f>_xlfn.XLOOKUP(C31,Planilha3!A:A,Planilha3!G:G)</f>
        <v>45916</v>
      </c>
      <c r="I31" s="23">
        <f>_xlfn.XLOOKUP(K31,Grupo!F:F,Grupo!G:G)</f>
        <v>46440.22</v>
      </c>
      <c r="J31" s="6">
        <f>_xlfn.XLOOKUP(D31,Grupo!B:B,Grupo!C:C)</f>
        <v>10</v>
      </c>
      <c r="K31" s="24">
        <f>_xlfn.XLOOKUP(A31,[1]COORDENADAS_GEOGRÁFICAS!$D:$D,[1]COORDENADAS_GEOGRÁFICAS!$F:$F)</f>
        <v>80</v>
      </c>
      <c r="L31" s="53"/>
      <c r="M31" s="53"/>
      <c r="N31" s="52">
        <f>_xlfn.XLOOKUP(D31,Grupo!B:B,Grupo!D:D)</f>
        <v>-12.620481488718251</v>
      </c>
      <c r="O31" s="52">
        <f>_xlfn.XLOOKUP(D31,Grupo!B:B,Grupo!E:E)</f>
        <v>-47.884083728442604</v>
      </c>
      <c r="P31" s="52">
        <f>_xlfn.XLOOKUP(A31,[1]COORDENADAS_GEOGRÁFICAS!$D:$D,[1]COORDENADAS_GEOGRÁFICAS!$G:$G)</f>
        <v>-12.351800000000001</v>
      </c>
      <c r="Q31" s="52">
        <f>_xlfn.XLOOKUP(A31,[1]COORDENADAS_GEOGRÁFICAS!$D:$D,[1]COORDENADAS_GEOGRÁFICAS!$H:$H)</f>
        <v>-47.983800000000002</v>
      </c>
      <c r="R31" s="20">
        <f t="shared" si="0"/>
        <v>31.77690836112918</v>
      </c>
    </row>
    <row r="32" spans="1:18" x14ac:dyDescent="0.3">
      <c r="A32" s="24">
        <v>3466593</v>
      </c>
      <c r="B32" s="24" t="s">
        <v>765</v>
      </c>
      <c r="C32" s="24">
        <v>402301071</v>
      </c>
      <c r="D32" s="24" t="str">
        <f>_xlfn.XLOOKUP(C32,Planilha3!A:A,Planilha3!C:C)</f>
        <v>PARANÃ</v>
      </c>
      <c r="E32" s="24">
        <v>1</v>
      </c>
      <c r="F32" s="54">
        <f>_xlfn.XLOOKUP(C32,Planilha3!A:A,Planilha3!E:E)</f>
        <v>45445.648715277777</v>
      </c>
      <c r="G32" s="54">
        <f>_xlfn.XLOOKUP(C32,Planilha3!A:A,Planilha3!F:F)</f>
        <v>45457.648715277777</v>
      </c>
      <c r="H32" s="54">
        <f>_xlfn.XLOOKUP(C32,Planilha3!A:A,Planilha3!G:G)</f>
        <v>45916</v>
      </c>
      <c r="I32" s="23">
        <f>_xlfn.XLOOKUP(K32,Grupo!F:F,Grupo!G:G)</f>
        <v>46440.22</v>
      </c>
      <c r="J32" s="6">
        <f>_xlfn.XLOOKUP(D32,Grupo!B:B,Grupo!C:C)</f>
        <v>10</v>
      </c>
      <c r="K32" s="24">
        <f>_xlfn.XLOOKUP(A32,[1]COORDENADAS_GEOGRÁFICAS!$D:$D,[1]COORDENADAS_GEOGRÁFICAS!$F:$F)</f>
        <v>80</v>
      </c>
      <c r="L32" s="53"/>
      <c r="M32" s="53"/>
      <c r="N32" s="52">
        <f>_xlfn.XLOOKUP(D32,Grupo!B:B,Grupo!D:D)</f>
        <v>-12.620481488718251</v>
      </c>
      <c r="O32" s="52">
        <f>_xlfn.XLOOKUP(D32,Grupo!B:B,Grupo!E:E)</f>
        <v>-47.884083728442604</v>
      </c>
      <c r="P32" s="52">
        <f>_xlfn.XLOOKUP(A32,[1]COORDENADAS_GEOGRÁFICAS!$D:$D,[1]COORDENADAS_GEOGRÁFICAS!$G:$G)</f>
        <v>-12.274850000000001</v>
      </c>
      <c r="Q32" s="52">
        <f>_xlfn.XLOOKUP(A32,[1]COORDENADAS_GEOGRÁFICAS!$D:$D,[1]COORDENADAS_GEOGRÁFICAS!$H:$H)</f>
        <v>-48.175871999999998</v>
      </c>
      <c r="R32" s="20">
        <f t="shared" si="0"/>
        <v>49.808071225138185</v>
      </c>
    </row>
    <row r="33" spans="1:18" x14ac:dyDescent="0.3">
      <c r="A33" s="24">
        <v>3466186</v>
      </c>
      <c r="B33" s="24" t="s">
        <v>765</v>
      </c>
      <c r="C33" s="24">
        <v>402301067</v>
      </c>
      <c r="D33" s="24" t="str">
        <f>_xlfn.XLOOKUP(C33,Planilha3!A:A,Planilha3!C:C)</f>
        <v>PARANÃ</v>
      </c>
      <c r="E33" s="24">
        <v>1</v>
      </c>
      <c r="F33" s="54">
        <f>_xlfn.XLOOKUP(C33,Planilha3!A:A,Planilha3!E:E)</f>
        <v>45444.618113425924</v>
      </c>
      <c r="G33" s="54">
        <f>_xlfn.XLOOKUP(C33,Planilha3!A:A,Planilha3!F:F)</f>
        <v>45457.618113425924</v>
      </c>
      <c r="H33" s="54">
        <f>_xlfn.XLOOKUP(C33,Planilha3!A:A,Planilha3!G:G)</f>
        <v>45916</v>
      </c>
      <c r="I33" s="23">
        <f>_xlfn.XLOOKUP(K33,Grupo!F:F,Grupo!G:G)</f>
        <v>46440.22</v>
      </c>
      <c r="J33" s="6">
        <f>_xlfn.XLOOKUP(D33,Grupo!B:B,Grupo!C:C)</f>
        <v>10</v>
      </c>
      <c r="K33" s="24">
        <f>_xlfn.XLOOKUP(A33,[1]COORDENADAS_GEOGRÁFICAS!$D:$D,[1]COORDENADAS_GEOGRÁFICAS!$F:$F)</f>
        <v>80</v>
      </c>
      <c r="L33" s="53"/>
      <c r="M33" s="53"/>
      <c r="N33" s="52">
        <f>_xlfn.XLOOKUP(D33,Grupo!B:B,Grupo!D:D)</f>
        <v>-12.620481488718251</v>
      </c>
      <c r="O33" s="52">
        <f>_xlfn.XLOOKUP(D33,Grupo!B:B,Grupo!E:E)</f>
        <v>-47.884083728442604</v>
      </c>
      <c r="P33" s="52">
        <f>_xlfn.XLOOKUP(A33,[1]COORDENADAS_GEOGRÁFICAS!$D:$D,[1]COORDENADAS_GEOGRÁFICAS!$G:$G)</f>
        <v>-12.8592</v>
      </c>
      <c r="Q33" s="52">
        <f>_xlfn.XLOOKUP(A33,[1]COORDENADAS_GEOGRÁFICAS!$D:$D,[1]COORDENADAS_GEOGRÁFICAS!$H:$H)</f>
        <v>-47.567</v>
      </c>
      <c r="R33" s="20">
        <f t="shared" si="0"/>
        <v>43.442789057858313</v>
      </c>
    </row>
    <row r="34" spans="1:18" x14ac:dyDescent="0.3">
      <c r="A34" s="24">
        <v>3466405</v>
      </c>
      <c r="B34" s="24" t="s">
        <v>765</v>
      </c>
      <c r="C34" s="24">
        <v>402301064</v>
      </c>
      <c r="D34" s="24" t="str">
        <f>_xlfn.XLOOKUP(C34,Planilha3!A:A,Planilha3!C:C)</f>
        <v>PARANÃ</v>
      </c>
      <c r="E34" s="24">
        <v>1</v>
      </c>
      <c r="F34" s="54">
        <f>_xlfn.XLOOKUP(C34,Planilha3!A:A,Planilha3!E:E)</f>
        <v>45442.452222222222</v>
      </c>
      <c r="G34" s="54">
        <f>_xlfn.XLOOKUP(C34,Planilha3!A:A,Planilha3!F:F)</f>
        <v>45457.452222222222</v>
      </c>
      <c r="H34" s="54">
        <f>_xlfn.XLOOKUP(C34,Planilha3!A:A,Planilha3!G:G)</f>
        <v>45916</v>
      </c>
      <c r="I34" s="23">
        <f>_xlfn.XLOOKUP(K34,Grupo!F:F,Grupo!G:G)</f>
        <v>46440.22</v>
      </c>
      <c r="J34" s="6">
        <f>_xlfn.XLOOKUP(D34,Grupo!B:B,Grupo!C:C)</f>
        <v>10</v>
      </c>
      <c r="K34" s="24">
        <f>_xlfn.XLOOKUP(A34,[1]COORDENADAS_GEOGRÁFICAS!$D:$D,[1]COORDENADAS_GEOGRÁFICAS!$F:$F)</f>
        <v>80</v>
      </c>
      <c r="L34" s="53"/>
      <c r="M34" s="53"/>
      <c r="N34" s="52">
        <f>_xlfn.XLOOKUP(D34,Grupo!B:B,Grupo!D:D)</f>
        <v>-12.620481488718251</v>
      </c>
      <c r="O34" s="52">
        <f>_xlfn.XLOOKUP(D34,Grupo!B:B,Grupo!E:E)</f>
        <v>-47.884083728442604</v>
      </c>
      <c r="P34" s="52">
        <f>_xlfn.XLOOKUP(A34,[1]COORDENADAS_GEOGRÁFICAS!$D:$D,[1]COORDENADAS_GEOGRÁFICAS!$G:$G)</f>
        <v>-12.911899999999999</v>
      </c>
      <c r="Q34" s="52">
        <f>_xlfn.XLOOKUP(A34,[1]COORDENADAS_GEOGRÁFICAS!$D:$D,[1]COORDENADAS_GEOGRÁFICAS!$H:$H)</f>
        <v>-47.552599999999998</v>
      </c>
      <c r="R34" s="20">
        <f t="shared" si="0"/>
        <v>48.397331619518987</v>
      </c>
    </row>
    <row r="35" spans="1:18" x14ac:dyDescent="0.3">
      <c r="A35" s="24">
        <v>3463640</v>
      </c>
      <c r="B35" s="24" t="s">
        <v>765</v>
      </c>
      <c r="C35" s="24">
        <v>402301055</v>
      </c>
      <c r="D35" s="24" t="str">
        <f>_xlfn.XLOOKUP(C35,Planilha3!A:A,Planilha3!C:C)</f>
        <v>PARANÃ</v>
      </c>
      <c r="E35" s="24">
        <v>1</v>
      </c>
      <c r="F35" s="54">
        <f>_xlfn.XLOOKUP(C35,Planilha3!A:A,Planilha3!E:E)</f>
        <v>45432.661620370367</v>
      </c>
      <c r="G35" s="54">
        <f>_xlfn.XLOOKUP(C35,Planilha3!A:A,Planilha3!F:F)</f>
        <v>45448.661620370367</v>
      </c>
      <c r="H35" s="54">
        <f>_xlfn.XLOOKUP(C35,Planilha3!A:A,Planilha3!G:G)</f>
        <v>45916</v>
      </c>
      <c r="I35" s="23">
        <f>_xlfn.XLOOKUP(K35,Grupo!F:F,Grupo!G:G)</f>
        <v>46440.22</v>
      </c>
      <c r="J35" s="6">
        <f>_xlfn.XLOOKUP(D35,Grupo!B:B,Grupo!C:C)</f>
        <v>10</v>
      </c>
      <c r="K35" s="24">
        <f>_xlfn.XLOOKUP(A35,[1]COORDENADAS_GEOGRÁFICAS!$D:$D,[1]COORDENADAS_GEOGRÁFICAS!$F:$F)</f>
        <v>80</v>
      </c>
      <c r="L35" s="53"/>
      <c r="M35" s="53"/>
      <c r="N35" s="52">
        <f>_xlfn.XLOOKUP(D35,Grupo!B:B,Grupo!D:D)</f>
        <v>-12.620481488718251</v>
      </c>
      <c r="O35" s="52">
        <f>_xlfn.XLOOKUP(D35,Grupo!B:B,Grupo!E:E)</f>
        <v>-47.884083728442604</v>
      </c>
      <c r="P35" s="52">
        <f>_xlfn.XLOOKUP(A35,[1]COORDENADAS_GEOGRÁFICAS!$D:$D,[1]COORDENADAS_GEOGRÁFICAS!$G:$G)</f>
        <v>-12.762919</v>
      </c>
      <c r="Q35" s="52">
        <f>_xlfn.XLOOKUP(A35,[1]COORDENADAS_GEOGRÁFICAS!$D:$D,[1]COORDENADAS_GEOGRÁFICAS!$H:$H)</f>
        <v>-47.688402000000004</v>
      </c>
      <c r="R35" s="20">
        <f t="shared" si="0"/>
        <v>26.484808114585167</v>
      </c>
    </row>
    <row r="36" spans="1:18" x14ac:dyDescent="0.3">
      <c r="A36" s="24">
        <v>3466479</v>
      </c>
      <c r="B36" s="24" t="s">
        <v>765</v>
      </c>
      <c r="C36" s="24">
        <v>402301066</v>
      </c>
      <c r="D36" s="24" t="str">
        <f>_xlfn.XLOOKUP(C36,Planilha3!A:A,Planilha3!C:C)</f>
        <v>PARANÃ</v>
      </c>
      <c r="E36" s="24">
        <v>1</v>
      </c>
      <c r="F36" s="54">
        <f>_xlfn.XLOOKUP(C36,Planilha3!A:A,Planilha3!E:E)</f>
        <v>45446.603414351855</v>
      </c>
      <c r="G36" s="54">
        <f>_xlfn.XLOOKUP(C36,Planilha3!A:A,Planilha3!F:F)</f>
        <v>45457.603414351855</v>
      </c>
      <c r="H36" s="54">
        <f>_xlfn.XLOOKUP(C36,Planilha3!A:A,Planilha3!G:G)</f>
        <v>45916</v>
      </c>
      <c r="I36" s="23">
        <f>_xlfn.XLOOKUP(K36,Grupo!F:F,Grupo!G:G)</f>
        <v>46440.22</v>
      </c>
      <c r="J36" s="6">
        <f>_xlfn.XLOOKUP(D36,Grupo!B:B,Grupo!C:C)</f>
        <v>10</v>
      </c>
      <c r="K36" s="24">
        <f>_xlfn.XLOOKUP(A36,[1]COORDENADAS_GEOGRÁFICAS!$D:$D,[1]COORDENADAS_GEOGRÁFICAS!$F:$F)</f>
        <v>80</v>
      </c>
      <c r="L36" s="53"/>
      <c r="M36" s="53"/>
      <c r="N36" s="52">
        <f>_xlfn.XLOOKUP(D36,Grupo!B:B,Grupo!D:D)</f>
        <v>-12.620481488718251</v>
      </c>
      <c r="O36" s="52">
        <f>_xlfn.XLOOKUP(D36,Grupo!B:B,Grupo!E:E)</f>
        <v>-47.884083728442604</v>
      </c>
      <c r="P36" s="52">
        <f>_xlfn.XLOOKUP(A36,[1]COORDENADAS_GEOGRÁFICAS!$D:$D,[1]COORDENADAS_GEOGRÁFICAS!$G:$G)</f>
        <v>-12.8607</v>
      </c>
      <c r="Q36" s="52">
        <f>_xlfn.XLOOKUP(A36,[1]COORDENADAS_GEOGRÁFICAS!$D:$D,[1]COORDENADAS_GEOGRÁFICAS!$H:$H)</f>
        <v>-47.5732</v>
      </c>
      <c r="R36" s="20">
        <f t="shared" si="0"/>
        <v>43.015737995309017</v>
      </c>
    </row>
    <row r="37" spans="1:18" x14ac:dyDescent="0.3">
      <c r="A37" s="24">
        <v>3436168</v>
      </c>
      <c r="B37" s="24" t="s">
        <v>765</v>
      </c>
      <c r="C37" s="24">
        <v>402301010</v>
      </c>
      <c r="D37" s="24" t="str">
        <f>_xlfn.XLOOKUP(C37,Planilha3!A:A,Planilha3!C:C)</f>
        <v>PARANÃ</v>
      </c>
      <c r="E37" s="24">
        <v>1</v>
      </c>
      <c r="F37" s="54">
        <f>_xlfn.XLOOKUP(C37,Planilha3!A:A,Planilha3!E:E)</f>
        <v>45302.443865740737</v>
      </c>
      <c r="G37" s="54">
        <f>_xlfn.XLOOKUP(C37,Planilha3!A:A,Planilha3!F:F)</f>
        <v>45314.443865740737</v>
      </c>
      <c r="H37" s="54">
        <f>_xlfn.XLOOKUP(C37,Planilha3!A:A,Planilha3!G:G)</f>
        <v>45916</v>
      </c>
      <c r="I37" s="23">
        <f>_xlfn.XLOOKUP(K37,Grupo!F:F,Grupo!G:G)</f>
        <v>46440.22</v>
      </c>
      <c r="J37" s="6">
        <f>_xlfn.XLOOKUP(D37,Grupo!B:B,Grupo!C:C)</f>
        <v>10</v>
      </c>
      <c r="K37" s="24">
        <f>_xlfn.XLOOKUP(A37,[1]COORDENADAS_GEOGRÁFICAS!$D:$D,[1]COORDENADAS_GEOGRÁFICAS!$F:$F)</f>
        <v>80</v>
      </c>
      <c r="L37" s="53"/>
      <c r="M37" s="53"/>
      <c r="N37" s="52">
        <f>_xlfn.XLOOKUP(D37,Grupo!B:B,Grupo!D:D)</f>
        <v>-12.620481488718251</v>
      </c>
      <c r="O37" s="52">
        <f>_xlfn.XLOOKUP(D37,Grupo!B:B,Grupo!E:E)</f>
        <v>-47.884083728442604</v>
      </c>
      <c r="P37" s="52">
        <f>_xlfn.XLOOKUP(A37,[1]COORDENADAS_GEOGRÁFICAS!$D:$D,[1]COORDENADAS_GEOGRÁFICAS!$G:$G)</f>
        <v>-12.8636</v>
      </c>
      <c r="Q37" s="52">
        <f>_xlfn.XLOOKUP(A37,[1]COORDENADAS_GEOGRÁFICAS!$D:$D,[1]COORDENADAS_GEOGRÁFICAS!$H:$H)</f>
        <v>-47.547199999999997</v>
      </c>
      <c r="R37" s="20">
        <f t="shared" si="0"/>
        <v>45.450851222662429</v>
      </c>
    </row>
    <row r="38" spans="1:18" x14ac:dyDescent="0.3">
      <c r="A38" s="24">
        <v>3436237</v>
      </c>
      <c r="B38" s="24" t="s">
        <v>765</v>
      </c>
      <c r="C38" s="24">
        <v>402301009</v>
      </c>
      <c r="D38" s="24" t="str">
        <f>_xlfn.XLOOKUP(C38,Planilha3!A:A,Planilha3!C:C)</f>
        <v>PARANÃ</v>
      </c>
      <c r="E38" s="24">
        <v>1</v>
      </c>
      <c r="F38" s="54">
        <f>_xlfn.XLOOKUP(C38,Planilha3!A:A,Planilha3!E:E)</f>
        <v>45301.391550925924</v>
      </c>
      <c r="G38" s="54">
        <f>_xlfn.XLOOKUP(C38,Planilha3!A:A,Planilha3!F:F)</f>
        <v>45314.391550925924</v>
      </c>
      <c r="H38" s="54">
        <f>_xlfn.XLOOKUP(C38,Planilha3!A:A,Planilha3!G:G)</f>
        <v>45916</v>
      </c>
      <c r="I38" s="23">
        <f>_xlfn.XLOOKUP(K38,Grupo!F:F,Grupo!G:G)</f>
        <v>46440.22</v>
      </c>
      <c r="J38" s="6">
        <f>_xlfn.XLOOKUP(D38,Grupo!B:B,Grupo!C:C)</f>
        <v>10</v>
      </c>
      <c r="K38" s="24">
        <f>_xlfn.XLOOKUP(A38,[1]COORDENADAS_GEOGRÁFICAS!$D:$D,[1]COORDENADAS_GEOGRÁFICAS!$F:$F)</f>
        <v>80</v>
      </c>
      <c r="L38" s="53"/>
      <c r="M38" s="53"/>
      <c r="N38" s="52">
        <f>_xlfn.XLOOKUP(D38,Grupo!B:B,Grupo!D:D)</f>
        <v>-12.620481488718251</v>
      </c>
      <c r="O38" s="52">
        <f>_xlfn.XLOOKUP(D38,Grupo!B:B,Grupo!E:E)</f>
        <v>-47.884083728442604</v>
      </c>
      <c r="P38" s="52">
        <f>_xlfn.XLOOKUP(A38,[1]COORDENADAS_GEOGRÁFICAS!$D:$D,[1]COORDENADAS_GEOGRÁFICAS!$G:$G)</f>
        <v>-12.9092</v>
      </c>
      <c r="Q38" s="52">
        <f>_xlfn.XLOOKUP(A38,[1]COORDENADAS_GEOGRÁFICAS!$D:$D,[1]COORDENADAS_GEOGRÁFICAS!$H:$H)</f>
        <v>-47.549399999999999</v>
      </c>
      <c r="R38" s="20">
        <f t="shared" si="0"/>
        <v>48.456362987920826</v>
      </c>
    </row>
    <row r="39" spans="1:18" x14ac:dyDescent="0.3">
      <c r="A39" s="24">
        <v>3463060</v>
      </c>
      <c r="B39" s="24" t="s">
        <v>765</v>
      </c>
      <c r="C39" s="24">
        <v>402301048</v>
      </c>
      <c r="D39" s="24" t="str">
        <f>_xlfn.XLOOKUP(C39,Planilha3!A:A,Planilha3!C:C)</f>
        <v>PARANÃ</v>
      </c>
      <c r="E39" s="24">
        <v>1</v>
      </c>
      <c r="F39" s="54">
        <f>_xlfn.XLOOKUP(C39,Planilha3!A:A,Planilha3!E:E)</f>
        <v>45433.638043981482</v>
      </c>
      <c r="G39" s="54">
        <f>_xlfn.XLOOKUP(C39,Planilha3!A:A,Planilha3!F:F)</f>
        <v>45448.638043981482</v>
      </c>
      <c r="H39" s="54">
        <f>_xlfn.XLOOKUP(C39,Planilha3!A:A,Planilha3!G:G)</f>
        <v>45916</v>
      </c>
      <c r="I39" s="23">
        <f>_xlfn.XLOOKUP(K39,Grupo!F:F,Grupo!G:G)</f>
        <v>46440.22</v>
      </c>
      <c r="J39" s="6">
        <f>_xlfn.XLOOKUP(D39,Grupo!B:B,Grupo!C:C)</f>
        <v>10</v>
      </c>
      <c r="K39" s="24">
        <f>_xlfn.XLOOKUP(A39,[1]COORDENADAS_GEOGRÁFICAS!$D:$D,[1]COORDENADAS_GEOGRÁFICAS!$F:$F)</f>
        <v>80</v>
      </c>
      <c r="L39" s="53"/>
      <c r="M39" s="53"/>
      <c r="N39" s="52">
        <f>_xlfn.XLOOKUP(D39,Grupo!B:B,Grupo!D:D)</f>
        <v>-12.620481488718251</v>
      </c>
      <c r="O39" s="52">
        <f>_xlfn.XLOOKUP(D39,Grupo!B:B,Grupo!E:E)</f>
        <v>-47.884083728442604</v>
      </c>
      <c r="P39" s="52">
        <f>_xlfn.XLOOKUP(A39,[1]COORDENADAS_GEOGRÁFICAS!$D:$D,[1]COORDENADAS_GEOGRÁFICAS!$G:$G)</f>
        <v>-12.859546999999999</v>
      </c>
      <c r="Q39" s="52">
        <f>_xlfn.XLOOKUP(A39,[1]COORDENADAS_GEOGRÁFICAS!$D:$D,[1]COORDENADAS_GEOGRÁFICAS!$H:$H)</f>
        <v>-47.548071999999998</v>
      </c>
      <c r="R39" s="20">
        <f t="shared" si="0"/>
        <v>45.108045043558974</v>
      </c>
    </row>
    <row r="40" spans="1:18" x14ac:dyDescent="0.3">
      <c r="A40" s="24">
        <v>3437340</v>
      </c>
      <c r="B40" s="24" t="s">
        <v>765</v>
      </c>
      <c r="C40" s="24">
        <v>402301002</v>
      </c>
      <c r="D40" s="24" t="str">
        <f>_xlfn.XLOOKUP(C40,Planilha3!A:A,Planilha3!C:C)</f>
        <v>PARANÃ</v>
      </c>
      <c r="E40" s="24">
        <v>1</v>
      </c>
      <c r="F40" s="54">
        <f>_xlfn.XLOOKUP(C40,Planilha3!A:A,Planilha3!E:E)</f>
        <v>45302.370763888888</v>
      </c>
      <c r="G40" s="54">
        <f>_xlfn.XLOOKUP(C40,Planilha3!A:A,Planilha3!F:F)</f>
        <v>45313.370763888888</v>
      </c>
      <c r="H40" s="54">
        <f>_xlfn.XLOOKUP(C40,Planilha3!A:A,Planilha3!G:G)</f>
        <v>45916</v>
      </c>
      <c r="I40" s="23">
        <f>_xlfn.XLOOKUP(K40,Grupo!F:F,Grupo!G:G)</f>
        <v>46440.22</v>
      </c>
      <c r="J40" s="6">
        <f>_xlfn.XLOOKUP(D40,Grupo!B:B,Grupo!C:C)</f>
        <v>10</v>
      </c>
      <c r="K40" s="24">
        <f>_xlfn.XLOOKUP(A40,[1]COORDENADAS_GEOGRÁFICAS!$D:$D,[1]COORDENADAS_GEOGRÁFICAS!$F:$F)</f>
        <v>80</v>
      </c>
      <c r="L40" s="53"/>
      <c r="M40" s="53"/>
      <c r="N40" s="52">
        <f>_xlfn.XLOOKUP(D40,Grupo!B:B,Grupo!D:D)</f>
        <v>-12.620481488718251</v>
      </c>
      <c r="O40" s="52">
        <f>_xlfn.XLOOKUP(D40,Grupo!B:B,Grupo!E:E)</f>
        <v>-47.884083728442604</v>
      </c>
      <c r="P40" s="52">
        <f>_xlfn.XLOOKUP(A40,[1]COORDENADAS_GEOGRÁFICAS!$D:$D,[1]COORDENADAS_GEOGRÁFICAS!$G:$G)</f>
        <v>-12.418200000000001</v>
      </c>
      <c r="Q40" s="52">
        <f>_xlfn.XLOOKUP(A40,[1]COORDENADAS_GEOGRÁFICAS!$D:$D,[1]COORDENADAS_GEOGRÁFICAS!$H:$H)</f>
        <v>-48.129916000000001</v>
      </c>
      <c r="R40" s="20">
        <f t="shared" si="0"/>
        <v>34.900247607380486</v>
      </c>
    </row>
    <row r="41" spans="1:18" x14ac:dyDescent="0.3">
      <c r="A41" s="24">
        <v>3434689</v>
      </c>
      <c r="B41" s="24" t="s">
        <v>765</v>
      </c>
      <c r="C41" s="24">
        <v>402301011</v>
      </c>
      <c r="D41" s="24" t="str">
        <f>_xlfn.XLOOKUP(C41,Planilha3!A:A,Planilha3!C:C)</f>
        <v>PARANÃ</v>
      </c>
      <c r="E41" s="24">
        <v>1</v>
      </c>
      <c r="F41" s="54">
        <f>_xlfn.XLOOKUP(C41,Planilha3!A:A,Planilha3!E:E)</f>
        <v>45302.480023148149</v>
      </c>
      <c r="G41" s="54">
        <f>_xlfn.XLOOKUP(C41,Planilha3!A:A,Planilha3!F:F)</f>
        <v>45314.480023148149</v>
      </c>
      <c r="H41" s="54">
        <f>_xlfn.XLOOKUP(C41,Planilha3!A:A,Planilha3!G:G)</f>
        <v>45916</v>
      </c>
      <c r="I41" s="23">
        <f>_xlfn.XLOOKUP(K41,Grupo!F:F,Grupo!G:G)</f>
        <v>46440.22</v>
      </c>
      <c r="J41" s="6">
        <f>_xlfn.XLOOKUP(D41,Grupo!B:B,Grupo!C:C)</f>
        <v>10</v>
      </c>
      <c r="K41" s="24">
        <f>_xlfn.XLOOKUP(A41,[1]COORDENADAS_GEOGRÁFICAS!$D:$D,[1]COORDENADAS_GEOGRÁFICAS!$F:$F)</f>
        <v>80</v>
      </c>
      <c r="L41" s="53"/>
      <c r="M41" s="53"/>
      <c r="N41" s="52">
        <f>_xlfn.XLOOKUP(D41,Grupo!B:B,Grupo!D:D)</f>
        <v>-12.620481488718251</v>
      </c>
      <c r="O41" s="52">
        <f>_xlfn.XLOOKUP(D41,Grupo!B:B,Grupo!E:E)</f>
        <v>-47.884083728442604</v>
      </c>
      <c r="P41" s="52">
        <f>_xlfn.XLOOKUP(A41,[1]COORDENADAS_GEOGRÁFICAS!$D:$D,[1]COORDENADAS_GEOGRÁFICAS!$G:$G)</f>
        <v>-12.430982</v>
      </c>
      <c r="Q41" s="52">
        <f>_xlfn.XLOOKUP(A41,[1]COORDENADAS_GEOGRÁFICAS!$D:$D,[1]COORDENADAS_GEOGRÁFICAS!$H:$H)</f>
        <v>-48.123123</v>
      </c>
      <c r="R41" s="20">
        <f t="shared" si="0"/>
        <v>33.425523691046337</v>
      </c>
    </row>
    <row r="42" spans="1:18" x14ac:dyDescent="0.3">
      <c r="A42" s="24">
        <v>3437486</v>
      </c>
      <c r="B42" s="24" t="s">
        <v>765</v>
      </c>
      <c r="C42" s="24">
        <v>402301000</v>
      </c>
      <c r="D42" s="24" t="str">
        <f>_xlfn.XLOOKUP(C42,Planilha3!A:A,Planilha3!C:C)</f>
        <v>PARANÃ</v>
      </c>
      <c r="E42" s="24">
        <v>1</v>
      </c>
      <c r="F42" s="54">
        <f>_xlfn.XLOOKUP(C42,Planilha3!A:A,Planilha3!E:E)</f>
        <v>45300.365300925929</v>
      </c>
      <c r="G42" s="54">
        <f>_xlfn.XLOOKUP(C42,Planilha3!A:A,Planilha3!F:F)</f>
        <v>45313.365300925929</v>
      </c>
      <c r="H42" s="54">
        <f>_xlfn.XLOOKUP(C42,Planilha3!A:A,Planilha3!G:G)</f>
        <v>45916</v>
      </c>
      <c r="I42" s="23">
        <f>_xlfn.XLOOKUP(K42,Grupo!F:F,Grupo!G:G)</f>
        <v>46440.22</v>
      </c>
      <c r="J42" s="6">
        <f>_xlfn.XLOOKUP(D42,Grupo!B:B,Grupo!C:C)</f>
        <v>10</v>
      </c>
      <c r="K42" s="24">
        <f>_xlfn.XLOOKUP(A42,[1]COORDENADAS_GEOGRÁFICAS!$D:$D,[1]COORDENADAS_GEOGRÁFICAS!$F:$F)</f>
        <v>80</v>
      </c>
      <c r="L42" s="53"/>
      <c r="M42" s="53"/>
      <c r="N42" s="52">
        <f>_xlfn.XLOOKUP(D42,Grupo!B:B,Grupo!D:D)</f>
        <v>-12.620481488718251</v>
      </c>
      <c r="O42" s="52">
        <f>_xlfn.XLOOKUP(D42,Grupo!B:B,Grupo!E:E)</f>
        <v>-47.884083728442604</v>
      </c>
      <c r="P42" s="52">
        <f>_xlfn.XLOOKUP(A42,[1]COORDENADAS_GEOGRÁFICAS!$D:$D,[1]COORDENADAS_GEOGRÁFICAS!$G:$G)</f>
        <v>-12.9148</v>
      </c>
      <c r="Q42" s="52">
        <f>_xlfn.XLOOKUP(A42,[1]COORDENADAS_GEOGRÁFICAS!$D:$D,[1]COORDENADAS_GEOGRÁFICAS!$H:$H)</f>
        <v>-47.575200000000002</v>
      </c>
      <c r="R42" s="20">
        <f t="shared" si="0"/>
        <v>46.830429511998453</v>
      </c>
    </row>
    <row r="43" spans="1:18" x14ac:dyDescent="0.3">
      <c r="A43" s="24">
        <v>3438400</v>
      </c>
      <c r="B43" s="24" t="s">
        <v>765</v>
      </c>
      <c r="C43" s="24">
        <v>402301034</v>
      </c>
      <c r="D43" s="24" t="str">
        <f>_xlfn.XLOOKUP(C43,Planilha3!A:A,Planilha3!C:C)</f>
        <v>PARANÃ</v>
      </c>
      <c r="E43" s="24">
        <v>1</v>
      </c>
      <c r="F43" s="54">
        <f>_xlfn.XLOOKUP(C43,Planilha3!A:A,Planilha3!E:E)</f>
        <v>45301.625277777777</v>
      </c>
      <c r="G43" s="54">
        <f>_xlfn.XLOOKUP(C43,Planilha3!A:A,Planilha3!F:F)</f>
        <v>45316.625277777777</v>
      </c>
      <c r="H43" s="54">
        <f>_xlfn.XLOOKUP(C43,Planilha3!A:A,Planilha3!G:G)</f>
        <v>45916</v>
      </c>
      <c r="I43" s="23">
        <f>_xlfn.XLOOKUP(K43,Grupo!F:F,Grupo!G:G)</f>
        <v>46440.22</v>
      </c>
      <c r="J43" s="6">
        <f>_xlfn.XLOOKUP(D43,Grupo!B:B,Grupo!C:C)</f>
        <v>10</v>
      </c>
      <c r="K43" s="24">
        <f>_xlfn.XLOOKUP(A43,[1]COORDENADAS_GEOGRÁFICAS!$D:$D,[1]COORDENADAS_GEOGRÁFICAS!$F:$F)</f>
        <v>80</v>
      </c>
      <c r="L43" s="53"/>
      <c r="M43" s="53"/>
      <c r="N43" s="52">
        <f>_xlfn.XLOOKUP(D43,Grupo!B:B,Grupo!D:D)</f>
        <v>-12.620481488718251</v>
      </c>
      <c r="O43" s="52">
        <f>_xlfn.XLOOKUP(D43,Grupo!B:B,Grupo!E:E)</f>
        <v>-47.884083728442604</v>
      </c>
      <c r="P43" s="52">
        <f>_xlfn.XLOOKUP(A43,[1]COORDENADAS_GEOGRÁFICAS!$D:$D,[1]COORDENADAS_GEOGRÁFICAS!$G:$G)</f>
        <v>-12.879007</v>
      </c>
      <c r="Q43" s="52">
        <f>_xlfn.XLOOKUP(A43,[1]COORDENADAS_GEOGRÁFICAS!$D:$D,[1]COORDENADAS_GEOGRÁFICAS!$H:$H)</f>
        <v>-47.595930000000003</v>
      </c>
      <c r="R43" s="20">
        <f t="shared" si="0"/>
        <v>42.461863083006243</v>
      </c>
    </row>
    <row r="44" spans="1:18" x14ac:dyDescent="0.3">
      <c r="A44" s="24">
        <v>3437300</v>
      </c>
      <c r="B44" s="24" t="s">
        <v>765</v>
      </c>
      <c r="C44" s="24">
        <v>402301003</v>
      </c>
      <c r="D44" s="24" t="str">
        <f>_xlfn.XLOOKUP(C44,Planilha3!A:A,Planilha3!C:C)</f>
        <v>PARANÃ</v>
      </c>
      <c r="E44" s="24">
        <v>1</v>
      </c>
      <c r="F44" s="54">
        <f>_xlfn.XLOOKUP(C44,Planilha3!A:A,Planilha3!E:E)</f>
        <v>45297.411168981482</v>
      </c>
      <c r="G44" s="54">
        <f>_xlfn.XLOOKUP(C44,Planilha3!A:A,Planilha3!F:F)</f>
        <v>45313.411168981482</v>
      </c>
      <c r="H44" s="54">
        <f>_xlfn.XLOOKUP(C44,Planilha3!A:A,Planilha3!G:G)</f>
        <v>45916</v>
      </c>
      <c r="I44" s="23">
        <f>_xlfn.XLOOKUP(K44,Grupo!F:F,Grupo!G:G)</f>
        <v>46440.22</v>
      </c>
      <c r="J44" s="6">
        <f>_xlfn.XLOOKUP(D44,Grupo!B:B,Grupo!C:C)</f>
        <v>10</v>
      </c>
      <c r="K44" s="24">
        <f>_xlfn.XLOOKUP(A44,[1]COORDENADAS_GEOGRÁFICAS!$D:$D,[1]COORDENADAS_GEOGRÁFICAS!$F:$F)</f>
        <v>80</v>
      </c>
      <c r="L44" s="53"/>
      <c r="M44" s="53"/>
      <c r="N44" s="52">
        <f>_xlfn.XLOOKUP(D44,Grupo!B:B,Grupo!D:D)</f>
        <v>-12.620481488718251</v>
      </c>
      <c r="O44" s="52">
        <f>_xlfn.XLOOKUP(D44,Grupo!B:B,Grupo!E:E)</f>
        <v>-47.884083728442604</v>
      </c>
      <c r="P44" s="52">
        <f>_xlfn.XLOOKUP(A44,[1]COORDENADAS_GEOGRÁFICAS!$D:$D,[1]COORDENADAS_GEOGRÁFICAS!$G:$G)</f>
        <v>-12.906499999999999</v>
      </c>
      <c r="Q44" s="52">
        <f>_xlfn.XLOOKUP(A44,[1]COORDENADAS_GEOGRÁFICAS!$D:$D,[1]COORDENADAS_GEOGRÁFICAS!$H:$H)</f>
        <v>-47.556899999999999</v>
      </c>
      <c r="R44" s="20">
        <f t="shared" si="0"/>
        <v>47.649404761622989</v>
      </c>
    </row>
    <row r="45" spans="1:18" x14ac:dyDescent="0.3">
      <c r="A45" s="24">
        <v>3437292</v>
      </c>
      <c r="B45" s="24" t="s">
        <v>765</v>
      </c>
      <c r="C45" s="24">
        <v>402301004</v>
      </c>
      <c r="D45" s="24" t="str">
        <f>_xlfn.XLOOKUP(C45,Planilha3!A:A,Planilha3!C:C)</f>
        <v>PARANÃ</v>
      </c>
      <c r="E45" s="24">
        <v>1</v>
      </c>
      <c r="F45" s="54">
        <f>_xlfn.XLOOKUP(C45,Planilha3!A:A,Planilha3!E:E)</f>
        <v>45302.418171296296</v>
      </c>
      <c r="G45" s="54">
        <f>_xlfn.XLOOKUP(C45,Planilha3!A:A,Planilha3!F:F)</f>
        <v>45313.418171296296</v>
      </c>
      <c r="H45" s="54">
        <f>_xlfn.XLOOKUP(C45,Planilha3!A:A,Planilha3!G:G)</f>
        <v>45916</v>
      </c>
      <c r="I45" s="23">
        <f>_xlfn.XLOOKUP(K45,Grupo!F:F,Grupo!G:G)</f>
        <v>46440.22</v>
      </c>
      <c r="J45" s="6">
        <f>_xlfn.XLOOKUP(D45,Grupo!B:B,Grupo!C:C)</f>
        <v>10</v>
      </c>
      <c r="K45" s="24">
        <f>_xlfn.XLOOKUP(A45,[1]COORDENADAS_GEOGRÁFICAS!$D:$D,[1]COORDENADAS_GEOGRÁFICAS!$F:$F)</f>
        <v>80</v>
      </c>
      <c r="L45" s="53"/>
      <c r="M45" s="53"/>
      <c r="N45" s="52">
        <f>_xlfn.XLOOKUP(D45,Grupo!B:B,Grupo!D:D)</f>
        <v>-12.620481488718251</v>
      </c>
      <c r="O45" s="52">
        <f>_xlfn.XLOOKUP(D45,Grupo!B:B,Grupo!E:E)</f>
        <v>-47.884083728442604</v>
      </c>
      <c r="P45" s="52">
        <f>_xlfn.XLOOKUP(A45,[1]COORDENADAS_GEOGRÁFICAS!$D:$D,[1]COORDENADAS_GEOGRÁFICAS!$G:$G)</f>
        <v>-12.8096</v>
      </c>
      <c r="Q45" s="52">
        <f>_xlfn.XLOOKUP(A45,[1]COORDENADAS_GEOGRÁFICAS!$D:$D,[1]COORDENADAS_GEOGRÁFICAS!$H:$H)</f>
        <v>-47.561300000000003</v>
      </c>
      <c r="R45" s="20">
        <f t="shared" si="0"/>
        <v>40.841637140927311</v>
      </c>
    </row>
    <row r="46" spans="1:18" x14ac:dyDescent="0.3">
      <c r="A46" s="24">
        <v>3437100</v>
      </c>
      <c r="B46" s="24" t="s">
        <v>765</v>
      </c>
      <c r="C46" s="24">
        <v>402301005</v>
      </c>
      <c r="D46" s="24" t="str">
        <f>_xlfn.XLOOKUP(C46,Planilha3!A:A,Planilha3!C:C)</f>
        <v>PARANÃ</v>
      </c>
      <c r="E46" s="24">
        <v>1</v>
      </c>
      <c r="F46" s="54">
        <f>_xlfn.XLOOKUP(C46,Planilha3!A:A,Planilha3!E:E)</f>
        <v>45301.437824074077</v>
      </c>
      <c r="G46" s="54">
        <f>_xlfn.XLOOKUP(C46,Planilha3!A:A,Planilha3!F:F)</f>
        <v>45313.437824074077</v>
      </c>
      <c r="H46" s="54">
        <f>_xlfn.XLOOKUP(C46,Planilha3!A:A,Planilha3!G:G)</f>
        <v>45916</v>
      </c>
      <c r="I46" s="23">
        <f>_xlfn.XLOOKUP(K46,Grupo!F:F,Grupo!G:G)</f>
        <v>46440.22</v>
      </c>
      <c r="J46" s="6">
        <f>_xlfn.XLOOKUP(D46,Grupo!B:B,Grupo!C:C)</f>
        <v>10</v>
      </c>
      <c r="K46" s="24">
        <f>_xlfn.XLOOKUP(A46,[1]COORDENADAS_GEOGRÁFICAS!$D:$D,[1]COORDENADAS_GEOGRÁFICAS!$F:$F)</f>
        <v>80</v>
      </c>
      <c r="L46" s="53"/>
      <c r="M46" s="53"/>
      <c r="N46" s="52">
        <f>_xlfn.XLOOKUP(D46,Grupo!B:B,Grupo!D:D)</f>
        <v>-12.620481488718251</v>
      </c>
      <c r="O46" s="52">
        <f>_xlfn.XLOOKUP(D46,Grupo!B:B,Grupo!E:E)</f>
        <v>-47.884083728442604</v>
      </c>
      <c r="P46" s="52">
        <f>_xlfn.XLOOKUP(A46,[1]COORDENADAS_GEOGRÁFICAS!$D:$D,[1]COORDENADAS_GEOGRÁFICAS!$G:$G)</f>
        <v>-12.933299999999999</v>
      </c>
      <c r="Q46" s="52">
        <f>_xlfn.XLOOKUP(A46,[1]COORDENADAS_GEOGRÁFICAS!$D:$D,[1]COORDENADAS_GEOGRÁFICAS!$H:$H)</f>
        <v>-47.603700000000003</v>
      </c>
      <c r="R46" s="20">
        <f t="shared" si="0"/>
        <v>46.199478671695672</v>
      </c>
    </row>
    <row r="47" spans="1:18" x14ac:dyDescent="0.3">
      <c r="A47" s="24">
        <v>3438286</v>
      </c>
      <c r="B47" s="24" t="s">
        <v>765</v>
      </c>
      <c r="C47" s="24">
        <v>402301006</v>
      </c>
      <c r="D47" s="24" t="str">
        <f>_xlfn.XLOOKUP(C47,Planilha3!A:A,Planilha3!C:C)</f>
        <v>PARANÃ</v>
      </c>
      <c r="E47" s="24">
        <v>1</v>
      </c>
      <c r="F47" s="54">
        <f>_xlfn.XLOOKUP(C47,Planilha3!A:A,Planilha3!E:E)</f>
        <v>45300.601469907408</v>
      </c>
      <c r="G47" s="54">
        <f>_xlfn.XLOOKUP(C47,Planilha3!A:A,Planilha3!F:F)</f>
        <v>45313.601469907408</v>
      </c>
      <c r="H47" s="54">
        <f>_xlfn.XLOOKUP(C47,Planilha3!A:A,Planilha3!G:G)</f>
        <v>45916</v>
      </c>
      <c r="I47" s="23">
        <f>_xlfn.XLOOKUP(K47,Grupo!F:F,Grupo!G:G)</f>
        <v>46440.22</v>
      </c>
      <c r="J47" s="6">
        <f>_xlfn.XLOOKUP(D47,Grupo!B:B,Grupo!C:C)</f>
        <v>10</v>
      </c>
      <c r="K47" s="24">
        <f>_xlfn.XLOOKUP(A47,[1]COORDENADAS_GEOGRÁFICAS!$D:$D,[1]COORDENADAS_GEOGRÁFICAS!$F:$F)</f>
        <v>80</v>
      </c>
      <c r="L47" s="53"/>
      <c r="M47" s="53"/>
      <c r="N47" s="52">
        <f>_xlfn.XLOOKUP(D47,Grupo!B:B,Grupo!D:D)</f>
        <v>-12.620481488718251</v>
      </c>
      <c r="O47" s="52">
        <f>_xlfn.XLOOKUP(D47,Grupo!B:B,Grupo!E:E)</f>
        <v>-47.884083728442604</v>
      </c>
      <c r="P47" s="52">
        <f>_xlfn.XLOOKUP(A47,[1]COORDENADAS_GEOGRÁFICAS!$D:$D,[1]COORDENADAS_GEOGRÁFICAS!$G:$G)</f>
        <v>-12.860711999999999</v>
      </c>
      <c r="Q47" s="52">
        <f>_xlfn.XLOOKUP(A47,[1]COORDENADAS_GEOGRÁFICAS!$D:$D,[1]COORDENADAS_GEOGRÁFICAS!$H:$H)</f>
        <v>-47.545569999999998</v>
      </c>
      <c r="R47" s="20">
        <f t="shared" si="0"/>
        <v>45.403583991130333</v>
      </c>
    </row>
    <row r="48" spans="1:18" x14ac:dyDescent="0.3">
      <c r="A48" s="24">
        <v>3436982</v>
      </c>
      <c r="B48" s="24" t="s">
        <v>765</v>
      </c>
      <c r="C48" s="24">
        <v>402301007</v>
      </c>
      <c r="D48" s="24" t="str">
        <f>_xlfn.XLOOKUP(C48,Planilha3!A:A,Planilha3!C:C)</f>
        <v>PARANÃ</v>
      </c>
      <c r="E48" s="24">
        <v>1</v>
      </c>
      <c r="F48" s="54">
        <f>_xlfn.XLOOKUP(C48,Planilha3!A:A,Planilha3!E:E)</f>
        <v>45298.608715277776</v>
      </c>
      <c r="G48" s="54">
        <f>_xlfn.XLOOKUP(C48,Planilha3!A:A,Planilha3!F:F)</f>
        <v>45313.608715277776</v>
      </c>
      <c r="H48" s="54">
        <f>_xlfn.XLOOKUP(C48,Planilha3!A:A,Planilha3!G:G)</f>
        <v>45916</v>
      </c>
      <c r="I48" s="23">
        <f>_xlfn.XLOOKUP(K48,Grupo!F:F,Grupo!G:G)</f>
        <v>46440.22</v>
      </c>
      <c r="J48" s="6">
        <f>_xlfn.XLOOKUP(D48,Grupo!B:B,Grupo!C:C)</f>
        <v>10</v>
      </c>
      <c r="K48" s="24">
        <f>_xlfn.XLOOKUP(A48,[1]COORDENADAS_GEOGRÁFICAS!$D:$D,[1]COORDENADAS_GEOGRÁFICAS!$F:$F)</f>
        <v>80</v>
      </c>
      <c r="L48" s="53"/>
      <c r="M48" s="53"/>
      <c r="N48" s="52">
        <f>_xlfn.XLOOKUP(D48,Grupo!B:B,Grupo!D:D)</f>
        <v>-12.620481488718251</v>
      </c>
      <c r="O48" s="52">
        <f>_xlfn.XLOOKUP(D48,Grupo!B:B,Grupo!E:E)</f>
        <v>-47.884083728442604</v>
      </c>
      <c r="P48" s="52">
        <f>_xlfn.XLOOKUP(A48,[1]COORDENADAS_GEOGRÁFICAS!$D:$D,[1]COORDENADAS_GEOGRÁFICAS!$G:$G)</f>
        <v>-12.8056</v>
      </c>
      <c r="Q48" s="52">
        <f>_xlfn.XLOOKUP(A48,[1]COORDENADAS_GEOGRÁFICAS!$D:$D,[1]COORDENADAS_GEOGRÁFICAS!$H:$H)</f>
        <v>-47.572099999999999</v>
      </c>
      <c r="R48" s="20">
        <f t="shared" si="0"/>
        <v>39.609238200348173</v>
      </c>
    </row>
    <row r="49" spans="1:18" x14ac:dyDescent="0.3">
      <c r="A49" s="24">
        <v>3438303</v>
      </c>
      <c r="B49" s="24" t="s">
        <v>765</v>
      </c>
      <c r="C49" s="24">
        <v>402301080</v>
      </c>
      <c r="D49" s="24" t="str">
        <f>_xlfn.XLOOKUP(C49,Planilha3!A:A,Planilha3!C:C)</f>
        <v>PARANÃ</v>
      </c>
      <c r="E49" s="24">
        <v>1</v>
      </c>
      <c r="F49" s="54">
        <f>_xlfn.XLOOKUP(C49,Planilha3!A:A,Planilha3!E:E)</f>
        <v>45300</v>
      </c>
      <c r="G49" s="54">
        <f>_xlfn.XLOOKUP(C49,Planilha3!A:A,Planilha3!F:F)</f>
        <v>45311</v>
      </c>
      <c r="H49" s="54">
        <f>_xlfn.XLOOKUP(C49,Planilha3!A:A,Planilha3!G:G)</f>
        <v>45922</v>
      </c>
      <c r="I49" s="23">
        <f>_xlfn.XLOOKUP(K49,Grupo!F:F,Grupo!G:G)</f>
        <v>46440.22</v>
      </c>
      <c r="J49" s="6">
        <f>_xlfn.XLOOKUP(D49,Grupo!B:B,Grupo!C:C)</f>
        <v>10</v>
      </c>
      <c r="K49" s="24">
        <f>_xlfn.XLOOKUP(A49,[1]COORDENADAS_GEOGRÁFICAS!$D:$D,[1]COORDENADAS_GEOGRÁFICAS!$F:$F)</f>
        <v>80</v>
      </c>
      <c r="L49" s="53"/>
      <c r="M49" s="53"/>
      <c r="N49" s="52">
        <f>_xlfn.XLOOKUP(D49,Grupo!B:B,Grupo!D:D)</f>
        <v>-12.620481488718251</v>
      </c>
      <c r="O49" s="52">
        <f>_xlfn.XLOOKUP(D49,Grupo!B:B,Grupo!E:E)</f>
        <v>-47.884083728442604</v>
      </c>
      <c r="P49" s="52">
        <f>_xlfn.XLOOKUP(A49,[1]COORDENADAS_GEOGRÁFICAS!$D:$D,[1]COORDENADAS_GEOGRÁFICAS!$G:$G)</f>
        <v>-12.904855</v>
      </c>
      <c r="Q49" s="52">
        <f>_xlfn.XLOOKUP(A49,[1]COORDENADAS_GEOGRÁFICAS!$D:$D,[1]COORDENADAS_GEOGRÁFICAS!$H:$H)</f>
        <v>-47.405112000000003</v>
      </c>
      <c r="R49" s="20">
        <f t="shared" si="0"/>
        <v>60.811085036155475</v>
      </c>
    </row>
    <row r="50" spans="1:18" x14ac:dyDescent="0.3">
      <c r="A50" s="24">
        <v>3435616</v>
      </c>
      <c r="B50" s="24" t="s">
        <v>765</v>
      </c>
      <c r="C50" s="24">
        <v>402301116</v>
      </c>
      <c r="D50" s="24" t="str">
        <f>_xlfn.XLOOKUP(C50,Planilha3!A:A,Planilha3!C:C)</f>
        <v>PARANÃ</v>
      </c>
      <c r="E50" s="24">
        <v>1</v>
      </c>
      <c r="F50" s="54">
        <f>_xlfn.XLOOKUP(C50,Planilha3!A:A,Planilha3!E:E)</f>
        <v>45302</v>
      </c>
      <c r="G50" s="54">
        <f>_xlfn.XLOOKUP(C50,Planilha3!A:A,Planilha3!F:F)</f>
        <v>45314</v>
      </c>
      <c r="H50" s="54">
        <f>_xlfn.XLOOKUP(C50,Planilha3!A:A,Planilha3!G:G)</f>
        <v>45922</v>
      </c>
      <c r="I50" s="23">
        <f>_xlfn.XLOOKUP(K50,Grupo!F:F,Grupo!G:G)</f>
        <v>46440.22</v>
      </c>
      <c r="J50" s="6">
        <f>_xlfn.XLOOKUP(D50,Grupo!B:B,Grupo!C:C)</f>
        <v>10</v>
      </c>
      <c r="K50" s="24">
        <f>_xlfn.XLOOKUP(A50,[1]COORDENADAS_GEOGRÁFICAS!$D:$D,[1]COORDENADAS_GEOGRÁFICAS!$F:$F)</f>
        <v>80</v>
      </c>
      <c r="L50" s="53"/>
      <c r="M50" s="53"/>
      <c r="N50" s="52">
        <f>_xlfn.XLOOKUP(D50,Grupo!B:B,Grupo!D:D)</f>
        <v>-12.620481488718251</v>
      </c>
      <c r="O50" s="52">
        <f>_xlfn.XLOOKUP(D50,Grupo!B:B,Grupo!E:E)</f>
        <v>-47.884083728442604</v>
      </c>
      <c r="P50" s="52">
        <f>_xlfn.XLOOKUP(A50,[1]COORDENADAS_GEOGRÁFICAS!$D:$D,[1]COORDENADAS_GEOGRÁFICAS!$G:$G)</f>
        <v>-12.588514999999999</v>
      </c>
      <c r="Q50" s="52">
        <f>_xlfn.XLOOKUP(A50,[1]COORDENADAS_GEOGRÁFICAS!$D:$D,[1]COORDENADAS_GEOGRÁFICAS!$H:$H)</f>
        <v>-47.430883000000001</v>
      </c>
      <c r="R50" s="20">
        <f t="shared" si="0"/>
        <v>49.307397248018106</v>
      </c>
    </row>
    <row r="51" spans="1:18" x14ac:dyDescent="0.3">
      <c r="A51" s="24">
        <v>3436817</v>
      </c>
      <c r="B51" s="24" t="s">
        <v>765</v>
      </c>
      <c r="C51" s="24">
        <v>502300591</v>
      </c>
      <c r="D51" s="24" t="str">
        <f>_xlfn.XLOOKUP(C51,Planilha3!A:A,Planilha3!C:C)</f>
        <v>ARRAIAS</v>
      </c>
      <c r="E51" s="24">
        <v>1</v>
      </c>
      <c r="F51" s="54">
        <f>_xlfn.XLOOKUP(C51,Planilha3!A:A,Planilha3!E:E)</f>
        <v>45293</v>
      </c>
      <c r="G51" s="54">
        <f>_xlfn.XLOOKUP(C51,Planilha3!A:A,Planilha3!F:F)</f>
        <v>45306</v>
      </c>
      <c r="H51" s="54">
        <f>_xlfn.XLOOKUP(C51,Planilha3!A:A,Planilha3!G:G)</f>
        <v>45922</v>
      </c>
      <c r="I51" s="23">
        <f>_xlfn.XLOOKUP(K51,Grupo!F:F,Grupo!G:G)</f>
        <v>46440.22</v>
      </c>
      <c r="J51" s="6">
        <f>_xlfn.XLOOKUP(D51,Grupo!B:B,Grupo!C:C)</f>
        <v>3</v>
      </c>
      <c r="K51" s="24">
        <f>_xlfn.XLOOKUP(A51,[1]COORDENADAS_GEOGRÁFICAS!$D:$D,[1]COORDENADAS_GEOGRÁFICAS!$F:$F)</f>
        <v>80</v>
      </c>
      <c r="L51" s="53"/>
      <c r="M51" s="53"/>
      <c r="N51" s="52">
        <f>_xlfn.XLOOKUP(D51,Grupo!B:B,Grupo!D:D)</f>
        <v>-12.934419859259252</v>
      </c>
      <c r="O51" s="52">
        <f>_xlfn.XLOOKUP(D51,Grupo!B:B,Grupo!E:E)</f>
        <v>-46.946107058553359</v>
      </c>
      <c r="P51" s="52">
        <f>_xlfn.XLOOKUP(A51,[1]COORDENADAS_GEOGRÁFICAS!$D:$D,[1]COORDENADAS_GEOGRÁFICAS!$G:$G)</f>
        <v>-12.789752999999999</v>
      </c>
      <c r="Q51" s="52">
        <f>_xlfn.XLOOKUP(A51,[1]COORDENADAS_GEOGRÁFICAS!$D:$D,[1]COORDENADAS_GEOGRÁFICAS!$H:$H)</f>
        <v>-47.396413000000003</v>
      </c>
      <c r="R51" s="20">
        <f t="shared" si="0"/>
        <v>51.397518765168691</v>
      </c>
    </row>
    <row r="52" spans="1:18" x14ac:dyDescent="0.3">
      <c r="A52" s="24">
        <v>3435651</v>
      </c>
      <c r="B52" s="24" t="s">
        <v>765</v>
      </c>
      <c r="C52" s="24">
        <v>402301117</v>
      </c>
      <c r="D52" s="24" t="str">
        <f>_xlfn.XLOOKUP(C52,Planilha3!A:A,Planilha3!C:C)</f>
        <v>PARANÃ</v>
      </c>
      <c r="E52" s="24">
        <v>1</v>
      </c>
      <c r="F52" s="54">
        <f>_xlfn.XLOOKUP(C52,Planilha3!A:A,Planilha3!E:E)</f>
        <v>45301</v>
      </c>
      <c r="G52" s="54">
        <f>_xlfn.XLOOKUP(C52,Planilha3!A:A,Planilha3!F:F)</f>
        <v>45316</v>
      </c>
      <c r="H52" s="54">
        <f>_xlfn.XLOOKUP(C52,Planilha3!A:A,Planilha3!G:G)</f>
        <v>45922</v>
      </c>
      <c r="I52" s="23">
        <f>_xlfn.XLOOKUP(K52,Grupo!F:F,Grupo!G:G)</f>
        <v>46440.22</v>
      </c>
      <c r="J52" s="6">
        <f>_xlfn.XLOOKUP(D52,Grupo!B:B,Grupo!C:C)</f>
        <v>10</v>
      </c>
      <c r="K52" s="24">
        <f>_xlfn.XLOOKUP(A52,[1]COORDENADAS_GEOGRÁFICAS!$D:$D,[1]COORDENADAS_GEOGRÁFICAS!$F:$F)</f>
        <v>80</v>
      </c>
      <c r="L52" s="53"/>
      <c r="M52" s="53"/>
      <c r="N52" s="52">
        <f>_xlfn.XLOOKUP(D52,Grupo!B:B,Grupo!D:D)</f>
        <v>-12.620481488718251</v>
      </c>
      <c r="O52" s="52">
        <f>_xlfn.XLOOKUP(D52,Grupo!B:B,Grupo!E:E)</f>
        <v>-47.884083728442604</v>
      </c>
      <c r="P52" s="52">
        <f>_xlfn.XLOOKUP(A52,[1]COORDENADAS_GEOGRÁFICAS!$D:$D,[1]COORDENADAS_GEOGRÁFICAS!$G:$G)</f>
        <v>-12.709350000000001</v>
      </c>
      <c r="Q52" s="52">
        <f>_xlfn.XLOOKUP(A52,[1]COORDENADAS_GEOGRÁFICAS!$D:$D,[1]COORDENADAS_GEOGRÁFICAS!$H:$H)</f>
        <v>-47.420141999999998</v>
      </c>
      <c r="R52" s="20">
        <f t="shared" si="0"/>
        <v>51.293624333259295</v>
      </c>
    </row>
    <row r="53" spans="1:18" x14ac:dyDescent="0.3">
      <c r="A53" s="24">
        <v>3459423</v>
      </c>
      <c r="B53" s="24" t="s">
        <v>765</v>
      </c>
      <c r="C53" s="24">
        <v>402301127</v>
      </c>
      <c r="D53" s="24" t="str">
        <f>_xlfn.XLOOKUP(C53,Planilha3!A:A,Planilha3!C:C)</f>
        <v>PARANÃ</v>
      </c>
      <c r="E53" s="24">
        <v>1</v>
      </c>
      <c r="F53" s="54">
        <f>_xlfn.XLOOKUP(C53,Planilha3!A:A,Planilha3!E:E)</f>
        <v>45432</v>
      </c>
      <c r="G53" s="54">
        <f>_xlfn.XLOOKUP(C53,Planilha3!A:A,Planilha3!F:F)</f>
        <v>45448</v>
      </c>
      <c r="H53" s="54">
        <f>_xlfn.XLOOKUP(C53,Planilha3!A:A,Planilha3!G:G)</f>
        <v>45922</v>
      </c>
      <c r="I53" s="23">
        <f>_xlfn.XLOOKUP(K53,Grupo!F:F,Grupo!G:G)</f>
        <v>46440.22</v>
      </c>
      <c r="J53" s="6">
        <f>_xlfn.XLOOKUP(D53,Grupo!B:B,Grupo!C:C)</f>
        <v>10</v>
      </c>
      <c r="K53" s="24">
        <f>_xlfn.XLOOKUP(A53,[1]COORDENADAS_GEOGRÁFICAS!$D:$D,[1]COORDENADAS_GEOGRÁFICAS!$F:$F)</f>
        <v>80</v>
      </c>
      <c r="L53" s="53"/>
      <c r="M53" s="53"/>
      <c r="N53" s="52">
        <f>_xlfn.XLOOKUP(D53,Grupo!B:B,Grupo!D:D)</f>
        <v>-12.620481488718251</v>
      </c>
      <c r="O53" s="52">
        <f>_xlfn.XLOOKUP(D53,Grupo!B:B,Grupo!E:E)</f>
        <v>-47.884083728442604</v>
      </c>
      <c r="P53" s="52">
        <f>_xlfn.XLOOKUP(A53,[1]COORDENADAS_GEOGRÁFICAS!$D:$D,[1]COORDENADAS_GEOGRÁFICAS!$G:$G)</f>
        <v>-13.089622</v>
      </c>
      <c r="Q53" s="52">
        <f>_xlfn.XLOOKUP(A53,[1]COORDENADAS_GEOGRÁFICAS!$D:$D,[1]COORDENADAS_GEOGRÁFICAS!$H:$H)</f>
        <v>-47.643808</v>
      </c>
      <c r="R53" s="20">
        <f t="shared" si="0"/>
        <v>58.307628276796592</v>
      </c>
    </row>
    <row r="54" spans="1:18" x14ac:dyDescent="0.3">
      <c r="A54" s="24">
        <v>3464158</v>
      </c>
      <c r="B54" s="24" t="s">
        <v>765</v>
      </c>
      <c r="C54" s="24">
        <v>402301129</v>
      </c>
      <c r="D54" s="24" t="str">
        <f>_xlfn.XLOOKUP(C54,Planilha3!A:A,Planilha3!C:C)</f>
        <v>PARANÃ</v>
      </c>
      <c r="E54" s="24">
        <v>1</v>
      </c>
      <c r="F54" s="54">
        <f>_xlfn.XLOOKUP(C54,Planilha3!A:A,Planilha3!E:E)</f>
        <v>45437</v>
      </c>
      <c r="G54" s="54">
        <f>_xlfn.XLOOKUP(C54,Planilha3!A:A,Planilha3!F:F)</f>
        <v>45448</v>
      </c>
      <c r="H54" s="54">
        <f>_xlfn.XLOOKUP(C54,Planilha3!A:A,Planilha3!G:G)</f>
        <v>45922</v>
      </c>
      <c r="I54" s="23">
        <f>_xlfn.XLOOKUP(K54,Grupo!F:F,Grupo!G:G)</f>
        <v>46440.22</v>
      </c>
      <c r="J54" s="6">
        <f>_xlfn.XLOOKUP(D54,Grupo!B:B,Grupo!C:C)</f>
        <v>10</v>
      </c>
      <c r="K54" s="24">
        <f>_xlfn.XLOOKUP(A54,[1]COORDENADAS_GEOGRÁFICAS!$D:$D,[1]COORDENADAS_GEOGRÁFICAS!$F:$F)</f>
        <v>80</v>
      </c>
      <c r="L54" s="53"/>
      <c r="M54" s="53"/>
      <c r="N54" s="52">
        <f>_xlfn.XLOOKUP(D54,Grupo!B:B,Grupo!D:D)</f>
        <v>-12.620481488718251</v>
      </c>
      <c r="O54" s="52">
        <f>_xlfn.XLOOKUP(D54,Grupo!B:B,Grupo!E:E)</f>
        <v>-47.884083728442604</v>
      </c>
      <c r="P54" s="52">
        <f>_xlfn.XLOOKUP(A54,[1]COORDENADAS_GEOGRÁFICAS!$D:$D,[1]COORDENADAS_GEOGRÁFICAS!$G:$G)</f>
        <v>-12.997166999999999</v>
      </c>
      <c r="Q54" s="52">
        <f>_xlfn.XLOOKUP(A54,[1]COORDENADAS_GEOGRÁFICAS!$D:$D,[1]COORDENADAS_GEOGRÁFICAS!$H:$H)</f>
        <v>-47.775126999999998</v>
      </c>
      <c r="R54" s="20">
        <f t="shared" si="0"/>
        <v>43.519711930475694</v>
      </c>
    </row>
    <row r="55" spans="1:18" x14ac:dyDescent="0.3">
      <c r="A55" s="24">
        <v>3465694</v>
      </c>
      <c r="B55" s="24" t="s">
        <v>765</v>
      </c>
      <c r="C55" s="24">
        <v>402301108</v>
      </c>
      <c r="D55" s="24" t="str">
        <f>_xlfn.XLOOKUP(C55,Planilha3!A:A,Planilha3!C:C)</f>
        <v>PARANÃ</v>
      </c>
      <c r="E55" s="24">
        <v>1</v>
      </c>
      <c r="F55" s="54">
        <f>_xlfn.XLOOKUP(C55,Planilha3!A:A,Planilha3!E:E)</f>
        <v>45448</v>
      </c>
      <c r="G55" s="54">
        <f>_xlfn.XLOOKUP(C55,Planilha3!A:A,Planilha3!F:F)</f>
        <v>45460</v>
      </c>
      <c r="H55" s="54">
        <f>_xlfn.XLOOKUP(C55,Planilha3!A:A,Planilha3!G:G)</f>
        <v>45922</v>
      </c>
      <c r="I55" s="23">
        <f>_xlfn.XLOOKUP(K55,Grupo!F:F,Grupo!G:G)</f>
        <v>46440.22</v>
      </c>
      <c r="J55" s="6">
        <f>_xlfn.XLOOKUP(D55,Grupo!B:B,Grupo!C:C)</f>
        <v>10</v>
      </c>
      <c r="K55" s="24">
        <f>_xlfn.XLOOKUP(A55,[1]COORDENADAS_GEOGRÁFICAS!$D:$D,[1]COORDENADAS_GEOGRÁFICAS!$F:$F)</f>
        <v>80</v>
      </c>
      <c r="L55" s="53"/>
      <c r="M55" s="53"/>
      <c r="N55" s="52">
        <f>_xlfn.XLOOKUP(D55,Grupo!B:B,Grupo!D:D)</f>
        <v>-12.620481488718251</v>
      </c>
      <c r="O55" s="52">
        <f>_xlfn.XLOOKUP(D55,Grupo!B:B,Grupo!E:E)</f>
        <v>-47.884083728442604</v>
      </c>
      <c r="P55" s="52">
        <f>_xlfn.XLOOKUP(A55,[1]COORDENADAS_GEOGRÁFICAS!$D:$D,[1]COORDENADAS_GEOGRÁFICAS!$G:$G)</f>
        <v>-12.745969000000001</v>
      </c>
      <c r="Q55" s="52">
        <f>_xlfn.XLOOKUP(A55,[1]COORDENADAS_GEOGRÁFICAS!$D:$D,[1]COORDENADAS_GEOGRÁFICAS!$H:$H)</f>
        <v>-47.417520000000003</v>
      </c>
      <c r="R55" s="20">
        <f t="shared" si="0"/>
        <v>52.501780361387951</v>
      </c>
    </row>
    <row r="56" spans="1:18" x14ac:dyDescent="0.3">
      <c r="A56" s="24">
        <v>3464101</v>
      </c>
      <c r="B56" s="24" t="s">
        <v>765</v>
      </c>
      <c r="C56" s="24">
        <v>402301128</v>
      </c>
      <c r="D56" s="24" t="str">
        <f>_xlfn.XLOOKUP(C56,Planilha3!A:A,Planilha3!C:C)</f>
        <v>PARANÃ</v>
      </c>
      <c r="E56" s="24">
        <v>1</v>
      </c>
      <c r="F56" s="54">
        <f>_xlfn.XLOOKUP(C56,Planilha3!A:A,Planilha3!E:E)</f>
        <v>45435</v>
      </c>
      <c r="G56" s="54">
        <f>_xlfn.XLOOKUP(C56,Planilha3!A:A,Planilha3!F:F)</f>
        <v>45448</v>
      </c>
      <c r="H56" s="54">
        <f>_xlfn.XLOOKUP(C56,Planilha3!A:A,Planilha3!G:G)</f>
        <v>45922</v>
      </c>
      <c r="I56" s="23">
        <f>_xlfn.XLOOKUP(K56,Grupo!F:F,Grupo!G:G)</f>
        <v>46440.22</v>
      </c>
      <c r="J56" s="6">
        <f>_xlfn.XLOOKUP(D56,Grupo!B:B,Grupo!C:C)</f>
        <v>10</v>
      </c>
      <c r="K56" s="24">
        <f>_xlfn.XLOOKUP(A56,[1]COORDENADAS_GEOGRÁFICAS!$D:$D,[1]COORDENADAS_GEOGRÁFICAS!$F:$F)</f>
        <v>80</v>
      </c>
      <c r="L56" s="53"/>
      <c r="M56" s="53"/>
      <c r="N56" s="52">
        <f>_xlfn.XLOOKUP(D56,Grupo!B:B,Grupo!D:D)</f>
        <v>-12.620481488718251</v>
      </c>
      <c r="O56" s="52">
        <f>_xlfn.XLOOKUP(D56,Grupo!B:B,Grupo!E:E)</f>
        <v>-47.884083728442604</v>
      </c>
      <c r="P56" s="52">
        <f>_xlfn.XLOOKUP(A56,[1]COORDENADAS_GEOGRÁFICAS!$D:$D,[1]COORDENADAS_GEOGRÁFICAS!$G:$G)</f>
        <v>-13.090835</v>
      </c>
      <c r="Q56" s="52">
        <f>_xlfn.XLOOKUP(A56,[1]COORDENADAS_GEOGRÁFICAS!$D:$D,[1]COORDENADAS_GEOGRÁFICAS!$H:$H)</f>
        <v>-47.645553</v>
      </c>
      <c r="R56" s="20">
        <f t="shared" si="0"/>
        <v>58.34421599269254</v>
      </c>
    </row>
    <row r="57" spans="1:18" x14ac:dyDescent="0.3">
      <c r="A57" s="24">
        <v>3438296</v>
      </c>
      <c r="B57" s="24" t="s">
        <v>765</v>
      </c>
      <c r="C57" s="24">
        <v>402301081</v>
      </c>
      <c r="D57" s="24" t="str">
        <f>_xlfn.XLOOKUP(C57,Planilha3!A:A,Planilha3!C:C)</f>
        <v>PARANÃ</v>
      </c>
      <c r="E57" s="24">
        <v>1</v>
      </c>
      <c r="F57" s="54">
        <f>_xlfn.XLOOKUP(C57,Planilha3!A:A,Planilha3!E:E)</f>
        <v>45298</v>
      </c>
      <c r="G57" s="54">
        <f>_xlfn.XLOOKUP(C57,Planilha3!A:A,Planilha3!F:F)</f>
        <v>45313</v>
      </c>
      <c r="H57" s="54">
        <f>_xlfn.XLOOKUP(C57,Planilha3!A:A,Planilha3!G:G)</f>
        <v>45922</v>
      </c>
      <c r="I57" s="23">
        <f>_xlfn.XLOOKUP(K57,Grupo!F:F,Grupo!G:G)</f>
        <v>46440.22</v>
      </c>
      <c r="J57" s="6">
        <f>_xlfn.XLOOKUP(D57,Grupo!B:B,Grupo!C:C)</f>
        <v>10</v>
      </c>
      <c r="K57" s="24">
        <f>_xlfn.XLOOKUP(A57,[1]COORDENADAS_GEOGRÁFICAS!$D:$D,[1]COORDENADAS_GEOGRÁFICAS!$F:$F)</f>
        <v>80</v>
      </c>
      <c r="L57" s="53"/>
      <c r="M57" s="53"/>
      <c r="N57" s="52">
        <f>_xlfn.XLOOKUP(D57,Grupo!B:B,Grupo!D:D)</f>
        <v>-12.620481488718251</v>
      </c>
      <c r="O57" s="52">
        <f>_xlfn.XLOOKUP(D57,Grupo!B:B,Grupo!E:E)</f>
        <v>-47.884083728442604</v>
      </c>
      <c r="P57" s="52">
        <f>_xlfn.XLOOKUP(A57,[1]COORDENADAS_GEOGRÁFICAS!$D:$D,[1]COORDENADAS_GEOGRÁFICAS!$G:$G)</f>
        <v>-12.602887000000001</v>
      </c>
      <c r="Q57" s="52">
        <f>_xlfn.XLOOKUP(A57,[1]COORDENADAS_GEOGRÁFICAS!$D:$D,[1]COORDENADAS_GEOGRÁFICAS!$H:$H)</f>
        <v>-47.402797999999997</v>
      </c>
      <c r="R57" s="20">
        <f t="shared" si="0"/>
        <v>52.26192250323809</v>
      </c>
    </row>
    <row r="58" spans="1:18" x14ac:dyDescent="0.3">
      <c r="A58" s="24">
        <v>3439715</v>
      </c>
      <c r="B58" s="24" t="s">
        <v>765</v>
      </c>
      <c r="C58" s="24">
        <v>502300593</v>
      </c>
      <c r="D58" s="24" t="str">
        <f>_xlfn.XLOOKUP(C58,Planilha3!A:A,Planilha3!C:C)</f>
        <v>ARRAIAS</v>
      </c>
      <c r="E58" s="24">
        <v>1</v>
      </c>
      <c r="F58" s="54">
        <f>_xlfn.XLOOKUP(C58,Planilha3!A:A,Planilha3!E:E)</f>
        <v>45300</v>
      </c>
      <c r="G58" s="54">
        <f>_xlfn.XLOOKUP(C58,Planilha3!A:A,Planilha3!F:F)</f>
        <v>45311</v>
      </c>
      <c r="H58" s="54">
        <f>_xlfn.XLOOKUP(C58,Planilha3!A:A,Planilha3!G:G)</f>
        <v>45922</v>
      </c>
      <c r="I58" s="23">
        <f>_xlfn.XLOOKUP(K58,Grupo!F:F,Grupo!G:G)</f>
        <v>46440.22</v>
      </c>
      <c r="J58" s="6">
        <f>_xlfn.XLOOKUP(D58,Grupo!B:B,Grupo!C:C)</f>
        <v>3</v>
      </c>
      <c r="K58" s="24">
        <f>_xlfn.XLOOKUP(A58,[1]COORDENADAS_GEOGRÁFICAS!$D:$D,[1]COORDENADAS_GEOGRÁFICAS!$F:$F)</f>
        <v>80</v>
      </c>
      <c r="L58" s="53"/>
      <c r="M58" s="53"/>
      <c r="N58" s="52">
        <f>_xlfn.XLOOKUP(D58,Grupo!B:B,Grupo!D:D)</f>
        <v>-12.934419859259252</v>
      </c>
      <c r="O58" s="52">
        <f>_xlfn.XLOOKUP(D58,Grupo!B:B,Grupo!E:E)</f>
        <v>-46.946107058553359</v>
      </c>
      <c r="P58" s="52">
        <f>_xlfn.XLOOKUP(A58,[1]COORDENADAS_GEOGRÁFICAS!$D:$D,[1]COORDENADAS_GEOGRÁFICAS!$G:$G)</f>
        <v>-12.6564</v>
      </c>
      <c r="Q58" s="52">
        <f>_xlfn.XLOOKUP(A58,[1]COORDENADAS_GEOGRÁFICAS!$D:$D,[1]COORDENADAS_GEOGRÁFICAS!$H:$H)</f>
        <v>-47.156700000000001</v>
      </c>
      <c r="R58" s="20">
        <f t="shared" si="0"/>
        <v>38.433739836911457</v>
      </c>
    </row>
    <row r="59" spans="1:18" x14ac:dyDescent="0.3">
      <c r="A59" s="24">
        <v>3438388</v>
      </c>
      <c r="B59" s="24" t="s">
        <v>765</v>
      </c>
      <c r="C59" s="24">
        <v>502300590</v>
      </c>
      <c r="D59" s="24" t="str">
        <f>_xlfn.XLOOKUP(C59,Planilha3!A:A,Planilha3!C:C)</f>
        <v>ARRAIAS</v>
      </c>
      <c r="E59" s="24">
        <v>1</v>
      </c>
      <c r="F59" s="54">
        <f>_xlfn.XLOOKUP(C59,Planilha3!A:A,Planilha3!E:E)</f>
        <v>45294</v>
      </c>
      <c r="G59" s="54">
        <f>_xlfn.XLOOKUP(C59,Planilha3!A:A,Planilha3!F:F)</f>
        <v>45306</v>
      </c>
      <c r="H59" s="54">
        <f>_xlfn.XLOOKUP(C59,Planilha3!A:A,Planilha3!G:G)</f>
        <v>45922</v>
      </c>
      <c r="I59" s="23">
        <f>_xlfn.XLOOKUP(K59,Grupo!F:F,Grupo!G:G)</f>
        <v>46440.22</v>
      </c>
      <c r="J59" s="6">
        <f>_xlfn.XLOOKUP(D59,Grupo!B:B,Grupo!C:C)</f>
        <v>3</v>
      </c>
      <c r="K59" s="24">
        <f>_xlfn.XLOOKUP(A59,[1]COORDENADAS_GEOGRÁFICAS!$D:$D,[1]COORDENADAS_GEOGRÁFICAS!$F:$F)</f>
        <v>80</v>
      </c>
      <c r="L59" s="53"/>
      <c r="M59" s="53"/>
      <c r="N59" s="52">
        <f>_xlfn.XLOOKUP(D59,Grupo!B:B,Grupo!D:D)</f>
        <v>-12.934419859259252</v>
      </c>
      <c r="O59" s="52">
        <f>_xlfn.XLOOKUP(D59,Grupo!B:B,Grupo!E:E)</f>
        <v>-46.946107058553359</v>
      </c>
      <c r="P59" s="52">
        <f>_xlfn.XLOOKUP(A59,[1]COORDENADAS_GEOGRÁFICAS!$D:$D,[1]COORDENADAS_GEOGRÁFICAS!$G:$G)</f>
        <v>-12.634980000000001</v>
      </c>
      <c r="Q59" s="52">
        <f>_xlfn.XLOOKUP(A59,[1]COORDENADAS_GEOGRÁFICAS!$D:$D,[1]COORDENADAS_GEOGRÁFICAS!$H:$H)</f>
        <v>-47.173062000000002</v>
      </c>
      <c r="R59" s="20">
        <f t="shared" si="0"/>
        <v>41.404301194437288</v>
      </c>
    </row>
    <row r="60" spans="1:18" x14ac:dyDescent="0.3">
      <c r="A60" s="24">
        <v>3464098</v>
      </c>
      <c r="B60" s="24" t="s">
        <v>765</v>
      </c>
      <c r="C60" s="24">
        <v>502300600</v>
      </c>
      <c r="D60" s="24" t="str">
        <f>_xlfn.XLOOKUP(C60,Planilha3!A:A,Planilha3!C:C)</f>
        <v>ARRAIAS</v>
      </c>
      <c r="E60" s="24">
        <v>1</v>
      </c>
      <c r="F60" s="54">
        <f>_xlfn.XLOOKUP(C60,Planilha3!A:A,Planilha3!E:E)</f>
        <v>45435</v>
      </c>
      <c r="G60" s="54">
        <f>_xlfn.XLOOKUP(C60,Planilha3!A:A,Planilha3!F:F)</f>
        <v>45448</v>
      </c>
      <c r="H60" s="54">
        <f>_xlfn.XLOOKUP(C60,Planilha3!A:A,Planilha3!G:G)</f>
        <v>45922</v>
      </c>
      <c r="I60" s="23">
        <f>_xlfn.XLOOKUP(K60,Grupo!F:F,Grupo!G:G)</f>
        <v>46440.22</v>
      </c>
      <c r="J60" s="6">
        <f>_xlfn.XLOOKUP(D60,Grupo!B:B,Grupo!C:C)</f>
        <v>3</v>
      </c>
      <c r="K60" s="24">
        <f>_xlfn.XLOOKUP(A60,[1]COORDENADAS_GEOGRÁFICAS!$D:$D,[1]COORDENADAS_GEOGRÁFICAS!$F:$F)</f>
        <v>80</v>
      </c>
      <c r="L60" s="53"/>
      <c r="M60" s="53"/>
      <c r="N60" s="52">
        <f>_xlfn.XLOOKUP(D60,Grupo!B:B,Grupo!D:D)</f>
        <v>-12.934419859259252</v>
      </c>
      <c r="O60" s="52">
        <f>_xlfn.XLOOKUP(D60,Grupo!B:B,Grupo!E:E)</f>
        <v>-46.946107058553359</v>
      </c>
      <c r="P60" s="52">
        <f>_xlfn.XLOOKUP(A60,[1]COORDENADAS_GEOGRÁFICAS!$D:$D,[1]COORDENADAS_GEOGRÁFICAS!$G:$G)</f>
        <v>-12.532322000000001</v>
      </c>
      <c r="Q60" s="52">
        <f>_xlfn.XLOOKUP(A60,[1]COORDENADAS_GEOGRÁFICAS!$D:$D,[1]COORDENADAS_GEOGRÁFICAS!$H:$H)</f>
        <v>-47.183525000000003</v>
      </c>
      <c r="R60" s="20">
        <f t="shared" si="0"/>
        <v>51.596272889956722</v>
      </c>
    </row>
    <row r="61" spans="1:18" x14ac:dyDescent="0.3">
      <c r="A61" s="24">
        <v>3434970</v>
      </c>
      <c r="B61" s="24" t="s">
        <v>765</v>
      </c>
      <c r="C61" s="24">
        <v>502300596</v>
      </c>
      <c r="D61" s="24" t="str">
        <f>_xlfn.XLOOKUP(C61,Planilha3!A:A,Planilha3!C:C)</f>
        <v>ARRAIAS</v>
      </c>
      <c r="E61" s="24">
        <v>1</v>
      </c>
      <c r="F61" s="54">
        <f>_xlfn.XLOOKUP(C61,Planilha3!A:A,Planilha3!E:E)</f>
        <v>45299</v>
      </c>
      <c r="G61" s="54">
        <f>_xlfn.XLOOKUP(C61,Planilha3!A:A,Planilha3!F:F)</f>
        <v>45314</v>
      </c>
      <c r="H61" s="54">
        <f>_xlfn.XLOOKUP(C61,Planilha3!A:A,Planilha3!G:G)</f>
        <v>45922</v>
      </c>
      <c r="I61" s="23">
        <f>_xlfn.XLOOKUP(K61,Grupo!F:F,Grupo!G:G)</f>
        <v>46440.22</v>
      </c>
      <c r="J61" s="6">
        <f>_xlfn.XLOOKUP(D61,Grupo!B:B,Grupo!C:C)</f>
        <v>3</v>
      </c>
      <c r="K61" s="24">
        <f>_xlfn.XLOOKUP(A61,[1]COORDENADAS_GEOGRÁFICAS!$D:$D,[1]COORDENADAS_GEOGRÁFICAS!$F:$F)</f>
        <v>80</v>
      </c>
      <c r="L61" s="53"/>
      <c r="M61" s="53"/>
      <c r="N61" s="52">
        <f>_xlfn.XLOOKUP(D61,Grupo!B:B,Grupo!D:D)</f>
        <v>-12.934419859259252</v>
      </c>
      <c r="O61" s="52">
        <f>_xlfn.XLOOKUP(D61,Grupo!B:B,Grupo!E:E)</f>
        <v>-46.946107058553359</v>
      </c>
      <c r="P61" s="52">
        <f>_xlfn.XLOOKUP(A61,[1]COORDENADAS_GEOGRÁFICAS!$D:$D,[1]COORDENADAS_GEOGRÁFICAS!$G:$G)</f>
        <v>-12.582008</v>
      </c>
      <c r="Q61" s="52">
        <f>_xlfn.XLOOKUP(A61,[1]COORDENADAS_GEOGRÁFICAS!$D:$D,[1]COORDENADAS_GEOGRÁFICAS!$H:$H)</f>
        <v>-47.229097000000003</v>
      </c>
      <c r="R61" s="20">
        <f t="shared" si="0"/>
        <v>49.774052561144103</v>
      </c>
    </row>
    <row r="62" spans="1:18" x14ac:dyDescent="0.3">
      <c r="A62" s="24">
        <v>3439401</v>
      </c>
      <c r="B62" s="24" t="s">
        <v>765</v>
      </c>
      <c r="C62" s="24">
        <v>402301119</v>
      </c>
      <c r="D62" s="24" t="str">
        <f>_xlfn.XLOOKUP(C62,Planilha3!A:A,Planilha3!C:C)</f>
        <v>PARANÃ</v>
      </c>
      <c r="E62" s="24">
        <v>1</v>
      </c>
      <c r="F62" s="54">
        <f>_xlfn.XLOOKUP(C62,Planilha3!A:A,Planilha3!E:E)</f>
        <v>45382</v>
      </c>
      <c r="G62" s="54">
        <f>_xlfn.XLOOKUP(C62,Planilha3!A:A,Planilha3!F:F)</f>
        <v>45398</v>
      </c>
      <c r="H62" s="54">
        <f>_xlfn.XLOOKUP(C62,Planilha3!A:A,Planilha3!G:G)</f>
        <v>45922</v>
      </c>
      <c r="I62" s="23">
        <f>_xlfn.XLOOKUP(K62,Grupo!F:F,Grupo!G:G)</f>
        <v>46440.22</v>
      </c>
      <c r="J62" s="6">
        <f>_xlfn.XLOOKUP(D62,Grupo!B:B,Grupo!C:C)</f>
        <v>10</v>
      </c>
      <c r="K62" s="24">
        <f>_xlfn.XLOOKUP(A62,[1]COORDENADAS_GEOGRÁFICAS!$D:$D,[1]COORDENADAS_GEOGRÁFICAS!$F:$F)</f>
        <v>80</v>
      </c>
      <c r="L62" s="53"/>
      <c r="M62" s="53"/>
      <c r="N62" s="52">
        <f>_xlfn.XLOOKUP(D62,Grupo!B:B,Grupo!D:D)</f>
        <v>-12.620481488718251</v>
      </c>
      <c r="O62" s="52">
        <f>_xlfn.XLOOKUP(D62,Grupo!B:B,Grupo!E:E)</f>
        <v>-47.884083728442604</v>
      </c>
      <c r="P62" s="52">
        <f>_xlfn.XLOOKUP(A62,[1]COORDENADAS_GEOGRÁFICAS!$D:$D,[1]COORDENADAS_GEOGRÁFICAS!$G:$G)</f>
        <v>-12.584153000000001</v>
      </c>
      <c r="Q62" s="52">
        <f>_xlfn.XLOOKUP(A62,[1]COORDENADAS_GEOGRÁFICAS!$D:$D,[1]COORDENADAS_GEOGRÁFICAS!$H:$H)</f>
        <v>-47.231073000000002</v>
      </c>
      <c r="R62" s="20">
        <f t="shared" si="0"/>
        <v>70.977145311538948</v>
      </c>
    </row>
    <row r="63" spans="1:18" x14ac:dyDescent="0.3">
      <c r="A63" s="24">
        <v>3442507</v>
      </c>
      <c r="B63" s="24" t="s">
        <v>765</v>
      </c>
      <c r="C63" s="24">
        <v>502300597</v>
      </c>
      <c r="D63" s="24" t="str">
        <f>_xlfn.XLOOKUP(C63,Planilha3!A:A,Planilha3!C:C)</f>
        <v>ARRAIAS</v>
      </c>
      <c r="E63" s="24">
        <v>1</v>
      </c>
      <c r="F63" s="54">
        <f>_xlfn.XLOOKUP(C63,Planilha3!A:A,Planilha3!E:E)</f>
        <v>45388</v>
      </c>
      <c r="G63" s="54">
        <f>_xlfn.XLOOKUP(C63,Planilha3!A:A,Planilha3!F:F)</f>
        <v>45399</v>
      </c>
      <c r="H63" s="54">
        <f>_xlfn.XLOOKUP(C63,Planilha3!A:A,Planilha3!G:G)</f>
        <v>45922</v>
      </c>
      <c r="I63" s="23">
        <f>_xlfn.XLOOKUP(K63,Grupo!F:F,Grupo!G:G)</f>
        <v>46440.22</v>
      </c>
      <c r="J63" s="6">
        <f>_xlfn.XLOOKUP(D63,Grupo!B:B,Grupo!C:C)</f>
        <v>3</v>
      </c>
      <c r="K63" s="24">
        <f>_xlfn.XLOOKUP(A63,[1]COORDENADAS_GEOGRÁFICAS!$D:$D,[1]COORDENADAS_GEOGRÁFICAS!$F:$F)</f>
        <v>80</v>
      </c>
      <c r="L63" s="53"/>
      <c r="M63" s="53"/>
      <c r="N63" s="52">
        <f>_xlfn.XLOOKUP(D63,Grupo!B:B,Grupo!D:D)</f>
        <v>-12.934419859259252</v>
      </c>
      <c r="O63" s="52">
        <f>_xlfn.XLOOKUP(D63,Grupo!B:B,Grupo!E:E)</f>
        <v>-46.946107058553359</v>
      </c>
      <c r="P63" s="52">
        <f>_xlfn.XLOOKUP(A63,[1]COORDENADAS_GEOGRÁFICAS!$D:$D,[1]COORDENADAS_GEOGRÁFICAS!$G:$G)</f>
        <v>-12.638745</v>
      </c>
      <c r="Q63" s="52">
        <f>_xlfn.XLOOKUP(A63,[1]COORDENADAS_GEOGRÁFICAS!$D:$D,[1]COORDENADAS_GEOGRÁFICAS!$H:$H)</f>
        <v>-47.150374999999997</v>
      </c>
      <c r="R63" s="20">
        <f t="shared" si="0"/>
        <v>39.642994114989122</v>
      </c>
    </row>
    <row r="64" spans="1:18" x14ac:dyDescent="0.3">
      <c r="A64" s="24">
        <v>3442753</v>
      </c>
      <c r="B64" s="24" t="s">
        <v>765</v>
      </c>
      <c r="C64" s="24">
        <v>502300598</v>
      </c>
      <c r="D64" s="24" t="str">
        <f>_xlfn.XLOOKUP(C64,Planilha3!A:A,Planilha3!C:C)</f>
        <v>ARRAIAS</v>
      </c>
      <c r="E64" s="24">
        <v>1</v>
      </c>
      <c r="F64" s="54">
        <f>_xlfn.XLOOKUP(C64,Planilha3!A:A,Planilha3!E:E)</f>
        <v>45387</v>
      </c>
      <c r="G64" s="54">
        <f>_xlfn.XLOOKUP(C64,Planilha3!A:A,Planilha3!F:F)</f>
        <v>45399</v>
      </c>
      <c r="H64" s="54">
        <f>_xlfn.XLOOKUP(C64,Planilha3!A:A,Planilha3!G:G)</f>
        <v>45922</v>
      </c>
      <c r="I64" s="23">
        <f>_xlfn.XLOOKUP(K64,Grupo!F:F,Grupo!G:G)</f>
        <v>46440.22</v>
      </c>
      <c r="J64" s="6">
        <f>_xlfn.XLOOKUP(D64,Grupo!B:B,Grupo!C:C)</f>
        <v>3</v>
      </c>
      <c r="K64" s="24">
        <f>_xlfn.XLOOKUP(A64,[1]COORDENADAS_GEOGRÁFICAS!$D:$D,[1]COORDENADAS_GEOGRÁFICAS!$F:$F)</f>
        <v>80</v>
      </c>
      <c r="L64" s="53"/>
      <c r="M64" s="53"/>
      <c r="N64" s="52">
        <f>_xlfn.XLOOKUP(D64,Grupo!B:B,Grupo!D:D)</f>
        <v>-12.934419859259252</v>
      </c>
      <c r="O64" s="52">
        <f>_xlfn.XLOOKUP(D64,Grupo!B:B,Grupo!E:E)</f>
        <v>-46.946107058553359</v>
      </c>
      <c r="P64" s="52">
        <f>_xlfn.XLOOKUP(A64,[1]COORDENADAS_GEOGRÁFICAS!$D:$D,[1]COORDENADAS_GEOGRÁFICAS!$G:$G)</f>
        <v>-12.669122</v>
      </c>
      <c r="Q64" s="52">
        <f>_xlfn.XLOOKUP(A64,[1]COORDENADAS_GEOGRÁFICAS!$D:$D,[1]COORDENADAS_GEOGRÁFICAS!$H:$H)</f>
        <v>-47.164050000000003</v>
      </c>
      <c r="R64" s="20">
        <f t="shared" si="0"/>
        <v>37.798084174638376</v>
      </c>
    </row>
    <row r="65" spans="1:18" x14ac:dyDescent="0.3">
      <c r="A65" s="24">
        <v>3466402</v>
      </c>
      <c r="B65" s="24" t="s">
        <v>765</v>
      </c>
      <c r="C65" s="24">
        <v>502300599</v>
      </c>
      <c r="D65" s="24" t="str">
        <f>_xlfn.XLOOKUP(C65,Planilha3!A:A,Planilha3!C:C)</f>
        <v>ARRAIAS</v>
      </c>
      <c r="E65" s="24">
        <v>1</v>
      </c>
      <c r="F65" s="54">
        <f>_xlfn.XLOOKUP(C65,Planilha3!A:A,Planilha3!E:E)</f>
        <v>45434</v>
      </c>
      <c r="G65" s="54">
        <f>_xlfn.XLOOKUP(C65,Planilha3!A:A,Planilha3!F:F)</f>
        <v>45447</v>
      </c>
      <c r="H65" s="54">
        <f>_xlfn.XLOOKUP(C65,Planilha3!A:A,Planilha3!G:G)</f>
        <v>45922</v>
      </c>
      <c r="I65" s="23">
        <f>_xlfn.XLOOKUP(K65,Grupo!F:F,Grupo!G:G)</f>
        <v>46440.22</v>
      </c>
      <c r="J65" s="6">
        <f>_xlfn.XLOOKUP(D65,Grupo!B:B,Grupo!C:C)</f>
        <v>3</v>
      </c>
      <c r="K65" s="24">
        <f>_xlfn.XLOOKUP(A65,[1]COORDENADAS_GEOGRÁFICAS!$D:$D,[1]COORDENADAS_GEOGRÁFICAS!$F:$F)</f>
        <v>80</v>
      </c>
      <c r="L65" s="53"/>
      <c r="M65" s="53"/>
      <c r="N65" s="52">
        <f>_xlfn.XLOOKUP(D65,Grupo!B:B,Grupo!D:D)</f>
        <v>-12.934419859259252</v>
      </c>
      <c r="O65" s="52">
        <f>_xlfn.XLOOKUP(D65,Grupo!B:B,Grupo!E:E)</f>
        <v>-46.946107058553359</v>
      </c>
      <c r="P65" s="52">
        <f>_xlfn.XLOOKUP(A65,[1]COORDENADAS_GEOGRÁFICAS!$D:$D,[1]COORDENADAS_GEOGRÁFICAS!$G:$G)</f>
        <v>-12.668633</v>
      </c>
      <c r="Q65" s="52">
        <f>_xlfn.XLOOKUP(A65,[1]COORDENADAS_GEOGRÁFICAS!$D:$D,[1]COORDENADAS_GEOGRÁFICAS!$H:$H)</f>
        <v>-47.163702000000001</v>
      </c>
      <c r="R65" s="20">
        <f t="shared" si="0"/>
        <v>37.816996823549779</v>
      </c>
    </row>
    <row r="66" spans="1:18" x14ac:dyDescent="0.3">
      <c r="A66" s="24">
        <v>3464096</v>
      </c>
      <c r="B66" s="24" t="s">
        <v>765</v>
      </c>
      <c r="C66" s="24">
        <v>402301126</v>
      </c>
      <c r="D66" s="24" t="str">
        <f>_xlfn.XLOOKUP(C66,Planilha3!A:A,Planilha3!C:C)</f>
        <v>PARANÃ</v>
      </c>
      <c r="E66" s="24">
        <v>1</v>
      </c>
      <c r="F66" s="54">
        <f>_xlfn.XLOOKUP(C66,Planilha3!A:A,Planilha3!E:E)</f>
        <v>45432</v>
      </c>
      <c r="G66" s="54">
        <f>_xlfn.XLOOKUP(C66,Planilha3!A:A,Planilha3!F:F)</f>
        <v>45447</v>
      </c>
      <c r="H66" s="54">
        <f>_xlfn.XLOOKUP(C66,Planilha3!A:A,Planilha3!G:G)</f>
        <v>45922</v>
      </c>
      <c r="I66" s="23">
        <f>_xlfn.XLOOKUP(K66,Grupo!F:F,Grupo!G:G)</f>
        <v>46440.22</v>
      </c>
      <c r="J66" s="6">
        <f>_xlfn.XLOOKUP(D66,Grupo!B:B,Grupo!C:C)</f>
        <v>10</v>
      </c>
      <c r="K66" s="24">
        <f>_xlfn.XLOOKUP(A66,[1]COORDENADAS_GEOGRÁFICAS!$D:$D,[1]COORDENADAS_GEOGRÁFICAS!$F:$F)</f>
        <v>80</v>
      </c>
      <c r="L66" s="53"/>
      <c r="M66" s="53"/>
      <c r="N66" s="52">
        <f>_xlfn.XLOOKUP(D66,Grupo!B:B,Grupo!D:D)</f>
        <v>-12.620481488718251</v>
      </c>
      <c r="O66" s="52">
        <f>_xlfn.XLOOKUP(D66,Grupo!B:B,Grupo!E:E)</f>
        <v>-47.884083728442604</v>
      </c>
      <c r="P66" s="52">
        <f>_xlfn.XLOOKUP(A66,[1]COORDENADAS_GEOGRÁFICAS!$D:$D,[1]COORDENADAS_GEOGRÁFICAS!$G:$G)</f>
        <v>-12.769475</v>
      </c>
      <c r="Q66" s="52">
        <f>_xlfn.XLOOKUP(A66,[1]COORDENADAS_GEOGRÁFICAS!$D:$D,[1]COORDENADAS_GEOGRÁFICAS!$H:$H)</f>
        <v>-47.413406999999999</v>
      </c>
      <c r="R66" s="20">
        <f t="shared" si="0"/>
        <v>53.678064971487927</v>
      </c>
    </row>
    <row r="67" spans="1:18" x14ac:dyDescent="0.3">
      <c r="A67" s="24">
        <v>3438387</v>
      </c>
      <c r="B67" s="24" t="s">
        <v>765</v>
      </c>
      <c r="C67" s="24">
        <v>502300592</v>
      </c>
      <c r="D67" s="24" t="str">
        <f>_xlfn.XLOOKUP(C67,Planilha3!A:A,Planilha3!C:C)</f>
        <v>ARRAIAS</v>
      </c>
      <c r="E67" s="24">
        <v>1</v>
      </c>
      <c r="F67" s="54">
        <f>_xlfn.XLOOKUP(C67,Planilha3!A:A,Planilha3!E:E)</f>
        <v>45300</v>
      </c>
      <c r="G67" s="54">
        <f>_xlfn.XLOOKUP(C67,Planilha3!A:A,Planilha3!F:F)</f>
        <v>45311</v>
      </c>
      <c r="H67" s="54">
        <f>_xlfn.XLOOKUP(C67,Planilha3!A:A,Planilha3!G:G)</f>
        <v>45922</v>
      </c>
      <c r="I67" s="23">
        <f>_xlfn.XLOOKUP(K67,Grupo!F:F,Grupo!G:G)</f>
        <v>46440.22</v>
      </c>
      <c r="J67" s="6">
        <f>_xlfn.XLOOKUP(D67,Grupo!B:B,Grupo!C:C)</f>
        <v>3</v>
      </c>
      <c r="K67" s="24">
        <f>_xlfn.XLOOKUP(A67,[1]COORDENADAS_GEOGRÁFICAS!$D:$D,[1]COORDENADAS_GEOGRÁFICAS!$F:$F)</f>
        <v>80</v>
      </c>
      <c r="L67" s="53"/>
      <c r="M67" s="53"/>
      <c r="N67" s="52">
        <f>_xlfn.XLOOKUP(D67,Grupo!B:B,Grupo!D:D)</f>
        <v>-12.934419859259252</v>
      </c>
      <c r="O67" s="52">
        <f>_xlfn.XLOOKUP(D67,Grupo!B:B,Grupo!E:E)</f>
        <v>-46.946107058553359</v>
      </c>
      <c r="P67" s="52">
        <f>_xlfn.XLOOKUP(A67,[1]COORDENADAS_GEOGRÁFICAS!$D:$D,[1]COORDENADAS_GEOGRÁFICAS!$G:$G)</f>
        <v>-12.794957999999999</v>
      </c>
      <c r="Q67" s="52">
        <f>_xlfn.XLOOKUP(A67,[1]COORDENADAS_GEOGRÁFICAS!$D:$D,[1]COORDENADAS_GEOGRÁFICAS!$H:$H)</f>
        <v>-47.391027999999999</v>
      </c>
      <c r="R67" s="20">
        <f t="shared" si="0"/>
        <v>50.662798961782372</v>
      </c>
    </row>
    <row r="68" spans="1:18" x14ac:dyDescent="0.3">
      <c r="A68" s="24">
        <v>3437334</v>
      </c>
      <c r="B68" s="24" t="s">
        <v>765</v>
      </c>
      <c r="C68" s="24">
        <v>402301114</v>
      </c>
      <c r="D68" s="24" t="str">
        <f>_xlfn.XLOOKUP(C68,Planilha3!A:A,Planilha3!C:C)</f>
        <v>PARANÃ</v>
      </c>
      <c r="E68" s="24">
        <v>1</v>
      </c>
      <c r="F68" s="54">
        <f>_xlfn.XLOOKUP(C68,Planilha3!A:A,Planilha3!E:E)</f>
        <v>45301</v>
      </c>
      <c r="G68" s="54">
        <f>_xlfn.XLOOKUP(C68,Planilha3!A:A,Planilha3!F:F)</f>
        <v>45313</v>
      </c>
      <c r="H68" s="54">
        <f>_xlfn.XLOOKUP(C68,Planilha3!A:A,Planilha3!G:G)</f>
        <v>45922</v>
      </c>
      <c r="I68" s="23">
        <f>_xlfn.XLOOKUP(K68,Grupo!F:F,Grupo!G:G)</f>
        <v>46440.22</v>
      </c>
      <c r="J68" s="6">
        <f>_xlfn.XLOOKUP(D68,Grupo!B:B,Grupo!C:C)</f>
        <v>10</v>
      </c>
      <c r="K68" s="24">
        <f>_xlfn.XLOOKUP(A68,[1]COORDENADAS_GEOGRÁFICAS!$D:$D,[1]COORDENADAS_GEOGRÁFICAS!$F:$F)</f>
        <v>80</v>
      </c>
      <c r="L68" s="53"/>
      <c r="M68" s="53"/>
      <c r="N68" s="52">
        <f>_xlfn.XLOOKUP(D68,Grupo!B:B,Grupo!D:D)</f>
        <v>-12.620481488718251</v>
      </c>
      <c r="O68" s="52">
        <f>_xlfn.XLOOKUP(D68,Grupo!B:B,Grupo!E:E)</f>
        <v>-47.884083728442604</v>
      </c>
      <c r="P68" s="52">
        <f>_xlfn.XLOOKUP(A68,[1]COORDENADAS_GEOGRÁFICAS!$D:$D,[1]COORDENADAS_GEOGRÁFICAS!$G:$G)</f>
        <v>-12.862887000000001</v>
      </c>
      <c r="Q68" s="52">
        <f>_xlfn.XLOOKUP(A68,[1]COORDENADAS_GEOGRÁFICAS!$D:$D,[1]COORDENADAS_GEOGRÁFICAS!$H:$H)</f>
        <v>-47.506734999999999</v>
      </c>
      <c r="R68" s="20">
        <f t="shared" si="0"/>
        <v>49.004752331595732</v>
      </c>
    </row>
    <row r="69" spans="1:18" x14ac:dyDescent="0.3">
      <c r="A69" s="24">
        <v>3436137</v>
      </c>
      <c r="B69" s="24" t="s">
        <v>765</v>
      </c>
      <c r="C69" s="24">
        <v>402301115</v>
      </c>
      <c r="D69" s="24" t="str">
        <f>_xlfn.XLOOKUP(C69,Planilha3!A:A,Planilha3!C:C)</f>
        <v>PARANÃ</v>
      </c>
      <c r="E69" s="24">
        <v>1</v>
      </c>
      <c r="F69" s="54">
        <f>_xlfn.XLOOKUP(C69,Planilha3!A:A,Planilha3!E:E)</f>
        <v>45301</v>
      </c>
      <c r="G69" s="54">
        <f>_xlfn.XLOOKUP(C69,Planilha3!A:A,Planilha3!F:F)</f>
        <v>45314</v>
      </c>
      <c r="H69" s="54">
        <f>_xlfn.XLOOKUP(C69,Planilha3!A:A,Planilha3!G:G)</f>
        <v>45922</v>
      </c>
      <c r="I69" s="23">
        <f>_xlfn.XLOOKUP(K69,Grupo!F:F,Grupo!G:G)</f>
        <v>46440.22</v>
      </c>
      <c r="J69" s="6">
        <f>_xlfn.XLOOKUP(D69,Grupo!B:B,Grupo!C:C)</f>
        <v>10</v>
      </c>
      <c r="K69" s="24">
        <f>_xlfn.XLOOKUP(A69,[1]COORDENADAS_GEOGRÁFICAS!$D:$D,[1]COORDENADAS_GEOGRÁFICAS!$F:$F)</f>
        <v>80</v>
      </c>
      <c r="L69" s="53"/>
      <c r="M69" s="53"/>
      <c r="N69" s="52">
        <f>_xlfn.XLOOKUP(D69,Grupo!B:B,Grupo!D:D)</f>
        <v>-12.620481488718251</v>
      </c>
      <c r="O69" s="52">
        <f>_xlfn.XLOOKUP(D69,Grupo!B:B,Grupo!E:E)</f>
        <v>-47.884083728442604</v>
      </c>
      <c r="P69" s="52">
        <f>_xlfn.XLOOKUP(A69,[1]COORDENADAS_GEOGRÁFICAS!$D:$D,[1]COORDENADAS_GEOGRÁFICAS!$G:$G)</f>
        <v>-12.910793</v>
      </c>
      <c r="Q69" s="52">
        <f>_xlfn.XLOOKUP(A69,[1]COORDENADAS_GEOGRÁFICAS!$D:$D,[1]COORDENADAS_GEOGRÁFICAS!$H:$H)</f>
        <v>-47.574967999999998</v>
      </c>
      <c r="R69" s="20">
        <f t="shared" ref="R69:R132" si="1">6371*ACOS(COS(PI()*(90-P69)/180)*COS((90-N69)*PI()/180)+SIN((90-P69)*PI()/180)*SIN((90-N69)*PI()/180)*COS((Q69-O69)*PI()/180))</f>
        <v>46.538461296974546</v>
      </c>
    </row>
    <row r="70" spans="1:18" x14ac:dyDescent="0.3">
      <c r="A70" s="24">
        <v>3441679</v>
      </c>
      <c r="B70" s="24" t="s">
        <v>765</v>
      </c>
      <c r="C70" s="24">
        <v>402301122</v>
      </c>
      <c r="D70" s="24" t="str">
        <f>_xlfn.XLOOKUP(C70,Planilha3!A:A,Planilha3!C:C)</f>
        <v>PARANÃ</v>
      </c>
      <c r="E70" s="24">
        <v>1</v>
      </c>
      <c r="F70" s="54">
        <f>_xlfn.XLOOKUP(C70,Planilha3!A:A,Planilha3!E:E)</f>
        <v>45384</v>
      </c>
      <c r="G70" s="54">
        <f>_xlfn.XLOOKUP(C70,Planilha3!A:A,Planilha3!F:F)</f>
        <v>45399</v>
      </c>
      <c r="H70" s="54">
        <f>_xlfn.XLOOKUP(C70,Planilha3!A:A,Planilha3!G:G)</f>
        <v>45922</v>
      </c>
      <c r="I70" s="23">
        <f>_xlfn.XLOOKUP(K70,Grupo!F:F,Grupo!G:G)</f>
        <v>46440.22</v>
      </c>
      <c r="J70" s="6">
        <f>_xlfn.XLOOKUP(D70,Grupo!B:B,Grupo!C:C)</f>
        <v>10</v>
      </c>
      <c r="K70" s="24">
        <f>_xlfn.XLOOKUP(A70,[1]COORDENADAS_GEOGRÁFICAS!$D:$D,[1]COORDENADAS_GEOGRÁFICAS!$F:$F)</f>
        <v>80</v>
      </c>
      <c r="L70" s="53"/>
      <c r="M70" s="53"/>
      <c r="N70" s="52">
        <f>_xlfn.XLOOKUP(D70,Grupo!B:B,Grupo!D:D)</f>
        <v>-12.620481488718251</v>
      </c>
      <c r="O70" s="52">
        <f>_xlfn.XLOOKUP(D70,Grupo!B:B,Grupo!E:E)</f>
        <v>-47.884083728442604</v>
      </c>
      <c r="P70" s="52">
        <f>_xlfn.XLOOKUP(A70,[1]COORDENADAS_GEOGRÁFICAS!$D:$D,[1]COORDENADAS_GEOGRÁFICAS!$G:$G)</f>
        <v>-12.396100000000001</v>
      </c>
      <c r="Q70" s="52">
        <f>_xlfn.XLOOKUP(A70,[1]COORDENADAS_GEOGRÁFICAS!$D:$D,[1]COORDENADAS_GEOGRÁFICAS!$H:$H)</f>
        <v>-47.916601999999997</v>
      </c>
      <c r="R70" s="20">
        <f t="shared" si="1"/>
        <v>25.198568140033359</v>
      </c>
    </row>
    <row r="71" spans="1:18" x14ac:dyDescent="0.3">
      <c r="A71" s="24">
        <v>3435661</v>
      </c>
      <c r="B71" s="24" t="s">
        <v>765</v>
      </c>
      <c r="C71" s="24">
        <v>402301118</v>
      </c>
      <c r="D71" s="24" t="str">
        <f>_xlfn.XLOOKUP(C71,Planilha3!A:A,Planilha3!C:C)</f>
        <v>PARANÃ</v>
      </c>
      <c r="E71" s="24">
        <v>1</v>
      </c>
      <c r="F71" s="54">
        <f>_xlfn.XLOOKUP(C71,Planilha3!A:A,Planilha3!E:E)</f>
        <v>45300</v>
      </c>
      <c r="G71" s="54">
        <f>_xlfn.XLOOKUP(C71,Planilha3!A:A,Planilha3!F:F)</f>
        <v>45316</v>
      </c>
      <c r="H71" s="54">
        <f>_xlfn.XLOOKUP(C71,Planilha3!A:A,Planilha3!G:G)</f>
        <v>45922</v>
      </c>
      <c r="I71" s="23">
        <f>_xlfn.XLOOKUP(K71,Grupo!F:F,Grupo!G:G)</f>
        <v>46440.22</v>
      </c>
      <c r="J71" s="6">
        <f>_xlfn.XLOOKUP(D71,Grupo!B:B,Grupo!C:C)</f>
        <v>10</v>
      </c>
      <c r="K71" s="24">
        <f>_xlfn.XLOOKUP(A71,[1]COORDENADAS_GEOGRÁFICAS!$D:$D,[1]COORDENADAS_GEOGRÁFICAS!$F:$F)</f>
        <v>80</v>
      </c>
      <c r="L71" s="53"/>
      <c r="M71" s="53"/>
      <c r="N71" s="52">
        <f>_xlfn.XLOOKUP(D71,Grupo!B:B,Grupo!D:D)</f>
        <v>-12.620481488718251</v>
      </c>
      <c r="O71" s="52">
        <f>_xlfn.XLOOKUP(D71,Grupo!B:B,Grupo!E:E)</f>
        <v>-47.884083728442604</v>
      </c>
      <c r="P71" s="52">
        <f>_xlfn.XLOOKUP(A71,[1]COORDENADAS_GEOGRÁFICAS!$D:$D,[1]COORDENADAS_GEOGRÁFICAS!$G:$G)</f>
        <v>-12.657102</v>
      </c>
      <c r="Q71" s="52">
        <f>_xlfn.XLOOKUP(A71,[1]COORDENADAS_GEOGRÁFICAS!$D:$D,[1]COORDENADAS_GEOGRÁFICAS!$H:$H)</f>
        <v>-47.495545</v>
      </c>
      <c r="R71" s="20">
        <f t="shared" si="1"/>
        <v>42.352865550776144</v>
      </c>
    </row>
    <row r="72" spans="1:18" x14ac:dyDescent="0.3">
      <c r="A72" s="24">
        <v>3437161</v>
      </c>
      <c r="B72" s="24" t="s">
        <v>765</v>
      </c>
      <c r="C72" s="24">
        <v>402301083</v>
      </c>
      <c r="D72" s="24" t="str">
        <f>_xlfn.XLOOKUP(C72,Planilha3!A:A,Planilha3!C:C)</f>
        <v>PARANÃ</v>
      </c>
      <c r="E72" s="24">
        <v>1</v>
      </c>
      <c r="F72" s="54">
        <f>_xlfn.XLOOKUP(C72,Planilha3!A:A,Planilha3!E:E)</f>
        <v>45302</v>
      </c>
      <c r="G72" s="54">
        <f>_xlfn.XLOOKUP(C72,Planilha3!A:A,Planilha3!F:F)</f>
        <v>45313</v>
      </c>
      <c r="H72" s="54">
        <f>_xlfn.XLOOKUP(C72,Planilha3!A:A,Planilha3!G:G)</f>
        <v>45922</v>
      </c>
      <c r="I72" s="23">
        <f>_xlfn.XLOOKUP(K72,Grupo!F:F,Grupo!G:G)</f>
        <v>46440.22</v>
      </c>
      <c r="J72" s="6">
        <f>_xlfn.XLOOKUP(D72,Grupo!B:B,Grupo!C:C)</f>
        <v>10</v>
      </c>
      <c r="K72" s="24">
        <f>_xlfn.XLOOKUP(A72,[1]COORDENADAS_GEOGRÁFICAS!$D:$D,[1]COORDENADAS_GEOGRÁFICAS!$F:$F)</f>
        <v>80</v>
      </c>
      <c r="L72" s="53"/>
      <c r="M72" s="53"/>
      <c r="N72" s="52">
        <f>_xlfn.XLOOKUP(D72,Grupo!B:B,Grupo!D:D)</f>
        <v>-12.620481488718251</v>
      </c>
      <c r="O72" s="52">
        <f>_xlfn.XLOOKUP(D72,Grupo!B:B,Grupo!E:E)</f>
        <v>-47.884083728442604</v>
      </c>
      <c r="P72" s="52">
        <f>_xlfn.XLOOKUP(A72,[1]COORDENADAS_GEOGRÁFICAS!$D:$D,[1]COORDENADAS_GEOGRÁFICAS!$G:$G)</f>
        <v>-12.626338000000001</v>
      </c>
      <c r="Q72" s="52">
        <f>_xlfn.XLOOKUP(A72,[1]COORDENADAS_GEOGRÁFICAS!$D:$D,[1]COORDENADAS_GEOGRÁFICAS!$H:$H)</f>
        <v>-47.335728000000003</v>
      </c>
      <c r="R72" s="20">
        <f t="shared" si="1"/>
        <v>59.504027787602944</v>
      </c>
    </row>
    <row r="73" spans="1:18" x14ac:dyDescent="0.3">
      <c r="A73" s="24">
        <v>3463147</v>
      </c>
      <c r="B73" s="24" t="s">
        <v>765</v>
      </c>
      <c r="C73" s="24">
        <v>502300595</v>
      </c>
      <c r="D73" s="24" t="str">
        <f>_xlfn.XLOOKUP(C73,Planilha3!A:A,Planilha3!C:C)</f>
        <v>ARRAIAS</v>
      </c>
      <c r="E73" s="24">
        <v>1</v>
      </c>
      <c r="F73" s="54">
        <f>_xlfn.XLOOKUP(C73,Planilha3!A:A,Planilha3!E:E)</f>
        <v>45437</v>
      </c>
      <c r="G73" s="54">
        <f>_xlfn.XLOOKUP(C73,Planilha3!A:A,Planilha3!F:F)</f>
        <v>45449</v>
      </c>
      <c r="H73" s="54">
        <f>_xlfn.XLOOKUP(C73,Planilha3!A:A,Planilha3!G:G)</f>
        <v>45922</v>
      </c>
      <c r="I73" s="23">
        <f>_xlfn.XLOOKUP(K73,Grupo!F:F,Grupo!G:G)</f>
        <v>46440.22</v>
      </c>
      <c r="J73" s="6">
        <f>_xlfn.XLOOKUP(D73,Grupo!B:B,Grupo!C:C)</f>
        <v>3</v>
      </c>
      <c r="K73" s="24">
        <f>_xlfn.XLOOKUP(A73,[1]COORDENADAS_GEOGRÁFICAS!$D:$D,[1]COORDENADAS_GEOGRÁFICAS!$F:$F)</f>
        <v>80</v>
      </c>
      <c r="L73" s="53"/>
      <c r="M73" s="53"/>
      <c r="N73" s="52">
        <f>_xlfn.XLOOKUP(D73,Grupo!B:B,Grupo!D:D)</f>
        <v>-12.934419859259252</v>
      </c>
      <c r="O73" s="52">
        <f>_xlfn.XLOOKUP(D73,Grupo!B:B,Grupo!E:E)</f>
        <v>-46.946107058553359</v>
      </c>
      <c r="P73" s="52">
        <f>_xlfn.XLOOKUP(A73,[1]COORDENADAS_GEOGRÁFICAS!$D:$D,[1]COORDENADAS_GEOGRÁFICAS!$G:$G)</f>
        <v>-13.166345</v>
      </c>
      <c r="Q73" s="52">
        <f>_xlfn.XLOOKUP(A73,[1]COORDENADAS_GEOGRÁFICAS!$D:$D,[1]COORDENADAS_GEOGRÁFICAS!$H:$H)</f>
        <v>-47.513137999999998</v>
      </c>
      <c r="R73" s="20">
        <f t="shared" si="1"/>
        <v>66.616667030667614</v>
      </c>
    </row>
    <row r="74" spans="1:18" x14ac:dyDescent="0.3">
      <c r="A74" s="24">
        <v>3463150</v>
      </c>
      <c r="B74" s="24" t="s">
        <v>765</v>
      </c>
      <c r="C74" s="24">
        <v>402301113</v>
      </c>
      <c r="D74" s="24" t="str">
        <f>_xlfn.XLOOKUP(C74,Planilha3!A:A,Planilha3!C:C)</f>
        <v>PARANÃ</v>
      </c>
      <c r="E74" s="24">
        <v>1</v>
      </c>
      <c r="F74" s="54">
        <f>_xlfn.XLOOKUP(C74,Planilha3!A:A,Planilha3!E:E)</f>
        <v>45436</v>
      </c>
      <c r="G74" s="54">
        <f>_xlfn.XLOOKUP(C74,Planilha3!A:A,Planilha3!F:F)</f>
        <v>45449</v>
      </c>
      <c r="H74" s="54">
        <f>_xlfn.XLOOKUP(C74,Planilha3!A:A,Planilha3!G:G)</f>
        <v>45922</v>
      </c>
      <c r="I74" s="23">
        <f>_xlfn.XLOOKUP(K74,Grupo!F:F,Grupo!G:G)</f>
        <v>46440.22</v>
      </c>
      <c r="J74" s="6">
        <f>_xlfn.XLOOKUP(D74,Grupo!B:B,Grupo!C:C)</f>
        <v>10</v>
      </c>
      <c r="K74" s="24">
        <f>_xlfn.XLOOKUP(A74,[1]COORDENADAS_GEOGRÁFICAS!$D:$D,[1]COORDENADAS_GEOGRÁFICAS!$F:$F)</f>
        <v>80</v>
      </c>
      <c r="L74" s="53"/>
      <c r="M74" s="53"/>
      <c r="N74" s="52">
        <f>_xlfn.XLOOKUP(D74,Grupo!B:B,Grupo!D:D)</f>
        <v>-12.620481488718251</v>
      </c>
      <c r="O74" s="52">
        <f>_xlfn.XLOOKUP(D74,Grupo!B:B,Grupo!E:E)</f>
        <v>-47.884083728442604</v>
      </c>
      <c r="P74" s="52">
        <f>_xlfn.XLOOKUP(A74,[1]COORDENADAS_GEOGRÁFICAS!$D:$D,[1]COORDENADAS_GEOGRÁFICAS!$G:$G)</f>
        <v>-12.99184</v>
      </c>
      <c r="Q74" s="52">
        <f>_xlfn.XLOOKUP(A74,[1]COORDENADAS_GEOGRÁFICAS!$D:$D,[1]COORDENADAS_GEOGRÁFICAS!$H:$H)</f>
        <v>-47.755490000000002</v>
      </c>
      <c r="R74" s="20">
        <f t="shared" si="1"/>
        <v>43.583729578634966</v>
      </c>
    </row>
    <row r="75" spans="1:18" x14ac:dyDescent="0.3">
      <c r="A75" s="24">
        <v>3442186</v>
      </c>
      <c r="B75" s="24" t="s">
        <v>765</v>
      </c>
      <c r="C75" s="24">
        <v>402301096</v>
      </c>
      <c r="D75" s="24" t="str">
        <f>_xlfn.XLOOKUP(C75,Planilha3!A:A,Planilha3!C:C)</f>
        <v>PARANÃ</v>
      </c>
      <c r="E75" s="24">
        <v>1</v>
      </c>
      <c r="F75" s="54">
        <f>_xlfn.XLOOKUP(C75,Planilha3!A:A,Planilha3!E:E)</f>
        <v>45384</v>
      </c>
      <c r="G75" s="54">
        <f>_xlfn.XLOOKUP(C75,Planilha3!A:A,Planilha3!F:F)</f>
        <v>45399</v>
      </c>
      <c r="H75" s="54">
        <f>_xlfn.XLOOKUP(C75,Planilha3!A:A,Planilha3!G:G)</f>
        <v>45922</v>
      </c>
      <c r="I75" s="23">
        <f>_xlfn.XLOOKUP(K75,Grupo!F:F,Grupo!G:G)</f>
        <v>46440.22</v>
      </c>
      <c r="J75" s="6">
        <f>_xlfn.XLOOKUP(D75,Grupo!B:B,Grupo!C:C)</f>
        <v>10</v>
      </c>
      <c r="K75" s="24">
        <f>_xlfn.XLOOKUP(A75,[1]COORDENADAS_GEOGRÁFICAS!$D:$D,[1]COORDENADAS_GEOGRÁFICAS!$F:$F)</f>
        <v>80</v>
      </c>
      <c r="L75" s="53"/>
      <c r="M75" s="53"/>
      <c r="N75" s="52">
        <f>_xlfn.XLOOKUP(D75,Grupo!B:B,Grupo!D:D)</f>
        <v>-12.620481488718251</v>
      </c>
      <c r="O75" s="52">
        <f>_xlfn.XLOOKUP(D75,Grupo!B:B,Grupo!E:E)</f>
        <v>-47.884083728442604</v>
      </c>
      <c r="P75" s="52">
        <f>_xlfn.XLOOKUP(A75,[1]COORDENADAS_GEOGRÁFICAS!$D:$D,[1]COORDENADAS_GEOGRÁFICAS!$G:$G)</f>
        <v>-12.915127</v>
      </c>
      <c r="Q75" s="52">
        <f>_xlfn.XLOOKUP(A75,[1]COORDENADAS_GEOGRÁFICAS!$D:$D,[1]COORDENADAS_GEOGRÁFICAS!$H:$H)</f>
        <v>-47.573565000000002</v>
      </c>
      <c r="R75" s="20">
        <f t="shared" si="1"/>
        <v>46.982751595116156</v>
      </c>
    </row>
    <row r="76" spans="1:18" x14ac:dyDescent="0.3">
      <c r="A76" s="24">
        <v>3437395</v>
      </c>
      <c r="B76" s="24" t="s">
        <v>765</v>
      </c>
      <c r="C76" s="24">
        <v>402301082</v>
      </c>
      <c r="D76" s="24" t="str">
        <f>_xlfn.XLOOKUP(C76,Planilha3!A:A,Planilha3!C:C)</f>
        <v>PARANÃ</v>
      </c>
      <c r="E76" s="24">
        <v>1</v>
      </c>
      <c r="F76" s="54">
        <f>_xlfn.XLOOKUP(C76,Planilha3!A:A,Planilha3!E:E)</f>
        <v>45302</v>
      </c>
      <c r="G76" s="54">
        <f>_xlfn.XLOOKUP(C76,Planilha3!A:A,Planilha3!F:F)</f>
        <v>45313</v>
      </c>
      <c r="H76" s="54">
        <f>_xlfn.XLOOKUP(C76,Planilha3!A:A,Planilha3!G:G)</f>
        <v>45922</v>
      </c>
      <c r="I76" s="23">
        <f>_xlfn.XLOOKUP(K76,Grupo!F:F,Grupo!G:G)</f>
        <v>46440.22</v>
      </c>
      <c r="J76" s="6">
        <f>_xlfn.XLOOKUP(D76,Grupo!B:B,Grupo!C:C)</f>
        <v>10</v>
      </c>
      <c r="K76" s="24">
        <f>_xlfn.XLOOKUP(A76,[1]COORDENADAS_GEOGRÁFICAS!$D:$D,[1]COORDENADAS_GEOGRÁFICAS!$F:$F)</f>
        <v>80</v>
      </c>
      <c r="L76" s="53"/>
      <c r="M76" s="53"/>
      <c r="N76" s="52">
        <f>_xlfn.XLOOKUP(D76,Grupo!B:B,Grupo!D:D)</f>
        <v>-12.620481488718251</v>
      </c>
      <c r="O76" s="52">
        <f>_xlfn.XLOOKUP(D76,Grupo!B:B,Grupo!E:E)</f>
        <v>-47.884083728442604</v>
      </c>
      <c r="P76" s="52">
        <f>_xlfn.XLOOKUP(A76,[1]COORDENADAS_GEOGRÁFICAS!$D:$D,[1]COORDENADAS_GEOGRÁFICAS!$G:$G)</f>
        <v>-13.16581</v>
      </c>
      <c r="Q76" s="52">
        <f>_xlfn.XLOOKUP(A76,[1]COORDENADAS_GEOGRÁFICAS!$D:$D,[1]COORDENADAS_GEOGRÁFICAS!$H:$H)</f>
        <v>-47.763773</v>
      </c>
      <c r="R76" s="20">
        <f t="shared" si="1"/>
        <v>62.024153630928872</v>
      </c>
    </row>
    <row r="77" spans="1:18" x14ac:dyDescent="0.3">
      <c r="A77" s="24">
        <v>3463146</v>
      </c>
      <c r="B77" s="24" t="s">
        <v>765</v>
      </c>
      <c r="C77" s="24">
        <v>402301112</v>
      </c>
      <c r="D77" s="24" t="str">
        <f>_xlfn.XLOOKUP(C77,Planilha3!A:A,Planilha3!C:C)</f>
        <v>PARANÃ</v>
      </c>
      <c r="E77" s="24">
        <v>1</v>
      </c>
      <c r="F77" s="54">
        <f>_xlfn.XLOOKUP(C77,Planilha3!A:A,Planilha3!E:E)</f>
        <v>45437</v>
      </c>
      <c r="G77" s="54">
        <f>_xlfn.XLOOKUP(C77,Planilha3!A:A,Planilha3!F:F)</f>
        <v>45449</v>
      </c>
      <c r="H77" s="54">
        <f>_xlfn.XLOOKUP(C77,Planilha3!A:A,Planilha3!G:G)</f>
        <v>45922</v>
      </c>
      <c r="I77" s="23">
        <f>_xlfn.XLOOKUP(K77,Grupo!F:F,Grupo!G:G)</f>
        <v>46440.22</v>
      </c>
      <c r="J77" s="6">
        <f>_xlfn.XLOOKUP(D77,Grupo!B:B,Grupo!C:C)</f>
        <v>10</v>
      </c>
      <c r="K77" s="24">
        <f>_xlfn.XLOOKUP(A77,[1]COORDENADAS_GEOGRÁFICAS!$D:$D,[1]COORDENADAS_GEOGRÁFICAS!$F:$F)</f>
        <v>80</v>
      </c>
      <c r="L77" s="53"/>
      <c r="M77" s="53"/>
      <c r="N77" s="52">
        <f>_xlfn.XLOOKUP(D77,Grupo!B:B,Grupo!D:D)</f>
        <v>-12.620481488718251</v>
      </c>
      <c r="O77" s="52">
        <f>_xlfn.XLOOKUP(D77,Grupo!B:B,Grupo!E:E)</f>
        <v>-47.884083728442604</v>
      </c>
      <c r="P77" s="52">
        <f>_xlfn.XLOOKUP(A77,[1]COORDENADAS_GEOGRÁFICAS!$D:$D,[1]COORDENADAS_GEOGRÁFICAS!$G:$G)</f>
        <v>-13.158518000000001</v>
      </c>
      <c r="Q77" s="52">
        <f>_xlfn.XLOOKUP(A77,[1]COORDENADAS_GEOGRÁFICAS!$D:$D,[1]COORDENADAS_GEOGRÁFICAS!$H:$H)</f>
        <v>-47.758232</v>
      </c>
      <c r="R77" s="20">
        <f t="shared" si="1"/>
        <v>61.362441583212942</v>
      </c>
    </row>
    <row r="78" spans="1:18" x14ac:dyDescent="0.3">
      <c r="A78" s="24">
        <v>3438342</v>
      </c>
      <c r="B78" s="24" t="s">
        <v>765</v>
      </c>
      <c r="C78" s="24">
        <v>402301079</v>
      </c>
      <c r="D78" s="24" t="str">
        <f>_xlfn.XLOOKUP(C78,Planilha3!A:A,Planilha3!C:C)</f>
        <v>PARANÃ</v>
      </c>
      <c r="E78" s="24">
        <v>1</v>
      </c>
      <c r="F78" s="54">
        <f>_xlfn.XLOOKUP(C78,Planilha3!A:A,Planilha3!E:E)</f>
        <v>45298</v>
      </c>
      <c r="G78" s="54">
        <f>_xlfn.XLOOKUP(C78,Planilha3!A:A,Planilha3!F:F)</f>
        <v>45311</v>
      </c>
      <c r="H78" s="54">
        <f>_xlfn.XLOOKUP(C78,Planilha3!A:A,Planilha3!G:G)</f>
        <v>45922</v>
      </c>
      <c r="I78" s="23">
        <f>_xlfn.XLOOKUP(K78,Grupo!F:F,Grupo!G:G)</f>
        <v>46440.22</v>
      </c>
      <c r="J78" s="6">
        <f>_xlfn.XLOOKUP(D78,Grupo!B:B,Grupo!C:C)</f>
        <v>10</v>
      </c>
      <c r="K78" s="24">
        <f>_xlfn.XLOOKUP(A78,[1]COORDENADAS_GEOGRÁFICAS!$D:$D,[1]COORDENADAS_GEOGRÁFICAS!$F:$F)</f>
        <v>80</v>
      </c>
      <c r="L78" s="53"/>
      <c r="M78" s="53"/>
      <c r="N78" s="52">
        <f>_xlfn.XLOOKUP(D78,Grupo!B:B,Grupo!D:D)</f>
        <v>-12.620481488718251</v>
      </c>
      <c r="O78" s="52">
        <f>_xlfn.XLOOKUP(D78,Grupo!B:B,Grupo!E:E)</f>
        <v>-47.884083728442604</v>
      </c>
      <c r="P78" s="52">
        <f>_xlfn.XLOOKUP(A78,[1]COORDENADAS_GEOGRÁFICAS!$D:$D,[1]COORDENADAS_GEOGRÁFICAS!$G:$G)</f>
        <v>-13.155227</v>
      </c>
      <c r="Q78" s="52">
        <f>_xlfn.XLOOKUP(A78,[1]COORDENADAS_GEOGRÁFICAS!$D:$D,[1]COORDENADAS_GEOGRÁFICAS!$H:$H)</f>
        <v>-47.757444999999997</v>
      </c>
      <c r="R78" s="20">
        <f t="shared" si="1"/>
        <v>61.02486253856857</v>
      </c>
    </row>
    <row r="79" spans="1:18" x14ac:dyDescent="0.3">
      <c r="A79" s="24">
        <v>3434980</v>
      </c>
      <c r="B79" s="24" t="s">
        <v>765</v>
      </c>
      <c r="C79" s="24">
        <v>402301086</v>
      </c>
      <c r="D79" s="24" t="str">
        <f>_xlfn.XLOOKUP(C79,Planilha3!A:A,Planilha3!C:C)</f>
        <v>PARANÃ</v>
      </c>
      <c r="E79" s="24">
        <v>1</v>
      </c>
      <c r="F79" s="54">
        <f>_xlfn.XLOOKUP(C79,Planilha3!A:A,Planilha3!E:E)</f>
        <v>45299</v>
      </c>
      <c r="G79" s="54">
        <f>_xlfn.XLOOKUP(C79,Planilha3!A:A,Planilha3!F:F)</f>
        <v>45314</v>
      </c>
      <c r="H79" s="54">
        <f>_xlfn.XLOOKUP(C79,Planilha3!A:A,Planilha3!G:G)</f>
        <v>45922</v>
      </c>
      <c r="I79" s="23">
        <f>_xlfn.XLOOKUP(K79,Grupo!F:F,Grupo!G:G)</f>
        <v>46440.22</v>
      </c>
      <c r="J79" s="6">
        <f>_xlfn.XLOOKUP(D79,Grupo!B:B,Grupo!C:C)</f>
        <v>10</v>
      </c>
      <c r="K79" s="24">
        <f>_xlfn.XLOOKUP(A79,[1]COORDENADAS_GEOGRÁFICAS!$D:$D,[1]COORDENADAS_GEOGRÁFICAS!$F:$F)</f>
        <v>80</v>
      </c>
      <c r="L79" s="53"/>
      <c r="M79" s="53"/>
      <c r="N79" s="52">
        <f>_xlfn.XLOOKUP(D79,Grupo!B:B,Grupo!D:D)</f>
        <v>-12.620481488718251</v>
      </c>
      <c r="O79" s="52">
        <f>_xlfn.XLOOKUP(D79,Grupo!B:B,Grupo!E:E)</f>
        <v>-47.884083728442604</v>
      </c>
      <c r="P79" s="52">
        <f>_xlfn.XLOOKUP(A79,[1]COORDENADAS_GEOGRÁFICAS!$D:$D,[1]COORDENADAS_GEOGRÁFICAS!$G:$G)</f>
        <v>-13.172051</v>
      </c>
      <c r="Q79" s="52">
        <f>_xlfn.XLOOKUP(A79,[1]COORDENADAS_GEOGRÁFICAS!$D:$D,[1]COORDENADAS_GEOGRÁFICAS!$H:$H)</f>
        <v>-47.765577</v>
      </c>
      <c r="R79" s="20">
        <f t="shared" si="1"/>
        <v>62.662371024874297</v>
      </c>
    </row>
    <row r="80" spans="1:18" x14ac:dyDescent="0.3">
      <c r="A80" s="24">
        <v>3436977</v>
      </c>
      <c r="B80" s="24" t="s">
        <v>765</v>
      </c>
      <c r="C80" s="24">
        <v>402301085</v>
      </c>
      <c r="D80" s="24" t="str">
        <f>_xlfn.XLOOKUP(C80,Planilha3!A:A,Planilha3!C:C)</f>
        <v>PARANÃ</v>
      </c>
      <c r="E80" s="24">
        <v>1</v>
      </c>
      <c r="F80" s="54">
        <f>_xlfn.XLOOKUP(C80,Planilha3!A:A,Planilha3!E:E)</f>
        <v>45298</v>
      </c>
      <c r="G80" s="54">
        <f>_xlfn.XLOOKUP(C80,Planilha3!A:A,Planilha3!F:F)</f>
        <v>45314</v>
      </c>
      <c r="H80" s="54">
        <f>_xlfn.XLOOKUP(C80,Planilha3!A:A,Planilha3!G:G)</f>
        <v>45922</v>
      </c>
      <c r="I80" s="23">
        <f>_xlfn.XLOOKUP(K80,Grupo!F:F,Grupo!G:G)</f>
        <v>46440.22</v>
      </c>
      <c r="J80" s="6">
        <f>_xlfn.XLOOKUP(D80,Grupo!B:B,Grupo!C:C)</f>
        <v>10</v>
      </c>
      <c r="K80" s="24">
        <f>_xlfn.XLOOKUP(A80,[1]COORDENADAS_GEOGRÁFICAS!$D:$D,[1]COORDENADAS_GEOGRÁFICAS!$F:$F)</f>
        <v>80</v>
      </c>
      <c r="L80" s="53"/>
      <c r="M80" s="53"/>
      <c r="N80" s="52">
        <f>_xlfn.XLOOKUP(D80,Grupo!B:B,Grupo!D:D)</f>
        <v>-12.620481488718251</v>
      </c>
      <c r="O80" s="52">
        <f>_xlfn.XLOOKUP(D80,Grupo!B:B,Grupo!E:E)</f>
        <v>-47.884083728442604</v>
      </c>
      <c r="P80" s="52">
        <f>_xlfn.XLOOKUP(A80,[1]COORDENADAS_GEOGRÁFICAS!$D:$D,[1]COORDENADAS_GEOGRÁFICAS!$G:$G)</f>
        <v>-12.398402000000001</v>
      </c>
      <c r="Q80" s="52">
        <f>_xlfn.XLOOKUP(A80,[1]COORDENADAS_GEOGRÁFICAS!$D:$D,[1]COORDENADAS_GEOGRÁFICAS!$H:$H)</f>
        <v>-47.908344999999997</v>
      </c>
      <c r="R80" s="20">
        <f t="shared" si="1"/>
        <v>24.834159693715986</v>
      </c>
    </row>
    <row r="81" spans="1:18" x14ac:dyDescent="0.3">
      <c r="A81" s="24">
        <v>3442974</v>
      </c>
      <c r="B81" s="24" t="s">
        <v>765</v>
      </c>
      <c r="C81" s="24">
        <v>402301152</v>
      </c>
      <c r="D81" s="24" t="str">
        <f>_xlfn.XLOOKUP(C81,Planilha3!A:A,Planilha3!C:C)</f>
        <v>PARANÃ</v>
      </c>
      <c r="E81" s="24">
        <v>1</v>
      </c>
      <c r="F81" s="54">
        <f>_xlfn.XLOOKUP(C81,Planilha3!A:A,Planilha3!E:E)</f>
        <v>45388</v>
      </c>
      <c r="G81" s="54">
        <f>_xlfn.XLOOKUP(C81,Planilha3!A:A,Planilha3!F:F)</f>
        <v>45399</v>
      </c>
      <c r="H81" s="54">
        <f>_xlfn.XLOOKUP(C81,Planilha3!A:A,Planilha3!G:G)</f>
        <v>45922</v>
      </c>
      <c r="I81" s="23">
        <f>_xlfn.XLOOKUP(K81,Grupo!F:F,Grupo!G:G)</f>
        <v>46440.22</v>
      </c>
      <c r="J81" s="6">
        <f>_xlfn.XLOOKUP(D81,Grupo!B:B,Grupo!C:C)</f>
        <v>10</v>
      </c>
      <c r="K81" s="24">
        <f>_xlfn.XLOOKUP(A81,[1]COORDENADAS_GEOGRÁFICAS!$D:$D,[1]COORDENADAS_GEOGRÁFICAS!$F:$F)</f>
        <v>80</v>
      </c>
      <c r="L81" s="53"/>
      <c r="M81" s="53"/>
      <c r="N81" s="52">
        <f>_xlfn.XLOOKUP(D81,Grupo!B:B,Grupo!D:D)</f>
        <v>-12.620481488718251</v>
      </c>
      <c r="O81" s="52">
        <f>_xlfn.XLOOKUP(D81,Grupo!B:B,Grupo!E:E)</f>
        <v>-47.884083728442604</v>
      </c>
      <c r="P81" s="52">
        <f>_xlfn.XLOOKUP(A81,[1]COORDENADAS_GEOGRÁFICAS!$D:$D,[1]COORDENADAS_GEOGRÁFICAS!$G:$G)</f>
        <v>-12.700027</v>
      </c>
      <c r="Q81" s="52">
        <f>_xlfn.XLOOKUP(A81,[1]COORDENADAS_GEOGRÁFICAS!$D:$D,[1]COORDENADAS_GEOGRÁFICAS!$H:$H)</f>
        <v>-47.446153000000002</v>
      </c>
      <c r="R81" s="20">
        <f t="shared" si="1"/>
        <v>48.328029310562776</v>
      </c>
    </row>
    <row r="82" spans="1:18" x14ac:dyDescent="0.3">
      <c r="A82" s="24">
        <v>3437948</v>
      </c>
      <c r="B82" s="24" t="s">
        <v>765</v>
      </c>
      <c r="C82" s="24">
        <v>502300611</v>
      </c>
      <c r="D82" s="24" t="str">
        <f>_xlfn.XLOOKUP(C82,Planilha3!A:A,Planilha3!C:C)</f>
        <v>ARRAIAS</v>
      </c>
      <c r="E82" s="24">
        <v>1</v>
      </c>
      <c r="F82" s="54">
        <f>_xlfn.XLOOKUP(C82,Planilha3!A:A,Planilha3!E:E)</f>
        <v>45299</v>
      </c>
      <c r="G82" s="54">
        <f>_xlfn.XLOOKUP(C82,Planilha3!A:A,Planilha3!F:F)</f>
        <v>45311</v>
      </c>
      <c r="H82" s="54">
        <f>_xlfn.XLOOKUP(C82,Planilha3!A:A,Planilha3!G:G)</f>
        <v>45922</v>
      </c>
      <c r="I82" s="23">
        <f>_xlfn.XLOOKUP(K82,Grupo!F:F,Grupo!G:G)</f>
        <v>46440.22</v>
      </c>
      <c r="J82" s="6">
        <f>_xlfn.XLOOKUP(D82,Grupo!B:B,Grupo!C:C)</f>
        <v>3</v>
      </c>
      <c r="K82" s="24">
        <f>_xlfn.XLOOKUP(A82,[1]COORDENADAS_GEOGRÁFICAS!$D:$D,[1]COORDENADAS_GEOGRÁFICAS!$F:$F)</f>
        <v>80</v>
      </c>
      <c r="L82" s="53"/>
      <c r="M82" s="53"/>
      <c r="N82" s="52">
        <f>_xlfn.XLOOKUP(D82,Grupo!B:B,Grupo!D:D)</f>
        <v>-12.934419859259252</v>
      </c>
      <c r="O82" s="52">
        <f>_xlfn.XLOOKUP(D82,Grupo!B:B,Grupo!E:E)</f>
        <v>-46.946107058553359</v>
      </c>
      <c r="P82" s="52">
        <f>_xlfn.XLOOKUP(A82,[1]COORDENADAS_GEOGRÁFICAS!$D:$D,[1]COORDENADAS_GEOGRÁFICAS!$G:$G)</f>
        <v>-12.641795</v>
      </c>
      <c r="Q82" s="52">
        <f>_xlfn.XLOOKUP(A82,[1]COORDENADAS_GEOGRÁFICAS!$D:$D,[1]COORDENADAS_GEOGRÁFICAS!$H:$H)</f>
        <v>-47.166645000000003</v>
      </c>
      <c r="R82" s="20">
        <f t="shared" si="1"/>
        <v>40.381252962293964</v>
      </c>
    </row>
    <row r="83" spans="1:18" x14ac:dyDescent="0.3">
      <c r="A83" s="24">
        <v>3462412</v>
      </c>
      <c r="B83" s="24" t="s">
        <v>765</v>
      </c>
      <c r="C83" s="24">
        <v>402301231</v>
      </c>
      <c r="D83" s="24" t="str">
        <f>_xlfn.XLOOKUP(C83,Planilha3!A:A,Planilha3!C:C)</f>
        <v>PARANÃ</v>
      </c>
      <c r="E83" s="24">
        <v>1</v>
      </c>
      <c r="F83" s="54">
        <f>_xlfn.XLOOKUP(C83,Planilha3!A:A,Planilha3!E:E)</f>
        <v>45448</v>
      </c>
      <c r="G83" s="54">
        <f>_xlfn.XLOOKUP(C83,Planilha3!A:A,Planilha3!F:F)</f>
        <v>45461</v>
      </c>
      <c r="H83" s="54">
        <f>_xlfn.XLOOKUP(C83,Planilha3!A:A,Planilha3!G:G)</f>
        <v>45922</v>
      </c>
      <c r="I83" s="23">
        <f>_xlfn.XLOOKUP(K83,Grupo!F:F,Grupo!G:G)</f>
        <v>46440.22</v>
      </c>
      <c r="J83" s="6">
        <f>_xlfn.XLOOKUP(D83,Grupo!B:B,Grupo!C:C)</f>
        <v>10</v>
      </c>
      <c r="K83" s="24">
        <f>_xlfn.XLOOKUP(A83,[1]COORDENADAS_GEOGRÁFICAS!$D:$D,[1]COORDENADAS_GEOGRÁFICAS!$F:$F)</f>
        <v>80</v>
      </c>
      <c r="L83" s="53"/>
      <c r="M83" s="53"/>
      <c r="N83" s="52">
        <f>_xlfn.XLOOKUP(D83,Grupo!B:B,Grupo!D:D)</f>
        <v>-12.620481488718251</v>
      </c>
      <c r="O83" s="52">
        <f>_xlfn.XLOOKUP(D83,Grupo!B:B,Grupo!E:E)</f>
        <v>-47.884083728442604</v>
      </c>
      <c r="P83" s="52">
        <f>_xlfn.XLOOKUP(A83,[1]COORDENADAS_GEOGRÁFICAS!$D:$D,[1]COORDENADAS_GEOGRÁFICAS!$G:$G)</f>
        <v>-12.957241</v>
      </c>
      <c r="Q83" s="52">
        <f>_xlfn.XLOOKUP(A83,[1]COORDENADAS_GEOGRÁFICAS!$D:$D,[1]COORDENADAS_GEOGRÁFICAS!$H:$H)</f>
        <v>-47.620010000000001</v>
      </c>
      <c r="R83" s="20">
        <f t="shared" si="1"/>
        <v>47.139919102580969</v>
      </c>
    </row>
    <row r="84" spans="1:18" x14ac:dyDescent="0.3">
      <c r="A84" s="24">
        <v>3465696</v>
      </c>
      <c r="B84" s="24" t="s">
        <v>765</v>
      </c>
      <c r="C84" s="24">
        <v>402301238</v>
      </c>
      <c r="D84" s="24" t="str">
        <f>_xlfn.XLOOKUP(C84,Planilha3!A:A,Planilha3!C:C)</f>
        <v>PARANÃ</v>
      </c>
      <c r="E84" s="24">
        <v>1</v>
      </c>
      <c r="F84" s="54">
        <f>_xlfn.XLOOKUP(C84,Planilha3!A:A,Planilha3!E:E)</f>
        <v>45448</v>
      </c>
      <c r="G84" s="54">
        <f>_xlfn.XLOOKUP(C84,Planilha3!A:A,Planilha3!F:F)</f>
        <v>45463</v>
      </c>
      <c r="H84" s="54">
        <f>_xlfn.XLOOKUP(C84,Planilha3!A:A,Planilha3!G:G)</f>
        <v>45922</v>
      </c>
      <c r="I84" s="23">
        <f>_xlfn.XLOOKUP(K84,Grupo!F:F,Grupo!G:G)</f>
        <v>46440.22</v>
      </c>
      <c r="J84" s="6">
        <f>_xlfn.XLOOKUP(D84,Grupo!B:B,Grupo!C:C)</f>
        <v>10</v>
      </c>
      <c r="K84" s="24">
        <f>_xlfn.XLOOKUP(A84,[1]COORDENADAS_GEOGRÁFICAS!$D:$D,[1]COORDENADAS_GEOGRÁFICAS!$F:$F)</f>
        <v>80</v>
      </c>
      <c r="L84" s="53"/>
      <c r="M84" s="53"/>
      <c r="N84" s="52">
        <f>_xlfn.XLOOKUP(D84,Grupo!B:B,Grupo!D:D)</f>
        <v>-12.620481488718251</v>
      </c>
      <c r="O84" s="52">
        <f>_xlfn.XLOOKUP(D84,Grupo!B:B,Grupo!E:E)</f>
        <v>-47.884083728442604</v>
      </c>
      <c r="P84" s="52">
        <f>_xlfn.XLOOKUP(A84,[1]COORDENADAS_GEOGRÁFICAS!$D:$D,[1]COORDENADAS_GEOGRÁFICAS!$G:$G)</f>
        <v>-12.955277000000001</v>
      </c>
      <c r="Q84" s="52">
        <f>_xlfn.XLOOKUP(A84,[1]COORDENADAS_GEOGRÁFICAS!$D:$D,[1]COORDENADAS_GEOGRÁFICAS!$H:$H)</f>
        <v>-47.616407000000002</v>
      </c>
      <c r="R84" s="20">
        <f t="shared" si="1"/>
        <v>47.205918837825351</v>
      </c>
    </row>
    <row r="85" spans="1:18" x14ac:dyDescent="0.3">
      <c r="A85" s="24">
        <v>3459926</v>
      </c>
      <c r="B85" s="24" t="s">
        <v>765</v>
      </c>
      <c r="C85" s="24">
        <v>402301229</v>
      </c>
      <c r="D85" s="24" t="str">
        <f>_xlfn.XLOOKUP(C85,Planilha3!A:A,Planilha3!C:C)</f>
        <v>PARANÃ</v>
      </c>
      <c r="E85" s="24">
        <v>1</v>
      </c>
      <c r="F85" s="54">
        <f>_xlfn.XLOOKUP(C85,Planilha3!A:A,Planilha3!E:E)</f>
        <v>45450</v>
      </c>
      <c r="G85" s="54">
        <f>_xlfn.XLOOKUP(C85,Planilha3!A:A,Planilha3!F:F)</f>
        <v>45461</v>
      </c>
      <c r="H85" s="54">
        <f>_xlfn.XLOOKUP(C85,Planilha3!A:A,Planilha3!G:G)</f>
        <v>45922</v>
      </c>
      <c r="I85" s="23">
        <f>_xlfn.XLOOKUP(K85,Grupo!F:F,Grupo!G:G)</f>
        <v>46440.22</v>
      </c>
      <c r="J85" s="6">
        <f>_xlfn.XLOOKUP(D85,Grupo!B:B,Grupo!C:C)</f>
        <v>10</v>
      </c>
      <c r="K85" s="24">
        <f>_xlfn.XLOOKUP(A85,[1]COORDENADAS_GEOGRÁFICAS!$D:$D,[1]COORDENADAS_GEOGRÁFICAS!$F:$F)</f>
        <v>80</v>
      </c>
      <c r="L85" s="53"/>
      <c r="M85" s="53"/>
      <c r="N85" s="52">
        <f>_xlfn.XLOOKUP(D85,Grupo!B:B,Grupo!D:D)</f>
        <v>-12.620481488718251</v>
      </c>
      <c r="O85" s="52">
        <f>_xlfn.XLOOKUP(D85,Grupo!B:B,Grupo!E:E)</f>
        <v>-47.884083728442604</v>
      </c>
      <c r="P85" s="52">
        <f>_xlfn.XLOOKUP(A85,[1]COORDENADAS_GEOGRÁFICAS!$D:$D,[1]COORDENADAS_GEOGRÁFICAS!$G:$G)</f>
        <v>-12.948325000000001</v>
      </c>
      <c r="Q85" s="52">
        <f>_xlfn.XLOOKUP(A85,[1]COORDENADAS_GEOGRÁFICAS!$D:$D,[1]COORDENADAS_GEOGRÁFICAS!$H:$H)</f>
        <v>-47.613393000000002</v>
      </c>
      <c r="R85" s="20">
        <f t="shared" si="1"/>
        <v>46.803249714781664</v>
      </c>
    </row>
    <row r="86" spans="1:18" x14ac:dyDescent="0.3">
      <c r="A86" s="24">
        <v>3463643</v>
      </c>
      <c r="B86" s="24" t="s">
        <v>765</v>
      </c>
      <c r="C86" s="24">
        <v>402301237</v>
      </c>
      <c r="D86" s="24" t="str">
        <f>_xlfn.XLOOKUP(C86,Planilha3!A:A,Planilha3!C:C)</f>
        <v>PARANÃ</v>
      </c>
      <c r="E86" s="24">
        <v>1</v>
      </c>
      <c r="F86" s="54">
        <f>_xlfn.XLOOKUP(C86,Planilha3!A:A,Planilha3!E:E)</f>
        <v>45451</v>
      </c>
      <c r="G86" s="54">
        <f>_xlfn.XLOOKUP(C86,Planilha3!A:A,Planilha3!F:F)</f>
        <v>45463</v>
      </c>
      <c r="H86" s="54">
        <f>_xlfn.XLOOKUP(C86,Planilha3!A:A,Planilha3!G:G)</f>
        <v>45922</v>
      </c>
      <c r="I86" s="23">
        <f>_xlfn.XLOOKUP(K86,Grupo!F:F,Grupo!G:G)</f>
        <v>46440.22</v>
      </c>
      <c r="J86" s="6">
        <f>_xlfn.XLOOKUP(D86,Grupo!B:B,Grupo!C:C)</f>
        <v>10</v>
      </c>
      <c r="K86" s="24">
        <f>_xlfn.XLOOKUP(A86,[1]COORDENADAS_GEOGRÁFICAS!$D:$D,[1]COORDENADAS_GEOGRÁFICAS!$F:$F)</f>
        <v>80</v>
      </c>
      <c r="L86" s="53"/>
      <c r="M86" s="53"/>
      <c r="N86" s="52">
        <f>_xlfn.XLOOKUP(D86,Grupo!B:B,Grupo!D:D)</f>
        <v>-12.620481488718251</v>
      </c>
      <c r="O86" s="52">
        <f>_xlfn.XLOOKUP(D86,Grupo!B:B,Grupo!E:E)</f>
        <v>-47.884083728442604</v>
      </c>
      <c r="P86" s="52">
        <f>_xlfn.XLOOKUP(A86,[1]COORDENADAS_GEOGRÁFICAS!$D:$D,[1]COORDENADAS_GEOGRÁFICAS!$G:$G)</f>
        <v>-12.382766999999999</v>
      </c>
      <c r="Q86" s="52">
        <f>_xlfn.XLOOKUP(A86,[1]COORDENADAS_GEOGRÁFICAS!$D:$D,[1]COORDENADAS_GEOGRÁFICAS!$H:$H)</f>
        <v>-47.872453</v>
      </c>
      <c r="R86" s="20">
        <f t="shared" si="1"/>
        <v>26.462783694434819</v>
      </c>
    </row>
    <row r="87" spans="1:18" x14ac:dyDescent="0.3">
      <c r="A87" s="24">
        <v>3462419</v>
      </c>
      <c r="B87" s="24" t="s">
        <v>765</v>
      </c>
      <c r="C87" s="24">
        <v>402301230</v>
      </c>
      <c r="D87" s="24" t="str">
        <f>_xlfn.XLOOKUP(C87,Planilha3!A:A,Planilha3!C:C)</f>
        <v>PARANÃ</v>
      </c>
      <c r="E87" s="24">
        <v>1</v>
      </c>
      <c r="F87" s="54">
        <f>_xlfn.XLOOKUP(C87,Planilha3!A:A,Planilha3!E:E)</f>
        <v>45448</v>
      </c>
      <c r="G87" s="54">
        <f>_xlfn.XLOOKUP(C87,Planilha3!A:A,Planilha3!F:F)</f>
        <v>45461</v>
      </c>
      <c r="H87" s="54">
        <f>_xlfn.XLOOKUP(C87,Planilha3!A:A,Planilha3!G:G)</f>
        <v>45922</v>
      </c>
      <c r="I87" s="23">
        <f>_xlfn.XLOOKUP(K87,Grupo!F:F,Grupo!G:G)</f>
        <v>46440.22</v>
      </c>
      <c r="J87" s="6">
        <f>_xlfn.XLOOKUP(D87,Grupo!B:B,Grupo!C:C)</f>
        <v>10</v>
      </c>
      <c r="K87" s="24">
        <f>_xlfn.XLOOKUP(A87,[1]COORDENADAS_GEOGRÁFICAS!$D:$D,[1]COORDENADAS_GEOGRÁFICAS!$F:$F)</f>
        <v>80</v>
      </c>
      <c r="L87" s="53"/>
      <c r="M87" s="53"/>
      <c r="N87" s="52">
        <f>_xlfn.XLOOKUP(D87,Grupo!B:B,Grupo!D:D)</f>
        <v>-12.620481488718251</v>
      </c>
      <c r="O87" s="52">
        <f>_xlfn.XLOOKUP(D87,Grupo!B:B,Grupo!E:E)</f>
        <v>-47.884083728442604</v>
      </c>
      <c r="P87" s="52">
        <f>_xlfn.XLOOKUP(A87,[1]COORDENADAS_GEOGRÁFICAS!$D:$D,[1]COORDENADAS_GEOGRÁFICAS!$G:$G)</f>
        <v>-12.3255</v>
      </c>
      <c r="Q87" s="52">
        <f>_xlfn.XLOOKUP(A87,[1]COORDENADAS_GEOGRÁFICAS!$D:$D,[1]COORDENADAS_GEOGRÁFICAS!$H:$H)</f>
        <v>-47.861199999999997</v>
      </c>
      <c r="R87" s="20">
        <f t="shared" si="1"/>
        <v>32.894405384317331</v>
      </c>
    </row>
    <row r="88" spans="1:18" x14ac:dyDescent="0.3">
      <c r="A88" s="24">
        <v>3466494</v>
      </c>
      <c r="B88" s="24" t="s">
        <v>765</v>
      </c>
      <c r="C88" s="24">
        <v>402301233</v>
      </c>
      <c r="D88" s="24" t="str">
        <f>_xlfn.XLOOKUP(C88,Planilha3!A:A,Planilha3!C:C)</f>
        <v>PARANÃ</v>
      </c>
      <c r="E88" s="24">
        <v>1</v>
      </c>
      <c r="F88" s="54">
        <f>_xlfn.XLOOKUP(C88,Planilha3!A:A,Planilha3!E:E)</f>
        <v>45447</v>
      </c>
      <c r="G88" s="54">
        <f>_xlfn.XLOOKUP(C88,Planilha3!A:A,Planilha3!F:F)</f>
        <v>45462</v>
      </c>
      <c r="H88" s="54">
        <f>_xlfn.XLOOKUP(C88,Planilha3!A:A,Planilha3!G:G)</f>
        <v>45922</v>
      </c>
      <c r="I88" s="23">
        <f>_xlfn.XLOOKUP(K88,Grupo!F:F,Grupo!G:G)</f>
        <v>46440.22</v>
      </c>
      <c r="J88" s="6">
        <f>_xlfn.XLOOKUP(D88,Grupo!B:B,Grupo!C:C)</f>
        <v>10</v>
      </c>
      <c r="K88" s="24">
        <f>_xlfn.XLOOKUP(A88,[1]COORDENADAS_GEOGRÁFICAS!$D:$D,[1]COORDENADAS_GEOGRÁFICAS!$F:$F)</f>
        <v>80</v>
      </c>
      <c r="L88" s="53"/>
      <c r="M88" s="53"/>
      <c r="N88" s="52">
        <f>_xlfn.XLOOKUP(D88,Grupo!B:B,Grupo!D:D)</f>
        <v>-12.620481488718251</v>
      </c>
      <c r="O88" s="52">
        <f>_xlfn.XLOOKUP(D88,Grupo!B:B,Grupo!E:E)</f>
        <v>-47.884083728442604</v>
      </c>
      <c r="P88" s="52">
        <f>_xlfn.XLOOKUP(A88,[1]COORDENADAS_GEOGRÁFICAS!$D:$D,[1]COORDENADAS_GEOGRÁFICAS!$G:$G)</f>
        <v>-12.322188000000001</v>
      </c>
      <c r="Q88" s="52">
        <f>_xlfn.XLOOKUP(A88,[1]COORDENADAS_GEOGRÁFICAS!$D:$D,[1]COORDENADAS_GEOGRÁFICAS!$H:$H)</f>
        <v>-47.844791999999998</v>
      </c>
      <c r="R88" s="20">
        <f t="shared" si="1"/>
        <v>33.441926357738758</v>
      </c>
    </row>
    <row r="89" spans="1:18" x14ac:dyDescent="0.3">
      <c r="A89" s="24">
        <v>3463230</v>
      </c>
      <c r="B89" s="24" t="s">
        <v>765</v>
      </c>
      <c r="C89" s="24">
        <v>402301239</v>
      </c>
      <c r="D89" s="24" t="str">
        <f>_xlfn.XLOOKUP(C89,Planilha3!A:A,Planilha3!C:C)</f>
        <v>PARANÃ</v>
      </c>
      <c r="E89" s="24">
        <v>1</v>
      </c>
      <c r="F89" s="54">
        <f>_xlfn.XLOOKUP(C89,Planilha3!A:A,Planilha3!E:E)</f>
        <v>45447</v>
      </c>
      <c r="G89" s="54">
        <f>_xlfn.XLOOKUP(C89,Planilha3!A:A,Planilha3!F:F)</f>
        <v>45463</v>
      </c>
      <c r="H89" s="54">
        <f>_xlfn.XLOOKUP(C89,Planilha3!A:A,Planilha3!G:G)</f>
        <v>45922</v>
      </c>
      <c r="I89" s="23">
        <f>_xlfn.XLOOKUP(K89,Grupo!F:F,Grupo!G:G)</f>
        <v>46440.22</v>
      </c>
      <c r="J89" s="6">
        <f>_xlfn.XLOOKUP(D89,Grupo!B:B,Grupo!C:C)</f>
        <v>10</v>
      </c>
      <c r="K89" s="24">
        <f>_xlfn.XLOOKUP(A89,[1]COORDENADAS_GEOGRÁFICAS!$D:$D,[1]COORDENADAS_GEOGRÁFICAS!$F:$F)</f>
        <v>80</v>
      </c>
      <c r="L89" s="53"/>
      <c r="M89" s="53"/>
      <c r="N89" s="52">
        <f>_xlfn.XLOOKUP(D89,Grupo!B:B,Grupo!D:D)</f>
        <v>-12.620481488718251</v>
      </c>
      <c r="O89" s="52">
        <f>_xlfn.XLOOKUP(D89,Grupo!B:B,Grupo!E:E)</f>
        <v>-47.884083728442604</v>
      </c>
      <c r="P89" s="52">
        <f>_xlfn.XLOOKUP(A89,[1]COORDENADAS_GEOGRÁFICAS!$D:$D,[1]COORDENADAS_GEOGRÁFICAS!$G:$G)</f>
        <v>-13.095865</v>
      </c>
      <c r="Q89" s="52">
        <f>_xlfn.XLOOKUP(A89,[1]COORDENADAS_GEOGRÁFICAS!$D:$D,[1]COORDENADAS_GEOGRÁFICAS!$H:$H)</f>
        <v>-47.663361999999999</v>
      </c>
      <c r="R89" s="20">
        <f t="shared" si="1"/>
        <v>58.023572358053642</v>
      </c>
    </row>
    <row r="90" spans="1:18" x14ac:dyDescent="0.3">
      <c r="A90" s="24">
        <v>3466981</v>
      </c>
      <c r="B90" s="24" t="s">
        <v>765</v>
      </c>
      <c r="C90" s="24">
        <v>402301234</v>
      </c>
      <c r="D90" s="24" t="str">
        <f>_xlfn.XLOOKUP(C90,Planilha3!A:A,Planilha3!C:C)</f>
        <v>PARANÃ</v>
      </c>
      <c r="E90" s="24">
        <v>1</v>
      </c>
      <c r="F90" s="54">
        <f>_xlfn.XLOOKUP(C90,Planilha3!A:A,Planilha3!E:E)</f>
        <v>45451</v>
      </c>
      <c r="G90" s="54">
        <f>_xlfn.XLOOKUP(C90,Planilha3!A:A,Planilha3!F:F)</f>
        <v>45462</v>
      </c>
      <c r="H90" s="54">
        <f>_xlfn.XLOOKUP(C90,Planilha3!A:A,Planilha3!G:G)</f>
        <v>45922</v>
      </c>
      <c r="I90" s="23">
        <f>_xlfn.XLOOKUP(K90,Grupo!F:F,Grupo!G:G)</f>
        <v>46440.22</v>
      </c>
      <c r="J90" s="6">
        <f>_xlfn.XLOOKUP(D90,Grupo!B:B,Grupo!C:C)</f>
        <v>10</v>
      </c>
      <c r="K90" s="24">
        <f>_xlfn.XLOOKUP(A90,[1]COORDENADAS_GEOGRÁFICAS!$D:$D,[1]COORDENADAS_GEOGRÁFICAS!$F:$F)</f>
        <v>80</v>
      </c>
      <c r="L90" s="53"/>
      <c r="M90" s="53"/>
      <c r="N90" s="52">
        <f>_xlfn.XLOOKUP(D90,Grupo!B:B,Grupo!D:D)</f>
        <v>-12.620481488718251</v>
      </c>
      <c r="O90" s="52">
        <f>_xlfn.XLOOKUP(D90,Grupo!B:B,Grupo!E:E)</f>
        <v>-47.884083728442604</v>
      </c>
      <c r="P90" s="52">
        <f>_xlfn.XLOOKUP(A90,[1]COORDENADAS_GEOGRÁFICAS!$D:$D,[1]COORDENADAS_GEOGRÁFICAS!$G:$G)</f>
        <v>-12.362855</v>
      </c>
      <c r="Q90" s="52">
        <f>_xlfn.XLOOKUP(A90,[1]COORDENADAS_GEOGRÁFICAS!$D:$D,[1]COORDENADAS_GEOGRÁFICAS!$H:$H)</f>
        <v>-47.869526999999998</v>
      </c>
      <c r="R90" s="20">
        <f t="shared" si="1"/>
        <v>28.690314933199517</v>
      </c>
    </row>
    <row r="91" spans="1:18" x14ac:dyDescent="0.3">
      <c r="A91" s="24">
        <v>3466644</v>
      </c>
      <c r="B91" s="24" t="s">
        <v>765</v>
      </c>
      <c r="C91" s="24">
        <v>402301226</v>
      </c>
      <c r="D91" s="24" t="str">
        <f>_xlfn.XLOOKUP(C91,Planilha3!A:A,Planilha3!C:C)</f>
        <v>PARANÃ</v>
      </c>
      <c r="E91" s="24">
        <v>1</v>
      </c>
      <c r="F91" s="54">
        <f>_xlfn.XLOOKUP(C91,Planilha3!A:A,Planilha3!E:E)</f>
        <v>45448</v>
      </c>
      <c r="G91" s="54">
        <f>_xlfn.XLOOKUP(C91,Planilha3!A:A,Planilha3!F:F)</f>
        <v>45460</v>
      </c>
      <c r="H91" s="54">
        <f>_xlfn.XLOOKUP(C91,Planilha3!A:A,Planilha3!G:G)</f>
        <v>45922</v>
      </c>
      <c r="I91" s="23">
        <f>_xlfn.XLOOKUP(K91,Grupo!F:F,Grupo!G:G)</f>
        <v>46440.22</v>
      </c>
      <c r="J91" s="6">
        <f>_xlfn.XLOOKUP(D91,Grupo!B:B,Grupo!C:C)</f>
        <v>10</v>
      </c>
      <c r="K91" s="24">
        <f>_xlfn.XLOOKUP(A91,[1]COORDENADAS_GEOGRÁFICAS!$D:$D,[1]COORDENADAS_GEOGRÁFICAS!$F:$F)</f>
        <v>80</v>
      </c>
      <c r="L91" s="53"/>
      <c r="M91" s="53"/>
      <c r="N91" s="52">
        <f>_xlfn.XLOOKUP(D91,Grupo!B:B,Grupo!D:D)</f>
        <v>-12.620481488718251</v>
      </c>
      <c r="O91" s="52">
        <f>_xlfn.XLOOKUP(D91,Grupo!B:B,Grupo!E:E)</f>
        <v>-47.884083728442604</v>
      </c>
      <c r="P91" s="52">
        <f>_xlfn.XLOOKUP(A91,[1]COORDENADAS_GEOGRÁFICAS!$D:$D,[1]COORDENADAS_GEOGRÁFICAS!$G:$G)</f>
        <v>-12.413212</v>
      </c>
      <c r="Q91" s="52">
        <f>_xlfn.XLOOKUP(A91,[1]COORDENADAS_GEOGRÁFICAS!$D:$D,[1]COORDENADAS_GEOGRÁFICAS!$H:$H)</f>
        <v>-47.908487999999998</v>
      </c>
      <c r="R91" s="20">
        <f t="shared" si="1"/>
        <v>23.199065946550952</v>
      </c>
    </row>
    <row r="92" spans="1:18" x14ac:dyDescent="0.3">
      <c r="A92" s="24">
        <v>3466744</v>
      </c>
      <c r="B92" s="24" t="s">
        <v>765</v>
      </c>
      <c r="C92" s="24">
        <v>402301240</v>
      </c>
      <c r="D92" s="24" t="str">
        <f>_xlfn.XLOOKUP(C92,Planilha3!A:A,Planilha3!C:C)</f>
        <v>PARANÃ</v>
      </c>
      <c r="E92" s="24">
        <v>1</v>
      </c>
      <c r="F92" s="54">
        <f>_xlfn.XLOOKUP(C92,Planilha3!A:A,Planilha3!E:E)</f>
        <v>45450</v>
      </c>
      <c r="G92" s="54">
        <f>_xlfn.XLOOKUP(C92,Planilha3!A:A,Planilha3!F:F)</f>
        <v>45463</v>
      </c>
      <c r="H92" s="54">
        <f>_xlfn.XLOOKUP(C92,Planilha3!A:A,Planilha3!G:G)</f>
        <v>45922</v>
      </c>
      <c r="I92" s="23">
        <f>_xlfn.XLOOKUP(K92,Grupo!F:F,Grupo!G:G)</f>
        <v>46440.22</v>
      </c>
      <c r="J92" s="6">
        <f>_xlfn.XLOOKUP(D92,Grupo!B:B,Grupo!C:C)</f>
        <v>10</v>
      </c>
      <c r="K92" s="24">
        <f>_xlfn.XLOOKUP(A92,[1]COORDENADAS_GEOGRÁFICAS!$D:$D,[1]COORDENADAS_GEOGRÁFICAS!$F:$F)</f>
        <v>80</v>
      </c>
      <c r="L92" s="53"/>
      <c r="M92" s="53"/>
      <c r="N92" s="52">
        <f>_xlfn.XLOOKUP(D92,Grupo!B:B,Grupo!D:D)</f>
        <v>-12.620481488718251</v>
      </c>
      <c r="O92" s="52">
        <f>_xlfn.XLOOKUP(D92,Grupo!B:B,Grupo!E:E)</f>
        <v>-47.884083728442604</v>
      </c>
      <c r="P92" s="52">
        <f>_xlfn.XLOOKUP(A92,[1]COORDENADAS_GEOGRÁFICAS!$D:$D,[1]COORDENADAS_GEOGRÁFICAS!$G:$G)</f>
        <v>-12.862022</v>
      </c>
      <c r="Q92" s="52">
        <f>_xlfn.XLOOKUP(A92,[1]COORDENADAS_GEOGRÁFICAS!$D:$D,[1]COORDENADAS_GEOGRÁFICAS!$H:$H)</f>
        <v>-47.545366999999999</v>
      </c>
      <c r="R92" s="20">
        <f t="shared" si="1"/>
        <v>45.507130690953559</v>
      </c>
    </row>
    <row r="93" spans="1:18" x14ac:dyDescent="0.3">
      <c r="A93" s="24">
        <v>3466627</v>
      </c>
      <c r="B93" s="24" t="s">
        <v>765</v>
      </c>
      <c r="C93" s="24">
        <v>402301228</v>
      </c>
      <c r="D93" s="24" t="str">
        <f>_xlfn.XLOOKUP(C93,Planilha3!A:A,Planilha3!C:C)</f>
        <v>PARANÃ</v>
      </c>
      <c r="E93" s="24">
        <v>1</v>
      </c>
      <c r="F93" s="54">
        <f>_xlfn.XLOOKUP(C93,Planilha3!A:A,Planilha3!E:E)</f>
        <v>45446</v>
      </c>
      <c r="G93" s="54">
        <f>_xlfn.XLOOKUP(C93,Planilha3!A:A,Planilha3!F:F)</f>
        <v>45461</v>
      </c>
      <c r="H93" s="54">
        <f>_xlfn.XLOOKUP(C93,Planilha3!A:A,Planilha3!G:G)</f>
        <v>45922</v>
      </c>
      <c r="I93" s="23">
        <f>_xlfn.XLOOKUP(K93,Grupo!F:F,Grupo!G:G)</f>
        <v>46440.22</v>
      </c>
      <c r="J93" s="6">
        <f>_xlfn.XLOOKUP(D93,Grupo!B:B,Grupo!C:C)</f>
        <v>10</v>
      </c>
      <c r="K93" s="24">
        <f>_xlfn.XLOOKUP(A93,[1]COORDENADAS_GEOGRÁFICAS!$D:$D,[1]COORDENADAS_GEOGRÁFICAS!$F:$F)</f>
        <v>80</v>
      </c>
      <c r="L93" s="53"/>
      <c r="M93" s="53"/>
      <c r="N93" s="52">
        <f>_xlfn.XLOOKUP(D93,Grupo!B:B,Grupo!D:D)</f>
        <v>-12.620481488718251</v>
      </c>
      <c r="O93" s="52">
        <f>_xlfn.XLOOKUP(D93,Grupo!B:B,Grupo!E:E)</f>
        <v>-47.884083728442604</v>
      </c>
      <c r="P93" s="52">
        <f>_xlfn.XLOOKUP(A93,[1]COORDENADAS_GEOGRÁFICAS!$D:$D,[1]COORDENADAS_GEOGRÁFICAS!$G:$G)</f>
        <v>-12.346299999999999</v>
      </c>
      <c r="Q93" s="52">
        <f>_xlfn.XLOOKUP(A93,[1]COORDENADAS_GEOGRÁFICAS!$D:$D,[1]COORDENADAS_GEOGRÁFICAS!$H:$H)</f>
        <v>-47.979399999999998</v>
      </c>
      <c r="R93" s="20">
        <f t="shared" si="1"/>
        <v>32.195908305691027</v>
      </c>
    </row>
    <row r="94" spans="1:18" x14ac:dyDescent="0.3">
      <c r="A94" s="24">
        <v>3466160</v>
      </c>
      <c r="B94" s="24" t="s">
        <v>765</v>
      </c>
      <c r="C94" s="24">
        <v>402301218</v>
      </c>
      <c r="D94" s="24" t="str">
        <f>_xlfn.XLOOKUP(C94,Planilha3!A:A,Planilha3!C:C)</f>
        <v>PARANÃ</v>
      </c>
      <c r="E94" s="24">
        <v>1</v>
      </c>
      <c r="F94" s="54">
        <f>_xlfn.XLOOKUP(C94,Planilha3!A:A,Planilha3!E:E)</f>
        <v>45443</v>
      </c>
      <c r="G94" s="54">
        <f>_xlfn.XLOOKUP(C94,Planilha3!A:A,Planilha3!F:F)</f>
        <v>45454</v>
      </c>
      <c r="H94" s="54">
        <f>_xlfn.XLOOKUP(C94,Planilha3!A:A,Planilha3!G:G)</f>
        <v>45922</v>
      </c>
      <c r="I94" s="23">
        <f>_xlfn.XLOOKUP(K94,Grupo!F:F,Grupo!G:G)</f>
        <v>46440.22</v>
      </c>
      <c r="J94" s="6">
        <f>_xlfn.XLOOKUP(D94,Grupo!B:B,Grupo!C:C)</f>
        <v>10</v>
      </c>
      <c r="K94" s="24">
        <f>_xlfn.XLOOKUP(A94,[1]COORDENADAS_GEOGRÁFICAS!$D:$D,[1]COORDENADAS_GEOGRÁFICAS!$F:$F)</f>
        <v>80</v>
      </c>
      <c r="L94" s="53"/>
      <c r="M94" s="53"/>
      <c r="N94" s="52">
        <f>_xlfn.XLOOKUP(D94,Grupo!B:B,Grupo!D:D)</f>
        <v>-12.620481488718251</v>
      </c>
      <c r="O94" s="52">
        <f>_xlfn.XLOOKUP(D94,Grupo!B:B,Grupo!E:E)</f>
        <v>-47.884083728442604</v>
      </c>
      <c r="P94" s="52">
        <f>_xlfn.XLOOKUP(A94,[1]COORDENADAS_GEOGRÁFICAS!$D:$D,[1]COORDENADAS_GEOGRÁFICAS!$G:$G)</f>
        <v>-13.142602</v>
      </c>
      <c r="Q94" s="52">
        <f>_xlfn.XLOOKUP(A94,[1]COORDENADAS_GEOGRÁFICAS!$D:$D,[1]COORDENADAS_GEOGRÁFICAS!$H:$H)</f>
        <v>-47.720477000000002</v>
      </c>
      <c r="R94" s="20">
        <f t="shared" si="1"/>
        <v>60.705346887477909</v>
      </c>
    </row>
    <row r="95" spans="1:18" x14ac:dyDescent="0.3">
      <c r="A95" s="24">
        <v>3466424</v>
      </c>
      <c r="B95" s="24" t="s">
        <v>765</v>
      </c>
      <c r="C95" s="24">
        <v>402301217</v>
      </c>
      <c r="D95" s="24" t="str">
        <f>_xlfn.XLOOKUP(C95,Planilha3!A:A,Planilha3!C:C)</f>
        <v>PARANÃ</v>
      </c>
      <c r="E95" s="24">
        <v>1</v>
      </c>
      <c r="F95" s="54">
        <f>_xlfn.XLOOKUP(C95,Planilha3!A:A,Planilha3!E:E)</f>
        <v>45442</v>
      </c>
      <c r="G95" s="54">
        <f>_xlfn.XLOOKUP(C95,Planilha3!A:A,Planilha3!F:F)</f>
        <v>45454</v>
      </c>
      <c r="H95" s="54">
        <f>_xlfn.XLOOKUP(C95,Planilha3!A:A,Planilha3!G:G)</f>
        <v>45922</v>
      </c>
      <c r="I95" s="23">
        <f>_xlfn.XLOOKUP(K95,Grupo!F:F,Grupo!G:G)</f>
        <v>46440.22</v>
      </c>
      <c r="J95" s="6">
        <f>_xlfn.XLOOKUP(D95,Grupo!B:B,Grupo!C:C)</f>
        <v>10</v>
      </c>
      <c r="K95" s="24">
        <f>_xlfn.XLOOKUP(A95,[1]COORDENADAS_GEOGRÁFICAS!$D:$D,[1]COORDENADAS_GEOGRÁFICAS!$F:$F)</f>
        <v>80</v>
      </c>
      <c r="L95" s="53"/>
      <c r="M95" s="53"/>
      <c r="N95" s="52">
        <f>_xlfn.XLOOKUP(D95,Grupo!B:B,Grupo!D:D)</f>
        <v>-12.620481488718251</v>
      </c>
      <c r="O95" s="52">
        <f>_xlfn.XLOOKUP(D95,Grupo!B:B,Grupo!E:E)</f>
        <v>-47.884083728442604</v>
      </c>
      <c r="P95" s="52">
        <f>_xlfn.XLOOKUP(A95,[1]COORDENADAS_GEOGRÁFICAS!$D:$D,[1]COORDENADAS_GEOGRÁFICAS!$G:$G)</f>
        <v>-13.204587999999999</v>
      </c>
      <c r="Q95" s="52">
        <f>_xlfn.XLOOKUP(A95,[1]COORDENADAS_GEOGRÁFICAS!$D:$D,[1]COORDENADAS_GEOGRÁFICAS!$H:$H)</f>
        <v>-47.766472</v>
      </c>
      <c r="R95" s="20">
        <f t="shared" si="1"/>
        <v>66.188733550813069</v>
      </c>
    </row>
    <row r="96" spans="1:18" x14ac:dyDescent="0.3">
      <c r="A96" s="24">
        <v>3463791</v>
      </c>
      <c r="B96" s="24" t="s">
        <v>765</v>
      </c>
      <c r="C96" s="24">
        <v>402301204</v>
      </c>
      <c r="D96" s="24" t="str">
        <f>_xlfn.XLOOKUP(C96,Planilha3!A:A,Planilha3!C:C)</f>
        <v>PARANÃ</v>
      </c>
      <c r="E96" s="24">
        <v>1</v>
      </c>
      <c r="F96" s="54">
        <f>_xlfn.XLOOKUP(C96,Planilha3!A:A,Planilha3!E:E)</f>
        <v>45441</v>
      </c>
      <c r="G96" s="54">
        <f>_xlfn.XLOOKUP(C96,Planilha3!A:A,Planilha3!F:F)</f>
        <v>45454</v>
      </c>
      <c r="H96" s="54">
        <f>_xlfn.XLOOKUP(C96,Planilha3!A:A,Planilha3!G:G)</f>
        <v>45922</v>
      </c>
      <c r="I96" s="23">
        <f>_xlfn.XLOOKUP(K96,Grupo!F:F,Grupo!G:G)</f>
        <v>46440.22</v>
      </c>
      <c r="J96" s="6">
        <f>_xlfn.XLOOKUP(D96,Grupo!B:B,Grupo!C:C)</f>
        <v>10</v>
      </c>
      <c r="K96" s="24">
        <f>_xlfn.XLOOKUP(A96,[1]COORDENADAS_GEOGRÁFICAS!$D:$D,[1]COORDENADAS_GEOGRÁFICAS!$F:$F)</f>
        <v>80</v>
      </c>
      <c r="L96" s="53"/>
      <c r="M96" s="53"/>
      <c r="N96" s="52">
        <f>_xlfn.XLOOKUP(D96,Grupo!B:B,Grupo!D:D)</f>
        <v>-12.620481488718251</v>
      </c>
      <c r="O96" s="52">
        <f>_xlfn.XLOOKUP(D96,Grupo!B:B,Grupo!E:E)</f>
        <v>-47.884083728442604</v>
      </c>
      <c r="P96" s="52">
        <f>_xlfn.XLOOKUP(A96,[1]COORDENADAS_GEOGRÁFICAS!$D:$D,[1]COORDENADAS_GEOGRÁFICAS!$G:$G)</f>
        <v>-13.135028</v>
      </c>
      <c r="Q96" s="52">
        <f>_xlfn.XLOOKUP(A96,[1]COORDENADAS_GEOGRÁFICAS!$D:$D,[1]COORDENADAS_GEOGRÁFICAS!$H:$H)</f>
        <v>-47.718153000000001</v>
      </c>
      <c r="R96" s="20">
        <f t="shared" si="1"/>
        <v>59.975548205930757</v>
      </c>
    </row>
    <row r="97" spans="1:18" x14ac:dyDescent="0.3">
      <c r="A97" s="24">
        <v>3463790</v>
      </c>
      <c r="B97" s="24" t="s">
        <v>765</v>
      </c>
      <c r="C97" s="24">
        <v>402301203</v>
      </c>
      <c r="D97" s="24" t="str">
        <f>_xlfn.XLOOKUP(C97,Planilha3!A:A,Planilha3!C:C)</f>
        <v>PARANÃ</v>
      </c>
      <c r="E97" s="24">
        <v>1</v>
      </c>
      <c r="F97" s="54">
        <f>_xlfn.XLOOKUP(C97,Planilha3!A:A,Planilha3!E:E)</f>
        <v>45439</v>
      </c>
      <c r="G97" s="54">
        <f>_xlfn.XLOOKUP(C97,Planilha3!A:A,Planilha3!F:F)</f>
        <v>45454</v>
      </c>
      <c r="H97" s="54">
        <f>_xlfn.XLOOKUP(C97,Planilha3!A:A,Planilha3!G:G)</f>
        <v>45922</v>
      </c>
      <c r="I97" s="23">
        <f>_xlfn.XLOOKUP(K97,Grupo!F:F,Grupo!G:G)</f>
        <v>46440.22</v>
      </c>
      <c r="J97" s="6">
        <f>_xlfn.XLOOKUP(D97,Grupo!B:B,Grupo!C:C)</f>
        <v>10</v>
      </c>
      <c r="K97" s="24">
        <f>_xlfn.XLOOKUP(A97,[1]COORDENADAS_GEOGRÁFICAS!$D:$D,[1]COORDENADAS_GEOGRÁFICAS!$F:$F)</f>
        <v>80</v>
      </c>
      <c r="L97" s="53"/>
      <c r="M97" s="53"/>
      <c r="N97" s="52">
        <f>_xlfn.XLOOKUP(D97,Grupo!B:B,Grupo!D:D)</f>
        <v>-12.620481488718251</v>
      </c>
      <c r="O97" s="52">
        <f>_xlfn.XLOOKUP(D97,Grupo!B:B,Grupo!E:E)</f>
        <v>-47.884083728442604</v>
      </c>
      <c r="P97" s="52">
        <f>_xlfn.XLOOKUP(A97,[1]COORDENADAS_GEOGRÁFICAS!$D:$D,[1]COORDENADAS_GEOGRÁFICAS!$G:$G)</f>
        <v>-13.133018</v>
      </c>
      <c r="Q97" s="52">
        <f>_xlfn.XLOOKUP(A97,[1]COORDENADAS_GEOGRÁFICAS!$D:$D,[1]COORDENADAS_GEOGRÁFICAS!$H:$H)</f>
        <v>-47.716025999999999</v>
      </c>
      <c r="R97" s="20">
        <f t="shared" si="1"/>
        <v>59.832189417870275</v>
      </c>
    </row>
    <row r="98" spans="1:18" x14ac:dyDescent="0.3">
      <c r="A98" s="24">
        <v>3464190</v>
      </c>
      <c r="B98" s="24" t="s">
        <v>765</v>
      </c>
      <c r="C98" s="24">
        <v>402301196</v>
      </c>
      <c r="D98" s="24" t="str">
        <f>_xlfn.XLOOKUP(C98,Planilha3!A:A,Planilha3!C:C)</f>
        <v>PARANÃ</v>
      </c>
      <c r="E98" s="24">
        <v>1</v>
      </c>
      <c r="F98" s="54">
        <f>_xlfn.XLOOKUP(C98,Planilha3!A:A,Planilha3!E:E)</f>
        <v>45434</v>
      </c>
      <c r="G98" s="54">
        <f>_xlfn.XLOOKUP(C98,Planilha3!A:A,Planilha3!F:F)</f>
        <v>45450</v>
      </c>
      <c r="H98" s="54">
        <f>_xlfn.XLOOKUP(C98,Planilha3!A:A,Planilha3!G:G)</f>
        <v>45922</v>
      </c>
      <c r="I98" s="23">
        <f>_xlfn.XLOOKUP(K98,Grupo!F:F,Grupo!G:G)</f>
        <v>46440.22</v>
      </c>
      <c r="J98" s="6">
        <f>_xlfn.XLOOKUP(D98,Grupo!B:B,Grupo!C:C)</f>
        <v>10</v>
      </c>
      <c r="K98" s="24">
        <f>_xlfn.XLOOKUP(A98,[1]COORDENADAS_GEOGRÁFICAS!$D:$D,[1]COORDENADAS_GEOGRÁFICAS!$F:$F)</f>
        <v>80</v>
      </c>
      <c r="L98" s="53"/>
      <c r="M98" s="53"/>
      <c r="N98" s="52">
        <f>_xlfn.XLOOKUP(D98,Grupo!B:B,Grupo!D:D)</f>
        <v>-12.620481488718251</v>
      </c>
      <c r="O98" s="52">
        <f>_xlfn.XLOOKUP(D98,Grupo!B:B,Grupo!E:E)</f>
        <v>-47.884083728442604</v>
      </c>
      <c r="P98" s="52">
        <f>_xlfn.XLOOKUP(A98,[1]COORDENADAS_GEOGRÁFICAS!$D:$D,[1]COORDENADAS_GEOGRÁFICAS!$G:$G)</f>
        <v>-13.11458</v>
      </c>
      <c r="Q98" s="52">
        <f>_xlfn.XLOOKUP(A98,[1]COORDENADAS_GEOGRÁFICAS!$D:$D,[1]COORDENADAS_GEOGRÁFICAS!$H:$H)</f>
        <v>-47.642355000000002</v>
      </c>
      <c r="R98" s="20">
        <f t="shared" si="1"/>
        <v>60.87023818945071</v>
      </c>
    </row>
    <row r="99" spans="1:18" x14ac:dyDescent="0.3">
      <c r="A99" s="24">
        <v>3464228</v>
      </c>
      <c r="B99" s="24" t="s">
        <v>765</v>
      </c>
      <c r="C99" s="24">
        <v>402301201</v>
      </c>
      <c r="D99" s="24" t="str">
        <f>_xlfn.XLOOKUP(C99,Planilha3!A:A,Planilha3!C:C)</f>
        <v>PARANÃ</v>
      </c>
      <c r="E99" s="24">
        <v>1</v>
      </c>
      <c r="F99" s="54">
        <f>_xlfn.XLOOKUP(C99,Planilha3!A:A,Planilha3!E:E)</f>
        <v>45442</v>
      </c>
      <c r="G99" s="54">
        <f>_xlfn.XLOOKUP(C99,Planilha3!A:A,Planilha3!F:F)</f>
        <v>45453</v>
      </c>
      <c r="H99" s="54">
        <f>_xlfn.XLOOKUP(C99,Planilha3!A:A,Planilha3!G:G)</f>
        <v>45922</v>
      </c>
      <c r="I99" s="23">
        <f>_xlfn.XLOOKUP(K99,Grupo!F:F,Grupo!G:G)</f>
        <v>46440.22</v>
      </c>
      <c r="J99" s="6">
        <f>_xlfn.XLOOKUP(D99,Grupo!B:B,Grupo!C:C)</f>
        <v>10</v>
      </c>
      <c r="K99" s="24">
        <f>_xlfn.XLOOKUP(A99,[1]COORDENADAS_GEOGRÁFICAS!$D:$D,[1]COORDENADAS_GEOGRÁFICAS!$F:$F)</f>
        <v>80</v>
      </c>
      <c r="L99" s="53"/>
      <c r="M99" s="53"/>
      <c r="N99" s="52">
        <f>_xlfn.XLOOKUP(D99,Grupo!B:B,Grupo!D:D)</f>
        <v>-12.620481488718251</v>
      </c>
      <c r="O99" s="52">
        <f>_xlfn.XLOOKUP(D99,Grupo!B:B,Grupo!E:E)</f>
        <v>-47.884083728442604</v>
      </c>
      <c r="P99" s="52">
        <f>_xlfn.XLOOKUP(A99,[1]COORDENADAS_GEOGRÁFICAS!$D:$D,[1]COORDENADAS_GEOGRÁFICAS!$G:$G)</f>
        <v>-13.208562000000001</v>
      </c>
      <c r="Q99" s="52">
        <f>_xlfn.XLOOKUP(A99,[1]COORDENADAS_GEOGRÁFICAS!$D:$D,[1]COORDENADAS_GEOGRÁFICAS!$H:$H)</f>
        <v>-47.667427000000004</v>
      </c>
      <c r="R99" s="20">
        <f t="shared" si="1"/>
        <v>69.479806576943759</v>
      </c>
    </row>
    <row r="100" spans="1:18" x14ac:dyDescent="0.3">
      <c r="A100" s="24">
        <v>3463772</v>
      </c>
      <c r="B100" s="24" t="s">
        <v>765</v>
      </c>
      <c r="C100" s="24">
        <v>402301202</v>
      </c>
      <c r="D100" s="24" t="str">
        <f>_xlfn.XLOOKUP(C100,Planilha3!A:A,Planilha3!C:C)</f>
        <v>PARANÃ</v>
      </c>
      <c r="E100" s="24">
        <v>1</v>
      </c>
      <c r="F100" s="54">
        <f>_xlfn.XLOOKUP(C100,Planilha3!A:A,Planilha3!E:E)</f>
        <v>45441</v>
      </c>
      <c r="G100" s="54">
        <f>_xlfn.XLOOKUP(C100,Planilha3!A:A,Planilha3!F:F)</f>
        <v>45453</v>
      </c>
      <c r="H100" s="54">
        <f>_xlfn.XLOOKUP(C100,Planilha3!A:A,Planilha3!G:G)</f>
        <v>45922</v>
      </c>
      <c r="I100" s="23">
        <f>_xlfn.XLOOKUP(K100,Grupo!F:F,Grupo!G:G)</f>
        <v>46440.22</v>
      </c>
      <c r="J100" s="6">
        <f>_xlfn.XLOOKUP(D100,Grupo!B:B,Grupo!C:C)</f>
        <v>10</v>
      </c>
      <c r="K100" s="24">
        <f>_xlfn.XLOOKUP(A100,[1]COORDENADAS_GEOGRÁFICAS!$D:$D,[1]COORDENADAS_GEOGRÁFICAS!$F:$F)</f>
        <v>80</v>
      </c>
      <c r="L100" s="53"/>
      <c r="M100" s="53"/>
      <c r="N100" s="52">
        <f>_xlfn.XLOOKUP(D100,Grupo!B:B,Grupo!D:D)</f>
        <v>-12.620481488718251</v>
      </c>
      <c r="O100" s="52">
        <f>_xlfn.XLOOKUP(D100,Grupo!B:B,Grupo!E:E)</f>
        <v>-47.884083728442604</v>
      </c>
      <c r="P100" s="52">
        <f>_xlfn.XLOOKUP(A100,[1]COORDENADAS_GEOGRÁFICAS!$D:$D,[1]COORDENADAS_GEOGRÁFICAS!$G:$G)</f>
        <v>-13.294447999999999</v>
      </c>
      <c r="Q100" s="52">
        <f>_xlfn.XLOOKUP(A100,[1]COORDENADAS_GEOGRÁFICAS!$D:$D,[1]COORDENADAS_GEOGRÁFICAS!$H:$H)</f>
        <v>-47.729444000000001</v>
      </c>
      <c r="R100" s="20">
        <f t="shared" si="1"/>
        <v>76.79228857279891</v>
      </c>
    </row>
    <row r="101" spans="1:18" x14ac:dyDescent="0.3">
      <c r="A101" s="24">
        <v>3465689</v>
      </c>
      <c r="B101" s="24" t="s">
        <v>765</v>
      </c>
      <c r="C101" s="24">
        <v>402301205</v>
      </c>
      <c r="D101" s="24" t="str">
        <f>_xlfn.XLOOKUP(C101,Planilha3!A:A,Planilha3!C:C)</f>
        <v>PARANÃ</v>
      </c>
      <c r="E101" s="24">
        <v>1</v>
      </c>
      <c r="F101" s="54">
        <f>_xlfn.XLOOKUP(C101,Planilha3!A:A,Planilha3!E:E)</f>
        <v>45441</v>
      </c>
      <c r="G101" s="54">
        <f>_xlfn.XLOOKUP(C101,Planilha3!A:A,Planilha3!F:F)</f>
        <v>45454</v>
      </c>
      <c r="H101" s="54">
        <f>_xlfn.XLOOKUP(C101,Planilha3!A:A,Planilha3!G:G)</f>
        <v>45922</v>
      </c>
      <c r="I101" s="23">
        <f>_xlfn.XLOOKUP(K101,Grupo!F:F,Grupo!G:G)</f>
        <v>46440.22</v>
      </c>
      <c r="J101" s="6">
        <f>_xlfn.XLOOKUP(D101,Grupo!B:B,Grupo!C:C)</f>
        <v>10</v>
      </c>
      <c r="K101" s="24">
        <f>_xlfn.XLOOKUP(A101,[1]COORDENADAS_GEOGRÁFICAS!$D:$D,[1]COORDENADAS_GEOGRÁFICAS!$F:$F)</f>
        <v>80</v>
      </c>
      <c r="L101" s="53"/>
      <c r="M101" s="53"/>
      <c r="N101" s="52">
        <f>_xlfn.XLOOKUP(D101,Grupo!B:B,Grupo!D:D)</f>
        <v>-12.620481488718251</v>
      </c>
      <c r="O101" s="52">
        <f>_xlfn.XLOOKUP(D101,Grupo!B:B,Grupo!E:E)</f>
        <v>-47.884083728442604</v>
      </c>
      <c r="P101" s="52">
        <f>_xlfn.XLOOKUP(A101,[1]COORDENADAS_GEOGRÁFICAS!$D:$D,[1]COORDENADAS_GEOGRÁFICAS!$G:$G)</f>
        <v>-13.165887</v>
      </c>
      <c r="Q101" s="52">
        <f>_xlfn.XLOOKUP(A101,[1]COORDENADAS_GEOGRÁFICAS!$D:$D,[1]COORDENADAS_GEOGRÁFICAS!$H:$H)</f>
        <v>-47.679451999999998</v>
      </c>
      <c r="R101" s="20">
        <f t="shared" si="1"/>
        <v>64.57506914111093</v>
      </c>
    </row>
    <row r="102" spans="1:18" x14ac:dyDescent="0.3">
      <c r="A102" s="24">
        <v>3466454</v>
      </c>
      <c r="B102" s="24" t="s">
        <v>765</v>
      </c>
      <c r="C102" s="24">
        <v>402301219</v>
      </c>
      <c r="D102" s="24" t="str">
        <f>_xlfn.XLOOKUP(C102,Planilha3!A:A,Planilha3!C:C)</f>
        <v>PARANÃ</v>
      </c>
      <c r="E102" s="24">
        <v>1</v>
      </c>
      <c r="F102" s="54">
        <f>_xlfn.XLOOKUP(C102,Planilha3!A:A,Planilha3!E:E)</f>
        <v>45439</v>
      </c>
      <c r="G102" s="54">
        <f>_xlfn.XLOOKUP(C102,Planilha3!A:A,Planilha3!F:F)</f>
        <v>45454</v>
      </c>
      <c r="H102" s="54">
        <f>_xlfn.XLOOKUP(C102,Planilha3!A:A,Planilha3!G:G)</f>
        <v>45922</v>
      </c>
      <c r="I102" s="23">
        <f>_xlfn.XLOOKUP(K102,Grupo!F:F,Grupo!G:G)</f>
        <v>46440.22</v>
      </c>
      <c r="J102" s="6">
        <f>_xlfn.XLOOKUP(D102,Grupo!B:B,Grupo!C:C)</f>
        <v>10</v>
      </c>
      <c r="K102" s="24">
        <f>_xlfn.XLOOKUP(A102,[1]COORDENADAS_GEOGRÁFICAS!$D:$D,[1]COORDENADAS_GEOGRÁFICAS!$F:$F)</f>
        <v>80</v>
      </c>
      <c r="L102" s="53"/>
      <c r="M102" s="53"/>
      <c r="N102" s="52">
        <f>_xlfn.XLOOKUP(D102,Grupo!B:B,Grupo!D:D)</f>
        <v>-12.620481488718251</v>
      </c>
      <c r="O102" s="52">
        <f>_xlfn.XLOOKUP(D102,Grupo!B:B,Grupo!E:E)</f>
        <v>-47.884083728442604</v>
      </c>
      <c r="P102" s="52">
        <f>_xlfn.XLOOKUP(A102,[1]COORDENADAS_GEOGRÁFICAS!$D:$D,[1]COORDENADAS_GEOGRÁFICAS!$G:$G)</f>
        <v>-13.153548000000001</v>
      </c>
      <c r="Q102" s="52">
        <f>_xlfn.XLOOKUP(A102,[1]COORDENADAS_GEOGRÁFICAS!$D:$D,[1]COORDENADAS_GEOGRÁFICAS!$H:$H)</f>
        <v>-47.746454999999997</v>
      </c>
      <c r="R102" s="20">
        <f t="shared" si="1"/>
        <v>61.122752252524322</v>
      </c>
    </row>
    <row r="103" spans="1:18" x14ac:dyDescent="0.3">
      <c r="A103" s="24">
        <v>3466485</v>
      </c>
      <c r="B103" s="24" t="s">
        <v>765</v>
      </c>
      <c r="C103" s="24">
        <v>402301227</v>
      </c>
      <c r="D103" s="24" t="str">
        <f>_xlfn.XLOOKUP(C103,Planilha3!A:A,Planilha3!C:C)</f>
        <v>PARANÃ</v>
      </c>
      <c r="E103" s="24">
        <v>1</v>
      </c>
      <c r="F103" s="54">
        <f>_xlfn.XLOOKUP(C103,Planilha3!A:A,Planilha3!E:E)</f>
        <v>45450</v>
      </c>
      <c r="G103" s="54">
        <f>_xlfn.XLOOKUP(C103,Planilha3!A:A,Planilha3!F:F)</f>
        <v>45461</v>
      </c>
      <c r="H103" s="54">
        <f>_xlfn.XLOOKUP(C103,Planilha3!A:A,Planilha3!G:G)</f>
        <v>45922</v>
      </c>
      <c r="I103" s="23">
        <f>_xlfn.XLOOKUP(K103,Grupo!F:F,Grupo!G:G)</f>
        <v>46440.22</v>
      </c>
      <c r="J103" s="6">
        <f>_xlfn.XLOOKUP(D103,Grupo!B:B,Grupo!C:C)</f>
        <v>10</v>
      </c>
      <c r="K103" s="24">
        <f>_xlfn.XLOOKUP(A103,[1]COORDENADAS_GEOGRÁFICAS!$D:$D,[1]COORDENADAS_GEOGRÁFICAS!$F:$F)</f>
        <v>80</v>
      </c>
      <c r="L103" s="53"/>
      <c r="M103" s="53"/>
      <c r="N103" s="52">
        <f>_xlfn.XLOOKUP(D103,Grupo!B:B,Grupo!D:D)</f>
        <v>-12.620481488718251</v>
      </c>
      <c r="O103" s="52">
        <f>_xlfn.XLOOKUP(D103,Grupo!B:B,Grupo!E:E)</f>
        <v>-47.884083728442604</v>
      </c>
      <c r="P103" s="52">
        <f>_xlfn.XLOOKUP(A103,[1]COORDENADAS_GEOGRÁFICAS!$D:$D,[1]COORDENADAS_GEOGRÁFICAS!$G:$G)</f>
        <v>-13.245725</v>
      </c>
      <c r="Q103" s="52">
        <f>_xlfn.XLOOKUP(A103,[1]COORDENADAS_GEOGRÁFICAS!$D:$D,[1]COORDENADAS_GEOGRÁFICAS!$H:$H)</f>
        <v>-47.648857</v>
      </c>
      <c r="R103" s="20">
        <f t="shared" si="1"/>
        <v>74.050207965498558</v>
      </c>
    </row>
    <row r="104" spans="1:18" x14ac:dyDescent="0.3">
      <c r="A104" s="24">
        <v>3466159</v>
      </c>
      <c r="B104" s="24" t="s">
        <v>765</v>
      </c>
      <c r="C104" s="24">
        <v>402301220</v>
      </c>
      <c r="D104" s="24" t="str">
        <f>_xlfn.XLOOKUP(C104,Planilha3!A:A,Planilha3!C:C)</f>
        <v>PARANÃ</v>
      </c>
      <c r="E104" s="24">
        <v>1</v>
      </c>
      <c r="F104" s="54">
        <f>_xlfn.XLOOKUP(C104,Planilha3!A:A,Planilha3!E:E)</f>
        <v>45442</v>
      </c>
      <c r="G104" s="54">
        <f>_xlfn.XLOOKUP(C104,Planilha3!A:A,Planilha3!F:F)</f>
        <v>45454</v>
      </c>
      <c r="H104" s="54">
        <f>_xlfn.XLOOKUP(C104,Planilha3!A:A,Planilha3!G:G)</f>
        <v>45922</v>
      </c>
      <c r="I104" s="23">
        <f>_xlfn.XLOOKUP(K104,Grupo!F:F,Grupo!G:G)</f>
        <v>46440.22</v>
      </c>
      <c r="J104" s="6">
        <f>_xlfn.XLOOKUP(D104,Grupo!B:B,Grupo!C:C)</f>
        <v>10</v>
      </c>
      <c r="K104" s="24">
        <f>_xlfn.XLOOKUP(A104,[1]COORDENADAS_GEOGRÁFICAS!$D:$D,[1]COORDENADAS_GEOGRÁFICAS!$F:$F)</f>
        <v>80</v>
      </c>
      <c r="L104" s="53"/>
      <c r="M104" s="53"/>
      <c r="N104" s="52">
        <f>_xlfn.XLOOKUP(D104,Grupo!B:B,Grupo!D:D)</f>
        <v>-12.620481488718251</v>
      </c>
      <c r="O104" s="52">
        <f>_xlfn.XLOOKUP(D104,Grupo!B:B,Grupo!E:E)</f>
        <v>-47.884083728442604</v>
      </c>
      <c r="P104" s="52">
        <f>_xlfn.XLOOKUP(A104,[1]COORDENADAS_GEOGRÁFICAS!$D:$D,[1]COORDENADAS_GEOGRÁFICAS!$G:$G)</f>
        <v>-13.117179999999999</v>
      </c>
      <c r="Q104" s="52">
        <f>_xlfn.XLOOKUP(A104,[1]COORDENADAS_GEOGRÁFICAS!$D:$D,[1]COORDENADAS_GEOGRÁFICAS!$H:$H)</f>
        <v>-47.646675000000002</v>
      </c>
      <c r="R104" s="20">
        <f t="shared" si="1"/>
        <v>60.931988303221907</v>
      </c>
    </row>
    <row r="105" spans="1:18" x14ac:dyDescent="0.3">
      <c r="A105" s="24">
        <v>3459827</v>
      </c>
      <c r="B105" s="24" t="s">
        <v>765</v>
      </c>
      <c r="C105" s="24">
        <v>402301225</v>
      </c>
      <c r="D105" s="24" t="str">
        <f>_xlfn.XLOOKUP(C105,Planilha3!A:A,Planilha3!C:C)</f>
        <v>PARANÃ</v>
      </c>
      <c r="E105" s="24">
        <v>1</v>
      </c>
      <c r="F105" s="54">
        <f>_xlfn.XLOOKUP(C105,Planilha3!A:A,Planilha3!E:E)</f>
        <v>45447</v>
      </c>
      <c r="G105" s="54">
        <f>_xlfn.XLOOKUP(C105,Planilha3!A:A,Planilha3!F:F)</f>
        <v>45460</v>
      </c>
      <c r="H105" s="54">
        <f>_xlfn.XLOOKUP(C105,Planilha3!A:A,Planilha3!G:G)</f>
        <v>45922</v>
      </c>
      <c r="I105" s="23">
        <f>_xlfn.XLOOKUP(K105,Grupo!F:F,Grupo!G:G)</f>
        <v>46440.22</v>
      </c>
      <c r="J105" s="6">
        <f>_xlfn.XLOOKUP(D105,Grupo!B:B,Grupo!C:C)</f>
        <v>10</v>
      </c>
      <c r="K105" s="24">
        <f>_xlfn.XLOOKUP(A105,[1]COORDENADAS_GEOGRÁFICAS!$D:$D,[1]COORDENADAS_GEOGRÁFICAS!$F:$F)</f>
        <v>80</v>
      </c>
      <c r="L105" s="53"/>
      <c r="M105" s="53"/>
      <c r="N105" s="52">
        <f>_xlfn.XLOOKUP(D105,Grupo!B:B,Grupo!D:D)</f>
        <v>-12.620481488718251</v>
      </c>
      <c r="O105" s="52">
        <f>_xlfn.XLOOKUP(D105,Grupo!B:B,Grupo!E:E)</f>
        <v>-47.884083728442604</v>
      </c>
      <c r="P105" s="52">
        <f>_xlfn.XLOOKUP(A105,[1]COORDENADAS_GEOGRÁFICAS!$D:$D,[1]COORDENADAS_GEOGRÁFICAS!$G:$G)</f>
        <v>-13.149633</v>
      </c>
      <c r="Q105" s="52">
        <f>_xlfn.XLOOKUP(A105,[1]COORDENADAS_GEOGRÁFICAS!$D:$D,[1]COORDENADAS_GEOGRÁFICAS!$H:$H)</f>
        <v>-47.647573000000001</v>
      </c>
      <c r="R105" s="20">
        <f t="shared" si="1"/>
        <v>64.181399667352679</v>
      </c>
    </row>
    <row r="106" spans="1:18" x14ac:dyDescent="0.3">
      <c r="A106" s="24">
        <v>3465690</v>
      </c>
      <c r="B106" s="24" t="s">
        <v>765</v>
      </c>
      <c r="C106" s="24">
        <v>402301206</v>
      </c>
      <c r="D106" s="24" t="str">
        <f>_xlfn.XLOOKUP(C106,Planilha3!A:A,Planilha3!C:C)</f>
        <v>PARANÃ</v>
      </c>
      <c r="E106" s="24">
        <v>1</v>
      </c>
      <c r="F106" s="54">
        <f>_xlfn.XLOOKUP(C106,Planilha3!A:A,Planilha3!E:E)</f>
        <v>45439</v>
      </c>
      <c r="G106" s="54">
        <f>_xlfn.XLOOKUP(C106,Planilha3!A:A,Planilha3!F:F)</f>
        <v>45454</v>
      </c>
      <c r="H106" s="54">
        <f>_xlfn.XLOOKUP(C106,Planilha3!A:A,Planilha3!G:G)</f>
        <v>45922</v>
      </c>
      <c r="I106" s="23">
        <f>_xlfn.XLOOKUP(K106,Grupo!F:F,Grupo!G:G)</f>
        <v>46440.22</v>
      </c>
      <c r="J106" s="6">
        <f>_xlfn.XLOOKUP(D106,Grupo!B:B,Grupo!C:C)</f>
        <v>10</v>
      </c>
      <c r="K106" s="24">
        <f>_xlfn.XLOOKUP(A106,[1]COORDENADAS_GEOGRÁFICAS!$D:$D,[1]COORDENADAS_GEOGRÁFICAS!$F:$F)</f>
        <v>80</v>
      </c>
      <c r="L106" s="53"/>
      <c r="M106" s="53"/>
      <c r="N106" s="52">
        <f>_xlfn.XLOOKUP(D106,Grupo!B:B,Grupo!D:D)</f>
        <v>-12.620481488718251</v>
      </c>
      <c r="O106" s="52">
        <f>_xlfn.XLOOKUP(D106,Grupo!B:B,Grupo!E:E)</f>
        <v>-47.884083728442604</v>
      </c>
      <c r="P106" s="52">
        <f>_xlfn.XLOOKUP(A106,[1]COORDENADAS_GEOGRÁFICAS!$D:$D,[1]COORDENADAS_GEOGRÁFICAS!$G:$G)</f>
        <v>-13.129222</v>
      </c>
      <c r="Q106" s="52">
        <f>_xlfn.XLOOKUP(A106,[1]COORDENADAS_GEOGRÁFICAS!$D:$D,[1]COORDENADAS_GEOGRÁFICAS!$H:$H)</f>
        <v>-47.648972000000001</v>
      </c>
      <c r="R106" s="20">
        <f t="shared" si="1"/>
        <v>62.045325722828515</v>
      </c>
    </row>
    <row r="107" spans="1:18" x14ac:dyDescent="0.3">
      <c r="A107" s="24">
        <v>3464086</v>
      </c>
      <c r="B107" s="24" t="s">
        <v>765</v>
      </c>
      <c r="C107" s="24">
        <v>402301221</v>
      </c>
      <c r="D107" s="24" t="str">
        <f>_xlfn.XLOOKUP(C107,Planilha3!A:A,Planilha3!C:C)</f>
        <v>PARANÃ</v>
      </c>
      <c r="E107" s="24">
        <v>1</v>
      </c>
      <c r="F107" s="54">
        <f>_xlfn.XLOOKUP(C107,Planilha3!A:A,Planilha3!E:E)</f>
        <v>45430</v>
      </c>
      <c r="G107" s="54">
        <f>_xlfn.XLOOKUP(C107,Planilha3!A:A,Planilha3!F:F)</f>
        <v>45446</v>
      </c>
      <c r="H107" s="54">
        <f>_xlfn.XLOOKUP(C107,Planilha3!A:A,Planilha3!G:G)</f>
        <v>45922</v>
      </c>
      <c r="I107" s="23">
        <f>_xlfn.XLOOKUP(K107,Grupo!F:F,Grupo!G:G)</f>
        <v>46440.22</v>
      </c>
      <c r="J107" s="6">
        <f>_xlfn.XLOOKUP(D107,Grupo!B:B,Grupo!C:C)</f>
        <v>10</v>
      </c>
      <c r="K107" s="24">
        <f>_xlfn.XLOOKUP(A107,[1]COORDENADAS_GEOGRÁFICAS!$D:$D,[1]COORDENADAS_GEOGRÁFICAS!$F:$F)</f>
        <v>80</v>
      </c>
      <c r="L107" s="53"/>
      <c r="M107" s="53"/>
      <c r="N107" s="52">
        <f>_xlfn.XLOOKUP(D107,Grupo!B:B,Grupo!D:D)</f>
        <v>-12.620481488718251</v>
      </c>
      <c r="O107" s="52">
        <f>_xlfn.XLOOKUP(D107,Grupo!B:B,Grupo!E:E)</f>
        <v>-47.884083728442604</v>
      </c>
      <c r="P107" s="52">
        <f>_xlfn.XLOOKUP(A107,[1]COORDENADAS_GEOGRÁFICAS!$D:$D,[1]COORDENADAS_GEOGRÁFICAS!$G:$G)</f>
        <v>-13.120227</v>
      </c>
      <c r="Q107" s="52">
        <f>_xlfn.XLOOKUP(A107,[1]COORDENADAS_GEOGRÁFICAS!$D:$D,[1]COORDENADAS_GEOGRÁFICAS!$H:$H)</f>
        <v>-47.649735</v>
      </c>
      <c r="R107" s="20">
        <f t="shared" si="1"/>
        <v>61.100540462209011</v>
      </c>
    </row>
    <row r="108" spans="1:18" x14ac:dyDescent="0.3">
      <c r="A108" s="24">
        <v>3464241</v>
      </c>
      <c r="B108" s="24" t="s">
        <v>765</v>
      </c>
      <c r="C108" s="24">
        <v>402301222</v>
      </c>
      <c r="D108" s="24" t="str">
        <f>_xlfn.XLOOKUP(C108,Planilha3!A:A,Planilha3!C:C)</f>
        <v>PARANÃ</v>
      </c>
      <c r="E108" s="24">
        <v>1</v>
      </c>
      <c r="F108" s="54">
        <f>_xlfn.XLOOKUP(C108,Planilha3!A:A,Planilha3!E:E)</f>
        <v>45445</v>
      </c>
      <c r="G108" s="54">
        <f>_xlfn.XLOOKUP(C108,Planilha3!A:A,Planilha3!F:F)</f>
        <v>45456</v>
      </c>
      <c r="H108" s="54">
        <f>_xlfn.XLOOKUP(C108,Planilha3!A:A,Planilha3!G:G)</f>
        <v>45922</v>
      </c>
      <c r="I108" s="23">
        <f>_xlfn.XLOOKUP(K108,Grupo!F:F,Grupo!G:G)</f>
        <v>46440.22</v>
      </c>
      <c r="J108" s="6">
        <f>_xlfn.XLOOKUP(D108,Grupo!B:B,Grupo!C:C)</f>
        <v>10</v>
      </c>
      <c r="K108" s="24">
        <f>_xlfn.XLOOKUP(A108,[1]COORDENADAS_GEOGRÁFICAS!$D:$D,[1]COORDENADAS_GEOGRÁFICAS!$F:$F)</f>
        <v>80</v>
      </c>
      <c r="L108" s="53"/>
      <c r="M108" s="53"/>
      <c r="N108" s="52">
        <f>_xlfn.XLOOKUP(D108,Grupo!B:B,Grupo!D:D)</f>
        <v>-12.620481488718251</v>
      </c>
      <c r="O108" s="52">
        <f>_xlfn.XLOOKUP(D108,Grupo!B:B,Grupo!E:E)</f>
        <v>-47.884083728442604</v>
      </c>
      <c r="P108" s="52">
        <f>_xlfn.XLOOKUP(A108,[1]COORDENADAS_GEOGRÁFICAS!$D:$D,[1]COORDENADAS_GEOGRÁFICAS!$G:$G)</f>
        <v>-13.193633</v>
      </c>
      <c r="Q108" s="52">
        <f>_xlfn.XLOOKUP(A108,[1]COORDENADAS_GEOGRÁFICAS!$D:$D,[1]COORDENADAS_GEOGRÁFICAS!$H:$H)</f>
        <v>-47.765037</v>
      </c>
      <c r="R108" s="20">
        <f t="shared" si="1"/>
        <v>65.024558986505539</v>
      </c>
    </row>
    <row r="109" spans="1:18" x14ac:dyDescent="0.3">
      <c r="A109" s="24">
        <v>3459757</v>
      </c>
      <c r="B109" s="24" t="s">
        <v>765</v>
      </c>
      <c r="C109" s="24">
        <v>402301223</v>
      </c>
      <c r="D109" s="24" t="str">
        <f>_xlfn.XLOOKUP(C109,Planilha3!A:A,Planilha3!C:C)</f>
        <v>PARANÃ</v>
      </c>
      <c r="E109" s="24">
        <v>1</v>
      </c>
      <c r="F109" s="54">
        <f>_xlfn.XLOOKUP(C109,Planilha3!A:A,Planilha3!E:E)</f>
        <v>45448</v>
      </c>
      <c r="G109" s="54">
        <f>_xlfn.XLOOKUP(C109,Planilha3!A:A,Planilha3!F:F)</f>
        <v>45460</v>
      </c>
      <c r="H109" s="54">
        <f>_xlfn.XLOOKUP(C109,Planilha3!A:A,Planilha3!G:G)</f>
        <v>45922</v>
      </c>
      <c r="I109" s="23">
        <f>_xlfn.XLOOKUP(K109,Grupo!F:F,Grupo!G:G)</f>
        <v>46440.22</v>
      </c>
      <c r="J109" s="6">
        <f>_xlfn.XLOOKUP(D109,Grupo!B:B,Grupo!C:C)</f>
        <v>10</v>
      </c>
      <c r="K109" s="24">
        <f>_xlfn.XLOOKUP(A109,[1]COORDENADAS_GEOGRÁFICAS!$D:$D,[1]COORDENADAS_GEOGRÁFICAS!$F:$F)</f>
        <v>80</v>
      </c>
      <c r="L109" s="53"/>
      <c r="M109" s="53"/>
      <c r="N109" s="52">
        <f>_xlfn.XLOOKUP(D109,Grupo!B:B,Grupo!D:D)</f>
        <v>-12.620481488718251</v>
      </c>
      <c r="O109" s="52">
        <f>_xlfn.XLOOKUP(D109,Grupo!B:B,Grupo!E:E)</f>
        <v>-47.884083728442604</v>
      </c>
      <c r="P109" s="52">
        <f>_xlfn.XLOOKUP(A109,[1]COORDENADAS_GEOGRÁFICAS!$D:$D,[1]COORDENADAS_GEOGRÁFICAS!$G:$G)</f>
        <v>-13.134473</v>
      </c>
      <c r="Q109" s="52">
        <f>_xlfn.XLOOKUP(A109,[1]COORDENADAS_GEOGRÁFICAS!$D:$D,[1]COORDENADAS_GEOGRÁFICAS!$H:$H)</f>
        <v>-47.648712000000003</v>
      </c>
      <c r="R109" s="20">
        <f t="shared" si="1"/>
        <v>62.58951149313129</v>
      </c>
    </row>
    <row r="110" spans="1:18" x14ac:dyDescent="0.3">
      <c r="A110" s="24">
        <v>3459758</v>
      </c>
      <c r="B110" s="24" t="s">
        <v>765</v>
      </c>
      <c r="C110" s="24">
        <v>402301224</v>
      </c>
      <c r="D110" s="24" t="str">
        <f>_xlfn.XLOOKUP(C110,Planilha3!A:A,Planilha3!C:C)</f>
        <v>PARANÃ</v>
      </c>
      <c r="E110" s="24">
        <v>1</v>
      </c>
      <c r="F110" s="54">
        <f>_xlfn.XLOOKUP(C110,Planilha3!A:A,Planilha3!E:E)</f>
        <v>45447</v>
      </c>
      <c r="G110" s="54">
        <f>_xlfn.XLOOKUP(C110,Planilha3!A:A,Planilha3!F:F)</f>
        <v>45460</v>
      </c>
      <c r="H110" s="54">
        <f>_xlfn.XLOOKUP(C110,Planilha3!A:A,Planilha3!G:G)</f>
        <v>45922</v>
      </c>
      <c r="I110" s="23">
        <f>_xlfn.XLOOKUP(K110,Grupo!F:F,Grupo!G:G)</f>
        <v>46440.22</v>
      </c>
      <c r="J110" s="6">
        <f>_xlfn.XLOOKUP(D110,Grupo!B:B,Grupo!C:C)</f>
        <v>10</v>
      </c>
      <c r="K110" s="24">
        <f>_xlfn.XLOOKUP(A110,[1]COORDENADAS_GEOGRÁFICAS!$D:$D,[1]COORDENADAS_GEOGRÁFICAS!$F:$F)</f>
        <v>80</v>
      </c>
      <c r="L110" s="53"/>
      <c r="M110" s="53"/>
      <c r="N110" s="52">
        <f>_xlfn.XLOOKUP(D110,Grupo!B:B,Grupo!D:D)</f>
        <v>-12.620481488718251</v>
      </c>
      <c r="O110" s="52">
        <f>_xlfn.XLOOKUP(D110,Grupo!B:B,Grupo!E:E)</f>
        <v>-47.884083728442604</v>
      </c>
      <c r="P110" s="52">
        <f>_xlfn.XLOOKUP(A110,[1]COORDENADAS_GEOGRÁFICAS!$D:$D,[1]COORDENADAS_GEOGRÁFICAS!$G:$G)</f>
        <v>-13.130457</v>
      </c>
      <c r="Q110" s="52">
        <f>_xlfn.XLOOKUP(A110,[1]COORDENADAS_GEOGRÁFICAS!$D:$D,[1]COORDENADAS_GEOGRÁFICAS!$H:$H)</f>
        <v>-47.714562000000001</v>
      </c>
      <c r="R110" s="20">
        <f t="shared" si="1"/>
        <v>59.609761287574919</v>
      </c>
    </row>
    <row r="111" spans="1:18" x14ac:dyDescent="0.3">
      <c r="A111" s="24">
        <v>3463151</v>
      </c>
      <c r="B111" s="24" t="s">
        <v>765</v>
      </c>
      <c r="C111" s="24">
        <v>402301198</v>
      </c>
      <c r="D111" s="24" t="str">
        <f>_xlfn.XLOOKUP(C111,Planilha3!A:A,Planilha3!C:C)</f>
        <v>PARANÃ</v>
      </c>
      <c r="E111" s="24">
        <v>1</v>
      </c>
      <c r="F111" s="54">
        <f>_xlfn.XLOOKUP(C111,Planilha3!A:A,Planilha3!E:E)</f>
        <v>45435</v>
      </c>
      <c r="G111" s="54">
        <f>_xlfn.XLOOKUP(C111,Planilha3!A:A,Planilha3!F:F)</f>
        <v>45450</v>
      </c>
      <c r="H111" s="54">
        <f>_xlfn.XLOOKUP(C111,Planilha3!A:A,Planilha3!G:G)</f>
        <v>45922</v>
      </c>
      <c r="I111" s="23">
        <f>_xlfn.XLOOKUP(K111,Grupo!F:F,Grupo!G:G)</f>
        <v>46440.22</v>
      </c>
      <c r="J111" s="6">
        <f>_xlfn.XLOOKUP(D111,Grupo!B:B,Grupo!C:C)</f>
        <v>10</v>
      </c>
      <c r="K111" s="24">
        <f>_xlfn.XLOOKUP(A111,[1]COORDENADAS_GEOGRÁFICAS!$D:$D,[1]COORDENADAS_GEOGRÁFICAS!$F:$F)</f>
        <v>80</v>
      </c>
      <c r="L111" s="53"/>
      <c r="M111" s="53"/>
      <c r="N111" s="52">
        <f>_xlfn.XLOOKUP(D111,Grupo!B:B,Grupo!D:D)</f>
        <v>-12.620481488718251</v>
      </c>
      <c r="O111" s="52">
        <f>_xlfn.XLOOKUP(D111,Grupo!B:B,Grupo!E:E)</f>
        <v>-47.884083728442604</v>
      </c>
      <c r="P111" s="52">
        <f>_xlfn.XLOOKUP(A111,[1]COORDENADAS_GEOGRÁFICAS!$D:$D,[1]COORDENADAS_GEOGRÁFICAS!$G:$G)</f>
        <v>-13.093818000000001</v>
      </c>
      <c r="Q111" s="52">
        <f>_xlfn.XLOOKUP(A111,[1]COORDENADAS_GEOGRÁFICAS!$D:$D,[1]COORDENADAS_GEOGRÁFICAS!$H:$H)</f>
        <v>-47.649832000000004</v>
      </c>
      <c r="R111" s="20">
        <f t="shared" si="1"/>
        <v>58.438606086919847</v>
      </c>
    </row>
    <row r="112" spans="1:18" x14ac:dyDescent="0.3">
      <c r="A112" s="24">
        <v>3466922</v>
      </c>
      <c r="B112" s="24" t="s">
        <v>765</v>
      </c>
      <c r="C112" s="24">
        <v>402301241</v>
      </c>
      <c r="D112" s="24" t="str">
        <f>_xlfn.XLOOKUP(C112,Planilha3!A:A,Planilha3!C:C)</f>
        <v>PARANÃ</v>
      </c>
      <c r="E112" s="24">
        <v>1</v>
      </c>
      <c r="F112" s="54">
        <f>_xlfn.XLOOKUP(C112,Planilha3!A:A,Planilha3!E:E)</f>
        <v>45454</v>
      </c>
      <c r="G112" s="54">
        <f>_xlfn.XLOOKUP(C112,Planilha3!A:A,Planilha3!F:F)</f>
        <v>45465</v>
      </c>
      <c r="H112" s="54">
        <f>_xlfn.XLOOKUP(C112,Planilha3!A:A,Planilha3!G:G)</f>
        <v>45922</v>
      </c>
      <c r="I112" s="23">
        <f>_xlfn.XLOOKUP(K112,Grupo!F:F,Grupo!G:G)</f>
        <v>46440.22</v>
      </c>
      <c r="J112" s="6">
        <f>_xlfn.XLOOKUP(D112,Grupo!B:B,Grupo!C:C)</f>
        <v>10</v>
      </c>
      <c r="K112" s="24">
        <f>_xlfn.XLOOKUP(A112,[1]COORDENADAS_GEOGRÁFICAS!$D:$D,[1]COORDENADAS_GEOGRÁFICAS!$F:$F)</f>
        <v>80</v>
      </c>
      <c r="L112" s="53"/>
      <c r="M112" s="53"/>
      <c r="N112" s="52">
        <f>_xlfn.XLOOKUP(D112,Grupo!B:B,Grupo!D:D)</f>
        <v>-12.620481488718251</v>
      </c>
      <c r="O112" s="52">
        <f>_xlfn.XLOOKUP(D112,Grupo!B:B,Grupo!E:E)</f>
        <v>-47.884083728442604</v>
      </c>
      <c r="P112" s="52">
        <f>_xlfn.XLOOKUP(A112,[1]COORDENADAS_GEOGRÁFICAS!$D:$D,[1]COORDENADAS_GEOGRÁFICAS!$G:$G)</f>
        <v>-13.252043</v>
      </c>
      <c r="Q112" s="52">
        <f>_xlfn.XLOOKUP(A112,[1]COORDENADAS_GEOGRÁFICAS!$D:$D,[1]COORDENADAS_GEOGRÁFICAS!$H:$H)</f>
        <v>-47.680987999999999</v>
      </c>
      <c r="R112" s="20">
        <f t="shared" si="1"/>
        <v>73.594760131239411</v>
      </c>
    </row>
    <row r="113" spans="1:18" x14ac:dyDescent="0.3">
      <c r="A113" s="24">
        <v>3466798</v>
      </c>
      <c r="B113" s="24" t="s">
        <v>765</v>
      </c>
      <c r="C113" s="24">
        <v>402301255</v>
      </c>
      <c r="D113" s="24" t="str">
        <f>_xlfn.XLOOKUP(C113,Planilha3!A:A,Planilha3!C:C)</f>
        <v>PARANÃ</v>
      </c>
      <c r="E113" s="24">
        <v>1</v>
      </c>
      <c r="F113" s="54">
        <f>_xlfn.XLOOKUP(C113,Planilha3!A:A,Planilha3!E:E)</f>
        <v>45452</v>
      </c>
      <c r="G113" s="54">
        <f>_xlfn.XLOOKUP(C113,Planilha3!A:A,Planilha3!F:F)</f>
        <v>45464</v>
      </c>
      <c r="H113" s="54">
        <f>_xlfn.XLOOKUP(C113,Planilha3!A:A,Planilha3!G:G)</f>
        <v>45922</v>
      </c>
      <c r="I113" s="23">
        <f>_xlfn.XLOOKUP(K113,Grupo!F:F,Grupo!G:G)</f>
        <v>46440.22</v>
      </c>
      <c r="J113" s="6">
        <f>_xlfn.XLOOKUP(D113,Grupo!B:B,Grupo!C:C)</f>
        <v>10</v>
      </c>
      <c r="K113" s="24">
        <f>_xlfn.XLOOKUP(A113,[1]COORDENADAS_GEOGRÁFICAS!$D:$D,[1]COORDENADAS_GEOGRÁFICAS!$F:$F)</f>
        <v>80</v>
      </c>
      <c r="L113" s="53"/>
      <c r="M113" s="53"/>
      <c r="N113" s="52">
        <f>_xlfn.XLOOKUP(D113,Grupo!B:B,Grupo!D:D)</f>
        <v>-12.620481488718251</v>
      </c>
      <c r="O113" s="52">
        <f>_xlfn.XLOOKUP(D113,Grupo!B:B,Grupo!E:E)</f>
        <v>-47.884083728442604</v>
      </c>
      <c r="P113" s="52">
        <f>_xlfn.XLOOKUP(A113,[1]COORDENADAS_GEOGRÁFICAS!$D:$D,[1]COORDENADAS_GEOGRÁFICAS!$G:$G)</f>
        <v>-13.134798</v>
      </c>
      <c r="Q113" s="52">
        <f>_xlfn.XLOOKUP(A113,[1]COORDENADAS_GEOGRÁFICAS!$D:$D,[1]COORDENADAS_GEOGRÁFICAS!$H:$H)</f>
        <v>-47.715648999999999</v>
      </c>
      <c r="R113" s="20">
        <f t="shared" si="1"/>
        <v>60.033145606014571</v>
      </c>
    </row>
    <row r="114" spans="1:18" x14ac:dyDescent="0.3">
      <c r="A114" s="24">
        <v>3463228</v>
      </c>
      <c r="B114" s="24" t="s">
        <v>765</v>
      </c>
      <c r="C114" s="24">
        <v>402301251</v>
      </c>
      <c r="D114" s="24" t="str">
        <f>_xlfn.XLOOKUP(C114,Planilha3!A:A,Planilha3!C:C)</f>
        <v>PARANÃ</v>
      </c>
      <c r="E114" s="24">
        <v>1</v>
      </c>
      <c r="F114" s="54">
        <f>_xlfn.XLOOKUP(C114,Planilha3!A:A,Planilha3!E:E)</f>
        <v>45450</v>
      </c>
      <c r="G114" s="54">
        <f>_xlfn.XLOOKUP(C114,Planilha3!A:A,Planilha3!F:F)</f>
        <v>45463</v>
      </c>
      <c r="H114" s="54">
        <f>_xlfn.XLOOKUP(C114,Planilha3!A:A,Planilha3!G:G)</f>
        <v>45922</v>
      </c>
      <c r="I114" s="23">
        <f>_xlfn.XLOOKUP(K114,Grupo!F:F,Grupo!G:G)</f>
        <v>46440.22</v>
      </c>
      <c r="J114" s="6">
        <f>_xlfn.XLOOKUP(D114,Grupo!B:B,Grupo!C:C)</f>
        <v>10</v>
      </c>
      <c r="K114" s="24">
        <f>_xlfn.XLOOKUP(A114,[1]COORDENADAS_GEOGRÁFICAS!$D:$D,[1]COORDENADAS_GEOGRÁFICAS!$F:$F)</f>
        <v>80</v>
      </c>
      <c r="L114" s="53"/>
      <c r="M114" s="53"/>
      <c r="N114" s="52">
        <f>_xlfn.XLOOKUP(D114,Grupo!B:B,Grupo!D:D)</f>
        <v>-12.620481488718251</v>
      </c>
      <c r="O114" s="52">
        <f>_xlfn.XLOOKUP(D114,Grupo!B:B,Grupo!E:E)</f>
        <v>-47.884083728442604</v>
      </c>
      <c r="P114" s="52">
        <f>_xlfn.XLOOKUP(A114,[1]COORDENADAS_GEOGRÁFICAS!$D:$D,[1]COORDENADAS_GEOGRÁFICAS!$G:$G)</f>
        <v>-12.697615000000001</v>
      </c>
      <c r="Q114" s="52">
        <f>_xlfn.XLOOKUP(A114,[1]COORDENADAS_GEOGRÁFICAS!$D:$D,[1]COORDENADAS_GEOGRÁFICAS!$H:$H)</f>
        <v>-47.420172000000001</v>
      </c>
      <c r="R114" s="20">
        <f t="shared" si="1"/>
        <v>51.056232542123361</v>
      </c>
    </row>
    <row r="115" spans="1:18" x14ac:dyDescent="0.3">
      <c r="A115" s="24">
        <v>3466800</v>
      </c>
      <c r="B115" s="24" t="s">
        <v>765</v>
      </c>
      <c r="C115" s="24">
        <v>402301256</v>
      </c>
      <c r="D115" s="24" t="str">
        <f>_xlfn.XLOOKUP(C115,Planilha3!A:A,Planilha3!C:C)</f>
        <v>PARANÃ</v>
      </c>
      <c r="E115" s="24">
        <v>1</v>
      </c>
      <c r="F115" s="54">
        <f>_xlfn.XLOOKUP(C115,Planilha3!A:A,Planilha3!E:E)</f>
        <v>45449</v>
      </c>
      <c r="G115" s="54">
        <f>_xlfn.XLOOKUP(C115,Planilha3!A:A,Planilha3!F:F)</f>
        <v>45464</v>
      </c>
      <c r="H115" s="54">
        <f>_xlfn.XLOOKUP(C115,Planilha3!A:A,Planilha3!G:G)</f>
        <v>45922</v>
      </c>
      <c r="I115" s="23">
        <f>_xlfn.XLOOKUP(K115,Grupo!F:F,Grupo!G:G)</f>
        <v>46440.22</v>
      </c>
      <c r="J115" s="6">
        <f>_xlfn.XLOOKUP(D115,Grupo!B:B,Grupo!C:C)</f>
        <v>10</v>
      </c>
      <c r="K115" s="24">
        <f>_xlfn.XLOOKUP(A115,[1]COORDENADAS_GEOGRÁFICAS!$D:$D,[1]COORDENADAS_GEOGRÁFICAS!$F:$F)</f>
        <v>80</v>
      </c>
      <c r="L115" s="53"/>
      <c r="M115" s="53"/>
      <c r="N115" s="52">
        <f>_xlfn.XLOOKUP(D115,Grupo!B:B,Grupo!D:D)</f>
        <v>-12.620481488718251</v>
      </c>
      <c r="O115" s="52">
        <f>_xlfn.XLOOKUP(D115,Grupo!B:B,Grupo!E:E)</f>
        <v>-47.884083728442604</v>
      </c>
      <c r="P115" s="52">
        <f>_xlfn.XLOOKUP(A115,[1]COORDENADAS_GEOGRÁFICAS!$D:$D,[1]COORDENADAS_GEOGRÁFICAS!$G:$G)</f>
        <v>-13.122972000000001</v>
      </c>
      <c r="Q115" s="52">
        <f>_xlfn.XLOOKUP(A115,[1]COORDENADAS_GEOGRÁFICAS!$D:$D,[1]COORDENADAS_GEOGRÁFICAS!$H:$H)</f>
        <v>-47.714762</v>
      </c>
      <c r="R115" s="20">
        <f t="shared" si="1"/>
        <v>58.811877275194604</v>
      </c>
    </row>
    <row r="116" spans="1:18" x14ac:dyDescent="0.3">
      <c r="A116" s="24">
        <v>3466911</v>
      </c>
      <c r="B116" s="24" t="s">
        <v>765</v>
      </c>
      <c r="C116" s="24">
        <v>402301265</v>
      </c>
      <c r="D116" s="24" t="str">
        <f>_xlfn.XLOOKUP(C116,Planilha3!A:A,Planilha3!C:C)</f>
        <v>PARANÃ</v>
      </c>
      <c r="E116" s="24">
        <v>1</v>
      </c>
      <c r="F116" s="54">
        <f>_xlfn.XLOOKUP(C116,Planilha3!A:A,Planilha3!E:E)</f>
        <v>45448</v>
      </c>
      <c r="G116" s="54">
        <f>_xlfn.XLOOKUP(C116,Planilha3!A:A,Planilha3!F:F)</f>
        <v>45464</v>
      </c>
      <c r="H116" s="54">
        <f>_xlfn.XLOOKUP(C116,Planilha3!A:A,Planilha3!G:G)</f>
        <v>45922</v>
      </c>
      <c r="I116" s="23">
        <f>_xlfn.XLOOKUP(K116,Grupo!F:F,Grupo!G:G)</f>
        <v>46440.22</v>
      </c>
      <c r="J116" s="6">
        <f>_xlfn.XLOOKUP(D116,Grupo!B:B,Grupo!C:C)</f>
        <v>10</v>
      </c>
      <c r="K116" s="24">
        <f>_xlfn.XLOOKUP(A116,[1]COORDENADAS_GEOGRÁFICAS!$D:$D,[1]COORDENADAS_GEOGRÁFICAS!$F:$F)</f>
        <v>80</v>
      </c>
      <c r="L116" s="53"/>
      <c r="M116" s="53"/>
      <c r="N116" s="52">
        <f>_xlfn.XLOOKUP(D116,Grupo!B:B,Grupo!D:D)</f>
        <v>-12.620481488718251</v>
      </c>
      <c r="O116" s="52">
        <f>_xlfn.XLOOKUP(D116,Grupo!B:B,Grupo!E:E)</f>
        <v>-47.884083728442604</v>
      </c>
      <c r="P116" s="52">
        <f>_xlfn.XLOOKUP(A116,[1]COORDENADAS_GEOGRÁFICAS!$D:$D,[1]COORDENADAS_GEOGRÁFICAS!$G:$G)</f>
        <v>-13.250382</v>
      </c>
      <c r="Q116" s="52">
        <f>_xlfn.XLOOKUP(A116,[1]COORDENADAS_GEOGRÁFICAS!$D:$D,[1]COORDENADAS_GEOGRÁFICAS!$H:$H)</f>
        <v>-47.681317</v>
      </c>
      <c r="R116" s="20">
        <f t="shared" si="1"/>
        <v>73.40788059883387</v>
      </c>
    </row>
    <row r="117" spans="1:18" x14ac:dyDescent="0.3">
      <c r="A117" s="24">
        <v>3466828</v>
      </c>
      <c r="B117" s="24" t="s">
        <v>765</v>
      </c>
      <c r="C117" s="24">
        <v>402301261</v>
      </c>
      <c r="D117" s="24" t="str">
        <f>_xlfn.XLOOKUP(C117,Planilha3!A:A,Planilha3!C:C)</f>
        <v>PARANÃ</v>
      </c>
      <c r="E117" s="24">
        <v>1</v>
      </c>
      <c r="F117" s="54">
        <f>_xlfn.XLOOKUP(C117,Planilha3!A:A,Planilha3!E:E)</f>
        <v>45453</v>
      </c>
      <c r="G117" s="54">
        <f>_xlfn.XLOOKUP(C117,Planilha3!A:A,Planilha3!F:F)</f>
        <v>45464</v>
      </c>
      <c r="H117" s="54">
        <f>_xlfn.XLOOKUP(C117,Planilha3!A:A,Planilha3!G:G)</f>
        <v>45922</v>
      </c>
      <c r="I117" s="23">
        <f>_xlfn.XLOOKUP(K117,Grupo!F:F,Grupo!G:G)</f>
        <v>46440.22</v>
      </c>
      <c r="J117" s="6">
        <f>_xlfn.XLOOKUP(D117,Grupo!B:B,Grupo!C:C)</f>
        <v>10</v>
      </c>
      <c r="K117" s="24">
        <f>_xlfn.XLOOKUP(A117,[1]COORDENADAS_GEOGRÁFICAS!$D:$D,[1]COORDENADAS_GEOGRÁFICAS!$F:$F)</f>
        <v>80</v>
      </c>
      <c r="L117" s="53"/>
      <c r="M117" s="53"/>
      <c r="N117" s="52">
        <f>_xlfn.XLOOKUP(D117,Grupo!B:B,Grupo!D:D)</f>
        <v>-12.620481488718251</v>
      </c>
      <c r="O117" s="52">
        <f>_xlfn.XLOOKUP(D117,Grupo!B:B,Grupo!E:E)</f>
        <v>-47.884083728442604</v>
      </c>
      <c r="P117" s="52">
        <f>_xlfn.XLOOKUP(A117,[1]COORDENADAS_GEOGRÁFICAS!$D:$D,[1]COORDENADAS_GEOGRÁFICAS!$G:$G)</f>
        <v>-13.148413</v>
      </c>
      <c r="Q117" s="52">
        <f>_xlfn.XLOOKUP(A117,[1]COORDENADAS_GEOGRÁFICAS!$D:$D,[1]COORDENADAS_GEOGRÁFICAS!$H:$H)</f>
        <v>-47.651178000000002</v>
      </c>
      <c r="R117" s="20">
        <f t="shared" si="1"/>
        <v>63.901696649006489</v>
      </c>
    </row>
    <row r="118" spans="1:18" x14ac:dyDescent="0.3">
      <c r="A118" s="24">
        <v>3463158</v>
      </c>
      <c r="B118" s="24" t="s">
        <v>765</v>
      </c>
      <c r="C118" s="24">
        <v>402301267</v>
      </c>
      <c r="D118" s="24" t="str">
        <f>_xlfn.XLOOKUP(C118,Planilha3!A:A,Planilha3!C:C)</f>
        <v>PARANÃ</v>
      </c>
      <c r="E118" s="24">
        <v>1</v>
      </c>
      <c r="F118" s="54">
        <f>_xlfn.XLOOKUP(C118,Planilha3!A:A,Planilha3!E:E)</f>
        <v>45453</v>
      </c>
      <c r="G118" s="54">
        <f>_xlfn.XLOOKUP(C118,Planilha3!A:A,Planilha3!F:F)</f>
        <v>45465</v>
      </c>
      <c r="H118" s="54">
        <f>_xlfn.XLOOKUP(C118,Planilha3!A:A,Planilha3!G:G)</f>
        <v>45922</v>
      </c>
      <c r="I118" s="23">
        <f>_xlfn.XLOOKUP(K118,Grupo!F:F,Grupo!G:G)</f>
        <v>46440.22</v>
      </c>
      <c r="J118" s="6">
        <f>_xlfn.XLOOKUP(D118,Grupo!B:B,Grupo!C:C)</f>
        <v>10</v>
      </c>
      <c r="K118" s="24">
        <f>_xlfn.XLOOKUP(A118,[1]COORDENADAS_GEOGRÁFICAS!$D:$D,[1]COORDENADAS_GEOGRÁFICAS!$F:$F)</f>
        <v>80</v>
      </c>
      <c r="L118" s="53"/>
      <c r="M118" s="53"/>
      <c r="N118" s="52">
        <v>-12.620481488718251</v>
      </c>
      <c r="O118" s="52">
        <v>-47.884083728442604</v>
      </c>
      <c r="P118" s="52">
        <v>-13.233722999999999</v>
      </c>
      <c r="Q118" s="52">
        <v>-47.669089999999997</v>
      </c>
      <c r="R118" s="20">
        <f t="shared" si="1"/>
        <v>72.060291787897015</v>
      </c>
    </row>
    <row r="119" spans="1:18" x14ac:dyDescent="0.3">
      <c r="A119" s="24">
        <v>3466920</v>
      </c>
      <c r="B119" s="24" t="s">
        <v>765</v>
      </c>
      <c r="C119" s="24">
        <v>402301269</v>
      </c>
      <c r="D119" s="24" t="str">
        <f>_xlfn.XLOOKUP(C119,Planilha3!A:A,Planilha3!C:C)</f>
        <v>PARANÃ</v>
      </c>
      <c r="E119" s="24">
        <v>1</v>
      </c>
      <c r="F119" s="54">
        <f>_xlfn.XLOOKUP(C119,Planilha3!A:A,Planilha3!E:E)</f>
        <v>45452</v>
      </c>
      <c r="G119" s="54">
        <f>_xlfn.XLOOKUP(C119,Planilha3!A:A,Planilha3!F:F)</f>
        <v>45465</v>
      </c>
      <c r="H119" s="54">
        <f>_xlfn.XLOOKUP(C119,Planilha3!A:A,Planilha3!G:G)</f>
        <v>45922</v>
      </c>
      <c r="I119" s="23">
        <f>_xlfn.XLOOKUP(K119,Grupo!F:F,Grupo!G:G)</f>
        <v>46440.22</v>
      </c>
      <c r="J119" s="6">
        <f>_xlfn.XLOOKUP(D119,Grupo!B:B,Grupo!C:C)</f>
        <v>10</v>
      </c>
      <c r="K119" s="24">
        <f>_xlfn.XLOOKUP(A119,[1]COORDENADAS_GEOGRÁFICAS!$D:$D,[1]COORDENADAS_GEOGRÁFICAS!$F:$F)</f>
        <v>80</v>
      </c>
      <c r="L119" s="53"/>
      <c r="M119" s="53"/>
      <c r="N119" s="52">
        <f>_xlfn.XLOOKUP(D119,Grupo!B:B,Grupo!D:D)</f>
        <v>-12.620481488718251</v>
      </c>
      <c r="O119" s="52">
        <f>_xlfn.XLOOKUP(D119,Grupo!B:B,Grupo!E:E)</f>
        <v>-47.884083728442604</v>
      </c>
      <c r="P119" s="52">
        <f>_xlfn.XLOOKUP(A119,[1]COORDENADAS_GEOGRÁFICAS!$D:$D,[1]COORDENADAS_GEOGRÁFICAS!$G:$G)</f>
        <v>-13.216032999999999</v>
      </c>
      <c r="Q119" s="52">
        <f>_xlfn.XLOOKUP(A119,[1]COORDENADAS_GEOGRÁFICAS!$D:$D,[1]COORDENADAS_GEOGRÁFICAS!$H:$H)</f>
        <v>-47.670985000000002</v>
      </c>
      <c r="R119" s="20">
        <f t="shared" si="1"/>
        <v>70.134175999897138</v>
      </c>
    </row>
    <row r="120" spans="1:18" x14ac:dyDescent="0.3">
      <c r="A120" s="24">
        <v>3463198</v>
      </c>
      <c r="B120" s="24" t="s">
        <v>765</v>
      </c>
      <c r="C120" s="24">
        <v>402301271</v>
      </c>
      <c r="D120" s="24" t="str">
        <f>_xlfn.XLOOKUP(C120,Planilha3!A:A,Planilha3!C:C)</f>
        <v>PARANÃ</v>
      </c>
      <c r="E120" s="24">
        <v>1</v>
      </c>
      <c r="F120" s="54">
        <f>_xlfn.XLOOKUP(C120,Planilha3!A:A,Planilha3!E:E)</f>
        <v>45450</v>
      </c>
      <c r="G120" s="54">
        <f>_xlfn.XLOOKUP(C120,Planilha3!A:A,Planilha3!F:F)</f>
        <v>45465</v>
      </c>
      <c r="H120" s="54">
        <f>_xlfn.XLOOKUP(C120,Planilha3!A:A,Planilha3!G:G)</f>
        <v>45922</v>
      </c>
      <c r="I120" s="23">
        <f>_xlfn.XLOOKUP(K120,Grupo!F:F,Grupo!G:G)</f>
        <v>46440.22</v>
      </c>
      <c r="J120" s="6">
        <f>_xlfn.XLOOKUP(D120,Grupo!B:B,Grupo!C:C)</f>
        <v>10</v>
      </c>
      <c r="K120" s="24">
        <f>_xlfn.XLOOKUP(A120,[1]COORDENADAS_GEOGRÁFICAS!$D:$D,[1]COORDENADAS_GEOGRÁFICAS!$F:$F)</f>
        <v>80</v>
      </c>
      <c r="L120" s="53"/>
      <c r="M120" s="53"/>
      <c r="N120" s="52">
        <f>_xlfn.XLOOKUP(D120,Grupo!B:B,Grupo!D:D)</f>
        <v>-12.620481488718251</v>
      </c>
      <c r="O120" s="52">
        <f>_xlfn.XLOOKUP(D120,Grupo!B:B,Grupo!E:E)</f>
        <v>-47.884083728442604</v>
      </c>
      <c r="P120" s="52">
        <f>_xlfn.XLOOKUP(A120,[1]COORDENADAS_GEOGRÁFICAS!$D:$D,[1]COORDENADAS_GEOGRÁFICAS!$G:$G)</f>
        <v>-13.293277</v>
      </c>
      <c r="Q120" s="52">
        <f>_xlfn.XLOOKUP(A120,[1]COORDENADAS_GEOGRÁFICAS!$D:$D,[1]COORDENADAS_GEOGRÁFICAS!$H:$H)</f>
        <v>-47.729391999999997</v>
      </c>
      <c r="R120" s="20">
        <f t="shared" si="1"/>
        <v>76.66646306435365</v>
      </c>
    </row>
    <row r="121" spans="1:18" x14ac:dyDescent="0.3">
      <c r="A121" s="24">
        <v>3467106</v>
      </c>
      <c r="B121" s="24" t="s">
        <v>765</v>
      </c>
      <c r="C121" s="24">
        <v>402301270</v>
      </c>
      <c r="D121" s="24" t="str">
        <f>_xlfn.XLOOKUP(C121,Planilha3!A:A,Planilha3!C:C)</f>
        <v>PARANÃ</v>
      </c>
      <c r="E121" s="24">
        <v>1</v>
      </c>
      <c r="F121" s="54">
        <f>_xlfn.XLOOKUP(C121,Planilha3!A:A,Planilha3!E:E)</f>
        <v>45454</v>
      </c>
      <c r="G121" s="54">
        <f>_xlfn.XLOOKUP(C121,Planilha3!A:A,Planilha3!F:F)</f>
        <v>45465</v>
      </c>
      <c r="H121" s="54">
        <f>_xlfn.XLOOKUP(C121,Planilha3!A:A,Planilha3!G:G)</f>
        <v>45922</v>
      </c>
      <c r="I121" s="23">
        <f>_xlfn.XLOOKUP(K121,Grupo!F:F,Grupo!G:G)</f>
        <v>46440.22</v>
      </c>
      <c r="J121" s="6">
        <f>_xlfn.XLOOKUP(D121,Grupo!B:B,Grupo!C:C)</f>
        <v>10</v>
      </c>
      <c r="K121" s="24">
        <f>_xlfn.XLOOKUP(A121,[1]COORDENADAS_GEOGRÁFICAS!$D:$D,[1]COORDENADAS_GEOGRÁFICAS!$F:$F)</f>
        <v>80</v>
      </c>
      <c r="L121" s="53"/>
      <c r="M121" s="53"/>
      <c r="N121" s="52">
        <f>_xlfn.XLOOKUP(D121,Grupo!B:B,Grupo!D:D)</f>
        <v>-12.620481488718251</v>
      </c>
      <c r="O121" s="52">
        <f>_xlfn.XLOOKUP(D121,Grupo!B:B,Grupo!E:E)</f>
        <v>-47.884083728442604</v>
      </c>
      <c r="P121" s="52">
        <f>_xlfn.XLOOKUP(A121,[1]COORDENADAS_GEOGRÁFICAS!$D:$D,[1]COORDENADAS_GEOGRÁFICAS!$G:$G)</f>
        <v>-13.278975000000001</v>
      </c>
      <c r="Q121" s="52">
        <f>_xlfn.XLOOKUP(A121,[1]COORDENADAS_GEOGRÁFICAS!$D:$D,[1]COORDENADAS_GEOGRÁFICAS!$H:$H)</f>
        <v>-47.710357000000002</v>
      </c>
      <c r="R121" s="20">
        <f t="shared" si="1"/>
        <v>75.60262812324828</v>
      </c>
    </row>
    <row r="122" spans="1:18" x14ac:dyDescent="0.3">
      <c r="A122" s="24">
        <v>3464197</v>
      </c>
      <c r="B122" s="24" t="s">
        <v>765</v>
      </c>
      <c r="C122" s="24">
        <v>402301243</v>
      </c>
      <c r="D122" s="24" t="str">
        <f>_xlfn.XLOOKUP(C122,Planilha3!A:A,Planilha3!C:C)</f>
        <v>PARANÃ</v>
      </c>
      <c r="E122" s="24">
        <v>1</v>
      </c>
      <c r="F122" s="54">
        <f>_xlfn.XLOOKUP(C122,Planilha3!A:A,Planilha3!E:E)</f>
        <v>45441</v>
      </c>
      <c r="G122" s="54">
        <f>_xlfn.XLOOKUP(C122,Planilha3!A:A,Planilha3!F:F)</f>
        <v>45453</v>
      </c>
      <c r="H122" s="54">
        <f>_xlfn.XLOOKUP(C122,Planilha3!A:A,Planilha3!G:G)</f>
        <v>45922</v>
      </c>
      <c r="I122" s="23">
        <f>_xlfn.XLOOKUP(K122,Grupo!F:F,Grupo!G:G)</f>
        <v>46440.22</v>
      </c>
      <c r="J122" s="6">
        <f>_xlfn.XLOOKUP(D122,Grupo!B:B,Grupo!C:C)</f>
        <v>10</v>
      </c>
      <c r="K122" s="24">
        <f>_xlfn.XLOOKUP(A122,[1]COORDENADAS_GEOGRÁFICAS!$D:$D,[1]COORDENADAS_GEOGRÁFICAS!$F:$F)</f>
        <v>80</v>
      </c>
      <c r="L122" s="53"/>
      <c r="M122" s="53"/>
      <c r="N122" s="52">
        <f>_xlfn.XLOOKUP(D122,Grupo!B:B,Grupo!D:D)</f>
        <v>-12.620481488718251</v>
      </c>
      <c r="O122" s="52">
        <f>_xlfn.XLOOKUP(D122,Grupo!B:B,Grupo!E:E)</f>
        <v>-47.884083728442604</v>
      </c>
      <c r="P122" s="52">
        <f>_xlfn.XLOOKUP(A122,[1]COORDENADAS_GEOGRÁFICAS!$D:$D,[1]COORDENADAS_GEOGRÁFICAS!$G:$G)</f>
        <v>-12.991809999999999</v>
      </c>
      <c r="Q122" s="52">
        <f>_xlfn.XLOOKUP(A122,[1]COORDENADAS_GEOGRÁFICAS!$D:$D,[1]COORDENADAS_GEOGRÁFICAS!$H:$H)</f>
        <v>-47.754275</v>
      </c>
      <c r="R122" s="20">
        <f t="shared" si="1"/>
        <v>43.622897394158791</v>
      </c>
    </row>
    <row r="123" spans="1:18" x14ac:dyDescent="0.3">
      <c r="A123" s="24">
        <v>3467083</v>
      </c>
      <c r="B123" s="24" t="s">
        <v>765</v>
      </c>
      <c r="C123" s="24">
        <v>402301236</v>
      </c>
      <c r="D123" s="24" t="str">
        <f>_xlfn.XLOOKUP(C123,Planilha3!A:A,Planilha3!C:C)</f>
        <v>PARANÃ</v>
      </c>
      <c r="E123" s="24">
        <v>1</v>
      </c>
      <c r="F123" s="54">
        <f>_xlfn.XLOOKUP(C123,Planilha3!A:A,Planilha3!E:E)</f>
        <v>45450</v>
      </c>
      <c r="G123" s="54">
        <f>_xlfn.XLOOKUP(C123,Planilha3!A:A,Planilha3!F:F)</f>
        <v>45463</v>
      </c>
      <c r="H123" s="54">
        <f>_xlfn.XLOOKUP(C123,Planilha3!A:A,Planilha3!G:G)</f>
        <v>45922</v>
      </c>
      <c r="I123" s="23">
        <f>_xlfn.XLOOKUP(K123,Grupo!F:F,Grupo!G:G)</f>
        <v>46440.22</v>
      </c>
      <c r="J123" s="6">
        <f>_xlfn.XLOOKUP(D123,Grupo!B:B,Grupo!C:C)</f>
        <v>10</v>
      </c>
      <c r="K123" s="24">
        <f>_xlfn.XLOOKUP(A123,[1]COORDENADAS_GEOGRÁFICAS!$D:$D,[1]COORDENADAS_GEOGRÁFICAS!$F:$F)</f>
        <v>80</v>
      </c>
      <c r="L123" s="53"/>
      <c r="M123" s="53"/>
      <c r="N123" s="52">
        <f>_xlfn.XLOOKUP(D123,Grupo!B:B,Grupo!D:D)</f>
        <v>-12.620481488718251</v>
      </c>
      <c r="O123" s="52">
        <f>_xlfn.XLOOKUP(D123,Grupo!B:B,Grupo!E:E)</f>
        <v>-47.884083728442604</v>
      </c>
      <c r="P123" s="52">
        <f>_xlfn.XLOOKUP(A123,[1]COORDENADAS_GEOGRÁFICAS!$D:$D,[1]COORDENADAS_GEOGRÁFICAS!$G:$G)</f>
        <v>-12.958562000000001</v>
      </c>
      <c r="Q123" s="52">
        <f>_xlfn.XLOOKUP(A123,[1]COORDENADAS_GEOGRÁFICAS!$D:$D,[1]COORDENADAS_GEOGRÁFICAS!$H:$H)</f>
        <v>-47.623714999999997</v>
      </c>
      <c r="R123" s="20">
        <f t="shared" si="1"/>
        <v>47.014282972139107</v>
      </c>
    </row>
    <row r="124" spans="1:18" x14ac:dyDescent="0.3">
      <c r="A124" s="24">
        <v>3463232</v>
      </c>
      <c r="B124" s="24" t="s">
        <v>765</v>
      </c>
      <c r="C124" s="24">
        <v>402301235</v>
      </c>
      <c r="D124" s="24" t="str">
        <f>_xlfn.XLOOKUP(C124,Planilha3!A:A,Planilha3!C:C)</f>
        <v>PARANÃ</v>
      </c>
      <c r="E124" s="24">
        <v>1</v>
      </c>
      <c r="F124" s="54">
        <f>_xlfn.XLOOKUP(C124,Planilha3!A:A,Planilha3!E:E)</f>
        <v>45447</v>
      </c>
      <c r="G124" s="54">
        <f>_xlfn.XLOOKUP(C124,Planilha3!A:A,Planilha3!F:F)</f>
        <v>45462</v>
      </c>
      <c r="H124" s="54">
        <f>_xlfn.XLOOKUP(C124,Planilha3!A:A,Planilha3!G:G)</f>
        <v>45922</v>
      </c>
      <c r="I124" s="23">
        <f>_xlfn.XLOOKUP(K124,Grupo!F:F,Grupo!G:G)</f>
        <v>46440.22</v>
      </c>
      <c r="J124" s="6">
        <f>_xlfn.XLOOKUP(D124,Grupo!B:B,Grupo!C:C)</f>
        <v>10</v>
      </c>
      <c r="K124" s="24">
        <f>_xlfn.XLOOKUP(A124,[1]COORDENADAS_GEOGRÁFICAS!$D:$D,[1]COORDENADAS_GEOGRÁFICAS!$F:$F)</f>
        <v>80</v>
      </c>
      <c r="L124" s="53"/>
      <c r="M124" s="53"/>
      <c r="N124" s="52">
        <f>_xlfn.XLOOKUP(D124,Grupo!B:B,Grupo!D:D)</f>
        <v>-12.620481488718251</v>
      </c>
      <c r="O124" s="52">
        <f>_xlfn.XLOOKUP(D124,Grupo!B:B,Grupo!E:E)</f>
        <v>-47.884083728442604</v>
      </c>
      <c r="P124" s="52">
        <f>_xlfn.XLOOKUP(A124,[1]COORDENADAS_GEOGRÁFICAS!$D:$D,[1]COORDENADAS_GEOGRÁFICAS!$G:$G)</f>
        <v>-12.362678000000001</v>
      </c>
      <c r="Q124" s="52">
        <f>_xlfn.XLOOKUP(A124,[1]COORDENADAS_GEOGRÁFICAS!$D:$D,[1]COORDENADAS_GEOGRÁFICAS!$H:$H)</f>
        <v>-47.869373000000003</v>
      </c>
      <c r="R124" s="20">
        <f t="shared" si="1"/>
        <v>28.710891722489396</v>
      </c>
    </row>
    <row r="125" spans="1:18" x14ac:dyDescent="0.3">
      <c r="A125" s="24">
        <v>3462372</v>
      </c>
      <c r="B125" s="24" t="s">
        <v>765</v>
      </c>
      <c r="C125" s="24">
        <v>402301232</v>
      </c>
      <c r="D125" s="24" t="str">
        <f>_xlfn.XLOOKUP(C125,Planilha3!A:A,Planilha3!C:C)</f>
        <v>PARANÃ</v>
      </c>
      <c r="E125" s="24">
        <v>1</v>
      </c>
      <c r="F125" s="54">
        <f>_xlfn.XLOOKUP(C125,Planilha3!A:A,Planilha3!E:E)</f>
        <v>45445</v>
      </c>
      <c r="G125" s="54">
        <f>_xlfn.XLOOKUP(C125,Planilha3!A:A,Planilha3!F:F)</f>
        <v>45461</v>
      </c>
      <c r="H125" s="54">
        <f>_xlfn.XLOOKUP(C125,Planilha3!A:A,Planilha3!G:G)</f>
        <v>45922</v>
      </c>
      <c r="I125" s="23">
        <f>_xlfn.XLOOKUP(K125,Grupo!F:F,Grupo!G:G)</f>
        <v>46440.22</v>
      </c>
      <c r="J125" s="6">
        <f>_xlfn.XLOOKUP(D125,Grupo!B:B,Grupo!C:C)</f>
        <v>10</v>
      </c>
      <c r="K125" s="24">
        <f>_xlfn.XLOOKUP(A125,[1]COORDENADAS_GEOGRÁFICAS!$D:$D,[1]COORDENADAS_GEOGRÁFICAS!$F:$F)</f>
        <v>80</v>
      </c>
      <c r="L125" s="53"/>
      <c r="M125" s="53"/>
      <c r="N125" s="52">
        <f>_xlfn.XLOOKUP(D125,Grupo!B:B,Grupo!D:D)</f>
        <v>-12.620481488718251</v>
      </c>
      <c r="O125" s="52">
        <f>_xlfn.XLOOKUP(D125,Grupo!B:B,Grupo!E:E)</f>
        <v>-47.884083728442604</v>
      </c>
      <c r="P125" s="52">
        <f>_xlfn.XLOOKUP(A125,[1]COORDENADAS_GEOGRÁFICAS!$D:$D,[1]COORDENADAS_GEOGRÁFICAS!$G:$G)</f>
        <v>-12.870557</v>
      </c>
      <c r="Q125" s="52">
        <f>_xlfn.XLOOKUP(A125,[1]COORDENADAS_GEOGRÁFICAS!$D:$D,[1]COORDENADAS_GEOGRÁFICAS!$H:$H)</f>
        <v>-47.543640000000003</v>
      </c>
      <c r="R125" s="20">
        <f t="shared" si="1"/>
        <v>46.22260894604873</v>
      </c>
    </row>
    <row r="126" spans="1:18" x14ac:dyDescent="0.3">
      <c r="A126" s="24">
        <v>3466805</v>
      </c>
      <c r="B126" s="24" t="s">
        <v>765</v>
      </c>
      <c r="C126" s="24">
        <v>402301257</v>
      </c>
      <c r="D126" s="24" t="str">
        <f>_xlfn.XLOOKUP(C126,Planilha3!A:A,Planilha3!C:C)</f>
        <v>PARANÃ</v>
      </c>
      <c r="E126" s="24">
        <v>1</v>
      </c>
      <c r="F126" s="54">
        <f>_xlfn.XLOOKUP(C126,Planilha3!A:A,Planilha3!E:E)</f>
        <v>45453</v>
      </c>
      <c r="G126" s="54">
        <f>_xlfn.XLOOKUP(C126,Planilha3!A:A,Planilha3!F:F)</f>
        <v>45464</v>
      </c>
      <c r="H126" s="54">
        <f>_xlfn.XLOOKUP(C126,Planilha3!A:A,Planilha3!G:G)</f>
        <v>45922</v>
      </c>
      <c r="I126" s="23">
        <f>_xlfn.XLOOKUP(K126,Grupo!F:F,Grupo!G:G)</f>
        <v>46440.22</v>
      </c>
      <c r="J126" s="6">
        <f>_xlfn.XLOOKUP(D126,Grupo!B:B,Grupo!C:C)</f>
        <v>10</v>
      </c>
      <c r="K126" s="24">
        <f>_xlfn.XLOOKUP(A126,[1]COORDENADAS_GEOGRÁFICAS!$D:$D,[1]COORDENADAS_GEOGRÁFICAS!$F:$F)</f>
        <v>80</v>
      </c>
      <c r="L126" s="53"/>
      <c r="M126" s="53"/>
      <c r="N126" s="52">
        <f>_xlfn.XLOOKUP(D126,Grupo!B:B,Grupo!D:D)</f>
        <v>-12.620481488718251</v>
      </c>
      <c r="O126" s="52">
        <f>_xlfn.XLOOKUP(D126,Grupo!B:B,Grupo!E:E)</f>
        <v>-47.884083728442604</v>
      </c>
      <c r="P126" s="52">
        <f>_xlfn.XLOOKUP(A126,[1]COORDENADAS_GEOGRÁFICAS!$D:$D,[1]COORDENADAS_GEOGRÁFICAS!$G:$G)</f>
        <v>-13.121487</v>
      </c>
      <c r="Q126" s="52">
        <f>_xlfn.XLOOKUP(A126,[1]COORDENADAS_GEOGRÁFICAS!$D:$D,[1]COORDENADAS_GEOGRÁFICAS!$H:$H)</f>
        <v>-47.715932000000002</v>
      </c>
      <c r="R126" s="20">
        <f t="shared" si="1"/>
        <v>58.615476043547702</v>
      </c>
    </row>
    <row r="127" spans="1:18" x14ac:dyDescent="0.3">
      <c r="A127" s="24">
        <v>3463161</v>
      </c>
      <c r="B127" s="24" t="s">
        <v>765</v>
      </c>
      <c r="C127" s="24">
        <v>402301268</v>
      </c>
      <c r="D127" s="24" t="str">
        <f>_xlfn.XLOOKUP(C127,Planilha3!A:A,Planilha3!C:C)</f>
        <v>PARANÃ</v>
      </c>
      <c r="E127" s="24">
        <v>1</v>
      </c>
      <c r="F127" s="54">
        <f>_xlfn.XLOOKUP(C127,Planilha3!A:A,Planilha3!E:E)</f>
        <v>45453</v>
      </c>
      <c r="G127" s="54">
        <f>_xlfn.XLOOKUP(C127,Planilha3!A:A,Planilha3!F:F)</f>
        <v>45465</v>
      </c>
      <c r="H127" s="54">
        <f>_xlfn.XLOOKUP(C127,Planilha3!A:A,Planilha3!G:G)</f>
        <v>45922</v>
      </c>
      <c r="I127" s="23">
        <f>_xlfn.XLOOKUP(K127,Grupo!F:F,Grupo!G:G)</f>
        <v>46440.22</v>
      </c>
      <c r="J127" s="6">
        <f>_xlfn.XLOOKUP(D127,Grupo!B:B,Grupo!C:C)</f>
        <v>10</v>
      </c>
      <c r="K127" s="24">
        <f>_xlfn.XLOOKUP(A127,[1]COORDENADAS_GEOGRÁFICAS!$D:$D,[1]COORDENADAS_GEOGRÁFICAS!$F:$F)</f>
        <v>80</v>
      </c>
      <c r="L127" s="53"/>
      <c r="M127" s="53"/>
      <c r="N127" s="52">
        <f>_xlfn.XLOOKUP(D127,Grupo!B:B,Grupo!D:D)</f>
        <v>-12.620481488718251</v>
      </c>
      <c r="O127" s="52">
        <f>_xlfn.XLOOKUP(D127,Grupo!B:B,Grupo!E:E)</f>
        <v>-47.884083728442604</v>
      </c>
      <c r="P127" s="52">
        <f>_xlfn.XLOOKUP(A127,[1]COORDENADAS_GEOGRÁFICAS!$D:$D,[1]COORDENADAS_GEOGRÁFICAS!$G:$G)</f>
        <v>-13.244778</v>
      </c>
      <c r="Q127" s="52">
        <f>_xlfn.XLOOKUP(A127,[1]COORDENADAS_GEOGRÁFICAS!$D:$D,[1]COORDENADAS_GEOGRÁFICAS!$H:$H)</f>
        <v>-47.649160999999999</v>
      </c>
      <c r="R127" s="20">
        <f t="shared" si="1"/>
        <v>73.940018131448213</v>
      </c>
    </row>
    <row r="128" spans="1:18" x14ac:dyDescent="0.3">
      <c r="A128" s="24">
        <v>3463573</v>
      </c>
      <c r="B128" s="24" t="s">
        <v>765</v>
      </c>
      <c r="C128" s="24">
        <v>402301258</v>
      </c>
      <c r="D128" s="24" t="str">
        <f>_xlfn.XLOOKUP(C128,Planilha3!A:A,Planilha3!C:C)</f>
        <v>PARANÃ</v>
      </c>
      <c r="E128" s="24">
        <v>1</v>
      </c>
      <c r="F128" s="54">
        <f>_xlfn.XLOOKUP(C128,Planilha3!A:A,Planilha3!E:E)</f>
        <v>45451</v>
      </c>
      <c r="G128" s="54">
        <f>_xlfn.XLOOKUP(C128,Planilha3!A:A,Planilha3!F:F)</f>
        <v>45464</v>
      </c>
      <c r="H128" s="54">
        <f>_xlfn.XLOOKUP(C128,Planilha3!A:A,Planilha3!G:G)</f>
        <v>45922</v>
      </c>
      <c r="I128" s="23">
        <f>_xlfn.XLOOKUP(K128,Grupo!F:F,Grupo!G:G)</f>
        <v>46440.22</v>
      </c>
      <c r="J128" s="6">
        <f>_xlfn.XLOOKUP(D128,Grupo!B:B,Grupo!C:C)</f>
        <v>10</v>
      </c>
      <c r="K128" s="24">
        <f>_xlfn.XLOOKUP(A128,[1]COORDENADAS_GEOGRÁFICAS!$D:$D,[1]COORDENADAS_GEOGRÁFICAS!$F:$F)</f>
        <v>80</v>
      </c>
      <c r="L128" s="53"/>
      <c r="M128" s="53"/>
      <c r="N128" s="52">
        <f>_xlfn.XLOOKUP(D128,Grupo!B:B,Grupo!D:D)</f>
        <v>-12.620481488718251</v>
      </c>
      <c r="O128" s="52">
        <f>_xlfn.XLOOKUP(D128,Grupo!B:B,Grupo!E:E)</f>
        <v>-47.884083728442604</v>
      </c>
      <c r="P128" s="52">
        <f>_xlfn.XLOOKUP(A128,[1]COORDENADAS_GEOGRÁFICAS!$D:$D,[1]COORDENADAS_GEOGRÁFICAS!$G:$G)</f>
        <v>-13.163478</v>
      </c>
      <c r="Q128" s="52">
        <f>_xlfn.XLOOKUP(A128,[1]COORDENADAS_GEOGRÁFICAS!$D:$D,[1]COORDENADAS_GEOGRÁFICAS!$H:$H)</f>
        <v>-47.667717000000003</v>
      </c>
      <c r="R128" s="20">
        <f t="shared" si="1"/>
        <v>64.773213210392655</v>
      </c>
    </row>
    <row r="129" spans="1:18" x14ac:dyDescent="0.3">
      <c r="A129" s="24">
        <v>3466790</v>
      </c>
      <c r="B129" s="24" t="s">
        <v>765</v>
      </c>
      <c r="C129" s="24">
        <v>402301250</v>
      </c>
      <c r="D129" s="24" t="str">
        <f>_xlfn.XLOOKUP(C129,Planilha3!A:A,Planilha3!C:C)</f>
        <v>PARANÃ</v>
      </c>
      <c r="E129" s="24">
        <v>1</v>
      </c>
      <c r="F129" s="54">
        <f>_xlfn.XLOOKUP(C129,Planilha3!A:A,Planilha3!E:E)</f>
        <v>45448</v>
      </c>
      <c r="G129" s="54">
        <f>_xlfn.XLOOKUP(C129,Planilha3!A:A,Planilha3!F:F)</f>
        <v>45463</v>
      </c>
      <c r="H129" s="54">
        <f>_xlfn.XLOOKUP(C129,Planilha3!A:A,Planilha3!G:G)</f>
        <v>45922</v>
      </c>
      <c r="I129" s="23">
        <f>_xlfn.XLOOKUP(K129,Grupo!F:F,Grupo!G:G)</f>
        <v>46440.22</v>
      </c>
      <c r="J129" s="6">
        <f>_xlfn.XLOOKUP(D129,Grupo!B:B,Grupo!C:C)</f>
        <v>10</v>
      </c>
      <c r="K129" s="24">
        <f>_xlfn.XLOOKUP(A129,[1]COORDENADAS_GEOGRÁFICAS!$D:$D,[1]COORDENADAS_GEOGRÁFICAS!$F:$F)</f>
        <v>80</v>
      </c>
      <c r="L129" s="53"/>
      <c r="M129" s="53"/>
      <c r="N129" s="52">
        <f>_xlfn.XLOOKUP(D129,Grupo!B:B,Grupo!D:D)</f>
        <v>-12.620481488718251</v>
      </c>
      <c r="O129" s="52">
        <f>_xlfn.XLOOKUP(D129,Grupo!B:B,Grupo!E:E)</f>
        <v>-47.884083728442604</v>
      </c>
      <c r="P129" s="52">
        <f>_xlfn.XLOOKUP(A129,[1]COORDENADAS_GEOGRÁFICAS!$D:$D,[1]COORDENADAS_GEOGRÁFICAS!$G:$G)</f>
        <v>-12.753415</v>
      </c>
      <c r="Q129" s="52">
        <f>_xlfn.XLOOKUP(A129,[1]COORDENADAS_GEOGRÁFICAS!$D:$D,[1]COORDENADAS_GEOGRÁFICAS!$H:$H)</f>
        <v>-47.426274999999997</v>
      </c>
      <c r="R129" s="20">
        <f t="shared" si="1"/>
        <v>51.816184809350212</v>
      </c>
    </row>
    <row r="130" spans="1:18" x14ac:dyDescent="0.3">
      <c r="A130" s="24">
        <v>3466916</v>
      </c>
      <c r="B130" s="24" t="s">
        <v>765</v>
      </c>
      <c r="C130" s="24">
        <v>402301266</v>
      </c>
      <c r="D130" s="24" t="str">
        <f>_xlfn.XLOOKUP(C130,Planilha3!A:A,Planilha3!C:C)</f>
        <v>PARANÃ</v>
      </c>
      <c r="E130" s="24">
        <v>1</v>
      </c>
      <c r="F130" s="54">
        <f>_xlfn.XLOOKUP(C130,Planilha3!A:A,Planilha3!E:E)</f>
        <v>45453</v>
      </c>
      <c r="G130" s="54">
        <f>_xlfn.XLOOKUP(C130,Planilha3!A:A,Planilha3!F:F)</f>
        <v>45464</v>
      </c>
      <c r="H130" s="54">
        <f>_xlfn.XLOOKUP(C130,Planilha3!A:A,Planilha3!G:G)</f>
        <v>45922</v>
      </c>
      <c r="I130" s="23">
        <f>_xlfn.XLOOKUP(K130,Grupo!F:F,Grupo!G:G)</f>
        <v>46440.22</v>
      </c>
      <c r="J130" s="6">
        <f>_xlfn.XLOOKUP(D130,Grupo!B:B,Grupo!C:C)</f>
        <v>10</v>
      </c>
      <c r="K130" s="24">
        <f>_xlfn.XLOOKUP(A130,[1]COORDENADAS_GEOGRÁFICAS!$D:$D,[1]COORDENADAS_GEOGRÁFICAS!$F:$F)</f>
        <v>80</v>
      </c>
      <c r="L130" s="53"/>
      <c r="M130" s="53"/>
      <c r="N130" s="52">
        <f>_xlfn.XLOOKUP(D130,Grupo!B:B,Grupo!D:D)</f>
        <v>-12.620481488718251</v>
      </c>
      <c r="O130" s="52">
        <f>_xlfn.XLOOKUP(D130,Grupo!B:B,Grupo!E:E)</f>
        <v>-47.884083728442604</v>
      </c>
      <c r="P130" s="52">
        <f>_xlfn.XLOOKUP(A130,[1]COORDENADAS_GEOGRÁFICAS!$D:$D,[1]COORDENADAS_GEOGRÁFICAS!$G:$G)</f>
        <v>-13.247202</v>
      </c>
      <c r="Q130" s="52">
        <f>_xlfn.XLOOKUP(A130,[1]COORDENADAS_GEOGRÁFICAS!$D:$D,[1]COORDENADAS_GEOGRÁFICAS!$H:$H)</f>
        <v>-47.675961999999998</v>
      </c>
      <c r="R130" s="20">
        <f t="shared" si="1"/>
        <v>73.2472302317192</v>
      </c>
    </row>
    <row r="131" spans="1:18" x14ac:dyDescent="0.3">
      <c r="A131" s="24">
        <v>3466794</v>
      </c>
      <c r="B131" s="24" t="s">
        <v>765</v>
      </c>
      <c r="C131" s="24">
        <v>402301253</v>
      </c>
      <c r="D131" s="24" t="str">
        <f>_xlfn.XLOOKUP(C131,Planilha3!A:A,Planilha3!C:C)</f>
        <v>PARANÃ</v>
      </c>
      <c r="E131" s="24">
        <v>1</v>
      </c>
      <c r="F131" s="54">
        <f>_xlfn.XLOOKUP(C131,Planilha3!A:A,Planilha3!E:E)</f>
        <v>45452</v>
      </c>
      <c r="G131" s="54">
        <f>_xlfn.XLOOKUP(C131,Planilha3!A:A,Planilha3!F:F)</f>
        <v>45464</v>
      </c>
      <c r="H131" s="54">
        <f>_xlfn.XLOOKUP(C131,Planilha3!A:A,Planilha3!G:G)</f>
        <v>45922</v>
      </c>
      <c r="I131" s="23">
        <f>_xlfn.XLOOKUP(K131,Grupo!F:F,Grupo!G:G)</f>
        <v>46440.22</v>
      </c>
      <c r="J131" s="6">
        <f>_xlfn.XLOOKUP(D131,Grupo!B:B,Grupo!C:C)</f>
        <v>10</v>
      </c>
      <c r="K131" s="24">
        <f>_xlfn.XLOOKUP(A131,[1]COORDENADAS_GEOGRÁFICAS!$D:$D,[1]COORDENADAS_GEOGRÁFICAS!$F:$F)</f>
        <v>80</v>
      </c>
      <c r="L131" s="53"/>
      <c r="M131" s="53"/>
      <c r="N131" s="52">
        <f>_xlfn.XLOOKUP(D131,Grupo!B:B,Grupo!D:D)</f>
        <v>-12.620481488718251</v>
      </c>
      <c r="O131" s="52">
        <f>_xlfn.XLOOKUP(D131,Grupo!B:B,Grupo!E:E)</f>
        <v>-47.884083728442604</v>
      </c>
      <c r="P131" s="52">
        <f>_xlfn.XLOOKUP(A131,[1]COORDENADAS_GEOGRÁFICAS!$D:$D,[1]COORDENADAS_GEOGRÁFICAS!$G:$G)</f>
        <v>-13.174642</v>
      </c>
      <c r="Q131" s="52">
        <f>_xlfn.XLOOKUP(A131,[1]COORDENADAS_GEOGRÁFICAS!$D:$D,[1]COORDENADAS_GEOGRÁFICAS!$H:$H)</f>
        <v>-47.764428000000002</v>
      </c>
      <c r="R131" s="20">
        <f t="shared" si="1"/>
        <v>62.969905414150944</v>
      </c>
    </row>
    <row r="132" spans="1:18" x14ac:dyDescent="0.3">
      <c r="A132" s="24">
        <v>3466700</v>
      </c>
      <c r="B132" s="24" t="s">
        <v>765</v>
      </c>
      <c r="C132" s="24">
        <v>402301262</v>
      </c>
      <c r="D132" s="24" t="str">
        <f>_xlfn.XLOOKUP(C132,Planilha3!A:A,Planilha3!C:C)</f>
        <v>PARANÃ</v>
      </c>
      <c r="E132" s="24">
        <v>1</v>
      </c>
      <c r="F132" s="54">
        <f>_xlfn.XLOOKUP(C132,Planilha3!A:A,Planilha3!E:E)</f>
        <v>45451</v>
      </c>
      <c r="G132" s="54">
        <f>_xlfn.XLOOKUP(C132,Planilha3!A:A,Planilha3!F:F)</f>
        <v>45464</v>
      </c>
      <c r="H132" s="54">
        <f>_xlfn.XLOOKUP(C132,Planilha3!A:A,Planilha3!G:G)</f>
        <v>45922</v>
      </c>
      <c r="I132" s="23">
        <f>_xlfn.XLOOKUP(K132,Grupo!F:F,Grupo!G:G)</f>
        <v>46440.22</v>
      </c>
      <c r="J132" s="6">
        <f>_xlfn.XLOOKUP(D132,Grupo!B:B,Grupo!C:C)</f>
        <v>10</v>
      </c>
      <c r="K132" s="24">
        <f>_xlfn.XLOOKUP(A132,[1]COORDENADAS_GEOGRÁFICAS!$D:$D,[1]COORDENADAS_GEOGRÁFICAS!$F:$F)</f>
        <v>80</v>
      </c>
      <c r="L132" s="53"/>
      <c r="M132" s="53"/>
      <c r="N132" s="52">
        <f>_xlfn.XLOOKUP(D132,Grupo!B:B,Grupo!D:D)</f>
        <v>-12.620481488718251</v>
      </c>
      <c r="O132" s="52">
        <f>_xlfn.XLOOKUP(D132,Grupo!B:B,Grupo!E:E)</f>
        <v>-47.884083728442604</v>
      </c>
      <c r="P132" s="52">
        <f>_xlfn.XLOOKUP(A132,[1]COORDENADAS_GEOGRÁFICAS!$D:$D,[1]COORDENADAS_GEOGRÁFICAS!$G:$G)</f>
        <v>-13.136782</v>
      </c>
      <c r="Q132" s="52">
        <f>_xlfn.XLOOKUP(A132,[1]COORDENADAS_GEOGRÁFICAS!$D:$D,[1]COORDENADAS_GEOGRÁFICAS!$H:$H)</f>
        <v>-47.648404999999997</v>
      </c>
      <c r="R132" s="20">
        <f t="shared" si="1"/>
        <v>62.837521498191755</v>
      </c>
    </row>
    <row r="133" spans="1:18" x14ac:dyDescent="0.3">
      <c r="A133" s="24">
        <v>3466913</v>
      </c>
      <c r="B133" s="24" t="s">
        <v>765</v>
      </c>
      <c r="C133" s="24">
        <v>402301264</v>
      </c>
      <c r="D133" s="24" t="str">
        <f>_xlfn.XLOOKUP(C133,Planilha3!A:A,Planilha3!C:C)</f>
        <v>PARANÃ</v>
      </c>
      <c r="E133" s="24">
        <v>1</v>
      </c>
      <c r="F133" s="54">
        <f>_xlfn.XLOOKUP(C133,Planilha3!A:A,Planilha3!E:E)</f>
        <v>45449</v>
      </c>
      <c r="G133" s="54">
        <f>_xlfn.XLOOKUP(C133,Planilha3!A:A,Planilha3!F:F)</f>
        <v>45464</v>
      </c>
      <c r="H133" s="54">
        <f>_xlfn.XLOOKUP(C133,Planilha3!A:A,Planilha3!G:G)</f>
        <v>45922</v>
      </c>
      <c r="I133" s="23">
        <f>_xlfn.XLOOKUP(K133,Grupo!F:F,Grupo!G:G)</f>
        <v>46440.22</v>
      </c>
      <c r="J133" s="6">
        <f>_xlfn.XLOOKUP(D133,Grupo!B:B,Grupo!C:C)</f>
        <v>10</v>
      </c>
      <c r="K133" s="24">
        <f>_xlfn.XLOOKUP(A133,[1]COORDENADAS_GEOGRÁFICAS!$D:$D,[1]COORDENADAS_GEOGRÁFICAS!$F:$F)</f>
        <v>80</v>
      </c>
      <c r="L133" s="53"/>
      <c r="M133" s="53"/>
      <c r="N133" s="52">
        <f>_xlfn.XLOOKUP(D133,Grupo!B:B,Grupo!D:D)</f>
        <v>-12.620481488718251</v>
      </c>
      <c r="O133" s="52">
        <f>_xlfn.XLOOKUP(D133,Grupo!B:B,Grupo!E:E)</f>
        <v>-47.884083728442604</v>
      </c>
      <c r="P133" s="52">
        <f>_xlfn.XLOOKUP(A133,[1]COORDENADAS_GEOGRÁFICAS!$D:$D,[1]COORDENADAS_GEOGRÁFICAS!$G:$G)</f>
        <v>-13.11664</v>
      </c>
      <c r="Q133" s="52">
        <f>_xlfn.XLOOKUP(A133,[1]COORDENADAS_GEOGRÁFICAS!$D:$D,[1]COORDENADAS_GEOGRÁFICAS!$H:$H)</f>
        <v>-47.645285000000001</v>
      </c>
      <c r="R133" s="20">
        <f t="shared" ref="R133:R196" si="2">6371*ACOS(COS(PI()*(90-P133)/180)*COS((90-N133)*PI()/180)+SIN((90-P133)*PI()/180)*SIN((90-N133)*PI()/180)*COS((Q133-O133)*PI()/180))</f>
        <v>60.941429850134391</v>
      </c>
    </row>
    <row r="134" spans="1:18" x14ac:dyDescent="0.3">
      <c r="A134" s="24">
        <v>3466835</v>
      </c>
      <c r="B134" s="24" t="s">
        <v>765</v>
      </c>
      <c r="C134" s="24">
        <v>402301263</v>
      </c>
      <c r="D134" s="24" t="str">
        <f>_xlfn.XLOOKUP(C134,Planilha3!A:A,Planilha3!C:C)</f>
        <v>PARANÃ</v>
      </c>
      <c r="E134" s="24">
        <v>1</v>
      </c>
      <c r="F134" s="54">
        <f>_xlfn.XLOOKUP(C134,Planilha3!A:A,Planilha3!E:E)</f>
        <v>45448</v>
      </c>
      <c r="G134" s="54">
        <f>_xlfn.XLOOKUP(C134,Planilha3!A:A,Planilha3!F:F)</f>
        <v>45464</v>
      </c>
      <c r="H134" s="54">
        <f>_xlfn.XLOOKUP(C134,Planilha3!A:A,Planilha3!G:G)</f>
        <v>45922</v>
      </c>
      <c r="I134" s="23">
        <f>_xlfn.XLOOKUP(K134,Grupo!F:F,Grupo!G:G)</f>
        <v>46440.22</v>
      </c>
      <c r="J134" s="6">
        <f>_xlfn.XLOOKUP(D134,Grupo!B:B,Grupo!C:C)</f>
        <v>10</v>
      </c>
      <c r="K134" s="24">
        <f>_xlfn.XLOOKUP(A134,[1]COORDENADAS_GEOGRÁFICAS!$D:$D,[1]COORDENADAS_GEOGRÁFICAS!$F:$F)</f>
        <v>80</v>
      </c>
      <c r="L134" s="53"/>
      <c r="M134" s="53"/>
      <c r="N134" s="52">
        <f>_xlfn.XLOOKUP(D134,Grupo!B:B,Grupo!D:D)</f>
        <v>-12.620481488718251</v>
      </c>
      <c r="O134" s="52">
        <f>_xlfn.XLOOKUP(D134,Grupo!B:B,Grupo!E:E)</f>
        <v>-47.884083728442604</v>
      </c>
      <c r="P134" s="52">
        <f>_xlfn.XLOOKUP(A134,[1]COORDENADAS_GEOGRÁFICAS!$D:$D,[1]COORDENADAS_GEOGRÁFICAS!$G:$G)</f>
        <v>-13.135467</v>
      </c>
      <c r="Q134" s="52">
        <f>_xlfn.XLOOKUP(A134,[1]COORDENADAS_GEOGRÁFICAS!$D:$D,[1]COORDENADAS_GEOGRÁFICAS!$H:$H)</f>
        <v>-47.648224999999996</v>
      </c>
      <c r="R134" s="20">
        <f t="shared" si="2"/>
        <v>62.711937559103347</v>
      </c>
    </row>
    <row r="135" spans="1:18" x14ac:dyDescent="0.3">
      <c r="A135" s="24">
        <v>3466788</v>
      </c>
      <c r="B135" s="24" t="s">
        <v>765</v>
      </c>
      <c r="C135" s="24">
        <v>402301249</v>
      </c>
      <c r="D135" s="24" t="str">
        <f>_xlfn.XLOOKUP(C135,Planilha3!A:A,Planilha3!C:C)</f>
        <v>PARANÃ</v>
      </c>
      <c r="E135" s="24">
        <v>1</v>
      </c>
      <c r="F135" s="54">
        <f>_xlfn.XLOOKUP(C135,Planilha3!A:A,Planilha3!E:E)</f>
        <v>45452</v>
      </c>
      <c r="G135" s="54">
        <f>_xlfn.XLOOKUP(C135,Planilha3!A:A,Planilha3!F:F)</f>
        <v>45463</v>
      </c>
      <c r="H135" s="54">
        <f>_xlfn.XLOOKUP(C135,Planilha3!A:A,Planilha3!G:G)</f>
        <v>45922</v>
      </c>
      <c r="I135" s="23">
        <f>_xlfn.XLOOKUP(K135,Grupo!F:F,Grupo!G:G)</f>
        <v>46440.22</v>
      </c>
      <c r="J135" s="6">
        <f>_xlfn.XLOOKUP(D135,Grupo!B:B,Grupo!C:C)</f>
        <v>10</v>
      </c>
      <c r="K135" s="24">
        <f>_xlfn.XLOOKUP(A135,[1]COORDENADAS_GEOGRÁFICAS!$D:$D,[1]COORDENADAS_GEOGRÁFICAS!$F:$F)</f>
        <v>80</v>
      </c>
      <c r="L135" s="53"/>
      <c r="M135" s="53"/>
      <c r="N135" s="52">
        <f>_xlfn.XLOOKUP(D135,Grupo!B:B,Grupo!D:D)</f>
        <v>-12.620481488718251</v>
      </c>
      <c r="O135" s="52">
        <f>_xlfn.XLOOKUP(D135,Grupo!B:B,Grupo!E:E)</f>
        <v>-47.884083728442604</v>
      </c>
      <c r="P135" s="52">
        <f>_xlfn.XLOOKUP(A135,[1]COORDENADAS_GEOGRÁFICAS!$D:$D,[1]COORDENADAS_GEOGRÁFICAS!$G:$G)</f>
        <v>-12.824617</v>
      </c>
      <c r="Q135" s="52">
        <f>_xlfn.XLOOKUP(A135,[1]COORDENADAS_GEOGRÁFICAS!$D:$D,[1]COORDENADAS_GEOGRÁFICAS!$H:$H)</f>
        <v>-47.432302999999997</v>
      </c>
      <c r="R135" s="20">
        <f t="shared" si="2"/>
        <v>54.004280438923729</v>
      </c>
    </row>
    <row r="136" spans="1:18" x14ac:dyDescent="0.3">
      <c r="A136" s="24">
        <v>3466827</v>
      </c>
      <c r="B136" s="24" t="s">
        <v>765</v>
      </c>
      <c r="C136" s="24">
        <v>402301260</v>
      </c>
      <c r="D136" s="24" t="str">
        <f>_xlfn.XLOOKUP(C136,Planilha3!A:A,Planilha3!C:C)</f>
        <v>PARANÃ</v>
      </c>
      <c r="E136" s="24">
        <v>1</v>
      </c>
      <c r="F136" s="54">
        <f>_xlfn.XLOOKUP(C136,Planilha3!A:A,Planilha3!E:E)</f>
        <v>45452</v>
      </c>
      <c r="G136" s="54">
        <f>_xlfn.XLOOKUP(C136,Planilha3!A:A,Planilha3!F:F)</f>
        <v>45464</v>
      </c>
      <c r="H136" s="54">
        <f>_xlfn.XLOOKUP(C136,Planilha3!A:A,Planilha3!G:G)</f>
        <v>45922</v>
      </c>
      <c r="I136" s="23">
        <f>_xlfn.XLOOKUP(K136,Grupo!F:F,Grupo!G:G)</f>
        <v>46440.22</v>
      </c>
      <c r="J136" s="6">
        <f>_xlfn.XLOOKUP(D136,Grupo!B:B,Grupo!C:C)</f>
        <v>10</v>
      </c>
      <c r="K136" s="24">
        <f>_xlfn.XLOOKUP(A136,[1]COORDENADAS_GEOGRÁFICAS!$D:$D,[1]COORDENADAS_GEOGRÁFICAS!$F:$F)</f>
        <v>80</v>
      </c>
      <c r="L136" s="53"/>
      <c r="M136" s="53"/>
      <c r="N136" s="52">
        <f>_xlfn.XLOOKUP(D136,Grupo!B:B,Grupo!D:D)</f>
        <v>-12.620481488718251</v>
      </c>
      <c r="O136" s="52">
        <f>_xlfn.XLOOKUP(D136,Grupo!B:B,Grupo!E:E)</f>
        <v>-47.884083728442604</v>
      </c>
      <c r="P136" s="52">
        <f>_xlfn.XLOOKUP(A136,[1]COORDENADAS_GEOGRÁFICAS!$D:$D,[1]COORDENADAS_GEOGRÁFICAS!$G:$G)</f>
        <v>-13.156428</v>
      </c>
      <c r="Q136" s="52">
        <f>_xlfn.XLOOKUP(A136,[1]COORDENADAS_GEOGRÁFICAS!$D:$D,[1]COORDENADAS_GEOGRÁFICAS!$H:$H)</f>
        <v>-47.658636999999999</v>
      </c>
      <c r="R136" s="20">
        <f t="shared" si="2"/>
        <v>64.410156759552024</v>
      </c>
    </row>
    <row r="137" spans="1:18" x14ac:dyDescent="0.3">
      <c r="A137" s="24">
        <v>3463200</v>
      </c>
      <c r="B137" s="24" t="s">
        <v>765</v>
      </c>
      <c r="C137" s="24">
        <v>402301259</v>
      </c>
      <c r="D137" s="24" t="str">
        <f>_xlfn.XLOOKUP(C137,Planilha3!A:A,Planilha3!C:C)</f>
        <v>PARANÃ</v>
      </c>
      <c r="E137" s="24">
        <v>1</v>
      </c>
      <c r="F137" s="54">
        <f>_xlfn.XLOOKUP(C137,Planilha3!A:A,Planilha3!E:E)</f>
        <v>45451</v>
      </c>
      <c r="G137" s="54">
        <f>_xlfn.XLOOKUP(C137,Planilha3!A:A,Planilha3!F:F)</f>
        <v>45464</v>
      </c>
      <c r="H137" s="54">
        <f>_xlfn.XLOOKUP(C137,Planilha3!A:A,Planilha3!G:G)</f>
        <v>45922</v>
      </c>
      <c r="I137" s="23">
        <f>_xlfn.XLOOKUP(K137,Grupo!F:F,Grupo!G:G)</f>
        <v>46440.22</v>
      </c>
      <c r="J137" s="6">
        <f>_xlfn.XLOOKUP(D137,Grupo!B:B,Grupo!C:C)</f>
        <v>10</v>
      </c>
      <c r="K137" s="24">
        <f>_xlfn.XLOOKUP(A137,[1]COORDENADAS_GEOGRÁFICAS!$D:$D,[1]COORDENADAS_GEOGRÁFICAS!$F:$F)</f>
        <v>80</v>
      </c>
      <c r="L137" s="53"/>
      <c r="M137" s="53"/>
      <c r="N137" s="52">
        <f>_xlfn.XLOOKUP(D137,Grupo!B:B,Grupo!D:D)</f>
        <v>-12.620481488718251</v>
      </c>
      <c r="O137" s="52">
        <f>_xlfn.XLOOKUP(D137,Grupo!B:B,Grupo!E:E)</f>
        <v>-47.884083728442604</v>
      </c>
      <c r="P137" s="52">
        <f>_xlfn.XLOOKUP(A137,[1]COORDENADAS_GEOGRÁFICAS!$D:$D,[1]COORDENADAS_GEOGRÁFICAS!$G:$G)</f>
        <v>-13.159743000000001</v>
      </c>
      <c r="Q137" s="52">
        <f>_xlfn.XLOOKUP(A137,[1]COORDENADAS_GEOGRÁFICAS!$D:$D,[1]COORDENADAS_GEOGRÁFICAS!$H:$H)</f>
        <v>-47.661932</v>
      </c>
      <c r="R137" s="20">
        <f t="shared" si="2"/>
        <v>64.617357729725668</v>
      </c>
    </row>
    <row r="138" spans="1:18" x14ac:dyDescent="0.3">
      <c r="A138" s="24">
        <v>3466796</v>
      </c>
      <c r="B138" s="24" t="s">
        <v>765</v>
      </c>
      <c r="C138" s="24">
        <v>402301254</v>
      </c>
      <c r="D138" s="24" t="str">
        <f>_xlfn.XLOOKUP(C138,Planilha3!A:A,Planilha3!C:C)</f>
        <v>PARANÃ</v>
      </c>
      <c r="E138" s="24">
        <v>1</v>
      </c>
      <c r="F138" s="54">
        <f>_xlfn.XLOOKUP(C138,Planilha3!A:A,Planilha3!E:E)</f>
        <v>45449</v>
      </c>
      <c r="G138" s="54">
        <f>_xlfn.XLOOKUP(C138,Planilha3!A:A,Planilha3!F:F)</f>
        <v>45464</v>
      </c>
      <c r="H138" s="54">
        <f>_xlfn.XLOOKUP(C138,Planilha3!A:A,Planilha3!G:G)</f>
        <v>45922</v>
      </c>
      <c r="I138" s="23">
        <f>_xlfn.XLOOKUP(K138,Grupo!F:F,Grupo!G:G)</f>
        <v>46440.22</v>
      </c>
      <c r="J138" s="6">
        <f>_xlfn.XLOOKUP(D138,Grupo!B:B,Grupo!C:C)</f>
        <v>10</v>
      </c>
      <c r="K138" s="24">
        <f>_xlfn.XLOOKUP(A138,[1]COORDENADAS_GEOGRÁFICAS!$D:$D,[1]COORDENADAS_GEOGRÁFICAS!$F:$F)</f>
        <v>80</v>
      </c>
      <c r="L138" s="53"/>
      <c r="M138" s="53"/>
      <c r="N138" s="52">
        <f>_xlfn.XLOOKUP(D138,Grupo!B:B,Grupo!D:D)</f>
        <v>-12.620481488718251</v>
      </c>
      <c r="O138" s="52">
        <f>_xlfn.XLOOKUP(D138,Grupo!B:B,Grupo!E:E)</f>
        <v>-47.884083728442604</v>
      </c>
      <c r="P138" s="52">
        <f>_xlfn.XLOOKUP(A138,[1]COORDENADAS_GEOGRÁFICAS!$D:$D,[1]COORDENADAS_GEOGRÁFICAS!$G:$G)</f>
        <v>-13.216996999999999</v>
      </c>
      <c r="Q138" s="52">
        <f>_xlfn.XLOOKUP(A138,[1]COORDENADAS_GEOGRÁFICAS!$D:$D,[1]COORDENADAS_GEOGRÁFICAS!$H:$H)</f>
        <v>-47.791538000000003</v>
      </c>
      <c r="R138" s="20">
        <f t="shared" si="2"/>
        <v>67.083567610875718</v>
      </c>
    </row>
    <row r="139" spans="1:18" x14ac:dyDescent="0.3">
      <c r="A139" s="24">
        <v>3466702</v>
      </c>
      <c r="B139" s="24" t="s">
        <v>765</v>
      </c>
      <c r="C139" s="24">
        <v>402301248</v>
      </c>
      <c r="D139" s="24" t="str">
        <f>_xlfn.XLOOKUP(C139,Planilha3!A:A,Planilha3!C:C)</f>
        <v>PARANÃ</v>
      </c>
      <c r="E139" s="24">
        <v>1</v>
      </c>
      <c r="F139" s="54">
        <f>_xlfn.XLOOKUP(C139,Planilha3!A:A,Planilha3!E:E)</f>
        <v>45451.45349537037</v>
      </c>
      <c r="G139" s="54">
        <f>_xlfn.XLOOKUP(C139,Planilha3!A:A,Planilha3!F:F)</f>
        <v>45462.45349537037</v>
      </c>
      <c r="H139" s="54">
        <f>_xlfn.XLOOKUP(C139,Planilha3!A:A,Planilha3!G:G)</f>
        <v>45922</v>
      </c>
      <c r="I139" s="23">
        <f>_xlfn.XLOOKUP(K139,Grupo!F:F,Grupo!G:G)</f>
        <v>46440.22</v>
      </c>
      <c r="J139" s="6">
        <f>_xlfn.XLOOKUP(D139,Grupo!B:B,Grupo!C:C)</f>
        <v>10</v>
      </c>
      <c r="K139" s="24">
        <f>_xlfn.XLOOKUP(A139,[1]COORDENADAS_GEOGRÁFICAS!$D:$D,[1]COORDENADAS_GEOGRÁFICAS!$F:$F)</f>
        <v>80</v>
      </c>
      <c r="L139" s="53"/>
      <c r="M139" s="53"/>
      <c r="N139" s="52">
        <f>_xlfn.XLOOKUP(D139,Grupo!B:B,Grupo!D:D)</f>
        <v>-12.620481488718251</v>
      </c>
      <c r="O139" s="52">
        <f>_xlfn.XLOOKUP(D139,Grupo!B:B,Grupo!E:E)</f>
        <v>-47.884083728442604</v>
      </c>
      <c r="P139" s="52">
        <f>_xlfn.XLOOKUP(A139,[1]COORDENADAS_GEOGRÁFICAS!$D:$D,[1]COORDENADAS_GEOGRÁFICAS!$G:$G)</f>
        <v>-13.229213</v>
      </c>
      <c r="Q139" s="52">
        <f>_xlfn.XLOOKUP(A139,[1]COORDENADAS_GEOGRÁFICAS!$D:$D,[1]COORDENADAS_GEOGRÁFICAS!$H:$H)</f>
        <v>-47.712463999999997</v>
      </c>
      <c r="R139" s="20">
        <f t="shared" si="2"/>
        <v>70.196815738431766</v>
      </c>
    </row>
    <row r="140" spans="1:18" x14ac:dyDescent="0.3">
      <c r="A140" s="24">
        <v>3463226</v>
      </c>
      <c r="B140" s="24" t="s">
        <v>765</v>
      </c>
      <c r="C140" s="24">
        <v>402301252</v>
      </c>
      <c r="D140" s="24" t="str">
        <f>_xlfn.XLOOKUP(C140,Planilha3!A:A,Planilha3!C:C)</f>
        <v>PARANÃ</v>
      </c>
      <c r="E140" s="24">
        <v>1</v>
      </c>
      <c r="F140" s="54">
        <f>_xlfn.XLOOKUP(C140,Planilha3!A:A,Planilha3!E:E)</f>
        <v>45451.651886574073</v>
      </c>
      <c r="G140" s="54">
        <f>_xlfn.XLOOKUP(C140,Planilha3!A:A,Planilha3!F:F)</f>
        <v>45463.651886574073</v>
      </c>
      <c r="H140" s="54">
        <f>_xlfn.XLOOKUP(C140,Planilha3!A:A,Planilha3!G:G)</f>
        <v>45922</v>
      </c>
      <c r="I140" s="23">
        <f>_xlfn.XLOOKUP(K140,Grupo!F:F,Grupo!G:G)</f>
        <v>46440.22</v>
      </c>
      <c r="J140" s="6">
        <f>_xlfn.XLOOKUP(D140,Grupo!B:B,Grupo!C:C)</f>
        <v>10</v>
      </c>
      <c r="K140" s="24">
        <f>_xlfn.XLOOKUP(A140,[1]COORDENADAS_GEOGRÁFICAS!$D:$D,[1]COORDENADAS_GEOGRÁFICAS!$F:$F)</f>
        <v>80</v>
      </c>
      <c r="L140" s="53"/>
      <c r="M140" s="53"/>
      <c r="N140" s="52">
        <f>_xlfn.XLOOKUP(D140,Grupo!B:B,Grupo!D:D)</f>
        <v>-12.620481488718251</v>
      </c>
      <c r="O140" s="52">
        <f>_xlfn.XLOOKUP(D140,Grupo!B:B,Grupo!E:E)</f>
        <v>-47.884083728442604</v>
      </c>
      <c r="P140" s="52">
        <f>_xlfn.XLOOKUP(A140,[1]COORDENADAS_GEOGRÁFICAS!$D:$D,[1]COORDENADAS_GEOGRÁFICAS!$G:$G)</f>
        <v>-12.621373</v>
      </c>
      <c r="Q140" s="52">
        <f>_xlfn.XLOOKUP(A140,[1]COORDENADAS_GEOGRÁFICAS!$D:$D,[1]COORDENADAS_GEOGRÁFICAS!$H:$H)</f>
        <v>-47.189050000000002</v>
      </c>
      <c r="R140" s="20">
        <f t="shared" si="2"/>
        <v>75.416850367667351</v>
      </c>
    </row>
    <row r="141" spans="1:18" x14ac:dyDescent="0.3">
      <c r="A141" s="24">
        <v>3464164</v>
      </c>
      <c r="B141" s="24" t="s">
        <v>765</v>
      </c>
      <c r="C141" s="24">
        <v>402301242</v>
      </c>
      <c r="D141" s="24" t="str">
        <f>_xlfn.XLOOKUP(C141,Planilha3!A:A,Planilha3!C:C)</f>
        <v>PARANÃ</v>
      </c>
      <c r="E141" s="24">
        <v>1</v>
      </c>
      <c r="F141" s="54">
        <f>_xlfn.XLOOKUP(C141,Planilha3!A:A,Planilha3!E:E)</f>
        <v>45436.65625</v>
      </c>
      <c r="G141" s="54">
        <f>_xlfn.XLOOKUP(C141,Planilha3!A:A,Planilha3!F:F)</f>
        <v>45449.65625</v>
      </c>
      <c r="H141" s="54">
        <f>_xlfn.XLOOKUP(C141,Planilha3!A:A,Planilha3!G:G)</f>
        <v>45922</v>
      </c>
      <c r="I141" s="23">
        <f>_xlfn.XLOOKUP(K141,Grupo!F:F,Grupo!G:G)</f>
        <v>46440.22</v>
      </c>
      <c r="J141" s="6">
        <f>_xlfn.XLOOKUP(D141,Grupo!B:B,Grupo!C:C)</f>
        <v>10</v>
      </c>
      <c r="K141" s="24">
        <f>_xlfn.XLOOKUP(A141,[1]COORDENADAS_GEOGRÁFICAS!$D:$D,[1]COORDENADAS_GEOGRÁFICAS!$F:$F)</f>
        <v>80</v>
      </c>
      <c r="L141" s="53"/>
      <c r="M141" s="53"/>
      <c r="N141" s="52">
        <f>_xlfn.XLOOKUP(D141,Grupo!B:B,Grupo!D:D)</f>
        <v>-12.620481488718251</v>
      </c>
      <c r="O141" s="52">
        <f>_xlfn.XLOOKUP(D141,Grupo!B:B,Grupo!E:E)</f>
        <v>-47.884083728442604</v>
      </c>
      <c r="P141" s="52">
        <f>_xlfn.XLOOKUP(A141,[1]COORDENADAS_GEOGRÁFICAS!$D:$D,[1]COORDENADAS_GEOGRÁFICAS!$G:$G)</f>
        <v>-12.800022</v>
      </c>
      <c r="Q141" s="52">
        <f>_xlfn.XLOOKUP(A141,[1]COORDENADAS_GEOGRÁFICAS!$D:$D,[1]COORDENADAS_GEOGRÁFICAS!$H:$H)</f>
        <v>-47.370617000000003</v>
      </c>
      <c r="R141" s="20">
        <f t="shared" si="2"/>
        <v>59.165689297490033</v>
      </c>
    </row>
    <row r="142" spans="1:18" x14ac:dyDescent="0.3">
      <c r="A142" s="24">
        <v>3464188</v>
      </c>
      <c r="B142" s="24" t="s">
        <v>765</v>
      </c>
      <c r="C142" s="24">
        <v>502300629</v>
      </c>
      <c r="D142" s="24" t="str">
        <f>_xlfn.XLOOKUP(C142,Planilha3!A:A,Planilha3!C:C)</f>
        <v>ARRAIAS</v>
      </c>
      <c r="E142" s="24">
        <v>1</v>
      </c>
      <c r="F142" s="54">
        <f>_xlfn.XLOOKUP(C142,Planilha3!A:A,Planilha3!E:E)</f>
        <v>45435.587187500001</v>
      </c>
      <c r="G142" s="54">
        <f>_xlfn.XLOOKUP(C142,Planilha3!A:A,Planilha3!F:F)</f>
        <v>45450.587187500001</v>
      </c>
      <c r="H142" s="54">
        <f>_xlfn.XLOOKUP(C142,Planilha3!A:A,Planilha3!G:G)</f>
        <v>45922</v>
      </c>
      <c r="I142" s="23">
        <f>_xlfn.XLOOKUP(K142,Grupo!F:F,Grupo!G:G)</f>
        <v>46440.22</v>
      </c>
      <c r="J142" s="6">
        <f>_xlfn.XLOOKUP(D142,Grupo!B:B,Grupo!C:C)</f>
        <v>3</v>
      </c>
      <c r="K142" s="24">
        <f>_xlfn.XLOOKUP(A142,[1]COORDENADAS_GEOGRÁFICAS!$D:$D,[1]COORDENADAS_GEOGRÁFICAS!$F:$F)</f>
        <v>80</v>
      </c>
      <c r="L142" s="53"/>
      <c r="M142" s="53"/>
      <c r="N142" s="52">
        <f>_xlfn.XLOOKUP(D142,Grupo!B:B,Grupo!D:D)</f>
        <v>-12.934419859259252</v>
      </c>
      <c r="O142" s="52">
        <f>_xlfn.XLOOKUP(D142,Grupo!B:B,Grupo!E:E)</f>
        <v>-46.946107058553359</v>
      </c>
      <c r="P142" s="52">
        <f>_xlfn.XLOOKUP(A142,[1]COORDENADAS_GEOGRÁFICAS!$D:$D,[1]COORDENADAS_GEOGRÁFICAS!$G:$G)</f>
        <v>-12.638662</v>
      </c>
      <c r="Q142" s="52">
        <f>_xlfn.XLOOKUP(A142,[1]COORDENADAS_GEOGRÁFICAS!$D:$D,[1]COORDENADAS_GEOGRÁFICAS!$H:$H)</f>
        <v>-47.150368</v>
      </c>
      <c r="R142" s="20">
        <f t="shared" si="2"/>
        <v>39.650226574563938</v>
      </c>
    </row>
    <row r="143" spans="1:18" x14ac:dyDescent="0.3">
      <c r="A143" s="24">
        <v>3463768</v>
      </c>
      <c r="B143" s="24" t="s">
        <v>765</v>
      </c>
      <c r="C143" s="24">
        <v>402301244</v>
      </c>
      <c r="D143" s="24" t="str">
        <f>_xlfn.XLOOKUP(C143,Planilha3!A:A,Planilha3!C:C)</f>
        <v>PARANÃ</v>
      </c>
      <c r="E143" s="24">
        <v>1</v>
      </c>
      <c r="F143" s="54">
        <f>_xlfn.XLOOKUP(C143,Planilha3!A:A,Planilha3!E:E)</f>
        <v>45437.665636574071</v>
      </c>
      <c r="G143" s="54">
        <f>_xlfn.XLOOKUP(C143,Planilha3!A:A,Planilha3!F:F)</f>
        <v>45453.665636574071</v>
      </c>
      <c r="H143" s="54">
        <f>_xlfn.XLOOKUP(C143,Planilha3!A:A,Planilha3!G:G)</f>
        <v>45922</v>
      </c>
      <c r="I143" s="23">
        <f>_xlfn.XLOOKUP(K143,Grupo!F:F,Grupo!G:G)</f>
        <v>46440.22</v>
      </c>
      <c r="J143" s="6">
        <f>_xlfn.XLOOKUP(D143,Grupo!B:B,Grupo!C:C)</f>
        <v>10</v>
      </c>
      <c r="K143" s="24">
        <f>_xlfn.XLOOKUP(A143,[1]COORDENADAS_GEOGRÁFICAS!$D:$D,[1]COORDENADAS_GEOGRÁFICAS!$F:$F)</f>
        <v>80</v>
      </c>
      <c r="L143" s="53"/>
      <c r="M143" s="53"/>
      <c r="N143" s="52">
        <f>_xlfn.XLOOKUP(D143,Grupo!B:B,Grupo!D:D)</f>
        <v>-12.620481488718251</v>
      </c>
      <c r="O143" s="52">
        <f>_xlfn.XLOOKUP(D143,Grupo!B:B,Grupo!E:E)</f>
        <v>-47.884083728442604</v>
      </c>
      <c r="P143" s="52">
        <f>_xlfn.XLOOKUP(A143,[1]COORDENADAS_GEOGRÁFICAS!$D:$D,[1]COORDENADAS_GEOGRÁFICAS!$G:$G)</f>
        <v>-13.305917000000001</v>
      </c>
      <c r="Q143" s="52">
        <f>_xlfn.XLOOKUP(A143,[1]COORDENADAS_GEOGRÁFICAS!$D:$D,[1]COORDENADAS_GEOGRÁFICAS!$H:$H)</f>
        <v>-47.685155000000002</v>
      </c>
      <c r="R143" s="20">
        <f t="shared" si="2"/>
        <v>79.206589436808642</v>
      </c>
    </row>
    <row r="144" spans="1:18" x14ac:dyDescent="0.3">
      <c r="A144" s="24">
        <v>3466403</v>
      </c>
      <c r="B144" s="24" t="s">
        <v>765</v>
      </c>
      <c r="C144" s="24">
        <v>402301245</v>
      </c>
      <c r="D144" s="24" t="str">
        <f>_xlfn.XLOOKUP(C144,Planilha3!A:A,Planilha3!C:C)</f>
        <v>PARANÃ</v>
      </c>
      <c r="E144" s="24">
        <v>1</v>
      </c>
      <c r="F144" s="54">
        <f>_xlfn.XLOOKUP(C144,Planilha3!A:A,Planilha3!E:E)</f>
        <v>45443.377662037034</v>
      </c>
      <c r="G144" s="54">
        <f>_xlfn.XLOOKUP(C144,Planilha3!A:A,Planilha3!F:F)</f>
        <v>45454.377662037034</v>
      </c>
      <c r="H144" s="54">
        <f>_xlfn.XLOOKUP(C144,Planilha3!A:A,Planilha3!G:G)</f>
        <v>45922</v>
      </c>
      <c r="I144" s="23">
        <f>_xlfn.XLOOKUP(K144,Grupo!F:F,Grupo!G:G)</f>
        <v>46440.22</v>
      </c>
      <c r="J144" s="6">
        <f>_xlfn.XLOOKUP(D144,Grupo!B:B,Grupo!C:C)</f>
        <v>10</v>
      </c>
      <c r="K144" s="24">
        <f>_xlfn.XLOOKUP(A144,[1]COORDENADAS_GEOGRÁFICAS!$D:$D,[1]COORDENADAS_GEOGRÁFICAS!$F:$F)</f>
        <v>80</v>
      </c>
      <c r="L144" s="53"/>
      <c r="M144" s="53"/>
      <c r="N144" s="52">
        <f>_xlfn.XLOOKUP(D144,Grupo!B:B,Grupo!D:D)</f>
        <v>-12.620481488718251</v>
      </c>
      <c r="O144" s="52">
        <f>_xlfn.XLOOKUP(D144,Grupo!B:B,Grupo!E:E)</f>
        <v>-47.884083728442604</v>
      </c>
      <c r="P144" s="52">
        <f>_xlfn.XLOOKUP(A144,[1]COORDENADAS_GEOGRÁFICAS!$D:$D,[1]COORDENADAS_GEOGRÁFICAS!$G:$G)</f>
        <v>-13.300147000000001</v>
      </c>
      <c r="Q144" s="52">
        <f>_xlfn.XLOOKUP(A144,[1]COORDENADAS_GEOGRÁFICAS!$D:$D,[1]COORDENADAS_GEOGRÁFICAS!$H:$H)</f>
        <v>-47.663437000000002</v>
      </c>
      <c r="R144" s="20">
        <f t="shared" si="2"/>
        <v>79.267299200017945</v>
      </c>
    </row>
    <row r="145" spans="1:18" x14ac:dyDescent="0.3">
      <c r="A145" s="24">
        <v>3462383</v>
      </c>
      <c r="B145" s="24" t="s">
        <v>765</v>
      </c>
      <c r="C145" s="24">
        <v>402301246</v>
      </c>
      <c r="D145" s="24" t="str">
        <f>_xlfn.XLOOKUP(C145,Planilha3!A:A,Planilha3!C:C)</f>
        <v>PARANÃ</v>
      </c>
      <c r="E145" s="24">
        <v>1</v>
      </c>
      <c r="F145" s="54">
        <f>_xlfn.XLOOKUP(C145,Planilha3!A:A,Planilha3!E:E)</f>
        <v>45449.620416666665</v>
      </c>
      <c r="G145" s="54">
        <f>_xlfn.XLOOKUP(C145,Planilha3!A:A,Planilha3!F:F)</f>
        <v>45461.620416666665</v>
      </c>
      <c r="H145" s="54">
        <f>_xlfn.XLOOKUP(C145,Planilha3!A:A,Planilha3!G:G)</f>
        <v>45922</v>
      </c>
      <c r="I145" s="23">
        <f>_xlfn.XLOOKUP(K145,Grupo!F:F,Grupo!G:G)</f>
        <v>46440.22</v>
      </c>
      <c r="J145" s="6">
        <f>_xlfn.XLOOKUP(D145,Grupo!B:B,Grupo!C:C)</f>
        <v>10</v>
      </c>
      <c r="K145" s="24">
        <f>_xlfn.XLOOKUP(A145,[1]COORDENADAS_GEOGRÁFICAS!$D:$D,[1]COORDENADAS_GEOGRÁFICAS!$F:$F)</f>
        <v>80</v>
      </c>
      <c r="L145" s="53"/>
      <c r="M145" s="53"/>
      <c r="N145" s="52">
        <f>_xlfn.XLOOKUP(D145,Grupo!B:B,Grupo!D:D)</f>
        <v>-12.620481488718251</v>
      </c>
      <c r="O145" s="52">
        <f>_xlfn.XLOOKUP(D145,Grupo!B:B,Grupo!E:E)</f>
        <v>-47.884083728442604</v>
      </c>
      <c r="P145" s="52">
        <f>_xlfn.XLOOKUP(A145,[1]COORDENADAS_GEOGRÁFICAS!$D:$D,[1]COORDENADAS_GEOGRÁFICAS!$G:$G)</f>
        <v>-13.309205</v>
      </c>
      <c r="Q145" s="52">
        <f>_xlfn.XLOOKUP(A145,[1]COORDENADAS_GEOGRÁFICAS!$D:$D,[1]COORDENADAS_GEOGRÁFICAS!$H:$H)</f>
        <v>-47.709792</v>
      </c>
      <c r="R145" s="20">
        <f t="shared" si="2"/>
        <v>78.876969174247705</v>
      </c>
    </row>
    <row r="146" spans="1:18" x14ac:dyDescent="0.3">
      <c r="A146" s="24">
        <v>3466637</v>
      </c>
      <c r="B146" s="24" t="s">
        <v>765</v>
      </c>
      <c r="C146" s="24">
        <v>402400104</v>
      </c>
      <c r="D146" s="24" t="str">
        <f>_xlfn.XLOOKUP(C146,Planilha3!A:A,Planilha3!C:C)</f>
        <v>PARANÃ</v>
      </c>
      <c r="E146" s="24">
        <v>1</v>
      </c>
      <c r="F146" s="54">
        <f>_xlfn.XLOOKUP(C146,Planilha3!A:A,Planilha3!E:E)</f>
        <v>45456.421990740739</v>
      </c>
      <c r="G146" s="54">
        <f>_xlfn.XLOOKUP(C146,Planilha3!A:A,Planilha3!F:F)</f>
        <v>45469.421990740739</v>
      </c>
      <c r="H146" s="54">
        <f>_xlfn.XLOOKUP(C146,Planilha3!A:A,Planilha3!G:G)</f>
        <v>45922</v>
      </c>
      <c r="I146" s="23">
        <f>_xlfn.XLOOKUP(K146,Grupo!F:F,Grupo!G:G)</f>
        <v>46440.22</v>
      </c>
      <c r="J146" s="6">
        <f>_xlfn.XLOOKUP(D146,Grupo!B:B,Grupo!C:C)</f>
        <v>10</v>
      </c>
      <c r="K146" s="24">
        <f>_xlfn.XLOOKUP(A146,[1]COORDENADAS_GEOGRÁFICAS!$D:$D,[1]COORDENADAS_GEOGRÁFICAS!$F:$F)</f>
        <v>80</v>
      </c>
      <c r="L146" s="53"/>
      <c r="M146" s="53"/>
      <c r="N146" s="52">
        <f>_xlfn.XLOOKUP(D146,Grupo!B:B,Grupo!D:D)</f>
        <v>-12.620481488718251</v>
      </c>
      <c r="O146" s="52">
        <f>_xlfn.XLOOKUP(D146,Grupo!B:B,Grupo!E:E)</f>
        <v>-47.884083728442604</v>
      </c>
      <c r="P146" s="52">
        <f>_xlfn.XLOOKUP(A146,[1]COORDENADAS_GEOGRÁFICAS!$D:$D,[1]COORDENADAS_GEOGRÁFICAS!$G:$G)</f>
        <v>-13.283047</v>
      </c>
      <c r="Q146" s="52">
        <f>_xlfn.XLOOKUP(A146,[1]COORDENADAS_GEOGRÁFICAS!$D:$D,[1]COORDENADAS_GEOGRÁFICAS!$H:$H)</f>
        <v>-47.673997</v>
      </c>
      <c r="R146" s="20">
        <f t="shared" si="2"/>
        <v>77.111238204131737</v>
      </c>
    </row>
    <row r="147" spans="1:18" x14ac:dyDescent="0.3">
      <c r="A147" s="24">
        <v>3466867</v>
      </c>
      <c r="B147" s="24" t="s">
        <v>765</v>
      </c>
      <c r="C147" s="24">
        <v>402400102</v>
      </c>
      <c r="D147" s="24" t="str">
        <f>_xlfn.XLOOKUP(C147,Planilha3!A:A,Planilha3!C:C)</f>
        <v>PARANÃ</v>
      </c>
      <c r="E147" s="24">
        <v>1</v>
      </c>
      <c r="F147" s="54">
        <f>_xlfn.XLOOKUP(C147,Planilha3!A:A,Planilha3!E:E)</f>
        <v>45454.605810185189</v>
      </c>
      <c r="G147" s="54">
        <f>_xlfn.XLOOKUP(C147,Planilha3!A:A,Planilha3!F:F)</f>
        <v>45469.605810185189</v>
      </c>
      <c r="H147" s="54">
        <f>_xlfn.XLOOKUP(C147,Planilha3!A:A,Planilha3!G:G)</f>
        <v>45922</v>
      </c>
      <c r="I147" s="23">
        <f>_xlfn.XLOOKUP(K147,Grupo!F:F,Grupo!G:G)</f>
        <v>46440.22</v>
      </c>
      <c r="J147" s="6">
        <f>_xlfn.XLOOKUP(D147,Grupo!B:B,Grupo!C:C)</f>
        <v>10</v>
      </c>
      <c r="K147" s="24">
        <f>_xlfn.XLOOKUP(A147,[1]COORDENADAS_GEOGRÁFICAS!$D:$D,[1]COORDENADAS_GEOGRÁFICAS!$F:$F)</f>
        <v>80</v>
      </c>
      <c r="L147" s="53"/>
      <c r="M147" s="53"/>
      <c r="N147" s="52">
        <f>_xlfn.XLOOKUP(D147,Grupo!B:B,Grupo!D:D)</f>
        <v>-12.620481488718251</v>
      </c>
      <c r="O147" s="52">
        <f>_xlfn.XLOOKUP(D147,Grupo!B:B,Grupo!E:E)</f>
        <v>-47.884083728442604</v>
      </c>
      <c r="P147" s="52">
        <f>_xlfn.XLOOKUP(A147,[1]COORDENADAS_GEOGRÁFICAS!$D:$D,[1]COORDENADAS_GEOGRÁFICAS!$G:$G)</f>
        <v>-13.39442</v>
      </c>
      <c r="Q147" s="52">
        <f>_xlfn.XLOOKUP(A147,[1]COORDENADAS_GEOGRÁFICAS!$D:$D,[1]COORDENADAS_GEOGRÁFICAS!$H:$H)</f>
        <v>-47.694913</v>
      </c>
      <c r="R147" s="20">
        <f t="shared" si="2"/>
        <v>88.46483360637022</v>
      </c>
    </row>
    <row r="148" spans="1:18" x14ac:dyDescent="0.3">
      <c r="A148" s="24">
        <v>3463788</v>
      </c>
      <c r="B148" s="24" t="s">
        <v>765</v>
      </c>
      <c r="C148" s="24">
        <v>402400041</v>
      </c>
      <c r="D148" s="24" t="str">
        <f>_xlfn.XLOOKUP(C148,Planilha3!A:A,Planilha3!C:C)</f>
        <v>PARANÃ</v>
      </c>
      <c r="E148" s="24">
        <v>1</v>
      </c>
      <c r="F148" s="54">
        <f>_xlfn.XLOOKUP(C148,Planilha3!A:A,Planilha3!E:E)</f>
        <v>45443.354849537034</v>
      </c>
      <c r="G148" s="54">
        <f>_xlfn.XLOOKUP(C148,Planilha3!A:A,Planilha3!F:F)</f>
        <v>45454.354849537034</v>
      </c>
      <c r="H148" s="54">
        <f>_xlfn.XLOOKUP(C148,Planilha3!A:A,Planilha3!G:G)</f>
        <v>45922</v>
      </c>
      <c r="I148" s="23">
        <f>_xlfn.XLOOKUP(K148,Grupo!F:F,Grupo!G:G)</f>
        <v>46440.22</v>
      </c>
      <c r="J148" s="6">
        <f>_xlfn.XLOOKUP(D148,Grupo!B:B,Grupo!C:C)</f>
        <v>10</v>
      </c>
      <c r="K148" s="24">
        <f>_xlfn.XLOOKUP(A148,[1]COORDENADAS_GEOGRÁFICAS!$D:$D,[1]COORDENADAS_GEOGRÁFICAS!$F:$F)</f>
        <v>80</v>
      </c>
      <c r="L148" s="53"/>
      <c r="M148" s="53"/>
      <c r="N148" s="52">
        <f>_xlfn.XLOOKUP(D148,Grupo!B:B,Grupo!D:D)</f>
        <v>-12.620481488718251</v>
      </c>
      <c r="O148" s="52">
        <f>_xlfn.XLOOKUP(D148,Grupo!B:B,Grupo!E:E)</f>
        <v>-47.884083728442604</v>
      </c>
      <c r="P148" s="52">
        <f>_xlfn.XLOOKUP(A148,[1]COORDENADAS_GEOGRÁFICAS!$D:$D,[1]COORDENADAS_GEOGRÁFICAS!$G:$G)</f>
        <v>-13.386588</v>
      </c>
      <c r="Q148" s="52">
        <f>_xlfn.XLOOKUP(A148,[1]COORDENADAS_GEOGRÁFICAS!$D:$D,[1]COORDENADAS_GEOGRÁFICAS!$H:$H)</f>
        <v>-47.691177000000003</v>
      </c>
      <c r="R148" s="20">
        <f t="shared" si="2"/>
        <v>87.713521558605109</v>
      </c>
    </row>
    <row r="149" spans="1:18" x14ac:dyDescent="0.3">
      <c r="A149" s="24">
        <v>3466488</v>
      </c>
      <c r="B149" s="24" t="s">
        <v>765</v>
      </c>
      <c r="C149" s="24">
        <v>402400052</v>
      </c>
      <c r="D149" s="24" t="str">
        <f>_xlfn.XLOOKUP(C149,Planilha3!A:A,Planilha3!C:C)</f>
        <v>PARANÃ</v>
      </c>
      <c r="E149" s="24">
        <v>1</v>
      </c>
      <c r="F149" s="54">
        <f>_xlfn.XLOOKUP(C149,Planilha3!A:A,Planilha3!E:E)</f>
        <v>45449.667870370373</v>
      </c>
      <c r="G149" s="54">
        <f>_xlfn.XLOOKUP(C149,Planilha3!A:A,Planilha3!F:F)</f>
        <v>45461.667870370373</v>
      </c>
      <c r="H149" s="54">
        <f>_xlfn.XLOOKUP(C149,Planilha3!A:A,Planilha3!G:G)</f>
        <v>45922</v>
      </c>
      <c r="I149" s="23">
        <f>_xlfn.XLOOKUP(K149,Grupo!F:F,Grupo!G:G)</f>
        <v>46440.22</v>
      </c>
      <c r="J149" s="6">
        <f>_xlfn.XLOOKUP(D149,Grupo!B:B,Grupo!C:C)</f>
        <v>10</v>
      </c>
      <c r="K149" s="24">
        <f>_xlfn.XLOOKUP(A149,[1]COORDENADAS_GEOGRÁFICAS!$D:$D,[1]COORDENADAS_GEOGRÁFICAS!$F:$F)</f>
        <v>80</v>
      </c>
      <c r="L149" s="53"/>
      <c r="M149" s="53"/>
      <c r="N149" s="52">
        <f>_xlfn.XLOOKUP(D149,Grupo!B:B,Grupo!D:D)</f>
        <v>-12.620481488718251</v>
      </c>
      <c r="O149" s="52">
        <f>_xlfn.XLOOKUP(D149,Grupo!B:B,Grupo!E:E)</f>
        <v>-47.884083728442604</v>
      </c>
      <c r="P149" s="52">
        <f>_xlfn.XLOOKUP(A149,[1]COORDENADAS_GEOGRÁFICAS!$D:$D,[1]COORDENADAS_GEOGRÁFICAS!$G:$G)</f>
        <v>-13.379332</v>
      </c>
      <c r="Q149" s="52">
        <f>_xlfn.XLOOKUP(A149,[1]COORDENADAS_GEOGRÁFICAS!$D:$D,[1]COORDENADAS_GEOGRÁFICAS!$H:$H)</f>
        <v>-47.698765000000002</v>
      </c>
      <c r="R149" s="20">
        <f t="shared" si="2"/>
        <v>86.736229613120159</v>
      </c>
    </row>
    <row r="150" spans="1:18" x14ac:dyDescent="0.3">
      <c r="A150" s="24">
        <v>3466643</v>
      </c>
      <c r="B150" s="24" t="s">
        <v>765</v>
      </c>
      <c r="C150" s="24">
        <v>402400054</v>
      </c>
      <c r="D150" s="24" t="str">
        <f>_xlfn.XLOOKUP(C150,Planilha3!A:A,Planilha3!C:C)</f>
        <v>PARANÃ</v>
      </c>
      <c r="E150" s="24">
        <v>1</v>
      </c>
      <c r="F150" s="54">
        <f>_xlfn.XLOOKUP(C150,Planilha3!A:A,Planilha3!E:E)</f>
        <v>45449.437523148146</v>
      </c>
      <c r="G150" s="54">
        <f>_xlfn.XLOOKUP(C150,Planilha3!A:A,Planilha3!F:F)</f>
        <v>45462.437523148146</v>
      </c>
      <c r="H150" s="54">
        <f>_xlfn.XLOOKUP(C150,Planilha3!A:A,Planilha3!G:G)</f>
        <v>45922</v>
      </c>
      <c r="I150" s="23">
        <f>_xlfn.XLOOKUP(K150,Grupo!F:F,Grupo!G:G)</f>
        <v>46440.22</v>
      </c>
      <c r="J150" s="6">
        <f>_xlfn.XLOOKUP(D150,Grupo!B:B,Grupo!C:C)</f>
        <v>10</v>
      </c>
      <c r="K150" s="24">
        <f>_xlfn.XLOOKUP(A150,[1]COORDENADAS_GEOGRÁFICAS!$D:$D,[1]COORDENADAS_GEOGRÁFICAS!$F:$F)</f>
        <v>80</v>
      </c>
      <c r="L150" s="53"/>
      <c r="M150" s="53"/>
      <c r="N150" s="52">
        <f>_xlfn.XLOOKUP(D150,Grupo!B:B,Grupo!D:D)</f>
        <v>-12.620481488718251</v>
      </c>
      <c r="O150" s="52">
        <f>_xlfn.XLOOKUP(D150,Grupo!B:B,Grupo!E:E)</f>
        <v>-47.884083728442604</v>
      </c>
      <c r="P150" s="52">
        <f>_xlfn.XLOOKUP(A150,[1]COORDENADAS_GEOGRÁFICAS!$D:$D,[1]COORDENADAS_GEOGRÁFICAS!$G:$G)</f>
        <v>-13.281515000000001</v>
      </c>
      <c r="Q150" s="52">
        <f>_xlfn.XLOOKUP(A150,[1]COORDENADAS_GEOGRÁFICAS!$D:$D,[1]COORDENADAS_GEOGRÁFICAS!$H:$H)</f>
        <v>-47.657032999999998</v>
      </c>
      <c r="R150" s="20">
        <f t="shared" si="2"/>
        <v>77.512300597692615</v>
      </c>
    </row>
    <row r="151" spans="1:18" x14ac:dyDescent="0.3">
      <c r="A151" s="24">
        <v>3466586</v>
      </c>
      <c r="B151" s="24" t="s">
        <v>765</v>
      </c>
      <c r="C151" s="24">
        <v>402400035</v>
      </c>
      <c r="D151" s="24" t="str">
        <f>_xlfn.XLOOKUP(C151,Planilha3!A:A,Planilha3!C:C)</f>
        <v>PARANÃ</v>
      </c>
      <c r="E151" s="24">
        <v>1</v>
      </c>
      <c r="F151" s="54">
        <f>_xlfn.XLOOKUP(C151,Planilha3!A:A,Planilha3!E:E)</f>
        <v>45438.465810185182</v>
      </c>
      <c r="G151" s="54">
        <f>_xlfn.XLOOKUP(C151,Planilha3!A:A,Planilha3!F:F)</f>
        <v>45453.465810185182</v>
      </c>
      <c r="H151" s="54">
        <f>_xlfn.XLOOKUP(C151,Planilha3!A:A,Planilha3!G:G)</f>
        <v>45922</v>
      </c>
      <c r="I151" s="23">
        <f>_xlfn.XLOOKUP(K151,Grupo!F:F,Grupo!G:G)</f>
        <v>46440.22</v>
      </c>
      <c r="J151" s="6">
        <f>_xlfn.XLOOKUP(D151,Grupo!B:B,Grupo!C:C)</f>
        <v>10</v>
      </c>
      <c r="K151" s="24">
        <f>_xlfn.XLOOKUP(A151,[1]COORDENADAS_GEOGRÁFICAS!$D:$D,[1]COORDENADAS_GEOGRÁFICAS!$F:$F)</f>
        <v>80</v>
      </c>
      <c r="L151" s="53"/>
      <c r="M151" s="53"/>
      <c r="N151" s="52">
        <f>_xlfn.XLOOKUP(D151,Grupo!B:B,Grupo!D:D)</f>
        <v>-12.620481488718251</v>
      </c>
      <c r="O151" s="52">
        <f>_xlfn.XLOOKUP(D151,Grupo!B:B,Grupo!E:E)</f>
        <v>-47.884083728442604</v>
      </c>
      <c r="P151" s="52">
        <f>_xlfn.XLOOKUP(A151,[1]COORDENADAS_GEOGRÁFICAS!$D:$D,[1]COORDENADAS_GEOGRÁFICAS!$G:$G)</f>
        <v>-13.250030000000001</v>
      </c>
      <c r="Q151" s="52">
        <f>_xlfn.XLOOKUP(A151,[1]COORDENADAS_GEOGRÁFICAS!$D:$D,[1]COORDENADAS_GEOGRÁFICAS!$H:$H)</f>
        <v>-47.717782999999997</v>
      </c>
      <c r="R151" s="20">
        <f t="shared" si="2"/>
        <v>72.2853535077722</v>
      </c>
    </row>
    <row r="152" spans="1:18" x14ac:dyDescent="0.3">
      <c r="A152" s="24">
        <v>3464202</v>
      </c>
      <c r="B152" s="24" t="s">
        <v>765</v>
      </c>
      <c r="C152" s="24">
        <v>402400036</v>
      </c>
      <c r="D152" s="24" t="str">
        <f>_xlfn.XLOOKUP(C152,Planilha3!A:A,Planilha3!C:C)</f>
        <v>PARANÃ</v>
      </c>
      <c r="E152" s="24">
        <v>1</v>
      </c>
      <c r="F152" s="54">
        <f>_xlfn.XLOOKUP(C152,Planilha3!A:A,Planilha3!E:E)</f>
        <v>45437.655347222222</v>
      </c>
      <c r="G152" s="54">
        <f>_xlfn.XLOOKUP(C152,Planilha3!A:A,Planilha3!F:F)</f>
        <v>45453.655347222222</v>
      </c>
      <c r="H152" s="54">
        <f>_xlfn.XLOOKUP(C152,Planilha3!A:A,Planilha3!G:G)</f>
        <v>45922</v>
      </c>
      <c r="I152" s="23">
        <f>_xlfn.XLOOKUP(K152,Grupo!F:F,Grupo!G:G)</f>
        <v>46440.22</v>
      </c>
      <c r="J152" s="6">
        <f>_xlfn.XLOOKUP(D152,Grupo!B:B,Grupo!C:C)</f>
        <v>10</v>
      </c>
      <c r="K152" s="24">
        <f>_xlfn.XLOOKUP(A152,[1]COORDENADAS_GEOGRÁFICAS!$D:$D,[1]COORDENADAS_GEOGRÁFICAS!$F:$F)</f>
        <v>80</v>
      </c>
      <c r="L152" s="53"/>
      <c r="M152" s="53"/>
      <c r="N152" s="52">
        <f>_xlfn.XLOOKUP(D152,Grupo!B:B,Grupo!D:D)</f>
        <v>-12.620481488718251</v>
      </c>
      <c r="O152" s="52">
        <f>_xlfn.XLOOKUP(D152,Grupo!B:B,Grupo!E:E)</f>
        <v>-47.884083728442604</v>
      </c>
      <c r="P152" s="52">
        <f>_xlfn.XLOOKUP(A152,[1]COORDENADAS_GEOGRÁFICAS!$D:$D,[1]COORDENADAS_GEOGRÁFICAS!$G:$G)</f>
        <v>-13.245927</v>
      </c>
      <c r="Q152" s="52">
        <f>_xlfn.XLOOKUP(A152,[1]COORDENADAS_GEOGRÁFICAS!$D:$D,[1]COORDENADAS_GEOGRÁFICAS!$H:$H)</f>
        <v>-47.719141999999998</v>
      </c>
      <c r="R152" s="20">
        <f t="shared" si="2"/>
        <v>71.806851227919893</v>
      </c>
    </row>
    <row r="153" spans="1:18" x14ac:dyDescent="0.3">
      <c r="A153" s="24">
        <v>3466632</v>
      </c>
      <c r="B153" s="24" t="s">
        <v>765</v>
      </c>
      <c r="C153" s="24">
        <v>402400046</v>
      </c>
      <c r="D153" s="24" t="str">
        <f>_xlfn.XLOOKUP(C153,Planilha3!A:A,Planilha3!C:C)</f>
        <v>PARANÃ</v>
      </c>
      <c r="E153" s="24">
        <v>1</v>
      </c>
      <c r="F153" s="54">
        <f>_xlfn.XLOOKUP(C153,Planilha3!A:A,Planilha3!E:E)</f>
        <v>45450.400787037041</v>
      </c>
      <c r="G153" s="54">
        <f>_xlfn.XLOOKUP(C153,Planilha3!A:A,Planilha3!F:F)</f>
        <v>45461.400787037041</v>
      </c>
      <c r="H153" s="54">
        <f>_xlfn.XLOOKUP(C153,Planilha3!A:A,Planilha3!G:G)</f>
        <v>45922</v>
      </c>
      <c r="I153" s="23">
        <f>_xlfn.XLOOKUP(K153,Grupo!F:F,Grupo!G:G)</f>
        <v>46440.22</v>
      </c>
      <c r="J153" s="6">
        <f>_xlfn.XLOOKUP(D153,Grupo!B:B,Grupo!C:C)</f>
        <v>10</v>
      </c>
      <c r="K153" s="24">
        <f>_xlfn.XLOOKUP(A153,[1]COORDENADAS_GEOGRÁFICAS!$D:$D,[1]COORDENADAS_GEOGRÁFICAS!$F:$F)</f>
        <v>80</v>
      </c>
      <c r="L153" s="53"/>
      <c r="M153" s="53"/>
      <c r="N153" s="52">
        <f>_xlfn.XLOOKUP(D153,Grupo!B:B,Grupo!D:D)</f>
        <v>-12.620481488718251</v>
      </c>
      <c r="O153" s="52">
        <f>_xlfn.XLOOKUP(D153,Grupo!B:B,Grupo!E:E)</f>
        <v>-47.884083728442604</v>
      </c>
      <c r="P153" s="52">
        <f>_xlfn.XLOOKUP(A153,[1]COORDENADAS_GEOGRÁFICAS!$D:$D,[1]COORDENADAS_GEOGRÁFICAS!$G:$G)</f>
        <v>-13.379082</v>
      </c>
      <c r="Q153" s="52">
        <f>_xlfn.XLOOKUP(A153,[1]COORDENADAS_GEOGRÁFICAS!$D:$D,[1]COORDENADAS_GEOGRÁFICAS!$H:$H)</f>
        <v>-47.698892000000001</v>
      </c>
      <c r="R153" s="20">
        <f t="shared" si="2"/>
        <v>86.706003410780411</v>
      </c>
    </row>
    <row r="154" spans="1:18" x14ac:dyDescent="0.3">
      <c r="A154" s="24">
        <v>3463779</v>
      </c>
      <c r="B154" s="24" t="s">
        <v>765</v>
      </c>
      <c r="C154" s="24">
        <v>402400040</v>
      </c>
      <c r="D154" s="24" t="str">
        <f>_xlfn.XLOOKUP(C154,Planilha3!A:A,Planilha3!C:C)</f>
        <v>PARANÃ</v>
      </c>
      <c r="E154" s="24">
        <v>1</v>
      </c>
      <c r="F154" s="54">
        <f>_xlfn.XLOOKUP(C154,Planilha3!A:A,Planilha3!E:E)</f>
        <v>45442.350347222222</v>
      </c>
      <c r="G154" s="54">
        <f>_xlfn.XLOOKUP(C154,Planilha3!A:A,Planilha3!F:F)</f>
        <v>45454.350347222222</v>
      </c>
      <c r="H154" s="54">
        <f>_xlfn.XLOOKUP(C154,Planilha3!A:A,Planilha3!G:G)</f>
        <v>45922</v>
      </c>
      <c r="I154" s="23">
        <f>_xlfn.XLOOKUP(K154,Grupo!F:F,Grupo!G:G)</f>
        <v>46440.22</v>
      </c>
      <c r="J154" s="6">
        <f>_xlfn.XLOOKUP(D154,Grupo!B:B,Grupo!C:C)</f>
        <v>10</v>
      </c>
      <c r="K154" s="24">
        <f>_xlfn.XLOOKUP(A154,[1]COORDENADAS_GEOGRÁFICAS!$D:$D,[1]COORDENADAS_GEOGRÁFICAS!$F:$F)</f>
        <v>80</v>
      </c>
      <c r="L154" s="53"/>
      <c r="M154" s="53"/>
      <c r="N154" s="52">
        <f>_xlfn.XLOOKUP(D154,Grupo!B:B,Grupo!D:D)</f>
        <v>-12.620481488718251</v>
      </c>
      <c r="O154" s="52">
        <f>_xlfn.XLOOKUP(D154,Grupo!B:B,Grupo!E:E)</f>
        <v>-47.884083728442604</v>
      </c>
      <c r="P154" s="52">
        <f>_xlfn.XLOOKUP(A154,[1]COORDENADAS_GEOGRÁFICAS!$D:$D,[1]COORDENADAS_GEOGRÁFICAS!$G:$G)</f>
        <v>-13.236416999999999</v>
      </c>
      <c r="Q154" s="52">
        <f>_xlfn.XLOOKUP(A154,[1]COORDENADAS_GEOGRÁFICAS!$D:$D,[1]COORDENADAS_GEOGRÁFICAS!$H:$H)</f>
        <v>-47.671441000000002</v>
      </c>
      <c r="R154" s="20">
        <f t="shared" si="2"/>
        <v>72.262124153394609</v>
      </c>
    </row>
    <row r="155" spans="1:18" x14ac:dyDescent="0.3">
      <c r="A155" s="24">
        <v>3463770</v>
      </c>
      <c r="B155" s="24" t="s">
        <v>765</v>
      </c>
      <c r="C155" s="24">
        <v>402400037</v>
      </c>
      <c r="D155" s="24" t="str">
        <f>_xlfn.XLOOKUP(C155,Planilha3!A:A,Planilha3!C:C)</f>
        <v>PARANÃ</v>
      </c>
      <c r="E155" s="24">
        <v>1</v>
      </c>
      <c r="F155" s="54">
        <f>_xlfn.XLOOKUP(C155,Planilha3!A:A,Planilha3!E:E)</f>
        <v>45440.720219907409</v>
      </c>
      <c r="G155" s="54">
        <f>_xlfn.XLOOKUP(C155,Planilha3!A:A,Planilha3!F:F)</f>
        <v>45453.720219907409</v>
      </c>
      <c r="H155" s="54">
        <f>_xlfn.XLOOKUP(C155,Planilha3!A:A,Planilha3!G:G)</f>
        <v>45922</v>
      </c>
      <c r="I155" s="23">
        <f>_xlfn.XLOOKUP(K155,Grupo!F:F,Grupo!G:G)</f>
        <v>46440.22</v>
      </c>
      <c r="J155" s="6">
        <f>_xlfn.XLOOKUP(D155,Grupo!B:B,Grupo!C:C)</f>
        <v>10</v>
      </c>
      <c r="K155" s="24">
        <f>_xlfn.XLOOKUP(A155,[1]COORDENADAS_GEOGRÁFICAS!$D:$D,[1]COORDENADAS_GEOGRÁFICAS!$F:$F)</f>
        <v>80</v>
      </c>
      <c r="L155" s="53"/>
      <c r="M155" s="53"/>
      <c r="N155" s="52">
        <f>_xlfn.XLOOKUP(D155,Grupo!B:B,Grupo!D:D)</f>
        <v>-12.620481488718251</v>
      </c>
      <c r="O155" s="52">
        <f>_xlfn.XLOOKUP(D155,Grupo!B:B,Grupo!E:E)</f>
        <v>-47.884083728442604</v>
      </c>
      <c r="P155" s="52">
        <f>_xlfn.XLOOKUP(A155,[1]COORDENADAS_GEOGRÁFICAS!$D:$D,[1]COORDENADAS_GEOGRÁFICAS!$G:$G)</f>
        <v>-13.306405</v>
      </c>
      <c r="Q155" s="52">
        <f>_xlfn.XLOOKUP(A155,[1]COORDENADAS_GEOGRÁFICAS!$D:$D,[1]COORDENADAS_GEOGRÁFICAS!$H:$H)</f>
        <v>-47.685738000000001</v>
      </c>
      <c r="R155" s="20">
        <f t="shared" si="2"/>
        <v>79.241641918189046</v>
      </c>
    </row>
    <row r="156" spans="1:18" x14ac:dyDescent="0.3">
      <c r="A156" s="24">
        <v>3463789</v>
      </c>
      <c r="B156" s="24" t="s">
        <v>765</v>
      </c>
      <c r="C156" s="24">
        <v>402400042</v>
      </c>
      <c r="D156" s="24" t="str">
        <f>_xlfn.XLOOKUP(C156,Planilha3!A:A,Planilha3!C:C)</f>
        <v>PARANÃ</v>
      </c>
      <c r="E156" s="24">
        <v>1</v>
      </c>
      <c r="F156" s="54">
        <f>_xlfn.XLOOKUP(C156,Planilha3!A:A,Planilha3!E:E)</f>
        <v>45439.358993055554</v>
      </c>
      <c r="G156" s="54">
        <f>_xlfn.XLOOKUP(C156,Planilha3!A:A,Planilha3!F:F)</f>
        <v>45454.358993055554</v>
      </c>
      <c r="H156" s="54">
        <f>_xlfn.XLOOKUP(C156,Planilha3!A:A,Planilha3!G:G)</f>
        <v>45922</v>
      </c>
      <c r="I156" s="23">
        <f>_xlfn.XLOOKUP(K156,Grupo!F:F,Grupo!G:G)</f>
        <v>46440.22</v>
      </c>
      <c r="J156" s="6">
        <f>_xlfn.XLOOKUP(D156,Grupo!B:B,Grupo!C:C)</f>
        <v>10</v>
      </c>
      <c r="K156" s="24">
        <f>_xlfn.XLOOKUP(A156,[1]COORDENADAS_GEOGRÁFICAS!$D:$D,[1]COORDENADAS_GEOGRÁFICAS!$F:$F)</f>
        <v>80</v>
      </c>
      <c r="L156" s="53"/>
      <c r="M156" s="53"/>
      <c r="N156" s="52">
        <f>_xlfn.XLOOKUP(D156,Grupo!B:B,Grupo!D:D)</f>
        <v>-12.620481488718251</v>
      </c>
      <c r="O156" s="52">
        <f>_xlfn.XLOOKUP(D156,Grupo!B:B,Grupo!E:E)</f>
        <v>-47.884083728442604</v>
      </c>
      <c r="P156" s="52">
        <f>_xlfn.XLOOKUP(A156,[1]COORDENADAS_GEOGRÁFICAS!$D:$D,[1]COORDENADAS_GEOGRÁFICAS!$G:$G)</f>
        <v>-13.378665</v>
      </c>
      <c r="Q156" s="52">
        <f>_xlfn.XLOOKUP(A156,[1]COORDENADAS_GEOGRÁFICAS!$D:$D,[1]COORDENADAS_GEOGRÁFICAS!$H:$H)</f>
        <v>-47.684871999999999</v>
      </c>
      <c r="R156" s="20">
        <f t="shared" si="2"/>
        <v>87.025133856551761</v>
      </c>
    </row>
    <row r="157" spans="1:18" x14ac:dyDescent="0.3">
      <c r="A157" s="24">
        <v>3464200</v>
      </c>
      <c r="B157" s="24" t="s">
        <v>765</v>
      </c>
      <c r="C157" s="24">
        <v>402400034</v>
      </c>
      <c r="D157" s="24" t="str">
        <f>_xlfn.XLOOKUP(C157,Planilha3!A:A,Planilha3!C:C)</f>
        <v>PARANÃ</v>
      </c>
      <c r="E157" s="24">
        <v>1</v>
      </c>
      <c r="F157" s="54">
        <f>_xlfn.XLOOKUP(C157,Planilha3!A:A,Planilha3!E:E)</f>
        <v>45442.424027777779</v>
      </c>
      <c r="G157" s="54">
        <f>_xlfn.XLOOKUP(C157,Planilha3!A:A,Planilha3!F:F)</f>
        <v>45453.424027777779</v>
      </c>
      <c r="H157" s="54">
        <f>_xlfn.XLOOKUP(C157,Planilha3!A:A,Planilha3!G:G)</f>
        <v>45922</v>
      </c>
      <c r="I157" s="23">
        <f>_xlfn.XLOOKUP(K157,Grupo!F:F,Grupo!G:G)</f>
        <v>46440.22</v>
      </c>
      <c r="J157" s="6">
        <f>_xlfn.XLOOKUP(D157,Grupo!B:B,Grupo!C:C)</f>
        <v>10</v>
      </c>
      <c r="K157" s="24">
        <f>_xlfn.XLOOKUP(A157,[1]COORDENADAS_GEOGRÁFICAS!$D:$D,[1]COORDENADAS_GEOGRÁFICAS!$F:$F)</f>
        <v>80</v>
      </c>
      <c r="L157" s="53"/>
      <c r="M157" s="53"/>
      <c r="N157" s="52">
        <f>_xlfn.XLOOKUP(D157,Grupo!B:B,Grupo!D:D)</f>
        <v>-12.620481488718251</v>
      </c>
      <c r="O157" s="52">
        <f>_xlfn.XLOOKUP(D157,Grupo!B:B,Grupo!E:E)</f>
        <v>-47.884083728442604</v>
      </c>
      <c r="P157" s="52">
        <f>_xlfn.XLOOKUP(A157,[1]COORDENADAS_GEOGRÁFICAS!$D:$D,[1]COORDENADAS_GEOGRÁFICAS!$G:$G)</f>
        <v>-13.174105000000001</v>
      </c>
      <c r="Q157" s="52">
        <f>_xlfn.XLOOKUP(A157,[1]COORDENADAS_GEOGRÁFICAS!$D:$D,[1]COORDENADAS_GEOGRÁFICAS!$H:$H)</f>
        <v>-47.661403</v>
      </c>
      <c r="R157" s="20">
        <f t="shared" si="2"/>
        <v>66.122646251605758</v>
      </c>
    </row>
    <row r="158" spans="1:18" x14ac:dyDescent="0.3">
      <c r="A158" s="24">
        <v>3463771</v>
      </c>
      <c r="B158" s="24" t="s">
        <v>765</v>
      </c>
      <c r="C158" s="24">
        <v>402400038</v>
      </c>
      <c r="D158" s="24" t="str">
        <f>_xlfn.XLOOKUP(C158,Planilha3!A:A,Planilha3!C:C)</f>
        <v>PARANÃ</v>
      </c>
      <c r="E158" s="24">
        <v>1</v>
      </c>
      <c r="F158" s="54">
        <f>_xlfn.XLOOKUP(C158,Planilha3!A:A,Planilha3!E:E)</f>
        <v>45441.724594907406</v>
      </c>
      <c r="G158" s="54">
        <f>_xlfn.XLOOKUP(C158,Planilha3!A:A,Planilha3!F:F)</f>
        <v>45453.724594907406</v>
      </c>
      <c r="H158" s="54">
        <f>_xlfn.XLOOKUP(C158,Planilha3!A:A,Planilha3!G:G)</f>
        <v>45922</v>
      </c>
      <c r="I158" s="23">
        <f>_xlfn.XLOOKUP(K158,Grupo!F:F,Grupo!G:G)</f>
        <v>46440.22</v>
      </c>
      <c r="J158" s="6">
        <f>_xlfn.XLOOKUP(D158,Grupo!B:B,Grupo!C:C)</f>
        <v>10</v>
      </c>
      <c r="K158" s="24">
        <f>_xlfn.XLOOKUP(A158,[1]COORDENADAS_GEOGRÁFICAS!$D:$D,[1]COORDENADAS_GEOGRÁFICAS!$F:$F)</f>
        <v>80</v>
      </c>
      <c r="L158" s="53"/>
      <c r="M158" s="53"/>
      <c r="N158" s="52">
        <f>_xlfn.XLOOKUP(D158,Grupo!B:B,Grupo!D:D)</f>
        <v>-12.620481488718251</v>
      </c>
      <c r="O158" s="52">
        <f>_xlfn.XLOOKUP(D158,Grupo!B:B,Grupo!E:E)</f>
        <v>-47.884083728442604</v>
      </c>
      <c r="P158" s="52">
        <f>_xlfn.XLOOKUP(A158,[1]COORDENADAS_GEOGRÁFICAS!$D:$D,[1]COORDENADAS_GEOGRÁFICAS!$G:$G)</f>
        <v>-13.378826999999999</v>
      </c>
      <c r="Q158" s="52">
        <f>_xlfn.XLOOKUP(A158,[1]COORDENADAS_GEOGRÁFICAS!$D:$D,[1]COORDENADAS_GEOGRÁFICAS!$H:$H)</f>
        <v>-47.691336999999997</v>
      </c>
      <c r="R158" s="20">
        <f t="shared" si="2"/>
        <v>86.871547845013694</v>
      </c>
    </row>
    <row r="159" spans="1:18" x14ac:dyDescent="0.3">
      <c r="A159" s="24">
        <v>3462457</v>
      </c>
      <c r="B159" s="24" t="s">
        <v>765</v>
      </c>
      <c r="C159" s="24">
        <v>402400048</v>
      </c>
      <c r="D159" s="24" t="str">
        <f>_xlfn.XLOOKUP(C159,Planilha3!A:A,Planilha3!C:C)</f>
        <v>PARANÃ</v>
      </c>
      <c r="E159" s="24">
        <v>1</v>
      </c>
      <c r="F159" s="54">
        <f>_xlfn.XLOOKUP(C159,Planilha3!A:A,Planilha3!E:E)</f>
        <v>45448.438807870371</v>
      </c>
      <c r="G159" s="54">
        <f>_xlfn.XLOOKUP(C159,Planilha3!A:A,Planilha3!F:F)</f>
        <v>45461.438807870371</v>
      </c>
      <c r="H159" s="54">
        <f>_xlfn.XLOOKUP(C159,Planilha3!A:A,Planilha3!G:G)</f>
        <v>45922</v>
      </c>
      <c r="I159" s="23">
        <f>_xlfn.XLOOKUP(K159,Grupo!F:F,Grupo!G:G)</f>
        <v>46440.22</v>
      </c>
      <c r="J159" s="6">
        <f>_xlfn.XLOOKUP(D159,Grupo!B:B,Grupo!C:C)</f>
        <v>10</v>
      </c>
      <c r="K159" s="24">
        <f>_xlfn.XLOOKUP(A159,[1]COORDENADAS_GEOGRÁFICAS!$D:$D,[1]COORDENADAS_GEOGRÁFICAS!$F:$F)</f>
        <v>80</v>
      </c>
      <c r="L159" s="53"/>
      <c r="M159" s="53"/>
      <c r="N159" s="52">
        <f>_xlfn.XLOOKUP(D159,Grupo!B:B,Grupo!D:D)</f>
        <v>-12.620481488718251</v>
      </c>
      <c r="O159" s="52">
        <f>_xlfn.XLOOKUP(D159,Grupo!B:B,Grupo!E:E)</f>
        <v>-47.884083728442604</v>
      </c>
      <c r="P159" s="52">
        <f>_xlfn.XLOOKUP(A159,[1]COORDENADAS_GEOGRÁFICAS!$D:$D,[1]COORDENADAS_GEOGRÁFICAS!$G:$G)</f>
        <v>-13.309512</v>
      </c>
      <c r="Q159" s="52">
        <f>_xlfn.XLOOKUP(A159,[1]COORDENADAS_GEOGRÁFICAS!$D:$D,[1]COORDENADAS_GEOGRÁFICAS!$H:$H)</f>
        <v>-47.679645000000001</v>
      </c>
      <c r="R159" s="20">
        <f t="shared" si="2"/>
        <v>79.75505242926944</v>
      </c>
    </row>
    <row r="160" spans="1:18" x14ac:dyDescent="0.3">
      <c r="A160" s="24">
        <v>3466191</v>
      </c>
      <c r="B160" s="24" t="s">
        <v>765</v>
      </c>
      <c r="C160" s="24">
        <v>402400053</v>
      </c>
      <c r="D160" s="24" t="str">
        <f>_xlfn.XLOOKUP(C160,Planilha3!A:A,Planilha3!C:C)</f>
        <v>PARANÃ</v>
      </c>
      <c r="E160" s="24">
        <v>1</v>
      </c>
      <c r="F160" s="54">
        <f>_xlfn.XLOOKUP(C160,Planilha3!A:A,Planilha3!E:E)</f>
        <v>45447.431192129632</v>
      </c>
      <c r="G160" s="54">
        <f>_xlfn.XLOOKUP(C160,Planilha3!A:A,Planilha3!F:F)</f>
        <v>45462.431192129632</v>
      </c>
      <c r="H160" s="54">
        <f>_xlfn.XLOOKUP(C160,Planilha3!A:A,Planilha3!G:G)</f>
        <v>45922</v>
      </c>
      <c r="I160" s="23">
        <f>_xlfn.XLOOKUP(K160,Grupo!F:F,Grupo!G:G)</f>
        <v>46440.22</v>
      </c>
      <c r="J160" s="6">
        <f>_xlfn.XLOOKUP(D160,Grupo!B:B,Grupo!C:C)</f>
        <v>10</v>
      </c>
      <c r="K160" s="24">
        <f>_xlfn.XLOOKUP(A160,[1]COORDENADAS_GEOGRÁFICAS!$D:$D,[1]COORDENADAS_GEOGRÁFICAS!$F:$F)</f>
        <v>80</v>
      </c>
      <c r="L160" s="53"/>
      <c r="M160" s="53"/>
      <c r="N160" s="52">
        <f>_xlfn.XLOOKUP(D160,Grupo!B:B,Grupo!D:D)</f>
        <v>-12.620481488718251</v>
      </c>
      <c r="O160" s="52">
        <f>_xlfn.XLOOKUP(D160,Grupo!B:B,Grupo!E:E)</f>
        <v>-47.884083728442604</v>
      </c>
      <c r="P160" s="52">
        <f>_xlfn.XLOOKUP(A160,[1]COORDENADAS_GEOGRÁFICAS!$D:$D,[1]COORDENADAS_GEOGRÁFICAS!$G:$G)</f>
        <v>-13.380747</v>
      </c>
      <c r="Q160" s="52">
        <f>_xlfn.XLOOKUP(A160,[1]COORDENADAS_GEOGRÁFICAS!$D:$D,[1]COORDENADAS_GEOGRÁFICAS!$H:$H)</f>
        <v>-47.693243000000002</v>
      </c>
      <c r="R160" s="20">
        <f t="shared" si="2"/>
        <v>87.029485283024414</v>
      </c>
    </row>
    <row r="161" spans="1:18" x14ac:dyDescent="0.3">
      <c r="A161" s="24">
        <v>3462414</v>
      </c>
      <c r="B161" s="24" t="s">
        <v>765</v>
      </c>
      <c r="C161" s="24">
        <v>402400050</v>
      </c>
      <c r="D161" s="24" t="str">
        <f>_xlfn.XLOOKUP(C161,Planilha3!A:A,Planilha3!C:C)</f>
        <v>PARANÃ</v>
      </c>
      <c r="E161" s="24">
        <v>1</v>
      </c>
      <c r="F161" s="54">
        <f>_xlfn.XLOOKUP(C161,Planilha3!A:A,Planilha3!E:E)</f>
        <v>45445.471192129633</v>
      </c>
      <c r="G161" s="54">
        <f>_xlfn.XLOOKUP(C161,Planilha3!A:A,Planilha3!F:F)</f>
        <v>45461.471192129633</v>
      </c>
      <c r="H161" s="54">
        <f>_xlfn.XLOOKUP(C161,Planilha3!A:A,Planilha3!G:G)</f>
        <v>45922</v>
      </c>
      <c r="I161" s="23">
        <f>_xlfn.XLOOKUP(K161,Grupo!F:F,Grupo!G:G)</f>
        <v>46440.22</v>
      </c>
      <c r="J161" s="6">
        <f>_xlfn.XLOOKUP(D161,Grupo!B:B,Grupo!C:C)</f>
        <v>10</v>
      </c>
      <c r="K161" s="24">
        <f>_xlfn.XLOOKUP(A161,[1]COORDENADAS_GEOGRÁFICAS!$D:$D,[1]COORDENADAS_GEOGRÁFICAS!$F:$F)</f>
        <v>80</v>
      </c>
      <c r="L161" s="53"/>
      <c r="M161" s="53"/>
      <c r="N161" s="52">
        <f>_xlfn.XLOOKUP(D161,Grupo!B:B,Grupo!D:D)</f>
        <v>-12.620481488718251</v>
      </c>
      <c r="O161" s="52">
        <f>_xlfn.XLOOKUP(D161,Grupo!B:B,Grupo!E:E)</f>
        <v>-47.884083728442604</v>
      </c>
      <c r="P161" s="52">
        <f>_xlfn.XLOOKUP(A161,[1]COORDENADAS_GEOGRÁFICAS!$D:$D,[1]COORDENADAS_GEOGRÁFICAS!$G:$G)</f>
        <v>-13.316635</v>
      </c>
      <c r="Q161" s="52">
        <f>_xlfn.XLOOKUP(A161,[1]COORDENADAS_GEOGRÁFICAS!$D:$D,[1]COORDENADAS_GEOGRÁFICAS!$H:$H)</f>
        <v>-47.675229999999999</v>
      </c>
      <c r="R161" s="20">
        <f t="shared" si="2"/>
        <v>80.649074251684411</v>
      </c>
    </row>
    <row r="162" spans="1:18" x14ac:dyDescent="0.3">
      <c r="A162" s="24">
        <v>3464198</v>
      </c>
      <c r="B162" s="24" t="s">
        <v>765</v>
      </c>
      <c r="C162" s="24">
        <v>402400033</v>
      </c>
      <c r="D162" s="24" t="str">
        <f>_xlfn.XLOOKUP(C162,Planilha3!A:A,Planilha3!C:C)</f>
        <v>PARANÃ</v>
      </c>
      <c r="E162" s="24">
        <v>1</v>
      </c>
      <c r="F162" s="54">
        <f>_xlfn.XLOOKUP(C162,Planilha3!A:A,Planilha3!E:E)</f>
        <v>45442.413981481484</v>
      </c>
      <c r="G162" s="54">
        <f>_xlfn.XLOOKUP(C162,Planilha3!A:A,Planilha3!F:F)</f>
        <v>45453.413981481484</v>
      </c>
      <c r="H162" s="54">
        <f>_xlfn.XLOOKUP(C162,Planilha3!A:A,Planilha3!G:G)</f>
        <v>45922</v>
      </c>
      <c r="I162" s="23">
        <f>_xlfn.XLOOKUP(K162,Grupo!F:F,Grupo!G:G)</f>
        <v>46440.22</v>
      </c>
      <c r="J162" s="6">
        <f>_xlfn.XLOOKUP(D162,Grupo!B:B,Grupo!C:C)</f>
        <v>10</v>
      </c>
      <c r="K162" s="24">
        <f>_xlfn.XLOOKUP(A162,[1]COORDENADAS_GEOGRÁFICAS!$D:$D,[1]COORDENADAS_GEOGRÁFICAS!$F:$F)</f>
        <v>80</v>
      </c>
      <c r="L162" s="53"/>
      <c r="M162" s="53"/>
      <c r="N162" s="52">
        <f>_xlfn.XLOOKUP(D162,Grupo!B:B,Grupo!D:D)</f>
        <v>-12.620481488718251</v>
      </c>
      <c r="O162" s="52">
        <f>_xlfn.XLOOKUP(D162,Grupo!B:B,Grupo!E:E)</f>
        <v>-47.884083728442604</v>
      </c>
      <c r="P162" s="52">
        <f>_xlfn.XLOOKUP(A162,[1]COORDENADAS_GEOGRÁFICAS!$D:$D,[1]COORDENADAS_GEOGRÁFICAS!$G:$G)</f>
        <v>-13.249046999999999</v>
      </c>
      <c r="Q162" s="52">
        <f>_xlfn.XLOOKUP(A162,[1]COORDENADAS_GEOGRÁFICAS!$D:$D,[1]COORDENADAS_GEOGRÁFICAS!$H:$H)</f>
        <v>-47.648598</v>
      </c>
      <c r="R162" s="20">
        <f t="shared" si="2"/>
        <v>74.406691020066191</v>
      </c>
    </row>
    <row r="163" spans="1:18" x14ac:dyDescent="0.3">
      <c r="A163" s="24">
        <v>3462455</v>
      </c>
      <c r="B163" s="24" t="s">
        <v>765</v>
      </c>
      <c r="C163" s="24">
        <v>402400049</v>
      </c>
      <c r="D163" s="24" t="str">
        <f>_xlfn.XLOOKUP(C163,Planilha3!A:A,Planilha3!C:C)</f>
        <v>PARANÃ</v>
      </c>
      <c r="E163" s="24">
        <v>1</v>
      </c>
      <c r="F163" s="54">
        <f>_xlfn.XLOOKUP(C163,Planilha3!A:A,Planilha3!E:E)</f>
        <v>45449.462060185186</v>
      </c>
      <c r="G163" s="54">
        <f>_xlfn.XLOOKUP(C163,Planilha3!A:A,Planilha3!F:F)</f>
        <v>45461.462060185186</v>
      </c>
      <c r="H163" s="54">
        <f>_xlfn.XLOOKUP(C163,Planilha3!A:A,Planilha3!G:G)</f>
        <v>45922</v>
      </c>
      <c r="I163" s="23">
        <f>_xlfn.XLOOKUP(K163,Grupo!F:F,Grupo!G:G)</f>
        <v>46440.22</v>
      </c>
      <c r="J163" s="6">
        <f>_xlfn.XLOOKUP(D163,Grupo!B:B,Grupo!C:C)</f>
        <v>10</v>
      </c>
      <c r="K163" s="24">
        <f>_xlfn.XLOOKUP(A163,[1]COORDENADAS_GEOGRÁFICAS!$D:$D,[1]COORDENADAS_GEOGRÁFICAS!$F:$F)</f>
        <v>80</v>
      </c>
      <c r="L163" s="53"/>
      <c r="M163" s="53"/>
      <c r="N163" s="52">
        <f>_xlfn.XLOOKUP(D163,Grupo!B:B,Grupo!D:D)</f>
        <v>-12.620481488718251</v>
      </c>
      <c r="O163" s="52">
        <f>_xlfn.XLOOKUP(D163,Grupo!B:B,Grupo!E:E)</f>
        <v>-47.884083728442604</v>
      </c>
      <c r="P163" s="52">
        <f>_xlfn.XLOOKUP(A163,[1]COORDENADAS_GEOGRÁFICAS!$D:$D,[1]COORDENADAS_GEOGRÁFICAS!$G:$G)</f>
        <v>-13.346162</v>
      </c>
      <c r="Q163" s="52">
        <f>_xlfn.XLOOKUP(A163,[1]COORDENADAS_GEOGRÁFICAS!$D:$D,[1]COORDENADAS_GEOGRÁFICAS!$H:$H)</f>
        <v>-47.712173</v>
      </c>
      <c r="R163" s="20">
        <f t="shared" si="2"/>
        <v>82.813973520019587</v>
      </c>
    </row>
    <row r="164" spans="1:18" x14ac:dyDescent="0.3">
      <c r="A164" s="24">
        <v>3466657</v>
      </c>
      <c r="B164" s="24" t="s">
        <v>765</v>
      </c>
      <c r="C164" s="24">
        <v>402400055</v>
      </c>
      <c r="D164" s="24" t="str">
        <f>_xlfn.XLOOKUP(C164,Planilha3!A:A,Planilha3!C:C)</f>
        <v>PARANÃ</v>
      </c>
      <c r="E164" s="24">
        <v>1</v>
      </c>
      <c r="F164" s="54">
        <f>_xlfn.XLOOKUP(C164,Planilha3!A:A,Planilha3!E:E)</f>
        <v>45449.446493055555</v>
      </c>
      <c r="G164" s="54">
        <f>_xlfn.XLOOKUP(C164,Planilha3!A:A,Planilha3!F:F)</f>
        <v>45462.446493055555</v>
      </c>
      <c r="H164" s="54">
        <f>_xlfn.XLOOKUP(C164,Planilha3!A:A,Planilha3!G:G)</f>
        <v>45922</v>
      </c>
      <c r="I164" s="23">
        <f>_xlfn.XLOOKUP(K164,Grupo!F:F,Grupo!G:G)</f>
        <v>46440.22</v>
      </c>
      <c r="J164" s="6">
        <f>_xlfn.XLOOKUP(D164,Grupo!B:B,Grupo!C:C)</f>
        <v>10</v>
      </c>
      <c r="K164" s="24">
        <f>_xlfn.XLOOKUP(A164,[1]COORDENADAS_GEOGRÁFICAS!$D:$D,[1]COORDENADAS_GEOGRÁFICAS!$F:$F)</f>
        <v>80</v>
      </c>
      <c r="L164" s="53"/>
      <c r="M164" s="53"/>
      <c r="N164" s="52">
        <f>_xlfn.XLOOKUP(D164,Grupo!B:B,Grupo!D:D)</f>
        <v>-12.620481488718251</v>
      </c>
      <c r="O164" s="52">
        <f>_xlfn.XLOOKUP(D164,Grupo!B:B,Grupo!E:E)</f>
        <v>-47.884083728442604</v>
      </c>
      <c r="P164" s="52">
        <f>_xlfn.XLOOKUP(A164,[1]COORDENADAS_GEOGRÁFICAS!$D:$D,[1]COORDENADAS_GEOGRÁFICAS!$G:$G)</f>
        <v>-13.357551000000001</v>
      </c>
      <c r="Q164" s="52">
        <f>_xlfn.XLOOKUP(A164,[1]COORDENADAS_GEOGRÁFICAS!$D:$D,[1]COORDENADAS_GEOGRÁFICAS!$H:$H)</f>
        <v>-47.681842000000003</v>
      </c>
      <c r="R164" s="20">
        <f t="shared" si="2"/>
        <v>84.83715616919325</v>
      </c>
    </row>
    <row r="165" spans="1:18" x14ac:dyDescent="0.3">
      <c r="A165" s="24">
        <v>3466908</v>
      </c>
      <c r="B165" s="24" t="s">
        <v>765</v>
      </c>
      <c r="C165" s="24">
        <v>402400060</v>
      </c>
      <c r="D165" s="24" t="str">
        <f>_xlfn.XLOOKUP(C165,Planilha3!A:A,Planilha3!C:C)</f>
        <v>PARANÃ</v>
      </c>
      <c r="E165" s="24">
        <v>1</v>
      </c>
      <c r="F165" s="54">
        <f>_xlfn.XLOOKUP(C165,Planilha3!A:A,Planilha3!E:E)</f>
        <v>45450.663680555554</v>
      </c>
      <c r="G165" s="54">
        <f>_xlfn.XLOOKUP(C165,Planilha3!A:A,Planilha3!F:F)</f>
        <v>45465.663680555554</v>
      </c>
      <c r="H165" s="54">
        <f>_xlfn.XLOOKUP(C165,Planilha3!A:A,Planilha3!G:G)</f>
        <v>45922</v>
      </c>
      <c r="I165" s="23">
        <f>_xlfn.XLOOKUP(K165,Grupo!F:F,Grupo!G:G)</f>
        <v>46440.22</v>
      </c>
      <c r="J165" s="6">
        <f>_xlfn.XLOOKUP(D165,Grupo!B:B,Grupo!C:C)</f>
        <v>10</v>
      </c>
      <c r="K165" s="24">
        <f>_xlfn.XLOOKUP(A165,[1]COORDENADAS_GEOGRÁFICAS!$D:$D,[1]COORDENADAS_GEOGRÁFICAS!$F:$F)</f>
        <v>80</v>
      </c>
      <c r="L165" s="53"/>
      <c r="M165" s="53"/>
      <c r="N165" s="52">
        <f>_xlfn.XLOOKUP(D165,Grupo!B:B,Grupo!D:D)</f>
        <v>-12.620481488718251</v>
      </c>
      <c r="O165" s="52">
        <f>_xlfn.XLOOKUP(D165,Grupo!B:B,Grupo!E:E)</f>
        <v>-47.884083728442604</v>
      </c>
      <c r="P165" s="52">
        <f>_xlfn.XLOOKUP(A165,[1]COORDENADAS_GEOGRÁFICAS!$D:$D,[1]COORDENADAS_GEOGRÁFICAS!$G:$G)</f>
        <v>-13.006885</v>
      </c>
      <c r="Q165" s="52">
        <f>_xlfn.XLOOKUP(A165,[1]COORDENADAS_GEOGRÁFICAS!$D:$D,[1]COORDENADAS_GEOGRÁFICAS!$H:$H)</f>
        <v>-47.776085000000002</v>
      </c>
      <c r="R165" s="20">
        <f t="shared" si="2"/>
        <v>44.53320673703427</v>
      </c>
    </row>
    <row r="166" spans="1:18" x14ac:dyDescent="0.3">
      <c r="A166" s="24">
        <v>3462319</v>
      </c>
      <c r="B166" s="24" t="s">
        <v>765</v>
      </c>
      <c r="C166" s="24">
        <v>502400015</v>
      </c>
      <c r="D166" s="24" t="str">
        <f>_xlfn.XLOOKUP(C166,Planilha3!A:A,Planilha3!C:C)</f>
        <v>ARRAIAS</v>
      </c>
      <c r="E166" s="24">
        <v>1</v>
      </c>
      <c r="F166" s="54">
        <f>_xlfn.XLOOKUP(C166,Planilha3!A:A,Planilha3!E:E)</f>
        <v>45450.649687500001</v>
      </c>
      <c r="G166" s="54">
        <f>_xlfn.XLOOKUP(C166,Planilha3!A:A,Planilha3!F:F)</f>
        <v>45461.649687500001</v>
      </c>
      <c r="H166" s="54">
        <f>_xlfn.XLOOKUP(C166,Planilha3!A:A,Planilha3!G:G)</f>
        <v>45922</v>
      </c>
      <c r="I166" s="23">
        <f>_xlfn.XLOOKUP(K166,Grupo!F:F,Grupo!G:G)</f>
        <v>46440.22</v>
      </c>
      <c r="J166" s="6">
        <f>_xlfn.XLOOKUP(D166,Grupo!B:B,Grupo!C:C)</f>
        <v>3</v>
      </c>
      <c r="K166" s="24">
        <f>_xlfn.XLOOKUP(A166,[1]COORDENADAS_GEOGRÁFICAS!$D:$D,[1]COORDENADAS_GEOGRÁFICAS!$F:$F)</f>
        <v>80</v>
      </c>
      <c r="L166" s="53"/>
      <c r="M166" s="53"/>
      <c r="N166" s="52">
        <f>_xlfn.XLOOKUP(D166,Grupo!B:B,Grupo!D:D)</f>
        <v>-12.934419859259252</v>
      </c>
      <c r="O166" s="52">
        <f>_xlfn.XLOOKUP(D166,Grupo!B:B,Grupo!E:E)</f>
        <v>-46.946107058553359</v>
      </c>
      <c r="P166" s="52">
        <f>_xlfn.XLOOKUP(A166,[1]COORDENADAS_GEOGRÁFICAS!$D:$D,[1]COORDENADAS_GEOGRÁFICAS!$G:$G)</f>
        <v>-13.16835</v>
      </c>
      <c r="Q166" s="52">
        <f>_xlfn.XLOOKUP(A166,[1]COORDENADAS_GEOGRÁFICAS!$D:$D,[1]COORDENADAS_GEOGRÁFICAS!$H:$H)</f>
        <v>-47.511457</v>
      </c>
      <c r="R166" s="20">
        <f t="shared" si="2"/>
        <v>66.53542531614012</v>
      </c>
    </row>
    <row r="167" spans="1:18" x14ac:dyDescent="0.3">
      <c r="A167" s="24">
        <v>3464159</v>
      </c>
      <c r="B167" s="24" t="s">
        <v>765</v>
      </c>
      <c r="C167" s="24">
        <v>402400056</v>
      </c>
      <c r="D167" s="24" t="str">
        <f>_xlfn.XLOOKUP(C167,Planilha3!A:A,Planilha3!C:C)</f>
        <v>PARANÃ</v>
      </c>
      <c r="E167" s="24">
        <v>1</v>
      </c>
      <c r="F167" s="54">
        <f>_xlfn.XLOOKUP(C167,Planilha3!A:A,Planilha3!E:E)</f>
        <v>45436.449259259258</v>
      </c>
      <c r="G167" s="54">
        <f>_xlfn.XLOOKUP(C167,Planilha3!A:A,Planilha3!F:F)</f>
        <v>45448.449259259258</v>
      </c>
      <c r="H167" s="54">
        <f>_xlfn.XLOOKUP(C167,Planilha3!A:A,Planilha3!G:G)</f>
        <v>45922</v>
      </c>
      <c r="I167" s="23">
        <f>_xlfn.XLOOKUP(K167,Grupo!F:F,Grupo!G:G)</f>
        <v>46440.22</v>
      </c>
      <c r="J167" s="6">
        <f>_xlfn.XLOOKUP(D167,Grupo!B:B,Grupo!C:C)</f>
        <v>10</v>
      </c>
      <c r="K167" s="24">
        <f>_xlfn.XLOOKUP(A167,[1]COORDENADAS_GEOGRÁFICAS!$D:$D,[1]COORDENADAS_GEOGRÁFICAS!$F:$F)</f>
        <v>80</v>
      </c>
      <c r="L167" s="53"/>
      <c r="M167" s="53"/>
      <c r="N167" s="52">
        <f>_xlfn.XLOOKUP(D167,Grupo!B:B,Grupo!D:D)</f>
        <v>-12.620481488718251</v>
      </c>
      <c r="O167" s="52">
        <f>_xlfn.XLOOKUP(D167,Grupo!B:B,Grupo!E:E)</f>
        <v>-47.884083728442604</v>
      </c>
      <c r="P167" s="52">
        <f>_xlfn.XLOOKUP(A167,[1]COORDENADAS_GEOGRÁFICAS!$D:$D,[1]COORDENADAS_GEOGRÁFICAS!$G:$G)</f>
        <v>-12.455057</v>
      </c>
      <c r="Q167" s="52">
        <f>_xlfn.XLOOKUP(A167,[1]COORDENADAS_GEOGRÁFICAS!$D:$D,[1]COORDENADAS_GEOGRÁFICAS!$H:$H)</f>
        <v>-47.378993000000001</v>
      </c>
      <c r="R167" s="20">
        <f t="shared" si="2"/>
        <v>57.827695632138912</v>
      </c>
    </row>
    <row r="168" spans="1:18" x14ac:dyDescent="0.3">
      <c r="A168" s="24">
        <v>3466603</v>
      </c>
      <c r="B168" s="24" t="s">
        <v>765</v>
      </c>
      <c r="C168" s="24">
        <v>402400047</v>
      </c>
      <c r="D168" s="24" t="str">
        <f>_xlfn.XLOOKUP(C168,Planilha3!A:A,Planilha3!C:C)</f>
        <v>PARANÃ</v>
      </c>
      <c r="E168" s="24">
        <v>1</v>
      </c>
      <c r="F168" s="54">
        <f>_xlfn.XLOOKUP(C168,Planilha3!A:A,Planilha3!E:E)</f>
        <v>45448.418865740743</v>
      </c>
      <c r="G168" s="54">
        <f>_xlfn.XLOOKUP(C168,Planilha3!A:A,Planilha3!F:F)</f>
        <v>45461.418865740743</v>
      </c>
      <c r="H168" s="54">
        <f>_xlfn.XLOOKUP(C168,Planilha3!A:A,Planilha3!G:G)</f>
        <v>45922</v>
      </c>
      <c r="I168" s="23">
        <f>_xlfn.XLOOKUP(K168,Grupo!F:F,Grupo!G:G)</f>
        <v>46440.22</v>
      </c>
      <c r="J168" s="6">
        <f>_xlfn.XLOOKUP(D168,Grupo!B:B,Grupo!C:C)</f>
        <v>10</v>
      </c>
      <c r="K168" s="24">
        <f>_xlfn.XLOOKUP(A168,[1]COORDENADAS_GEOGRÁFICAS!$D:$D,[1]COORDENADAS_GEOGRÁFICAS!$F:$F)</f>
        <v>80</v>
      </c>
      <c r="L168" s="53"/>
      <c r="M168" s="53"/>
      <c r="N168" s="52">
        <f>_xlfn.XLOOKUP(D168,Grupo!B:B,Grupo!D:D)</f>
        <v>-12.620481488718251</v>
      </c>
      <c r="O168" s="52">
        <f>_xlfn.XLOOKUP(D168,Grupo!B:B,Grupo!E:E)</f>
        <v>-47.884083728442604</v>
      </c>
      <c r="P168" s="52">
        <f>_xlfn.XLOOKUP(A168,[1]COORDENADAS_GEOGRÁFICAS!$D:$D,[1]COORDENADAS_GEOGRÁFICAS!$G:$G)</f>
        <v>-12.585203</v>
      </c>
      <c r="Q168" s="52">
        <f>_xlfn.XLOOKUP(A168,[1]COORDENADAS_GEOGRÁFICAS!$D:$D,[1]COORDENADAS_GEOGRÁFICAS!$H:$H)</f>
        <v>-47.383938000000001</v>
      </c>
      <c r="R168" s="20">
        <f t="shared" si="2"/>
        <v>54.415280125403569</v>
      </c>
    </row>
    <row r="169" spans="1:18" x14ac:dyDescent="0.3">
      <c r="A169" s="24">
        <v>3467063</v>
      </c>
      <c r="B169" s="24" t="s">
        <v>765</v>
      </c>
      <c r="C169" s="24">
        <v>402400058</v>
      </c>
      <c r="D169" s="24" t="str">
        <f>_xlfn.XLOOKUP(C169,Planilha3!A:A,Planilha3!C:C)</f>
        <v>PARANÃ</v>
      </c>
      <c r="E169" s="24">
        <v>1</v>
      </c>
      <c r="F169" s="54">
        <f>_xlfn.XLOOKUP(C169,Planilha3!A:A,Planilha3!E:E)</f>
        <v>45447.599374999998</v>
      </c>
      <c r="G169" s="54">
        <f>_xlfn.XLOOKUP(C169,Planilha3!A:A,Planilha3!F:F)</f>
        <v>45462.599374999998</v>
      </c>
      <c r="H169" s="54">
        <f>_xlfn.XLOOKUP(C169,Planilha3!A:A,Planilha3!G:G)</f>
        <v>45922</v>
      </c>
      <c r="I169" s="23">
        <f>_xlfn.XLOOKUP(K169,Grupo!F:F,Grupo!G:G)</f>
        <v>46440.22</v>
      </c>
      <c r="J169" s="6">
        <f>_xlfn.XLOOKUP(D169,Grupo!B:B,Grupo!C:C)</f>
        <v>10</v>
      </c>
      <c r="K169" s="24">
        <f>_xlfn.XLOOKUP(A169,[1]COORDENADAS_GEOGRÁFICAS!$D:$D,[1]COORDENADAS_GEOGRÁFICAS!$F:$F)</f>
        <v>80</v>
      </c>
      <c r="L169" s="53"/>
      <c r="M169" s="53"/>
      <c r="N169" s="52">
        <f>_xlfn.XLOOKUP(D169,Grupo!B:B,Grupo!D:D)</f>
        <v>-12.620481488718251</v>
      </c>
      <c r="O169" s="52">
        <f>_xlfn.XLOOKUP(D169,Grupo!B:B,Grupo!E:E)</f>
        <v>-47.884083728442604</v>
      </c>
      <c r="P169" s="52">
        <f>_xlfn.XLOOKUP(A169,[1]COORDENADAS_GEOGRÁFICAS!$D:$D,[1]COORDENADAS_GEOGRÁFICAS!$G:$G)</f>
        <v>-13.072502999999999</v>
      </c>
      <c r="Q169" s="52">
        <f>_xlfn.XLOOKUP(A169,[1]COORDENADAS_GEOGRÁFICAS!$D:$D,[1]COORDENADAS_GEOGRÁFICAS!$H:$H)</f>
        <v>-47.854787000000002</v>
      </c>
      <c r="R169" s="20">
        <f t="shared" si="2"/>
        <v>50.362747888029347</v>
      </c>
    </row>
    <row r="170" spans="1:18" x14ac:dyDescent="0.3">
      <c r="A170" s="24">
        <v>3464243</v>
      </c>
      <c r="B170" s="24" t="s">
        <v>765</v>
      </c>
      <c r="C170" s="24">
        <v>402400045</v>
      </c>
      <c r="D170" s="24" t="str">
        <f>_xlfn.XLOOKUP(C170,Planilha3!A:A,Planilha3!C:C)</f>
        <v>PARANÃ</v>
      </c>
      <c r="E170" s="24">
        <v>1</v>
      </c>
      <c r="F170" s="54">
        <f>_xlfn.XLOOKUP(C170,Planilha3!A:A,Planilha3!E:E)</f>
        <v>45440.438078703701</v>
      </c>
      <c r="G170" s="54">
        <f>_xlfn.XLOOKUP(C170,Planilha3!A:A,Planilha3!F:F)</f>
        <v>45456.438078703701</v>
      </c>
      <c r="H170" s="54">
        <f>_xlfn.XLOOKUP(C170,Planilha3!A:A,Planilha3!G:G)</f>
        <v>45922</v>
      </c>
      <c r="I170" s="23">
        <f>_xlfn.XLOOKUP(K170,Grupo!F:F,Grupo!G:G)</f>
        <v>46440.22</v>
      </c>
      <c r="J170" s="6">
        <f>_xlfn.XLOOKUP(D170,Grupo!B:B,Grupo!C:C)</f>
        <v>10</v>
      </c>
      <c r="K170" s="24">
        <f>_xlfn.XLOOKUP(A170,[1]COORDENADAS_GEOGRÁFICAS!$D:$D,[1]COORDENADAS_GEOGRÁFICAS!$F:$F)</f>
        <v>80</v>
      </c>
      <c r="L170" s="53"/>
      <c r="M170" s="53"/>
      <c r="N170" s="52">
        <f>_xlfn.XLOOKUP(D170,Grupo!B:B,Grupo!D:D)</f>
        <v>-12.620481488718251</v>
      </c>
      <c r="O170" s="52">
        <f>_xlfn.XLOOKUP(D170,Grupo!B:B,Grupo!E:E)</f>
        <v>-47.884083728442604</v>
      </c>
      <c r="P170" s="52">
        <f>_xlfn.XLOOKUP(A170,[1]COORDENADAS_GEOGRÁFICAS!$D:$D,[1]COORDENADAS_GEOGRÁFICAS!$G:$G)</f>
        <v>-13.185368</v>
      </c>
      <c r="Q170" s="52">
        <f>_xlfn.XLOOKUP(A170,[1]COORDENADAS_GEOGRÁFICAS!$D:$D,[1]COORDENADAS_GEOGRÁFICAS!$H:$H)</f>
        <v>-47.764654999999998</v>
      </c>
      <c r="R170" s="20">
        <f t="shared" si="2"/>
        <v>64.132454507495524</v>
      </c>
    </row>
    <row r="171" spans="1:18" x14ac:dyDescent="0.3">
      <c r="A171" s="24">
        <v>3465692</v>
      </c>
      <c r="B171" s="24" t="s">
        <v>765</v>
      </c>
      <c r="C171" s="24">
        <v>402400044</v>
      </c>
      <c r="D171" s="24" t="str">
        <f>_xlfn.XLOOKUP(C171,Planilha3!A:A,Planilha3!C:C)</f>
        <v>PARANÃ</v>
      </c>
      <c r="E171" s="24">
        <v>1</v>
      </c>
      <c r="F171" s="54">
        <f>_xlfn.XLOOKUP(C171,Planilha3!A:A,Planilha3!E:E)</f>
        <v>45443.440428240741</v>
      </c>
      <c r="G171" s="54">
        <f>_xlfn.XLOOKUP(C171,Planilha3!A:A,Planilha3!F:F)</f>
        <v>45454.440428240741</v>
      </c>
      <c r="H171" s="54">
        <f>_xlfn.XLOOKUP(C171,Planilha3!A:A,Planilha3!G:G)</f>
        <v>45922</v>
      </c>
      <c r="I171" s="23">
        <f>_xlfn.XLOOKUP(K171,Grupo!F:F,Grupo!G:G)</f>
        <v>46440.22</v>
      </c>
      <c r="J171" s="6">
        <f>_xlfn.XLOOKUP(D171,Grupo!B:B,Grupo!C:C)</f>
        <v>10</v>
      </c>
      <c r="K171" s="24">
        <f>_xlfn.XLOOKUP(A171,[1]COORDENADAS_GEOGRÁFICAS!$D:$D,[1]COORDENADAS_GEOGRÁFICAS!$F:$F)</f>
        <v>80</v>
      </c>
      <c r="L171" s="53"/>
      <c r="M171" s="53"/>
      <c r="N171" s="52">
        <f>_xlfn.XLOOKUP(D171,Grupo!B:B,Grupo!D:D)</f>
        <v>-12.620481488718251</v>
      </c>
      <c r="O171" s="52">
        <f>_xlfn.XLOOKUP(D171,Grupo!B:B,Grupo!E:E)</f>
        <v>-47.884083728442604</v>
      </c>
      <c r="P171" s="52">
        <f>_xlfn.XLOOKUP(A171,[1]COORDENADAS_GEOGRÁFICAS!$D:$D,[1]COORDENADAS_GEOGRÁFICAS!$G:$G)</f>
        <v>-13.155523000000001</v>
      </c>
      <c r="Q171" s="52">
        <f>_xlfn.XLOOKUP(A171,[1]COORDENADAS_GEOGRÁFICAS!$D:$D,[1]COORDENADAS_GEOGRÁFICAS!$H:$H)</f>
        <v>-47.751842000000003</v>
      </c>
      <c r="R171" s="20">
        <f t="shared" si="2"/>
        <v>61.196331703797348</v>
      </c>
    </row>
    <row r="172" spans="1:18" x14ac:dyDescent="0.3">
      <c r="A172" s="24">
        <v>3466872</v>
      </c>
      <c r="B172" s="24" t="s">
        <v>765</v>
      </c>
      <c r="C172" s="24">
        <v>402400075</v>
      </c>
      <c r="D172" s="24" t="str">
        <f>_xlfn.XLOOKUP(C172,Planilha3!A:A,Planilha3!C:C)</f>
        <v>PARANÃ</v>
      </c>
      <c r="E172" s="24">
        <v>1</v>
      </c>
      <c r="F172" s="54">
        <f>_xlfn.XLOOKUP(C172,Planilha3!A:A,Planilha3!E:E)</f>
        <v>45456.660740740743</v>
      </c>
      <c r="G172" s="54">
        <f>_xlfn.XLOOKUP(C172,Planilha3!A:A,Planilha3!F:F)</f>
        <v>45468.660740740743</v>
      </c>
      <c r="H172" s="54">
        <f>_xlfn.XLOOKUP(C172,Planilha3!A:A,Planilha3!G:G)</f>
        <v>45922</v>
      </c>
      <c r="I172" s="23">
        <f>_xlfn.XLOOKUP(K172,Grupo!F:F,Grupo!G:G)</f>
        <v>46440.22</v>
      </c>
      <c r="J172" s="6">
        <f>_xlfn.XLOOKUP(D172,Grupo!B:B,Grupo!C:C)</f>
        <v>10</v>
      </c>
      <c r="K172" s="24">
        <f>_xlfn.XLOOKUP(A172,[1]COORDENADAS_GEOGRÁFICAS!$D:$D,[1]COORDENADAS_GEOGRÁFICAS!$F:$F)</f>
        <v>80</v>
      </c>
      <c r="L172" s="53"/>
      <c r="M172" s="53"/>
      <c r="N172" s="52">
        <f>_xlfn.XLOOKUP(D172,Grupo!B:B,Grupo!D:D)</f>
        <v>-12.620481488718251</v>
      </c>
      <c r="O172" s="52">
        <f>_xlfn.XLOOKUP(D172,Grupo!B:B,Grupo!E:E)</f>
        <v>-47.884083728442604</v>
      </c>
      <c r="P172" s="52">
        <f>_xlfn.XLOOKUP(A172,[1]COORDENADAS_GEOGRÁFICAS!$D:$D,[1]COORDENADAS_GEOGRÁFICAS!$G:$G)</f>
        <v>-13.188103</v>
      </c>
      <c r="Q172" s="52">
        <f>_xlfn.XLOOKUP(A172,[1]COORDENADAS_GEOGRÁFICAS!$D:$D,[1]COORDENADAS_GEOGRÁFICAS!$H:$H)</f>
        <v>-47.766142000000002</v>
      </c>
      <c r="R172" s="20">
        <f t="shared" si="2"/>
        <v>64.398141878422621</v>
      </c>
    </row>
    <row r="173" spans="1:18" x14ac:dyDescent="0.3">
      <c r="A173" s="24">
        <v>3467216</v>
      </c>
      <c r="B173" s="24" t="s">
        <v>765</v>
      </c>
      <c r="C173" s="24">
        <v>402400074</v>
      </c>
      <c r="D173" s="24" t="str">
        <f>_xlfn.XLOOKUP(C173,Planilha3!A:A,Planilha3!C:C)</f>
        <v>PARANÃ</v>
      </c>
      <c r="E173" s="24">
        <v>1</v>
      </c>
      <c r="F173" s="54">
        <f>_xlfn.XLOOKUP(C173,Planilha3!A:A,Planilha3!E:E)</f>
        <v>45455.651041666664</v>
      </c>
      <c r="G173" s="54">
        <f>_xlfn.XLOOKUP(C173,Planilha3!A:A,Planilha3!F:F)</f>
        <v>45468.651041666664</v>
      </c>
      <c r="H173" s="54">
        <f>_xlfn.XLOOKUP(C173,Planilha3!A:A,Planilha3!G:G)</f>
        <v>45922</v>
      </c>
      <c r="I173" s="23">
        <f>_xlfn.XLOOKUP(K173,Grupo!F:F,Grupo!G:G)</f>
        <v>46440.22</v>
      </c>
      <c r="J173" s="6">
        <f>_xlfn.XLOOKUP(D173,Grupo!B:B,Grupo!C:C)</f>
        <v>10</v>
      </c>
      <c r="K173" s="24">
        <f>_xlfn.XLOOKUP(A173,[1]COORDENADAS_GEOGRÁFICAS!$D:$D,[1]COORDENADAS_GEOGRÁFICAS!$F:$F)</f>
        <v>80</v>
      </c>
      <c r="L173" s="53"/>
      <c r="M173" s="53"/>
      <c r="N173" s="52">
        <f>_xlfn.XLOOKUP(D173,Grupo!B:B,Grupo!D:D)</f>
        <v>-12.620481488718251</v>
      </c>
      <c r="O173" s="52">
        <f>_xlfn.XLOOKUP(D173,Grupo!B:B,Grupo!E:E)</f>
        <v>-47.884083728442604</v>
      </c>
      <c r="P173" s="52">
        <f>_xlfn.XLOOKUP(A173,[1]COORDENADAS_GEOGRÁFICAS!$D:$D,[1]COORDENADAS_GEOGRÁFICAS!$G:$G)</f>
        <v>-13.161802</v>
      </c>
      <c r="Q173" s="52">
        <f>_xlfn.XLOOKUP(A173,[1]COORDENADAS_GEOGRÁFICAS!$D:$D,[1]COORDENADAS_GEOGRÁFICAS!$H:$H)</f>
        <v>-47.761401999999997</v>
      </c>
      <c r="R173" s="20">
        <f t="shared" si="2"/>
        <v>61.643467768428245</v>
      </c>
    </row>
    <row r="174" spans="1:18" x14ac:dyDescent="0.3">
      <c r="A174" s="24">
        <v>3466852</v>
      </c>
      <c r="B174" s="24" t="s">
        <v>765</v>
      </c>
      <c r="C174" s="24">
        <v>402400078</v>
      </c>
      <c r="D174" s="24" t="str">
        <f>_xlfn.XLOOKUP(C174,Planilha3!A:A,Planilha3!C:C)</f>
        <v>PARANÃ</v>
      </c>
      <c r="E174" s="24">
        <v>1</v>
      </c>
      <c r="F174" s="54">
        <f>_xlfn.XLOOKUP(C174,Planilha3!A:A,Planilha3!E:E)</f>
        <v>45453.714930555558</v>
      </c>
      <c r="G174" s="54">
        <f>_xlfn.XLOOKUP(C174,Planilha3!A:A,Planilha3!F:F)</f>
        <v>45468.714930555558</v>
      </c>
      <c r="H174" s="54">
        <f>_xlfn.XLOOKUP(C174,Planilha3!A:A,Planilha3!G:G)</f>
        <v>45922</v>
      </c>
      <c r="I174" s="23">
        <f>_xlfn.XLOOKUP(K174,Grupo!F:F,Grupo!G:G)</f>
        <v>46440.22</v>
      </c>
      <c r="J174" s="6">
        <f>_xlfn.XLOOKUP(D174,Grupo!B:B,Grupo!C:C)</f>
        <v>10</v>
      </c>
      <c r="K174" s="24">
        <f>_xlfn.XLOOKUP(A174,[1]COORDENADAS_GEOGRÁFICAS!$D:$D,[1]COORDENADAS_GEOGRÁFICAS!$F:$F)</f>
        <v>80</v>
      </c>
      <c r="L174" s="53"/>
      <c r="M174" s="53"/>
      <c r="N174" s="52">
        <f>_xlfn.XLOOKUP(D174,Grupo!B:B,Grupo!D:D)</f>
        <v>-12.620481488718251</v>
      </c>
      <c r="O174" s="52">
        <f>_xlfn.XLOOKUP(D174,Grupo!B:B,Grupo!E:E)</f>
        <v>-47.884083728442604</v>
      </c>
      <c r="P174" s="52">
        <f>_xlfn.XLOOKUP(A174,[1]COORDENADAS_GEOGRÁFICAS!$D:$D,[1]COORDENADAS_GEOGRÁFICAS!$G:$G)</f>
        <v>-13.131835000000001</v>
      </c>
      <c r="Q174" s="52">
        <f>_xlfn.XLOOKUP(A174,[1]COORDENADAS_GEOGRÁFICAS!$D:$D,[1]COORDENADAS_GEOGRÁFICAS!$H:$H)</f>
        <v>-47.712527999999999</v>
      </c>
      <c r="R174" s="20">
        <f t="shared" si="2"/>
        <v>59.823698688125951</v>
      </c>
    </row>
    <row r="175" spans="1:18" x14ac:dyDescent="0.3">
      <c r="A175" s="24">
        <v>3466645</v>
      </c>
      <c r="B175" s="24" t="s">
        <v>765</v>
      </c>
      <c r="C175" s="24">
        <v>402400072</v>
      </c>
      <c r="D175" s="24" t="str">
        <f>_xlfn.XLOOKUP(C175,Planilha3!A:A,Planilha3!C:C)</f>
        <v>PARANÃ</v>
      </c>
      <c r="E175" s="24">
        <v>1</v>
      </c>
      <c r="F175" s="54">
        <f>_xlfn.XLOOKUP(C175,Planilha3!A:A,Planilha3!E:E)</f>
        <v>45457.606585648151</v>
      </c>
      <c r="G175" s="54">
        <f>_xlfn.XLOOKUP(C175,Planilha3!A:A,Planilha3!F:F)</f>
        <v>45468.606585648151</v>
      </c>
      <c r="H175" s="54">
        <f>_xlfn.XLOOKUP(C175,Planilha3!A:A,Planilha3!G:G)</f>
        <v>45922</v>
      </c>
      <c r="I175" s="23">
        <f>_xlfn.XLOOKUP(K175,Grupo!F:F,Grupo!G:G)</f>
        <v>46440.22</v>
      </c>
      <c r="J175" s="6">
        <f>_xlfn.XLOOKUP(D175,Grupo!B:B,Grupo!C:C)</f>
        <v>10</v>
      </c>
      <c r="K175" s="24">
        <f>_xlfn.XLOOKUP(A175,[1]COORDENADAS_GEOGRÁFICAS!$D:$D,[1]COORDENADAS_GEOGRÁFICAS!$F:$F)</f>
        <v>80</v>
      </c>
      <c r="L175" s="53"/>
      <c r="M175" s="53"/>
      <c r="N175" s="52">
        <f>_xlfn.XLOOKUP(D175,Grupo!B:B,Grupo!D:D)</f>
        <v>-12.620481488718251</v>
      </c>
      <c r="O175" s="52">
        <f>_xlfn.XLOOKUP(D175,Grupo!B:B,Grupo!E:E)</f>
        <v>-47.884083728442604</v>
      </c>
      <c r="P175" s="52">
        <f>_xlfn.XLOOKUP(A175,[1]COORDENADAS_GEOGRÁFICAS!$D:$D,[1]COORDENADAS_GEOGRÁFICAS!$G:$G)</f>
        <v>-13.146307999999999</v>
      </c>
      <c r="Q175" s="52">
        <f>_xlfn.XLOOKUP(A175,[1]COORDENADAS_GEOGRÁFICAS!$D:$D,[1]COORDENADAS_GEOGRÁFICAS!$H:$H)</f>
        <v>-47.728355000000001</v>
      </c>
      <c r="R175" s="20">
        <f t="shared" si="2"/>
        <v>60.857169216733816</v>
      </c>
    </row>
    <row r="176" spans="1:18" x14ac:dyDescent="0.3">
      <c r="A176" s="24">
        <v>3467211</v>
      </c>
      <c r="B176" s="24" t="s">
        <v>765</v>
      </c>
      <c r="C176" s="24">
        <v>402400085</v>
      </c>
      <c r="D176" s="24" t="str">
        <f>_xlfn.XLOOKUP(C176,Planilha3!A:A,Planilha3!C:C)</f>
        <v>PARANÃ</v>
      </c>
      <c r="E176" s="24">
        <v>1</v>
      </c>
      <c r="F176" s="54">
        <f>_xlfn.XLOOKUP(C176,Planilha3!A:A,Planilha3!E:E)</f>
        <v>45456.409050925926</v>
      </c>
      <c r="G176" s="54">
        <f>_xlfn.XLOOKUP(C176,Planilha3!A:A,Planilha3!F:F)</f>
        <v>45468.409050925926</v>
      </c>
      <c r="H176" s="54">
        <f>_xlfn.XLOOKUP(C176,Planilha3!A:A,Planilha3!G:G)</f>
        <v>45922</v>
      </c>
      <c r="I176" s="23">
        <f>_xlfn.XLOOKUP(K176,Grupo!F:F,Grupo!G:G)</f>
        <v>46440.22</v>
      </c>
      <c r="J176" s="6">
        <f>_xlfn.XLOOKUP(D176,Grupo!B:B,Grupo!C:C)</f>
        <v>10</v>
      </c>
      <c r="K176" s="24">
        <f>_xlfn.XLOOKUP(A176,[1]COORDENADAS_GEOGRÁFICAS!$D:$D,[1]COORDENADAS_GEOGRÁFICAS!$F:$F)</f>
        <v>80</v>
      </c>
      <c r="L176" s="53"/>
      <c r="M176" s="53"/>
      <c r="N176" s="52">
        <f>_xlfn.XLOOKUP(D176,Grupo!B:B,Grupo!D:D)</f>
        <v>-12.620481488718251</v>
      </c>
      <c r="O176" s="52">
        <f>_xlfn.XLOOKUP(D176,Grupo!B:B,Grupo!E:E)</f>
        <v>-47.884083728442604</v>
      </c>
      <c r="P176" s="52">
        <f>_xlfn.XLOOKUP(A176,[1]COORDENADAS_GEOGRÁFICAS!$D:$D,[1]COORDENADAS_GEOGRÁFICAS!$G:$G)</f>
        <v>-13.291494999999999</v>
      </c>
      <c r="Q176" s="52">
        <f>_xlfn.XLOOKUP(A176,[1]COORDENADAS_GEOGRÁFICAS!$D:$D,[1]COORDENADAS_GEOGRÁFICAS!$H:$H)</f>
        <v>-47.727004999999998</v>
      </c>
      <c r="R176" s="20">
        <f t="shared" si="2"/>
        <v>76.530248917823286</v>
      </c>
    </row>
    <row r="177" spans="1:18" x14ac:dyDescent="0.3">
      <c r="A177" s="24">
        <v>3467209</v>
      </c>
      <c r="B177" s="24" t="s">
        <v>765</v>
      </c>
      <c r="C177" s="24">
        <v>402400070</v>
      </c>
      <c r="D177" s="24" t="str">
        <f>_xlfn.XLOOKUP(C177,Planilha3!A:A,Planilha3!C:C)</f>
        <v>PARANÃ</v>
      </c>
      <c r="E177" s="24">
        <v>1</v>
      </c>
      <c r="F177" s="54">
        <f>_xlfn.XLOOKUP(C177,Planilha3!A:A,Planilha3!E:E)</f>
        <v>45454.676932870374</v>
      </c>
      <c r="G177" s="54">
        <f>_xlfn.XLOOKUP(C177,Planilha3!A:A,Planilha3!F:F)</f>
        <v>45467.676932870374</v>
      </c>
      <c r="H177" s="54">
        <f>_xlfn.XLOOKUP(C177,Planilha3!A:A,Planilha3!G:G)</f>
        <v>45922</v>
      </c>
      <c r="I177" s="23">
        <f>_xlfn.XLOOKUP(K177,Grupo!F:F,Grupo!G:G)</f>
        <v>46440.22</v>
      </c>
      <c r="J177" s="6">
        <f>_xlfn.XLOOKUP(D177,Grupo!B:B,Grupo!C:C)</f>
        <v>10</v>
      </c>
      <c r="K177" s="24">
        <f>_xlfn.XLOOKUP(A177,[1]COORDENADAS_GEOGRÁFICAS!$D:$D,[1]COORDENADAS_GEOGRÁFICAS!$F:$F)</f>
        <v>80</v>
      </c>
      <c r="L177" s="53"/>
      <c r="M177" s="53"/>
      <c r="N177" s="52">
        <f>_xlfn.XLOOKUP(D177,Grupo!B:B,Grupo!D:D)</f>
        <v>-12.620481488718251</v>
      </c>
      <c r="O177" s="52">
        <f>_xlfn.XLOOKUP(D177,Grupo!B:B,Grupo!E:E)</f>
        <v>-47.884083728442604</v>
      </c>
      <c r="P177" s="52">
        <f>_xlfn.XLOOKUP(A177,[1]COORDENADAS_GEOGRÁFICAS!$D:$D,[1]COORDENADAS_GEOGRÁFICAS!$G:$G)</f>
        <v>-13.243907</v>
      </c>
      <c r="Q177" s="52">
        <f>_xlfn.XLOOKUP(A177,[1]COORDENADAS_GEOGRÁFICAS!$D:$D,[1]COORDENADAS_GEOGRÁFICAS!$H:$H)</f>
        <v>-47.649003</v>
      </c>
      <c r="R177" s="20">
        <f t="shared" si="2"/>
        <v>73.855017673428762</v>
      </c>
    </row>
    <row r="178" spans="1:18" x14ac:dyDescent="0.3">
      <c r="A178" s="24">
        <v>3466926</v>
      </c>
      <c r="B178" s="24" t="s">
        <v>765</v>
      </c>
      <c r="C178" s="24">
        <v>402400084</v>
      </c>
      <c r="D178" s="24" t="str">
        <f>_xlfn.XLOOKUP(C178,Planilha3!A:A,Planilha3!C:C)</f>
        <v>PARANÃ</v>
      </c>
      <c r="E178" s="24">
        <v>1</v>
      </c>
      <c r="F178" s="54">
        <f>_xlfn.XLOOKUP(C178,Planilha3!A:A,Planilha3!E:E)</f>
        <v>45453.403379629628</v>
      </c>
      <c r="G178" s="54">
        <f>_xlfn.XLOOKUP(C178,Planilha3!A:A,Planilha3!F:F)</f>
        <v>45468.403379629628</v>
      </c>
      <c r="H178" s="54">
        <f>_xlfn.XLOOKUP(C178,Planilha3!A:A,Planilha3!G:G)</f>
        <v>45922</v>
      </c>
      <c r="I178" s="23">
        <f>_xlfn.XLOOKUP(K178,Grupo!F:F,Grupo!G:G)</f>
        <v>46440.22</v>
      </c>
      <c r="J178" s="6">
        <f>_xlfn.XLOOKUP(D178,Grupo!B:B,Grupo!C:C)</f>
        <v>10</v>
      </c>
      <c r="K178" s="24">
        <f>_xlfn.XLOOKUP(A178,[1]COORDENADAS_GEOGRÁFICAS!$D:$D,[1]COORDENADAS_GEOGRÁFICAS!$F:$F)</f>
        <v>80</v>
      </c>
      <c r="L178" s="53"/>
      <c r="M178" s="53"/>
      <c r="N178" s="52">
        <f>_xlfn.XLOOKUP(D178,Grupo!B:B,Grupo!D:D)</f>
        <v>-12.620481488718251</v>
      </c>
      <c r="O178" s="52">
        <f>_xlfn.XLOOKUP(D178,Grupo!B:B,Grupo!E:E)</f>
        <v>-47.884083728442604</v>
      </c>
      <c r="P178" s="52">
        <f>_xlfn.XLOOKUP(A178,[1]COORDENADAS_GEOGRÁFICAS!$D:$D,[1]COORDENADAS_GEOGRÁFICAS!$G:$G)</f>
        <v>-13.242452</v>
      </c>
      <c r="Q178" s="52">
        <f>_xlfn.XLOOKUP(A178,[1]COORDENADAS_GEOGRÁFICAS!$D:$D,[1]COORDENADAS_GEOGRÁFICAS!$H:$H)</f>
        <v>-47.648352000000003</v>
      </c>
      <c r="R178" s="20">
        <f t="shared" si="2"/>
        <v>73.727623793382818</v>
      </c>
    </row>
    <row r="179" spans="1:18" x14ac:dyDescent="0.3">
      <c r="A179" s="24">
        <v>3463162</v>
      </c>
      <c r="B179" s="24" t="s">
        <v>765</v>
      </c>
      <c r="C179" s="24">
        <v>402400062</v>
      </c>
      <c r="D179" s="24" t="str">
        <f>_xlfn.XLOOKUP(C179,Planilha3!A:A,Planilha3!C:C)</f>
        <v>PARANÃ</v>
      </c>
      <c r="E179" s="24">
        <v>1</v>
      </c>
      <c r="F179" s="54">
        <f>_xlfn.XLOOKUP(C179,Planilha3!A:A,Planilha3!E:E)</f>
        <v>45449.688217592593</v>
      </c>
      <c r="G179" s="54">
        <f>_xlfn.XLOOKUP(C179,Planilha3!A:A,Planilha3!F:F)</f>
        <v>45465.688217592593</v>
      </c>
      <c r="H179" s="54">
        <f>_xlfn.XLOOKUP(C179,Planilha3!A:A,Planilha3!G:G)</f>
        <v>45922</v>
      </c>
      <c r="I179" s="23">
        <f>_xlfn.XLOOKUP(K179,Grupo!F:F,Grupo!G:G)</f>
        <v>46440.22</v>
      </c>
      <c r="J179" s="6">
        <f>_xlfn.XLOOKUP(D179,Grupo!B:B,Grupo!C:C)</f>
        <v>10</v>
      </c>
      <c r="K179" s="24">
        <f>_xlfn.XLOOKUP(A179,[1]COORDENADAS_GEOGRÁFICAS!$D:$D,[1]COORDENADAS_GEOGRÁFICAS!$F:$F)</f>
        <v>80</v>
      </c>
      <c r="L179" s="53"/>
      <c r="M179" s="53"/>
      <c r="N179" s="52">
        <f>_xlfn.XLOOKUP(D179,Grupo!B:B,Grupo!D:D)</f>
        <v>-12.620481488718251</v>
      </c>
      <c r="O179" s="52">
        <f>_xlfn.XLOOKUP(D179,Grupo!B:B,Grupo!E:E)</f>
        <v>-47.884083728442604</v>
      </c>
      <c r="P179" s="52">
        <f>_xlfn.XLOOKUP(A179,[1]COORDENADAS_GEOGRÁFICAS!$D:$D,[1]COORDENADAS_GEOGRÁFICAS!$G:$G)</f>
        <v>-13.294635</v>
      </c>
      <c r="Q179" s="52">
        <f>_xlfn.XLOOKUP(A179,[1]COORDENADAS_GEOGRÁFICAS!$D:$D,[1]COORDENADAS_GEOGRÁFICAS!$H:$H)</f>
        <v>-47.683407000000003</v>
      </c>
      <c r="R179" s="20">
        <f t="shared" si="2"/>
        <v>78.052883319436148</v>
      </c>
    </row>
    <row r="180" spans="1:18" x14ac:dyDescent="0.3">
      <c r="A180" s="24">
        <v>3463156</v>
      </c>
      <c r="B180" s="24" t="s">
        <v>765</v>
      </c>
      <c r="C180" s="24">
        <v>402400066</v>
      </c>
      <c r="D180" s="24" t="str">
        <f>_xlfn.XLOOKUP(C180,Planilha3!A:A,Planilha3!C:C)</f>
        <v>PARANÃ</v>
      </c>
      <c r="E180" s="24">
        <v>1</v>
      </c>
      <c r="F180" s="54">
        <f>_xlfn.XLOOKUP(C180,Planilha3!A:A,Planilha3!E:E)</f>
        <v>45456.381840277776</v>
      </c>
      <c r="G180" s="54">
        <f>_xlfn.XLOOKUP(C180,Planilha3!A:A,Planilha3!F:F)</f>
        <v>45467.381840277776</v>
      </c>
      <c r="H180" s="54">
        <f>_xlfn.XLOOKUP(C180,Planilha3!A:A,Planilha3!G:G)</f>
        <v>45922</v>
      </c>
      <c r="I180" s="23">
        <f>_xlfn.XLOOKUP(K180,Grupo!F:F,Grupo!G:G)</f>
        <v>46440.22</v>
      </c>
      <c r="J180" s="6">
        <f>_xlfn.XLOOKUP(D180,Grupo!B:B,Grupo!C:C)</f>
        <v>10</v>
      </c>
      <c r="K180" s="24">
        <f>_xlfn.XLOOKUP(A180,[1]COORDENADAS_GEOGRÁFICAS!$D:$D,[1]COORDENADAS_GEOGRÁFICAS!$F:$F)</f>
        <v>80</v>
      </c>
      <c r="L180" s="53"/>
      <c r="M180" s="53"/>
      <c r="N180" s="52">
        <f>_xlfn.XLOOKUP(D180,Grupo!B:B,Grupo!D:D)</f>
        <v>-12.620481488718251</v>
      </c>
      <c r="O180" s="52">
        <f>_xlfn.XLOOKUP(D180,Grupo!B:B,Grupo!E:E)</f>
        <v>-47.884083728442604</v>
      </c>
      <c r="P180" s="52">
        <f>_xlfn.XLOOKUP(A180,[1]COORDENADAS_GEOGRÁFICAS!$D:$D,[1]COORDENADAS_GEOGRÁFICAS!$G:$G)</f>
        <v>-13.379536999999999</v>
      </c>
      <c r="Q180" s="52">
        <f>_xlfn.XLOOKUP(A180,[1]COORDENADAS_GEOGRÁFICAS!$D:$D,[1]COORDENADAS_GEOGRÁFICAS!$H:$H)</f>
        <v>-47.691772</v>
      </c>
      <c r="R180" s="20">
        <f t="shared" si="2"/>
        <v>86.936868585655446</v>
      </c>
    </row>
    <row r="181" spans="1:18" x14ac:dyDescent="0.3">
      <c r="A181" s="24">
        <v>3466906</v>
      </c>
      <c r="B181" s="24" t="s">
        <v>765</v>
      </c>
      <c r="C181" s="24">
        <v>402400069</v>
      </c>
      <c r="D181" s="24" t="str">
        <f>_xlfn.XLOOKUP(C181,Planilha3!A:A,Planilha3!C:C)</f>
        <v>PARANÃ</v>
      </c>
      <c r="E181" s="24">
        <v>1</v>
      </c>
      <c r="F181" s="54">
        <f>_xlfn.XLOOKUP(C181,Planilha3!A:A,Planilha3!E:E)</f>
        <v>45455.658518518518</v>
      </c>
      <c r="G181" s="54">
        <f>_xlfn.XLOOKUP(C181,Planilha3!A:A,Planilha3!F:F)</f>
        <v>45467.658518518518</v>
      </c>
      <c r="H181" s="54">
        <f>_xlfn.XLOOKUP(C181,Planilha3!A:A,Planilha3!G:G)</f>
        <v>45922</v>
      </c>
      <c r="I181" s="23">
        <f>_xlfn.XLOOKUP(K181,Grupo!F:F,Grupo!G:G)</f>
        <v>46440.22</v>
      </c>
      <c r="J181" s="6">
        <f>_xlfn.XLOOKUP(D181,Grupo!B:B,Grupo!C:C)</f>
        <v>10</v>
      </c>
      <c r="K181" s="24">
        <f>_xlfn.XLOOKUP(A181,[1]COORDENADAS_GEOGRÁFICAS!$D:$D,[1]COORDENADAS_GEOGRÁFICAS!$F:$F)</f>
        <v>80</v>
      </c>
      <c r="L181" s="53"/>
      <c r="M181" s="53"/>
      <c r="N181" s="52">
        <f>_xlfn.XLOOKUP(D181,Grupo!B:B,Grupo!D:D)</f>
        <v>-12.620481488718251</v>
      </c>
      <c r="O181" s="52">
        <f>_xlfn.XLOOKUP(D181,Grupo!B:B,Grupo!E:E)</f>
        <v>-47.884083728442604</v>
      </c>
      <c r="P181" s="52">
        <f>_xlfn.XLOOKUP(A181,[1]COORDENADAS_GEOGRÁFICAS!$D:$D,[1]COORDENADAS_GEOGRÁFICAS!$G:$G)</f>
        <v>-13.237385</v>
      </c>
      <c r="Q181" s="52">
        <f>_xlfn.XLOOKUP(A181,[1]COORDENADAS_GEOGRÁFICAS!$D:$D,[1]COORDENADAS_GEOGRÁFICAS!$H:$H)</f>
        <v>-47.654606999999999</v>
      </c>
      <c r="R181" s="20">
        <f t="shared" si="2"/>
        <v>72.965631063700556</v>
      </c>
    </row>
    <row r="182" spans="1:18" x14ac:dyDescent="0.3">
      <c r="A182" s="24">
        <v>3463187</v>
      </c>
      <c r="B182" s="24" t="s">
        <v>765</v>
      </c>
      <c r="C182" s="24">
        <v>402400064</v>
      </c>
      <c r="D182" s="24" t="str">
        <f>_xlfn.XLOOKUP(C182,Planilha3!A:A,Planilha3!C:C)</f>
        <v>PARANÃ</v>
      </c>
      <c r="E182" s="24">
        <v>1</v>
      </c>
      <c r="F182" s="54">
        <f>_xlfn.XLOOKUP(C182,Planilha3!A:A,Planilha3!E:E)</f>
        <v>45454.357893518521</v>
      </c>
      <c r="G182" s="54">
        <f>_xlfn.XLOOKUP(C182,Planilha3!A:A,Planilha3!F:F)</f>
        <v>45467.357893518521</v>
      </c>
      <c r="H182" s="54">
        <f>_xlfn.XLOOKUP(C182,Planilha3!A:A,Planilha3!G:G)</f>
        <v>45922</v>
      </c>
      <c r="I182" s="23">
        <f>_xlfn.XLOOKUP(K182,Grupo!F:F,Grupo!G:G)</f>
        <v>46440.22</v>
      </c>
      <c r="J182" s="6">
        <f>_xlfn.XLOOKUP(D182,Grupo!B:B,Grupo!C:C)</f>
        <v>10</v>
      </c>
      <c r="K182" s="24">
        <f>_xlfn.XLOOKUP(A182,[1]COORDENADAS_GEOGRÁFICAS!$D:$D,[1]COORDENADAS_GEOGRÁFICAS!$F:$F)</f>
        <v>80</v>
      </c>
      <c r="L182" s="53"/>
      <c r="M182" s="53"/>
      <c r="N182" s="52">
        <f>_xlfn.XLOOKUP(D182,Grupo!B:B,Grupo!D:D)</f>
        <v>-12.620481488718251</v>
      </c>
      <c r="O182" s="52">
        <f>_xlfn.XLOOKUP(D182,Grupo!B:B,Grupo!E:E)</f>
        <v>-47.884083728442604</v>
      </c>
      <c r="P182" s="52">
        <f>_xlfn.XLOOKUP(A182,[1]COORDENADAS_GEOGRÁFICAS!$D:$D,[1]COORDENADAS_GEOGRÁFICAS!$G:$G)</f>
        <v>-13.295778</v>
      </c>
      <c r="Q182" s="52">
        <f>_xlfn.XLOOKUP(A182,[1]COORDENADAS_GEOGRÁFICAS!$D:$D,[1]COORDENADAS_GEOGRÁFICAS!$H:$H)</f>
        <v>-47.681640000000002</v>
      </c>
      <c r="R182" s="20">
        <f t="shared" si="2"/>
        <v>78.228419909045655</v>
      </c>
    </row>
    <row r="183" spans="1:18" x14ac:dyDescent="0.3">
      <c r="A183" s="24">
        <v>3467117</v>
      </c>
      <c r="B183" s="24" t="s">
        <v>765</v>
      </c>
      <c r="C183" s="24">
        <v>402400061</v>
      </c>
      <c r="D183" s="24" t="str">
        <f>_xlfn.XLOOKUP(C183,Planilha3!A:A,Planilha3!C:C)</f>
        <v>PARANÃ</v>
      </c>
      <c r="E183" s="24">
        <v>1</v>
      </c>
      <c r="F183" s="54">
        <f>_xlfn.XLOOKUP(C183,Planilha3!A:A,Planilha3!E:E)</f>
        <v>45450.677314814813</v>
      </c>
      <c r="G183" s="54">
        <f>_xlfn.XLOOKUP(C183,Planilha3!A:A,Planilha3!F:F)</f>
        <v>45465.677314814813</v>
      </c>
      <c r="H183" s="54">
        <f>_xlfn.XLOOKUP(C183,Planilha3!A:A,Planilha3!G:G)</f>
        <v>45922</v>
      </c>
      <c r="I183" s="23">
        <f>_xlfn.XLOOKUP(K183,Grupo!F:F,Grupo!G:G)</f>
        <v>46440.22</v>
      </c>
      <c r="J183" s="6">
        <f>_xlfn.XLOOKUP(D183,Grupo!B:B,Grupo!C:C)</f>
        <v>10</v>
      </c>
      <c r="K183" s="24">
        <f>_xlfn.XLOOKUP(A183,[1]COORDENADAS_GEOGRÁFICAS!$D:$D,[1]COORDENADAS_GEOGRÁFICAS!$F:$F)</f>
        <v>80</v>
      </c>
      <c r="L183" s="53"/>
      <c r="M183" s="53"/>
      <c r="N183" s="52">
        <v>-12.620481488718251</v>
      </c>
      <c r="O183" s="52">
        <v>-47.884083728442604</v>
      </c>
      <c r="P183" s="52">
        <v>-13.08901</v>
      </c>
      <c r="Q183" s="52">
        <v>-47.674202000000001</v>
      </c>
      <c r="R183" s="20">
        <f t="shared" si="2"/>
        <v>56.849721352505981</v>
      </c>
    </row>
    <row r="184" spans="1:18" x14ac:dyDescent="0.3">
      <c r="A184" s="24">
        <v>3467212</v>
      </c>
      <c r="B184" s="24" t="s">
        <v>765</v>
      </c>
      <c r="C184" s="24">
        <v>402400087</v>
      </c>
      <c r="D184" s="24" t="str">
        <f>_xlfn.XLOOKUP(C184,Planilha3!A:A,Planilha3!C:C)</f>
        <v>PARANÃ</v>
      </c>
      <c r="E184" s="24">
        <v>1</v>
      </c>
      <c r="F184" s="54">
        <f>_xlfn.XLOOKUP(C184,Planilha3!A:A,Planilha3!E:E)</f>
        <v>45457.438159722224</v>
      </c>
      <c r="G184" s="54">
        <f>_xlfn.XLOOKUP(C184,Planilha3!A:A,Planilha3!F:F)</f>
        <v>45468.438159722224</v>
      </c>
      <c r="H184" s="54">
        <f>_xlfn.XLOOKUP(C184,Planilha3!A:A,Planilha3!G:G)</f>
        <v>45922</v>
      </c>
      <c r="I184" s="23">
        <f>_xlfn.XLOOKUP(K184,Grupo!F:F,Grupo!G:G)</f>
        <v>46440.22</v>
      </c>
      <c r="J184" s="6">
        <f>_xlfn.XLOOKUP(D184,Grupo!B:B,Grupo!C:C)</f>
        <v>10</v>
      </c>
      <c r="K184" s="24">
        <f>_xlfn.XLOOKUP(A184,[1]COORDENADAS_GEOGRÁFICAS!$D:$D,[1]COORDENADAS_GEOGRÁFICAS!$F:$F)</f>
        <v>80</v>
      </c>
      <c r="L184" s="53"/>
      <c r="M184" s="53"/>
      <c r="N184" s="52">
        <f>_xlfn.XLOOKUP(D184,Grupo!B:B,Grupo!D:D)</f>
        <v>-12.620481488718251</v>
      </c>
      <c r="O184" s="52">
        <f>_xlfn.XLOOKUP(D184,Grupo!B:B,Grupo!E:E)</f>
        <v>-47.884083728442604</v>
      </c>
      <c r="P184" s="52">
        <f>_xlfn.XLOOKUP(A184,[1]COORDENADAS_GEOGRÁFICAS!$D:$D,[1]COORDENADAS_GEOGRÁFICAS!$G:$G)</f>
        <v>-13.250114</v>
      </c>
      <c r="Q184" s="52">
        <f>_xlfn.XLOOKUP(A184,[1]COORDENADAS_GEOGRÁFICAS!$D:$D,[1]COORDENADAS_GEOGRÁFICAS!$H:$H)</f>
        <v>-47.674072000000002</v>
      </c>
      <c r="R184" s="20">
        <f t="shared" si="2"/>
        <v>73.618387761682754</v>
      </c>
    </row>
    <row r="185" spans="1:18" x14ac:dyDescent="0.3">
      <c r="A185" s="24">
        <v>3463163</v>
      </c>
      <c r="B185" s="24" t="s">
        <v>765</v>
      </c>
      <c r="C185" s="24">
        <v>402400065</v>
      </c>
      <c r="D185" s="24" t="str">
        <f>_xlfn.XLOOKUP(C185,Planilha3!A:A,Planilha3!C:C)</f>
        <v>PARANÃ</v>
      </c>
      <c r="E185" s="24">
        <v>1</v>
      </c>
      <c r="F185" s="54">
        <f>_xlfn.XLOOKUP(C185,Planilha3!A:A,Planilha3!E:E)</f>
        <v>45455.371481481481</v>
      </c>
      <c r="G185" s="54">
        <f>_xlfn.XLOOKUP(C185,Planilha3!A:A,Planilha3!F:F)</f>
        <v>45467.371481481481</v>
      </c>
      <c r="H185" s="54">
        <f>_xlfn.XLOOKUP(C185,Planilha3!A:A,Planilha3!G:G)</f>
        <v>45922</v>
      </c>
      <c r="I185" s="23">
        <f>_xlfn.XLOOKUP(K185,Grupo!F:F,Grupo!G:G)</f>
        <v>46440.22</v>
      </c>
      <c r="J185" s="6">
        <f>_xlfn.XLOOKUP(D185,Grupo!B:B,Grupo!C:C)</f>
        <v>10</v>
      </c>
      <c r="K185" s="24">
        <f>_xlfn.XLOOKUP(A185,[1]COORDENADAS_GEOGRÁFICAS!$D:$D,[1]COORDENADAS_GEOGRÁFICAS!$F:$F)</f>
        <v>80</v>
      </c>
      <c r="L185" s="53"/>
      <c r="M185" s="53"/>
      <c r="N185" s="52">
        <f>_xlfn.XLOOKUP(D185,Grupo!B:B,Grupo!D:D)</f>
        <v>-12.620481488718251</v>
      </c>
      <c r="O185" s="52">
        <f>_xlfn.XLOOKUP(D185,Grupo!B:B,Grupo!E:E)</f>
        <v>-47.884083728442604</v>
      </c>
      <c r="P185" s="52">
        <f>_xlfn.XLOOKUP(A185,[1]COORDENADAS_GEOGRÁFICAS!$D:$D,[1]COORDENADAS_GEOGRÁFICAS!$G:$G)</f>
        <v>-13.288798</v>
      </c>
      <c r="Q185" s="52">
        <f>_xlfn.XLOOKUP(A185,[1]COORDENADAS_GEOGRÁFICAS!$D:$D,[1]COORDENADAS_GEOGRÁFICAS!$H:$H)</f>
        <v>-47.656587000000002</v>
      </c>
      <c r="R185" s="20">
        <f t="shared" si="2"/>
        <v>78.295762832916708</v>
      </c>
    </row>
    <row r="186" spans="1:18" x14ac:dyDescent="0.3">
      <c r="A186" s="24">
        <v>3466879</v>
      </c>
      <c r="B186" s="24" t="s">
        <v>765</v>
      </c>
      <c r="C186" s="24">
        <v>402400090</v>
      </c>
      <c r="D186" s="24" t="str">
        <f>_xlfn.XLOOKUP(C186,Planilha3!A:A,Planilha3!C:C)</f>
        <v>PARANÃ</v>
      </c>
      <c r="E186" s="24">
        <v>1</v>
      </c>
      <c r="F186" s="54">
        <f>_xlfn.XLOOKUP(C186,Planilha3!A:A,Planilha3!E:E)</f>
        <v>45455.466145833336</v>
      </c>
      <c r="G186" s="54">
        <f>_xlfn.XLOOKUP(C186,Planilha3!A:A,Planilha3!F:F)</f>
        <v>45468.466145833336</v>
      </c>
      <c r="H186" s="54">
        <f>_xlfn.XLOOKUP(C186,Planilha3!A:A,Planilha3!G:G)</f>
        <v>45922</v>
      </c>
      <c r="I186" s="23">
        <f>_xlfn.XLOOKUP(K186,Grupo!F:F,Grupo!G:G)</f>
        <v>46440.22</v>
      </c>
      <c r="J186" s="6">
        <f>_xlfn.XLOOKUP(D186,Grupo!B:B,Grupo!C:C)</f>
        <v>10</v>
      </c>
      <c r="K186" s="24">
        <f>_xlfn.XLOOKUP(A186,[1]COORDENADAS_GEOGRÁFICAS!$D:$D,[1]COORDENADAS_GEOGRÁFICAS!$F:$F)</f>
        <v>80</v>
      </c>
      <c r="L186" s="53"/>
      <c r="M186" s="53"/>
      <c r="N186" s="52">
        <f>_xlfn.XLOOKUP(D186,Grupo!B:B,Grupo!D:D)</f>
        <v>-12.620481488718251</v>
      </c>
      <c r="O186" s="52">
        <f>_xlfn.XLOOKUP(D186,Grupo!B:B,Grupo!E:E)</f>
        <v>-47.884083728442604</v>
      </c>
      <c r="P186" s="52">
        <f>_xlfn.XLOOKUP(A186,[1]COORDENADAS_GEOGRÁFICAS!$D:$D,[1]COORDENADAS_GEOGRÁFICAS!$G:$G)</f>
        <v>-13.303592999999999</v>
      </c>
      <c r="Q186" s="52">
        <f>_xlfn.XLOOKUP(A186,[1]COORDENADAS_GEOGRÁFICAS!$D:$D,[1]COORDENADAS_GEOGRÁFICAS!$H:$H)</f>
        <v>-47.663682999999999</v>
      </c>
      <c r="R186" s="20">
        <f t="shared" si="2"/>
        <v>79.624664229704948</v>
      </c>
    </row>
    <row r="187" spans="1:18" x14ac:dyDescent="0.3">
      <c r="A187" s="24">
        <v>3466930</v>
      </c>
      <c r="B187" s="24" t="s">
        <v>765</v>
      </c>
      <c r="C187" s="24">
        <v>402400088</v>
      </c>
      <c r="D187" s="24" t="str">
        <f>_xlfn.XLOOKUP(C187,Planilha3!A:A,Planilha3!C:C)</f>
        <v>PARANÃ</v>
      </c>
      <c r="E187" s="24">
        <v>1</v>
      </c>
      <c r="F187" s="54">
        <f>_xlfn.XLOOKUP(C187,Planilha3!A:A,Planilha3!E:E)</f>
        <v>45453.446770833332</v>
      </c>
      <c r="G187" s="54">
        <f>_xlfn.XLOOKUP(C187,Planilha3!A:A,Planilha3!F:F)</f>
        <v>45468.446770833332</v>
      </c>
      <c r="H187" s="54">
        <f>_xlfn.XLOOKUP(C187,Planilha3!A:A,Planilha3!G:G)</f>
        <v>45922</v>
      </c>
      <c r="I187" s="23">
        <f>_xlfn.XLOOKUP(K187,Grupo!F:F,Grupo!G:G)</f>
        <v>46440.22</v>
      </c>
      <c r="J187" s="6">
        <f>_xlfn.XLOOKUP(D187,Grupo!B:B,Grupo!C:C)</f>
        <v>10</v>
      </c>
      <c r="K187" s="24">
        <f>_xlfn.XLOOKUP(A187,[1]COORDENADAS_GEOGRÁFICAS!$D:$D,[1]COORDENADAS_GEOGRÁFICAS!$F:$F)</f>
        <v>80</v>
      </c>
      <c r="L187" s="53"/>
      <c r="M187" s="53"/>
      <c r="N187" s="52">
        <f>_xlfn.XLOOKUP(D187,Grupo!B:B,Grupo!D:D)</f>
        <v>-12.620481488718251</v>
      </c>
      <c r="O187" s="52">
        <f>_xlfn.XLOOKUP(D187,Grupo!B:B,Grupo!E:E)</f>
        <v>-47.884083728442604</v>
      </c>
      <c r="P187" s="52">
        <f>_xlfn.XLOOKUP(A187,[1]COORDENADAS_GEOGRÁFICAS!$D:$D,[1]COORDENADAS_GEOGRÁFICAS!$G:$G)</f>
        <v>-13.296087</v>
      </c>
      <c r="Q187" s="52">
        <f>_xlfn.XLOOKUP(A187,[1]COORDENADAS_GEOGRÁFICAS!$D:$D,[1]COORDENADAS_GEOGRÁFICAS!$H:$H)</f>
        <v>-47.685901000000001</v>
      </c>
      <c r="R187" s="20">
        <f t="shared" si="2"/>
        <v>78.133227043796154</v>
      </c>
    </row>
    <row r="188" spans="1:18" x14ac:dyDescent="0.3">
      <c r="A188" s="24">
        <v>3467213</v>
      </c>
      <c r="B188" s="24" t="s">
        <v>765</v>
      </c>
      <c r="C188" s="24">
        <v>402400089</v>
      </c>
      <c r="D188" s="24" t="str">
        <f>_xlfn.XLOOKUP(C188,Planilha3!A:A,Planilha3!C:C)</f>
        <v>PARANÃ</v>
      </c>
      <c r="E188" s="24">
        <v>1</v>
      </c>
      <c r="F188" s="54">
        <f>_xlfn.XLOOKUP(C188,Planilha3!A:A,Planilha3!E:E)</f>
        <v>45452.451840277776</v>
      </c>
      <c r="G188" s="54">
        <f>_xlfn.XLOOKUP(C188,Planilha3!A:A,Planilha3!F:F)</f>
        <v>45468.451840277776</v>
      </c>
      <c r="H188" s="54">
        <f>_xlfn.XLOOKUP(C188,Planilha3!A:A,Planilha3!G:G)</f>
        <v>45922</v>
      </c>
      <c r="I188" s="23">
        <f>_xlfn.XLOOKUP(K188,Grupo!F:F,Grupo!G:G)</f>
        <v>46440.22</v>
      </c>
      <c r="J188" s="6">
        <f>_xlfn.XLOOKUP(D188,Grupo!B:B,Grupo!C:C)</f>
        <v>10</v>
      </c>
      <c r="K188" s="24">
        <f>_xlfn.XLOOKUP(A188,[1]COORDENADAS_GEOGRÁFICAS!$D:$D,[1]COORDENADAS_GEOGRÁFICAS!$F:$F)</f>
        <v>80</v>
      </c>
      <c r="L188" s="53"/>
      <c r="M188" s="53"/>
      <c r="N188" s="52">
        <f>_xlfn.XLOOKUP(D188,Grupo!B:B,Grupo!D:D)</f>
        <v>-12.620481488718251</v>
      </c>
      <c r="O188" s="52">
        <f>_xlfn.XLOOKUP(D188,Grupo!B:B,Grupo!E:E)</f>
        <v>-47.884083728442604</v>
      </c>
      <c r="P188" s="52">
        <f>_xlfn.XLOOKUP(A188,[1]COORDENADAS_GEOGRÁFICAS!$D:$D,[1]COORDENADAS_GEOGRÁFICAS!$G:$G)</f>
        <v>-13.320015</v>
      </c>
      <c r="Q188" s="52">
        <f>_xlfn.XLOOKUP(A188,[1]COORDENADAS_GEOGRÁFICAS!$D:$D,[1]COORDENADAS_GEOGRÁFICAS!$H:$H)</f>
        <v>-47.677818000000002</v>
      </c>
      <c r="R188" s="20">
        <f t="shared" si="2"/>
        <v>80.931945635437614</v>
      </c>
    </row>
    <row r="189" spans="1:18" x14ac:dyDescent="0.3">
      <c r="A189" s="24">
        <v>3466770</v>
      </c>
      <c r="B189" s="24" t="s">
        <v>765</v>
      </c>
      <c r="C189" s="24">
        <v>402400086</v>
      </c>
      <c r="D189" s="24" t="str">
        <f>_xlfn.XLOOKUP(C189,Planilha3!A:A,Planilha3!C:C)</f>
        <v>PARANÃ</v>
      </c>
      <c r="E189" s="24">
        <v>1</v>
      </c>
      <c r="F189" s="54">
        <f>_xlfn.XLOOKUP(C189,Planilha3!A:A,Planilha3!E:E)</f>
        <v>45457.41479166667</v>
      </c>
      <c r="G189" s="54">
        <f>_xlfn.XLOOKUP(C189,Planilha3!A:A,Planilha3!F:F)</f>
        <v>45468.41479166667</v>
      </c>
      <c r="H189" s="54">
        <f>_xlfn.XLOOKUP(C189,Planilha3!A:A,Planilha3!G:G)</f>
        <v>45922</v>
      </c>
      <c r="I189" s="23">
        <f>_xlfn.XLOOKUP(K189,Grupo!F:F,Grupo!G:G)</f>
        <v>46440.22</v>
      </c>
      <c r="J189" s="6">
        <f>_xlfn.XLOOKUP(D189,Grupo!B:B,Grupo!C:C)</f>
        <v>10</v>
      </c>
      <c r="K189" s="24">
        <f>_xlfn.XLOOKUP(A189,[1]COORDENADAS_GEOGRÁFICAS!$D:$D,[1]COORDENADAS_GEOGRÁFICAS!$F:$F)</f>
        <v>80</v>
      </c>
      <c r="L189" s="53"/>
      <c r="M189" s="53"/>
      <c r="N189" s="52">
        <f>_xlfn.XLOOKUP(D189,Grupo!B:B,Grupo!D:D)</f>
        <v>-12.620481488718251</v>
      </c>
      <c r="O189" s="52">
        <f>_xlfn.XLOOKUP(D189,Grupo!B:B,Grupo!E:E)</f>
        <v>-47.884083728442604</v>
      </c>
      <c r="P189" s="52">
        <f>_xlfn.XLOOKUP(A189,[1]COORDENADAS_GEOGRÁFICAS!$D:$D,[1]COORDENADAS_GEOGRÁFICAS!$G:$G)</f>
        <v>-13.146948</v>
      </c>
      <c r="Q189" s="52">
        <f>_xlfn.XLOOKUP(A189,[1]COORDENADAS_GEOGRÁFICAS!$D:$D,[1]COORDENADAS_GEOGRÁFICAS!$H:$H)</f>
        <v>-47.775047000000001</v>
      </c>
      <c r="R189" s="20">
        <f t="shared" si="2"/>
        <v>59.721595144778789</v>
      </c>
    </row>
    <row r="190" spans="1:18" x14ac:dyDescent="0.3">
      <c r="A190" s="24">
        <v>3466873</v>
      </c>
      <c r="B190" s="24" t="s">
        <v>765</v>
      </c>
      <c r="C190" s="24">
        <v>402400073</v>
      </c>
      <c r="D190" s="24" t="str">
        <f>_xlfn.XLOOKUP(C190,Planilha3!A:A,Planilha3!C:C)</f>
        <v>PARANÃ</v>
      </c>
      <c r="E190" s="24">
        <v>1</v>
      </c>
      <c r="F190" s="54">
        <f>_xlfn.XLOOKUP(C190,Planilha3!A:A,Planilha3!E:E)</f>
        <v>45456.634502314817</v>
      </c>
      <c r="G190" s="54">
        <f>_xlfn.XLOOKUP(C190,Planilha3!A:A,Planilha3!F:F)</f>
        <v>45468.634502314817</v>
      </c>
      <c r="H190" s="54">
        <f>_xlfn.XLOOKUP(C190,Planilha3!A:A,Planilha3!G:G)</f>
        <v>45922</v>
      </c>
      <c r="I190" s="23">
        <f>_xlfn.XLOOKUP(K190,Grupo!F:F,Grupo!G:G)</f>
        <v>46440.22</v>
      </c>
      <c r="J190" s="6">
        <f>_xlfn.XLOOKUP(D190,Grupo!B:B,Grupo!C:C)</f>
        <v>10</v>
      </c>
      <c r="K190" s="24">
        <f>_xlfn.XLOOKUP(A190,[1]COORDENADAS_GEOGRÁFICAS!$D:$D,[1]COORDENADAS_GEOGRÁFICAS!$F:$F)</f>
        <v>80</v>
      </c>
      <c r="L190" s="53"/>
      <c r="M190" s="53"/>
      <c r="N190" s="52">
        <f>_xlfn.XLOOKUP(D190,Grupo!B:B,Grupo!D:D)</f>
        <v>-12.620481488718251</v>
      </c>
      <c r="O190" s="52">
        <f>_xlfn.XLOOKUP(D190,Grupo!B:B,Grupo!E:E)</f>
        <v>-47.884083728442604</v>
      </c>
      <c r="P190" s="52">
        <f>_xlfn.XLOOKUP(A190,[1]COORDENADAS_GEOGRÁFICAS!$D:$D,[1]COORDENADAS_GEOGRÁFICAS!$G:$G)</f>
        <v>-13.151652</v>
      </c>
      <c r="Q190" s="52">
        <f>_xlfn.XLOOKUP(A190,[1]COORDENADAS_GEOGRÁFICAS!$D:$D,[1]COORDENADAS_GEOGRÁFICAS!$H:$H)</f>
        <v>-47.741591</v>
      </c>
      <c r="R190" s="20">
        <f t="shared" si="2"/>
        <v>61.04958993091212</v>
      </c>
    </row>
    <row r="191" spans="1:18" x14ac:dyDescent="0.3">
      <c r="A191" s="24">
        <v>3466950</v>
      </c>
      <c r="B191" s="24" t="s">
        <v>765</v>
      </c>
      <c r="C191" s="24">
        <v>402400079</v>
      </c>
      <c r="D191" s="24" t="str">
        <f>_xlfn.XLOOKUP(C191,Planilha3!A:A,Planilha3!C:C)</f>
        <v>PARANÃ</v>
      </c>
      <c r="E191" s="24">
        <v>1</v>
      </c>
      <c r="F191" s="54">
        <f>_xlfn.XLOOKUP(C191,Planilha3!A:A,Planilha3!E:E)</f>
        <v>45455.724004629628</v>
      </c>
      <c r="G191" s="54">
        <f>_xlfn.XLOOKUP(C191,Planilha3!A:A,Planilha3!F:F)</f>
        <v>45468.724004629628</v>
      </c>
      <c r="H191" s="54">
        <f>_xlfn.XLOOKUP(C191,Planilha3!A:A,Planilha3!G:G)</f>
        <v>45922</v>
      </c>
      <c r="I191" s="23">
        <f>_xlfn.XLOOKUP(K191,Grupo!F:F,Grupo!G:G)</f>
        <v>46440.22</v>
      </c>
      <c r="J191" s="6">
        <f>_xlfn.XLOOKUP(D191,Grupo!B:B,Grupo!C:C)</f>
        <v>10</v>
      </c>
      <c r="K191" s="24">
        <f>_xlfn.XLOOKUP(A191,[1]COORDENADAS_GEOGRÁFICAS!$D:$D,[1]COORDENADAS_GEOGRÁFICAS!$F:$F)</f>
        <v>80</v>
      </c>
      <c r="L191" s="53"/>
      <c r="M191" s="53"/>
      <c r="N191" s="52">
        <f>_xlfn.XLOOKUP(D191,Grupo!B:B,Grupo!D:D)</f>
        <v>-12.620481488718251</v>
      </c>
      <c r="O191" s="52">
        <f>_xlfn.XLOOKUP(D191,Grupo!B:B,Grupo!E:E)</f>
        <v>-47.884083728442604</v>
      </c>
      <c r="P191" s="52">
        <f>_xlfn.XLOOKUP(A191,[1]COORDENADAS_GEOGRÁFICAS!$D:$D,[1]COORDENADAS_GEOGRÁFICAS!$G:$G)</f>
        <v>-13.149967999999999</v>
      </c>
      <c r="Q191" s="52">
        <f>_xlfn.XLOOKUP(A191,[1]COORDENADAS_GEOGRÁFICAS!$D:$D,[1]COORDENADAS_GEOGRÁFICAS!$H:$H)</f>
        <v>-47.736065000000004</v>
      </c>
      <c r="R191" s="20">
        <f t="shared" si="2"/>
        <v>61.023205398542657</v>
      </c>
    </row>
    <row r="192" spans="1:18" x14ac:dyDescent="0.3">
      <c r="A192" s="24">
        <v>3466158</v>
      </c>
      <c r="B192" s="24" t="s">
        <v>765</v>
      </c>
      <c r="C192" s="24">
        <v>402400080</v>
      </c>
      <c r="D192" s="24" t="str">
        <f>_xlfn.XLOOKUP(C192,Planilha3!A:A,Planilha3!C:C)</f>
        <v>PARANÃ</v>
      </c>
      <c r="E192" s="24">
        <v>1</v>
      </c>
      <c r="F192" s="54">
        <f>_xlfn.XLOOKUP(C192,Planilha3!A:A,Planilha3!E:E)</f>
        <v>45453.729791666665</v>
      </c>
      <c r="G192" s="54">
        <f>_xlfn.XLOOKUP(C192,Planilha3!A:A,Planilha3!F:F)</f>
        <v>45468.729791666665</v>
      </c>
      <c r="H192" s="54">
        <f>_xlfn.XLOOKUP(C192,Planilha3!A:A,Planilha3!G:G)</f>
        <v>45922</v>
      </c>
      <c r="I192" s="23">
        <f>_xlfn.XLOOKUP(K192,Grupo!F:F,Grupo!G:G)</f>
        <v>46440.22</v>
      </c>
      <c r="J192" s="6">
        <f>_xlfn.XLOOKUP(D192,Grupo!B:B,Grupo!C:C)</f>
        <v>10</v>
      </c>
      <c r="K192" s="24">
        <f>_xlfn.XLOOKUP(A192,[1]COORDENADAS_GEOGRÁFICAS!$D:$D,[1]COORDENADAS_GEOGRÁFICAS!$F:$F)</f>
        <v>80</v>
      </c>
      <c r="L192" s="53"/>
      <c r="M192" s="53"/>
      <c r="N192" s="52">
        <f>_xlfn.XLOOKUP(D192,Grupo!B:B,Grupo!D:D)</f>
        <v>-12.620481488718251</v>
      </c>
      <c r="O192" s="52">
        <f>_xlfn.XLOOKUP(D192,Grupo!B:B,Grupo!E:E)</f>
        <v>-47.884083728442604</v>
      </c>
      <c r="P192" s="52">
        <f>_xlfn.XLOOKUP(A192,[1]COORDENADAS_GEOGRÁFICAS!$D:$D,[1]COORDENADAS_GEOGRÁFICAS!$G:$G)</f>
        <v>-13.194426</v>
      </c>
      <c r="Q192" s="52">
        <f>_xlfn.XLOOKUP(A192,[1]COORDENADAS_GEOGRÁFICAS!$D:$D,[1]COORDENADAS_GEOGRÁFICAS!$H:$H)</f>
        <v>-47.666097000000001</v>
      </c>
      <c r="R192" s="20">
        <f t="shared" si="2"/>
        <v>68.052662127436506</v>
      </c>
    </row>
    <row r="193" spans="1:18" x14ac:dyDescent="0.3">
      <c r="A193" s="24">
        <v>3467116</v>
      </c>
      <c r="B193" s="24" t="s">
        <v>765</v>
      </c>
      <c r="C193" s="24">
        <v>402400082</v>
      </c>
      <c r="D193" s="24" t="str">
        <f>_xlfn.XLOOKUP(C193,Planilha3!A:A,Planilha3!C:C)</f>
        <v>PARANÃ</v>
      </c>
      <c r="E193" s="24">
        <v>1</v>
      </c>
      <c r="F193" s="54">
        <f>_xlfn.XLOOKUP(C193,Planilha3!A:A,Planilha3!E:E)</f>
        <v>45457.39340277778</v>
      </c>
      <c r="G193" s="54">
        <f>_xlfn.XLOOKUP(C193,Planilha3!A:A,Planilha3!F:F)</f>
        <v>45468.39340277778</v>
      </c>
      <c r="H193" s="54">
        <f>_xlfn.XLOOKUP(C193,Planilha3!A:A,Planilha3!G:G)</f>
        <v>45922</v>
      </c>
      <c r="I193" s="23">
        <f>_xlfn.XLOOKUP(K193,Grupo!F:F,Grupo!G:G)</f>
        <v>46440.22</v>
      </c>
      <c r="J193" s="6">
        <f>_xlfn.XLOOKUP(D193,Grupo!B:B,Grupo!C:C)</f>
        <v>10</v>
      </c>
      <c r="K193" s="24">
        <f>_xlfn.XLOOKUP(A193,[1]COORDENADAS_GEOGRÁFICAS!$D:$D,[1]COORDENADAS_GEOGRÁFICAS!$F:$F)</f>
        <v>80</v>
      </c>
      <c r="L193" s="53"/>
      <c r="M193" s="53"/>
      <c r="N193" s="52">
        <f>_xlfn.XLOOKUP(D193,Grupo!B:B,Grupo!D:D)</f>
        <v>-12.620481488718251</v>
      </c>
      <c r="O193" s="52">
        <f>_xlfn.XLOOKUP(D193,Grupo!B:B,Grupo!E:E)</f>
        <v>-47.884083728442604</v>
      </c>
      <c r="P193" s="52">
        <f>_xlfn.XLOOKUP(A193,[1]COORDENADAS_GEOGRÁFICAS!$D:$D,[1]COORDENADAS_GEOGRÁFICAS!$G:$G)</f>
        <v>-13.221864</v>
      </c>
      <c r="Q193" s="52">
        <f>_xlfn.XLOOKUP(A193,[1]COORDENADAS_GEOGRÁFICAS!$D:$D,[1]COORDENADAS_GEOGRÁFICAS!$H:$H)</f>
        <v>-47.672583000000003</v>
      </c>
      <c r="R193" s="20">
        <f t="shared" si="2"/>
        <v>70.690274105533405</v>
      </c>
    </row>
    <row r="194" spans="1:18" x14ac:dyDescent="0.3">
      <c r="A194" s="24">
        <v>3466884</v>
      </c>
      <c r="B194" s="24" t="s">
        <v>765</v>
      </c>
      <c r="C194" s="24">
        <v>402400083</v>
      </c>
      <c r="D194" s="24" t="str">
        <f>_xlfn.XLOOKUP(C194,Planilha3!A:A,Planilha3!C:C)</f>
        <v>PARANÃ</v>
      </c>
      <c r="E194" s="24">
        <v>1</v>
      </c>
      <c r="F194" s="54">
        <f>_xlfn.XLOOKUP(C194,Planilha3!A:A,Planilha3!E:E)</f>
        <v>45456.398530092592</v>
      </c>
      <c r="G194" s="54">
        <f>_xlfn.XLOOKUP(C194,Planilha3!A:A,Planilha3!F:F)</f>
        <v>45468.398530092592</v>
      </c>
      <c r="H194" s="54">
        <f>_xlfn.XLOOKUP(C194,Planilha3!A:A,Planilha3!G:G)</f>
        <v>45922</v>
      </c>
      <c r="I194" s="23">
        <f>_xlfn.XLOOKUP(K194,Grupo!F:F,Grupo!G:G)</f>
        <v>46440.22</v>
      </c>
      <c r="J194" s="6">
        <f>_xlfn.XLOOKUP(D194,Grupo!B:B,Grupo!C:C)</f>
        <v>10</v>
      </c>
      <c r="K194" s="24">
        <f>_xlfn.XLOOKUP(A194,[1]COORDENADAS_GEOGRÁFICAS!$D:$D,[1]COORDENADAS_GEOGRÁFICAS!$F:$F)</f>
        <v>80</v>
      </c>
      <c r="L194" s="53"/>
      <c r="M194" s="53"/>
      <c r="N194" s="52">
        <f>_xlfn.XLOOKUP(D194,Grupo!B:B,Grupo!D:D)</f>
        <v>-12.620481488718251</v>
      </c>
      <c r="O194" s="52">
        <f>_xlfn.XLOOKUP(D194,Grupo!B:B,Grupo!E:E)</f>
        <v>-47.884083728442604</v>
      </c>
      <c r="P194" s="52">
        <f>_xlfn.XLOOKUP(A194,[1]COORDENADAS_GEOGRÁFICAS!$D:$D,[1]COORDENADAS_GEOGRÁFICAS!$G:$G)</f>
        <v>-13.221212</v>
      </c>
      <c r="Q194" s="52">
        <f>_xlfn.XLOOKUP(A194,[1]COORDENADAS_GEOGRÁFICAS!$D:$D,[1]COORDENADAS_GEOGRÁFICAS!$H:$H)</f>
        <v>-47.658037</v>
      </c>
      <c r="R194" s="20">
        <f t="shared" si="2"/>
        <v>71.149022697052004</v>
      </c>
    </row>
    <row r="195" spans="1:18" x14ac:dyDescent="0.3">
      <c r="A195" s="24">
        <v>3466703</v>
      </c>
      <c r="B195" s="24" t="s">
        <v>765</v>
      </c>
      <c r="C195" s="24">
        <v>402400081</v>
      </c>
      <c r="D195" s="24" t="str">
        <f>_xlfn.XLOOKUP(C195,Planilha3!A:A,Planilha3!C:C)</f>
        <v>PARANÃ</v>
      </c>
      <c r="E195" s="24">
        <v>1</v>
      </c>
      <c r="F195" s="54">
        <f>_xlfn.XLOOKUP(C195,Planilha3!A:A,Planilha3!E:E)</f>
        <v>45455.737928240742</v>
      </c>
      <c r="G195" s="54">
        <f>_xlfn.XLOOKUP(C195,Planilha3!A:A,Planilha3!F:F)</f>
        <v>45468.737928240742</v>
      </c>
      <c r="H195" s="54">
        <f>_xlfn.XLOOKUP(C195,Planilha3!A:A,Planilha3!G:G)</f>
        <v>45922</v>
      </c>
      <c r="I195" s="23">
        <f>_xlfn.XLOOKUP(K195,Grupo!F:F,Grupo!G:G)</f>
        <v>46440.22</v>
      </c>
      <c r="J195" s="6">
        <f>_xlfn.XLOOKUP(D195,Grupo!B:B,Grupo!C:C)</f>
        <v>10</v>
      </c>
      <c r="K195" s="24">
        <f>_xlfn.XLOOKUP(A195,[1]COORDENADAS_GEOGRÁFICAS!$D:$D,[1]COORDENADAS_GEOGRÁFICAS!$F:$F)</f>
        <v>80</v>
      </c>
      <c r="L195" s="53"/>
      <c r="M195" s="53"/>
      <c r="N195" s="52">
        <f>_xlfn.XLOOKUP(D195,Grupo!B:B,Grupo!D:D)</f>
        <v>-12.620481488718251</v>
      </c>
      <c r="O195" s="52">
        <f>_xlfn.XLOOKUP(D195,Grupo!B:B,Grupo!E:E)</f>
        <v>-47.884083728442604</v>
      </c>
      <c r="P195" s="52">
        <f>_xlfn.XLOOKUP(A195,[1]COORDENADAS_GEOGRÁFICAS!$D:$D,[1]COORDENADAS_GEOGRÁFICAS!$G:$G)</f>
        <v>-13.227563</v>
      </c>
      <c r="Q195" s="52">
        <f>_xlfn.XLOOKUP(A195,[1]COORDENADAS_GEOGRÁFICAS!$D:$D,[1]COORDENADAS_GEOGRÁFICAS!$H:$H)</f>
        <v>-47.655817999999996</v>
      </c>
      <c r="R195" s="20">
        <f t="shared" si="2"/>
        <v>71.894738438273521</v>
      </c>
    </row>
    <row r="196" spans="1:18" x14ac:dyDescent="0.3">
      <c r="A196" s="24">
        <v>3466780</v>
      </c>
      <c r="B196" s="24" t="s">
        <v>765</v>
      </c>
      <c r="C196" s="24">
        <v>402400077</v>
      </c>
      <c r="D196" s="24" t="str">
        <f>_xlfn.XLOOKUP(C196,Planilha3!A:A,Planilha3!C:C)</f>
        <v>PARANÃ</v>
      </c>
      <c r="E196" s="24">
        <v>1</v>
      </c>
      <c r="F196" s="54">
        <f>_xlfn.XLOOKUP(C196,Planilha3!A:A,Planilha3!E:E)</f>
        <v>45453.702627314815</v>
      </c>
      <c r="G196" s="54">
        <f>_xlfn.XLOOKUP(C196,Planilha3!A:A,Planilha3!F:F)</f>
        <v>45468.702627314815</v>
      </c>
      <c r="H196" s="54">
        <f>_xlfn.XLOOKUP(C196,Planilha3!A:A,Planilha3!G:G)</f>
        <v>45922</v>
      </c>
      <c r="I196" s="23">
        <f>_xlfn.XLOOKUP(K196,Grupo!F:F,Grupo!G:G)</f>
        <v>46440.22</v>
      </c>
      <c r="J196" s="6">
        <f>_xlfn.XLOOKUP(D196,Grupo!B:B,Grupo!C:C)</f>
        <v>10</v>
      </c>
      <c r="K196" s="24">
        <f>_xlfn.XLOOKUP(A196,[1]COORDENADAS_GEOGRÁFICAS!$D:$D,[1]COORDENADAS_GEOGRÁFICAS!$F:$F)</f>
        <v>80</v>
      </c>
      <c r="L196" s="53"/>
      <c r="M196" s="53"/>
      <c r="N196" s="52">
        <f>_xlfn.XLOOKUP(D196,Grupo!B:B,Grupo!D:D)</f>
        <v>-12.620481488718251</v>
      </c>
      <c r="O196" s="52">
        <f>_xlfn.XLOOKUP(D196,Grupo!B:B,Grupo!E:E)</f>
        <v>-47.884083728442604</v>
      </c>
      <c r="P196" s="52">
        <f>_xlfn.XLOOKUP(A196,[1]COORDENADAS_GEOGRÁFICAS!$D:$D,[1]COORDENADAS_GEOGRÁFICAS!$G:$G)</f>
        <v>-13.241897</v>
      </c>
      <c r="Q196" s="52">
        <f>_xlfn.XLOOKUP(A196,[1]COORDENADAS_GEOGRÁFICAS!$D:$D,[1]COORDENADAS_GEOGRÁFICAS!$H:$H)</f>
        <v>-47.674247000000001</v>
      </c>
      <c r="R196" s="20">
        <f t="shared" si="2"/>
        <v>72.744194781152189</v>
      </c>
    </row>
    <row r="197" spans="1:18" x14ac:dyDescent="0.3">
      <c r="A197" s="24">
        <v>3463777</v>
      </c>
      <c r="B197" s="24" t="s">
        <v>765</v>
      </c>
      <c r="C197" s="24">
        <v>402400039</v>
      </c>
      <c r="D197" s="24" t="str">
        <f>_xlfn.XLOOKUP(C197,Planilha3!A:A,Planilha3!C:C)</f>
        <v>PARANÃ</v>
      </c>
      <c r="E197" s="24">
        <v>1</v>
      </c>
      <c r="F197" s="54">
        <f>_xlfn.XLOOKUP(C197,Planilha3!A:A,Planilha3!E:E)</f>
        <v>45438.34107638889</v>
      </c>
      <c r="G197" s="54">
        <f>_xlfn.XLOOKUP(C197,Planilha3!A:A,Planilha3!F:F)</f>
        <v>45454.34107638889</v>
      </c>
      <c r="H197" s="54">
        <f>_xlfn.XLOOKUP(C197,Planilha3!A:A,Planilha3!G:G)</f>
        <v>45922</v>
      </c>
      <c r="I197" s="23">
        <f>_xlfn.XLOOKUP(K197,Grupo!F:F,Grupo!G:G)</f>
        <v>46440.22</v>
      </c>
      <c r="J197" s="6">
        <f>_xlfn.XLOOKUP(D197,Grupo!B:B,Grupo!C:C)</f>
        <v>10</v>
      </c>
      <c r="K197" s="24">
        <f>_xlfn.XLOOKUP(A197,[1]COORDENADAS_GEOGRÁFICAS!$D:$D,[1]COORDENADAS_GEOGRÁFICAS!$F:$F)</f>
        <v>80</v>
      </c>
      <c r="L197" s="53"/>
      <c r="M197" s="53"/>
      <c r="N197" s="52">
        <f>_xlfn.XLOOKUP(D197,Grupo!B:B,Grupo!D:D)</f>
        <v>-12.620481488718251</v>
      </c>
      <c r="O197" s="52">
        <f>_xlfn.XLOOKUP(D197,Grupo!B:B,Grupo!E:E)</f>
        <v>-47.884083728442604</v>
      </c>
      <c r="P197" s="52">
        <f>_xlfn.XLOOKUP(A197,[1]COORDENADAS_GEOGRÁFICAS!$D:$D,[1]COORDENADAS_GEOGRÁFICAS!$G:$G)</f>
        <v>-13.219754999999999</v>
      </c>
      <c r="Q197" s="52">
        <f>_xlfn.XLOOKUP(A197,[1]COORDENADAS_GEOGRÁFICAS!$D:$D,[1]COORDENADAS_GEOGRÁFICAS!$H:$H)</f>
        <v>-47.672986999999999</v>
      </c>
      <c r="R197" s="20">
        <f t="shared" ref="R197:R260" si="3">6371*ACOS(COS(PI()*(90-P197)/180)*COS((90-N197)*PI()/180)+SIN((90-P197)*PI()/180)*SIN((90-N197)*PI()/180)*COS((Q197-O197)*PI()/180))</f>
        <v>70.454277561185819</v>
      </c>
    </row>
    <row r="198" spans="1:18" x14ac:dyDescent="0.3">
      <c r="A198" s="24">
        <v>3466983</v>
      </c>
      <c r="B198" s="24" t="s">
        <v>765</v>
      </c>
      <c r="C198" s="24">
        <v>402400076</v>
      </c>
      <c r="D198" s="24" t="str">
        <f>_xlfn.XLOOKUP(C198,Planilha3!A:A,Planilha3!C:C)</f>
        <v>PARANÃ</v>
      </c>
      <c r="E198" s="24">
        <v>1</v>
      </c>
      <c r="F198" s="54">
        <f>_xlfn.XLOOKUP(C198,Planilha3!A:A,Planilha3!E:E)</f>
        <v>45457.694895833331</v>
      </c>
      <c r="G198" s="54">
        <f>_xlfn.XLOOKUP(C198,Planilha3!A:A,Planilha3!F:F)</f>
        <v>45468.694895833331</v>
      </c>
      <c r="H198" s="54">
        <f>_xlfn.XLOOKUP(C198,Planilha3!A:A,Planilha3!G:G)</f>
        <v>45922</v>
      </c>
      <c r="I198" s="23">
        <f>_xlfn.XLOOKUP(K198,Grupo!F:F,Grupo!G:G)</f>
        <v>46440.22</v>
      </c>
      <c r="J198" s="6">
        <f>_xlfn.XLOOKUP(D198,Grupo!B:B,Grupo!C:C)</f>
        <v>10</v>
      </c>
      <c r="K198" s="24">
        <f>_xlfn.XLOOKUP(A198,[1]COORDENADAS_GEOGRÁFICAS!$D:$D,[1]COORDENADAS_GEOGRÁFICAS!$F:$F)</f>
        <v>80</v>
      </c>
      <c r="L198" s="53"/>
      <c r="M198" s="53"/>
      <c r="N198" s="52">
        <f>_xlfn.XLOOKUP(D198,Grupo!B:B,Grupo!D:D)</f>
        <v>-12.620481488718251</v>
      </c>
      <c r="O198" s="52">
        <f>_xlfn.XLOOKUP(D198,Grupo!B:B,Grupo!E:E)</f>
        <v>-47.884083728442604</v>
      </c>
      <c r="P198" s="52">
        <f>_xlfn.XLOOKUP(A198,[1]COORDENADAS_GEOGRÁFICAS!$D:$D,[1]COORDENADAS_GEOGRÁFICAS!$G:$G)</f>
        <v>-13.179347</v>
      </c>
      <c r="Q198" s="52">
        <f>_xlfn.XLOOKUP(A198,[1]COORDENADAS_GEOGRÁFICAS!$D:$D,[1]COORDENADAS_GEOGRÁFICAS!$H:$H)</f>
        <v>-47.764156999999997</v>
      </c>
      <c r="R198" s="20">
        <f t="shared" si="3"/>
        <v>63.487934518298317</v>
      </c>
    </row>
    <row r="199" spans="1:18" x14ac:dyDescent="0.3">
      <c r="A199" s="24">
        <v>3467206</v>
      </c>
      <c r="B199" s="24" t="s">
        <v>765</v>
      </c>
      <c r="C199" s="24">
        <v>402400067</v>
      </c>
      <c r="D199" s="24" t="str">
        <f>_xlfn.XLOOKUP(C199,Planilha3!A:A,Planilha3!C:C)</f>
        <v>PARANÃ</v>
      </c>
      <c r="E199" s="24">
        <v>1</v>
      </c>
      <c r="F199" s="54">
        <f>_xlfn.XLOOKUP(C199,Planilha3!A:A,Planilha3!E:E)</f>
        <v>45455.600960648146</v>
      </c>
      <c r="G199" s="54">
        <f>_xlfn.XLOOKUP(C199,Planilha3!A:A,Planilha3!F:F)</f>
        <v>45467.600960648146</v>
      </c>
      <c r="H199" s="54">
        <f>_xlfn.XLOOKUP(C199,Planilha3!A:A,Planilha3!G:G)</f>
        <v>45922</v>
      </c>
      <c r="I199" s="23">
        <f>_xlfn.XLOOKUP(K199,Grupo!F:F,Grupo!G:G)</f>
        <v>46440.22</v>
      </c>
      <c r="J199" s="6">
        <f>_xlfn.XLOOKUP(D199,Grupo!B:B,Grupo!C:C)</f>
        <v>10</v>
      </c>
      <c r="K199" s="24">
        <f>_xlfn.XLOOKUP(A199,[1]COORDENADAS_GEOGRÁFICAS!$D:$D,[1]COORDENADAS_GEOGRÁFICAS!$F:$F)</f>
        <v>80</v>
      </c>
      <c r="L199" s="53"/>
      <c r="M199" s="53"/>
      <c r="N199" s="52">
        <f>_xlfn.XLOOKUP(D199,Grupo!B:B,Grupo!D:D)</f>
        <v>-12.620481488718251</v>
      </c>
      <c r="O199" s="52">
        <f>_xlfn.XLOOKUP(D199,Grupo!B:B,Grupo!E:E)</f>
        <v>-47.884083728442604</v>
      </c>
      <c r="P199" s="52">
        <f>_xlfn.XLOOKUP(A199,[1]COORDENADAS_GEOGRÁFICAS!$D:$D,[1]COORDENADAS_GEOGRÁFICAS!$G:$G)</f>
        <v>-13.297195</v>
      </c>
      <c r="Q199" s="52">
        <f>_xlfn.XLOOKUP(A199,[1]COORDENADAS_GEOGRÁFICAS!$D:$D,[1]COORDENADAS_GEOGRÁFICAS!$H:$H)</f>
        <v>-47.704028000000001</v>
      </c>
      <c r="R199" s="20">
        <f t="shared" si="3"/>
        <v>77.73555080728525</v>
      </c>
    </row>
    <row r="200" spans="1:18" x14ac:dyDescent="0.3">
      <c r="A200" s="24">
        <v>3463190</v>
      </c>
      <c r="B200" s="24" t="s">
        <v>765</v>
      </c>
      <c r="C200" s="24">
        <v>402400071</v>
      </c>
      <c r="D200" s="24" t="str">
        <f>_xlfn.XLOOKUP(C200,Planilha3!A:A,Planilha3!C:C)</f>
        <v>PARANÃ</v>
      </c>
      <c r="E200" s="24">
        <v>1</v>
      </c>
      <c r="F200" s="54">
        <f>_xlfn.XLOOKUP(C200,Planilha3!A:A,Planilha3!E:E)</f>
        <v>45454.706157407411</v>
      </c>
      <c r="G200" s="54">
        <f>_xlfn.XLOOKUP(C200,Planilha3!A:A,Planilha3!F:F)</f>
        <v>45467.706157407411</v>
      </c>
      <c r="H200" s="54">
        <f>_xlfn.XLOOKUP(C200,Planilha3!A:A,Planilha3!G:G)</f>
        <v>45922</v>
      </c>
      <c r="I200" s="23">
        <f>_xlfn.XLOOKUP(K200,Grupo!F:F,Grupo!G:G)</f>
        <v>46440.22</v>
      </c>
      <c r="J200" s="6">
        <f>_xlfn.XLOOKUP(D200,Grupo!B:B,Grupo!C:C)</f>
        <v>10</v>
      </c>
      <c r="K200" s="24">
        <f>_xlfn.XLOOKUP(A200,[1]COORDENADAS_GEOGRÁFICAS!$D:$D,[1]COORDENADAS_GEOGRÁFICAS!$F:$F)</f>
        <v>80</v>
      </c>
      <c r="L200" s="53"/>
      <c r="M200" s="53"/>
      <c r="N200" s="52">
        <f>_xlfn.XLOOKUP(D200,Grupo!B:B,Grupo!D:D)</f>
        <v>-12.620481488718251</v>
      </c>
      <c r="O200" s="52">
        <f>_xlfn.XLOOKUP(D200,Grupo!B:B,Grupo!E:E)</f>
        <v>-47.884083728442604</v>
      </c>
      <c r="P200" s="52">
        <f>_xlfn.XLOOKUP(A200,[1]COORDENADAS_GEOGRÁFICAS!$D:$D,[1]COORDENADAS_GEOGRÁFICAS!$G:$G)</f>
        <v>-13.196372999999999</v>
      </c>
      <c r="Q200" s="52">
        <f>_xlfn.XLOOKUP(A200,[1]COORDENADAS_GEOGRÁFICAS!$D:$D,[1]COORDENADAS_GEOGRÁFICAS!$H:$H)</f>
        <v>-47.764293000000002</v>
      </c>
      <c r="R200" s="20">
        <f t="shared" si="3"/>
        <v>65.339164130734289</v>
      </c>
    </row>
    <row r="201" spans="1:18" x14ac:dyDescent="0.3">
      <c r="A201" s="24">
        <v>3463193</v>
      </c>
      <c r="B201" s="24" t="s">
        <v>765</v>
      </c>
      <c r="C201" s="24">
        <v>402400063</v>
      </c>
      <c r="D201" s="24" t="str">
        <f>_xlfn.XLOOKUP(C201,Planilha3!A:A,Planilha3!C:C)</f>
        <v>PARANÃ</v>
      </c>
      <c r="E201" s="24">
        <v>1</v>
      </c>
      <c r="F201" s="54">
        <f>_xlfn.XLOOKUP(C201,Planilha3!A:A,Planilha3!E:E)</f>
        <v>45450.695486111108</v>
      </c>
      <c r="G201" s="54">
        <f>_xlfn.XLOOKUP(C201,Planilha3!A:A,Planilha3!F:F)</f>
        <v>45465.695486111108</v>
      </c>
      <c r="H201" s="54">
        <f>_xlfn.XLOOKUP(C201,Planilha3!A:A,Planilha3!G:G)</f>
        <v>45922</v>
      </c>
      <c r="I201" s="23">
        <f>_xlfn.XLOOKUP(K201,Grupo!F:F,Grupo!G:G)</f>
        <v>46440.22</v>
      </c>
      <c r="J201" s="6">
        <f>_xlfn.XLOOKUP(D201,Grupo!B:B,Grupo!C:C)</f>
        <v>10</v>
      </c>
      <c r="K201" s="24">
        <f>_xlfn.XLOOKUP(A201,[1]COORDENADAS_GEOGRÁFICAS!$D:$D,[1]COORDENADAS_GEOGRÁFICAS!$F:$F)</f>
        <v>80</v>
      </c>
      <c r="L201" s="53"/>
      <c r="M201" s="53"/>
      <c r="N201" s="52">
        <f>_xlfn.XLOOKUP(D201,Grupo!B:B,Grupo!D:D)</f>
        <v>-12.620481488718251</v>
      </c>
      <c r="O201" s="52">
        <f>_xlfn.XLOOKUP(D201,Grupo!B:B,Grupo!E:E)</f>
        <v>-47.884083728442604</v>
      </c>
      <c r="P201" s="52">
        <f>_xlfn.XLOOKUP(A201,[1]COORDENADAS_GEOGRÁFICAS!$D:$D,[1]COORDENADAS_GEOGRÁFICAS!$G:$G)</f>
        <v>-13.295636999999999</v>
      </c>
      <c r="Q201" s="52">
        <f>_xlfn.XLOOKUP(A201,[1]COORDENADAS_GEOGRÁFICAS!$D:$D,[1]COORDENADAS_GEOGRÁFICAS!$H:$H)</f>
        <v>-47.682267000000003</v>
      </c>
      <c r="R201" s="20">
        <f t="shared" si="3"/>
        <v>78.194342822069942</v>
      </c>
    </row>
    <row r="202" spans="1:18" x14ac:dyDescent="0.3">
      <c r="A202" s="24">
        <v>3467166</v>
      </c>
      <c r="B202" s="24" t="s">
        <v>765</v>
      </c>
      <c r="C202" s="24">
        <v>402400068</v>
      </c>
      <c r="D202" s="24" t="str">
        <f>_xlfn.XLOOKUP(C202,Planilha3!A:A,Planilha3!C:C)</f>
        <v>PARANÃ</v>
      </c>
      <c r="E202" s="24">
        <v>1</v>
      </c>
      <c r="F202" s="54">
        <f>_xlfn.XLOOKUP(C202,Planilha3!A:A,Planilha3!E:E)</f>
        <v>45456.630150462966</v>
      </c>
      <c r="G202" s="54">
        <f>_xlfn.XLOOKUP(C202,Planilha3!A:A,Planilha3!F:F)</f>
        <v>45467.630150462966</v>
      </c>
      <c r="H202" s="54">
        <f>_xlfn.XLOOKUP(C202,Planilha3!A:A,Planilha3!G:G)</f>
        <v>45922</v>
      </c>
      <c r="I202" s="23">
        <f>_xlfn.XLOOKUP(K202,Grupo!F:F,Grupo!G:G)</f>
        <v>46440.22</v>
      </c>
      <c r="J202" s="6">
        <f>_xlfn.XLOOKUP(D202,Grupo!B:B,Grupo!C:C)</f>
        <v>10</v>
      </c>
      <c r="K202" s="24">
        <f>_xlfn.XLOOKUP(A202,[1]COORDENADAS_GEOGRÁFICAS!$D:$D,[1]COORDENADAS_GEOGRÁFICAS!$F:$F)</f>
        <v>80</v>
      </c>
      <c r="L202" s="53"/>
      <c r="M202" s="53"/>
      <c r="N202" s="52">
        <f>_xlfn.XLOOKUP(D202,Grupo!B:B,Grupo!D:D)</f>
        <v>-12.620481488718251</v>
      </c>
      <c r="O202" s="52">
        <f>_xlfn.XLOOKUP(D202,Grupo!B:B,Grupo!E:E)</f>
        <v>-47.884083728442604</v>
      </c>
      <c r="P202" s="52">
        <f>_xlfn.XLOOKUP(A202,[1]COORDENADAS_GEOGRÁFICAS!$D:$D,[1]COORDENADAS_GEOGRÁFICAS!$G:$G)</f>
        <v>-13.233387</v>
      </c>
      <c r="Q202" s="52">
        <f>_xlfn.XLOOKUP(A202,[1]COORDENADAS_GEOGRÁFICAS!$D:$D,[1]COORDENADAS_GEOGRÁFICAS!$H:$H)</f>
        <v>-47.673141000000001</v>
      </c>
      <c r="R202" s="20">
        <f t="shared" si="3"/>
        <v>71.884116111169021</v>
      </c>
    </row>
    <row r="203" spans="1:18" x14ac:dyDescent="0.3">
      <c r="A203" s="24">
        <v>3466194</v>
      </c>
      <c r="B203" s="24" t="s">
        <v>765</v>
      </c>
      <c r="C203" s="24">
        <v>402400057</v>
      </c>
      <c r="D203" s="24" t="str">
        <f>_xlfn.XLOOKUP(C203,Planilha3!A:A,Planilha3!C:C)</f>
        <v>PARANÃ</v>
      </c>
      <c r="E203" s="24">
        <v>1</v>
      </c>
      <c r="F203" s="54">
        <f>_xlfn.XLOOKUP(C203,Planilha3!A:A,Planilha3!E:E)</f>
        <v>45450.468263888892</v>
      </c>
      <c r="G203" s="54">
        <f>_xlfn.XLOOKUP(C203,Planilha3!A:A,Planilha3!F:F)</f>
        <v>45462.468263888892</v>
      </c>
      <c r="H203" s="54">
        <f>_xlfn.XLOOKUP(C203,Planilha3!A:A,Planilha3!G:G)</f>
        <v>45922</v>
      </c>
      <c r="I203" s="23">
        <f>_xlfn.XLOOKUP(K203,Grupo!F:F,Grupo!G:G)</f>
        <v>46440.22</v>
      </c>
      <c r="J203" s="6">
        <f>_xlfn.XLOOKUP(D203,Grupo!B:B,Grupo!C:C)</f>
        <v>10</v>
      </c>
      <c r="K203" s="24">
        <f>_xlfn.XLOOKUP(A203,[1]COORDENADAS_GEOGRÁFICAS!$D:$D,[1]COORDENADAS_GEOGRÁFICAS!$F:$F)</f>
        <v>80</v>
      </c>
      <c r="L203" s="53"/>
      <c r="M203" s="53"/>
      <c r="N203" s="52">
        <f>_xlfn.XLOOKUP(D203,Grupo!B:B,Grupo!D:D)</f>
        <v>-12.620481488718251</v>
      </c>
      <c r="O203" s="52">
        <f>_xlfn.XLOOKUP(D203,Grupo!B:B,Grupo!E:E)</f>
        <v>-47.884083728442604</v>
      </c>
      <c r="P203" s="52">
        <f>_xlfn.XLOOKUP(A203,[1]COORDENADAS_GEOGRÁFICAS!$D:$D,[1]COORDENADAS_GEOGRÁFICAS!$G:$G)</f>
        <v>-12.993143</v>
      </c>
      <c r="Q203" s="52">
        <f>_xlfn.XLOOKUP(A203,[1]COORDENADAS_GEOGRÁFICAS!$D:$D,[1]COORDENADAS_GEOGRÁFICAS!$H:$H)</f>
        <v>-47.871547999999997</v>
      </c>
      <c r="R203" s="20">
        <f t="shared" si="3"/>
        <v>41.46035580674279</v>
      </c>
    </row>
    <row r="204" spans="1:18" x14ac:dyDescent="0.3">
      <c r="A204" s="24">
        <v>3466724</v>
      </c>
      <c r="B204" s="24" t="s">
        <v>765</v>
      </c>
      <c r="C204" s="24">
        <v>402400098</v>
      </c>
      <c r="D204" s="24" t="str">
        <f>_xlfn.XLOOKUP(C204,Planilha3!A:A,Planilha3!C:C)</f>
        <v>PARANÃ</v>
      </c>
      <c r="E204" s="24">
        <v>1</v>
      </c>
      <c r="F204" s="54">
        <f>_xlfn.XLOOKUP(C204,Planilha3!A:A,Planilha3!E:E)</f>
        <v>45455.660462962966</v>
      </c>
      <c r="G204" s="54">
        <f>_xlfn.XLOOKUP(C204,Planilha3!A:A,Planilha3!F:F)</f>
        <v>45468.660462962966</v>
      </c>
      <c r="H204" s="54">
        <f>_xlfn.XLOOKUP(C204,Planilha3!A:A,Planilha3!G:G)</f>
        <v>45922</v>
      </c>
      <c r="I204" s="23">
        <f>_xlfn.XLOOKUP(K204,Grupo!F:F,Grupo!G:G)</f>
        <v>46440.22</v>
      </c>
      <c r="J204" s="6">
        <f>_xlfn.XLOOKUP(D204,Grupo!B:B,Grupo!C:C)</f>
        <v>10</v>
      </c>
      <c r="K204" s="24">
        <f>_xlfn.XLOOKUP(A204,[1]COORDENADAS_GEOGRÁFICAS!$D:$D,[1]COORDENADAS_GEOGRÁFICAS!$F:$F)</f>
        <v>80</v>
      </c>
      <c r="L204" s="53"/>
      <c r="M204" s="53"/>
      <c r="N204" s="52">
        <f>_xlfn.XLOOKUP(D204,Grupo!B:B,Grupo!D:D)</f>
        <v>-12.620481488718251</v>
      </c>
      <c r="O204" s="52">
        <f>_xlfn.XLOOKUP(D204,Grupo!B:B,Grupo!E:E)</f>
        <v>-47.884083728442604</v>
      </c>
      <c r="P204" s="52">
        <f>_xlfn.XLOOKUP(A204,[1]COORDENADAS_GEOGRÁFICAS!$D:$D,[1]COORDENADAS_GEOGRÁFICAS!$G:$G)</f>
        <v>-12.399545</v>
      </c>
      <c r="Q204" s="52">
        <f>_xlfn.XLOOKUP(A204,[1]COORDENADAS_GEOGRÁFICAS!$D:$D,[1]COORDENADAS_GEOGRÁFICAS!$H:$H)</f>
        <v>-47.897022</v>
      </c>
      <c r="R204" s="20">
        <f t="shared" si="3"/>
        <v>24.607132354691451</v>
      </c>
    </row>
    <row r="205" spans="1:18" x14ac:dyDescent="0.3">
      <c r="A205" s="24">
        <v>3481963</v>
      </c>
      <c r="B205" s="24" t="s">
        <v>765</v>
      </c>
      <c r="C205" s="24">
        <v>402400100</v>
      </c>
      <c r="D205" s="24" t="str">
        <f>_xlfn.XLOOKUP(C205,Planilha3!A:A,Planilha3!C:C)</f>
        <v>PARANÃ</v>
      </c>
      <c r="E205" s="24">
        <v>1</v>
      </c>
      <c r="F205" s="54">
        <f>_xlfn.XLOOKUP(C205,Planilha3!A:A,Planilha3!E:E)</f>
        <v>45453.695717592593</v>
      </c>
      <c r="G205" s="54">
        <f>_xlfn.XLOOKUP(C205,Planilha3!A:A,Planilha3!F:F)</f>
        <v>45468.695717592593</v>
      </c>
      <c r="H205" s="54">
        <f>_xlfn.XLOOKUP(C205,Planilha3!A:A,Planilha3!G:G)</f>
        <v>45922</v>
      </c>
      <c r="I205" s="23">
        <f>_xlfn.XLOOKUP(K205,Grupo!F:F,Grupo!G:G)</f>
        <v>46440.22</v>
      </c>
      <c r="J205" s="6">
        <f>_xlfn.XLOOKUP(D205,Grupo!B:B,Grupo!C:C)</f>
        <v>10</v>
      </c>
      <c r="K205" s="24">
        <f>_xlfn.XLOOKUP(A205,[1]COORDENADAS_GEOGRÁFICAS!$D:$D,[1]COORDENADAS_GEOGRÁFICAS!$F:$F)</f>
        <v>80</v>
      </c>
      <c r="L205" s="53"/>
      <c r="M205" s="53"/>
      <c r="N205" s="52">
        <f>_xlfn.XLOOKUP(D205,Grupo!B:B,Grupo!D:D)</f>
        <v>-12.620481488718251</v>
      </c>
      <c r="O205" s="52">
        <f>_xlfn.XLOOKUP(D205,Grupo!B:B,Grupo!E:E)</f>
        <v>-47.884083728442604</v>
      </c>
      <c r="P205" s="52">
        <f>_xlfn.XLOOKUP(A205,[1]COORDENADAS_GEOGRÁFICAS!$D:$D,[1]COORDENADAS_GEOGRÁFICAS!$G:$G)</f>
        <v>-12.581518000000001</v>
      </c>
      <c r="Q205" s="52">
        <f>_xlfn.XLOOKUP(A205,[1]COORDENADAS_GEOGRÁFICAS!$D:$D,[1]COORDENADAS_GEOGRÁFICAS!$H:$H)</f>
        <v>-47.266643000000002</v>
      </c>
      <c r="R205" s="20">
        <f t="shared" si="3"/>
        <v>67.142462899052092</v>
      </c>
    </row>
    <row r="206" spans="1:18" x14ac:dyDescent="0.3">
      <c r="A206" s="24">
        <v>3466738</v>
      </c>
      <c r="B206" s="24" t="s">
        <v>765</v>
      </c>
      <c r="C206" s="24">
        <v>402400101</v>
      </c>
      <c r="D206" s="24" t="str">
        <f>_xlfn.XLOOKUP(C206,Planilha3!A:A,Planilha3!C:C)</f>
        <v>PARANÃ</v>
      </c>
      <c r="E206" s="24">
        <v>1</v>
      </c>
      <c r="F206" s="54">
        <f>_xlfn.XLOOKUP(C206,Planilha3!A:A,Planilha3!E:E)</f>
        <v>45453.588391203702</v>
      </c>
      <c r="G206" s="54">
        <f>_xlfn.XLOOKUP(C206,Planilha3!A:A,Planilha3!F:F)</f>
        <v>45469.588391203702</v>
      </c>
      <c r="H206" s="54">
        <f>_xlfn.XLOOKUP(C206,Planilha3!A:A,Planilha3!G:G)</f>
        <v>45922</v>
      </c>
      <c r="I206" s="23">
        <f>_xlfn.XLOOKUP(K206,Grupo!F:F,Grupo!G:G)</f>
        <v>46440.22</v>
      </c>
      <c r="J206" s="6">
        <f>_xlfn.XLOOKUP(D206,Grupo!B:B,Grupo!C:C)</f>
        <v>10</v>
      </c>
      <c r="K206" s="24">
        <f>_xlfn.XLOOKUP(A206,[1]COORDENADAS_GEOGRÁFICAS!$D:$D,[1]COORDENADAS_GEOGRÁFICAS!$F:$F)</f>
        <v>80</v>
      </c>
      <c r="L206" s="53"/>
      <c r="M206" s="53"/>
      <c r="N206" s="52">
        <f>_xlfn.XLOOKUP(D206,Grupo!B:B,Grupo!D:D)</f>
        <v>-12.620481488718251</v>
      </c>
      <c r="O206" s="52">
        <f>_xlfn.XLOOKUP(D206,Grupo!B:B,Grupo!E:E)</f>
        <v>-47.884083728442604</v>
      </c>
      <c r="P206" s="52">
        <f>_xlfn.XLOOKUP(A206,[1]COORDENADAS_GEOGRÁFICAS!$D:$D,[1]COORDENADAS_GEOGRÁFICAS!$G:$G)</f>
        <v>-12.266662</v>
      </c>
      <c r="Q206" s="52">
        <f>_xlfn.XLOOKUP(A206,[1]COORDENADAS_GEOGRÁFICAS!$D:$D,[1]COORDENADAS_GEOGRÁFICAS!$H:$H)</f>
        <v>-48.101238000000002</v>
      </c>
      <c r="R206" s="20">
        <f t="shared" si="3"/>
        <v>45.867678622808825</v>
      </c>
    </row>
    <row r="207" spans="1:18" x14ac:dyDescent="0.3">
      <c r="A207" s="24">
        <v>3467112</v>
      </c>
      <c r="B207" s="24" t="s">
        <v>765</v>
      </c>
      <c r="C207" s="24">
        <v>402400094</v>
      </c>
      <c r="D207" s="24" t="str">
        <f>_xlfn.XLOOKUP(C207,Planilha3!A:A,Planilha3!C:C)</f>
        <v>PARANÃ</v>
      </c>
      <c r="E207" s="24">
        <v>1</v>
      </c>
      <c r="F207" s="54">
        <f>_xlfn.XLOOKUP(C207,Planilha3!A:A,Planilha3!E:E)</f>
        <v>45457.608784722222</v>
      </c>
      <c r="G207" s="54">
        <f>_xlfn.XLOOKUP(C207,Planilha3!A:A,Planilha3!F:F)</f>
        <v>45468.608784722222</v>
      </c>
      <c r="H207" s="54">
        <f>_xlfn.XLOOKUP(C207,Planilha3!A:A,Planilha3!G:G)</f>
        <v>45922</v>
      </c>
      <c r="I207" s="23">
        <f>_xlfn.XLOOKUP(K207,Grupo!F:F,Grupo!G:G)</f>
        <v>46440.22</v>
      </c>
      <c r="J207" s="6">
        <f>_xlfn.XLOOKUP(D207,Grupo!B:B,Grupo!C:C)</f>
        <v>10</v>
      </c>
      <c r="K207" s="24">
        <f>_xlfn.XLOOKUP(A207,[1]COORDENADAS_GEOGRÁFICAS!$D:$D,[1]COORDENADAS_GEOGRÁFICAS!$F:$F)</f>
        <v>80</v>
      </c>
      <c r="L207" s="53"/>
      <c r="M207" s="53"/>
      <c r="N207" s="52">
        <f>_xlfn.XLOOKUP(D207,Grupo!B:B,Grupo!D:D)</f>
        <v>-12.620481488718251</v>
      </c>
      <c r="O207" s="52">
        <f>_xlfn.XLOOKUP(D207,Grupo!B:B,Grupo!E:E)</f>
        <v>-47.884083728442604</v>
      </c>
      <c r="P207" s="52">
        <f>_xlfn.XLOOKUP(A207,[1]COORDENADAS_GEOGRÁFICAS!$D:$D,[1]COORDENADAS_GEOGRÁFICAS!$G:$G)</f>
        <v>-12.272475</v>
      </c>
      <c r="Q207" s="52">
        <f>_xlfn.XLOOKUP(A207,[1]COORDENADAS_GEOGRÁFICAS!$D:$D,[1]COORDENADAS_GEOGRÁFICAS!$H:$H)</f>
        <v>-48.112765000000003</v>
      </c>
      <c r="R207" s="20">
        <f t="shared" si="3"/>
        <v>45.978025454746103</v>
      </c>
    </row>
    <row r="208" spans="1:18" x14ac:dyDescent="0.3">
      <c r="A208" s="24">
        <v>3466767</v>
      </c>
      <c r="B208" s="24" t="s">
        <v>765</v>
      </c>
      <c r="C208" s="24">
        <v>402400095</v>
      </c>
      <c r="D208" s="24" t="str">
        <f>_xlfn.XLOOKUP(C208,Planilha3!A:A,Planilha3!C:C)</f>
        <v>PARANÃ</v>
      </c>
      <c r="E208" s="24">
        <v>1</v>
      </c>
      <c r="F208" s="54">
        <f>_xlfn.XLOOKUP(C208,Planilha3!A:A,Planilha3!E:E)</f>
        <v>45456.615960648145</v>
      </c>
      <c r="G208" s="54">
        <f>_xlfn.XLOOKUP(C208,Planilha3!A:A,Planilha3!F:F)</f>
        <v>45468.615960648145</v>
      </c>
      <c r="H208" s="54">
        <f>_xlfn.XLOOKUP(C208,Planilha3!A:A,Planilha3!G:G)</f>
        <v>45922</v>
      </c>
      <c r="I208" s="23">
        <f>_xlfn.XLOOKUP(K208,Grupo!F:F,Grupo!G:G)</f>
        <v>46440.22</v>
      </c>
      <c r="J208" s="6">
        <f>_xlfn.XLOOKUP(D208,Grupo!B:B,Grupo!C:C)</f>
        <v>10</v>
      </c>
      <c r="K208" s="24">
        <f>_xlfn.XLOOKUP(A208,[1]COORDENADAS_GEOGRÁFICAS!$D:$D,[1]COORDENADAS_GEOGRÁFICAS!$F:$F)</f>
        <v>80</v>
      </c>
      <c r="L208" s="53"/>
      <c r="M208" s="53"/>
      <c r="N208" s="52">
        <f>_xlfn.XLOOKUP(D208,Grupo!B:B,Grupo!D:D)</f>
        <v>-12.620481488718251</v>
      </c>
      <c r="O208" s="52">
        <f>_xlfn.XLOOKUP(D208,Grupo!B:B,Grupo!E:E)</f>
        <v>-47.884083728442604</v>
      </c>
      <c r="P208" s="52">
        <f>_xlfn.XLOOKUP(A208,[1]COORDENADAS_GEOGRÁFICAS!$D:$D,[1]COORDENADAS_GEOGRÁFICAS!$G:$G)</f>
        <v>-12.377274</v>
      </c>
      <c r="Q208" s="52">
        <f>_xlfn.XLOOKUP(A208,[1]COORDENADAS_GEOGRÁFICAS!$D:$D,[1]COORDENADAS_GEOGRÁFICAS!$H:$H)</f>
        <v>-48.138862000000003</v>
      </c>
      <c r="R208" s="20">
        <f t="shared" si="3"/>
        <v>38.682636325800686</v>
      </c>
    </row>
    <row r="209" spans="1:18" x14ac:dyDescent="0.3">
      <c r="A209" s="24">
        <v>3464002</v>
      </c>
      <c r="B209" s="24" t="s">
        <v>765</v>
      </c>
      <c r="C209" s="24">
        <v>402400099</v>
      </c>
      <c r="D209" s="24" t="str">
        <f>_xlfn.XLOOKUP(C209,Planilha3!A:A,Planilha3!C:C)</f>
        <v>PARANÃ</v>
      </c>
      <c r="E209" s="24">
        <v>1</v>
      </c>
      <c r="F209" s="54">
        <f>_xlfn.XLOOKUP(C209,Planilha3!A:A,Planilha3!E:E)</f>
        <v>45455.681168981479</v>
      </c>
      <c r="G209" s="54">
        <f>_xlfn.XLOOKUP(C209,Planilha3!A:A,Planilha3!F:F)</f>
        <v>45468.681168981479</v>
      </c>
      <c r="H209" s="54">
        <f>_xlfn.XLOOKUP(C209,Planilha3!A:A,Planilha3!G:G)</f>
        <v>45922</v>
      </c>
      <c r="I209" s="23">
        <f>_xlfn.XLOOKUP(K209,Grupo!F:F,Grupo!G:G)</f>
        <v>46440.22</v>
      </c>
      <c r="J209" s="6">
        <f>_xlfn.XLOOKUP(D209,Grupo!B:B,Grupo!C:C)</f>
        <v>10</v>
      </c>
      <c r="K209" s="24">
        <f>_xlfn.XLOOKUP(A209,[1]COORDENADAS_GEOGRÁFICAS!$D:$D,[1]COORDENADAS_GEOGRÁFICAS!$F:$F)</f>
        <v>80</v>
      </c>
      <c r="L209" s="53"/>
      <c r="M209" s="53"/>
      <c r="N209" s="52">
        <f>_xlfn.XLOOKUP(D209,Grupo!B:B,Grupo!D:D)</f>
        <v>-12.620481488718251</v>
      </c>
      <c r="O209" s="52">
        <f>_xlfn.XLOOKUP(D209,Grupo!B:B,Grupo!E:E)</f>
        <v>-47.884083728442604</v>
      </c>
      <c r="P209" s="52">
        <f>_xlfn.XLOOKUP(A209,[1]COORDENADAS_GEOGRÁFICAS!$D:$D,[1]COORDENADAS_GEOGRÁFICAS!$G:$G)</f>
        <v>-12.376287</v>
      </c>
      <c r="Q209" s="52">
        <f>_xlfn.XLOOKUP(A209,[1]COORDENADAS_GEOGRÁFICAS!$D:$D,[1]COORDENADAS_GEOGRÁFICAS!$H:$H)</f>
        <v>-48.137326999999999</v>
      </c>
      <c r="R209" s="20">
        <f t="shared" si="3"/>
        <v>38.64074332053211</v>
      </c>
    </row>
    <row r="210" spans="1:18" x14ac:dyDescent="0.3">
      <c r="A210" s="24">
        <v>3467121</v>
      </c>
      <c r="B210" s="24" t="s">
        <v>765</v>
      </c>
      <c r="C210" s="24">
        <v>402400092</v>
      </c>
      <c r="D210" s="24" t="str">
        <f>_xlfn.XLOOKUP(C210,Planilha3!A:A,Planilha3!C:C)</f>
        <v>PARANÃ</v>
      </c>
      <c r="E210" s="24">
        <v>1</v>
      </c>
      <c r="F210" s="54">
        <f>_xlfn.XLOOKUP(C210,Planilha3!A:A,Planilha3!E:E)</f>
        <v>45453.583692129629</v>
      </c>
      <c r="G210" s="54">
        <f>_xlfn.XLOOKUP(C210,Planilha3!A:A,Planilha3!F:F)</f>
        <v>45468.583692129629</v>
      </c>
      <c r="H210" s="54">
        <f>_xlfn.XLOOKUP(C210,Planilha3!A:A,Planilha3!G:G)</f>
        <v>45922</v>
      </c>
      <c r="I210" s="23">
        <f>_xlfn.XLOOKUP(K210,Grupo!F:F,Grupo!G:G)</f>
        <v>46440.22</v>
      </c>
      <c r="J210" s="6">
        <f>_xlfn.XLOOKUP(D210,Grupo!B:B,Grupo!C:C)</f>
        <v>10</v>
      </c>
      <c r="K210" s="24">
        <f>_xlfn.XLOOKUP(A210,[1]COORDENADAS_GEOGRÁFICAS!$D:$D,[1]COORDENADAS_GEOGRÁFICAS!$F:$F)</f>
        <v>80</v>
      </c>
      <c r="L210" s="53"/>
      <c r="M210" s="53"/>
      <c r="N210" s="52">
        <f>_xlfn.XLOOKUP(D210,Grupo!B:B,Grupo!D:D)</f>
        <v>-12.620481488718251</v>
      </c>
      <c r="O210" s="52">
        <f>_xlfn.XLOOKUP(D210,Grupo!B:B,Grupo!E:E)</f>
        <v>-47.884083728442604</v>
      </c>
      <c r="P210" s="52">
        <f>_xlfn.XLOOKUP(A210,[1]COORDENADAS_GEOGRÁFICAS!$D:$D,[1]COORDENADAS_GEOGRÁFICAS!$G:$G)</f>
        <v>-12.413119</v>
      </c>
      <c r="Q210" s="52">
        <f>_xlfn.XLOOKUP(A210,[1]COORDENADAS_GEOGRÁFICAS!$D:$D,[1]COORDENADAS_GEOGRÁFICAS!$H:$H)</f>
        <v>-48.124639000000002</v>
      </c>
      <c r="R210" s="20">
        <f t="shared" si="3"/>
        <v>34.835785084218067</v>
      </c>
    </row>
    <row r="211" spans="1:18" x14ac:dyDescent="0.3">
      <c r="A211" s="24">
        <v>3466859</v>
      </c>
      <c r="B211" s="24" t="s">
        <v>765</v>
      </c>
      <c r="C211" s="24">
        <v>402400091</v>
      </c>
      <c r="D211" s="24" t="str">
        <f>_xlfn.XLOOKUP(C211,Planilha3!A:A,Planilha3!C:C)</f>
        <v>PARANÃ</v>
      </c>
      <c r="E211" s="24">
        <v>1</v>
      </c>
      <c r="F211" s="54">
        <f>_xlfn.XLOOKUP(C211,Planilha3!A:A,Planilha3!E:E)</f>
        <v>45457.471064814818</v>
      </c>
      <c r="G211" s="54">
        <f>_xlfn.XLOOKUP(C211,Planilha3!A:A,Planilha3!F:F)</f>
        <v>45468.471064814818</v>
      </c>
      <c r="H211" s="54">
        <f>_xlfn.XLOOKUP(C211,Planilha3!A:A,Planilha3!G:G)</f>
        <v>45922</v>
      </c>
      <c r="I211" s="23">
        <f>_xlfn.XLOOKUP(K211,Grupo!F:F,Grupo!G:G)</f>
        <v>46440.22</v>
      </c>
      <c r="J211" s="6">
        <f>_xlfn.XLOOKUP(D211,Grupo!B:B,Grupo!C:C)</f>
        <v>10</v>
      </c>
      <c r="K211" s="24">
        <f>_xlfn.XLOOKUP(A211,[1]COORDENADAS_GEOGRÁFICAS!$D:$D,[1]COORDENADAS_GEOGRÁFICAS!$F:$F)</f>
        <v>80</v>
      </c>
      <c r="L211" s="53"/>
      <c r="M211" s="53"/>
      <c r="N211" s="52">
        <f>_xlfn.XLOOKUP(D211,Grupo!B:B,Grupo!D:D)</f>
        <v>-12.620481488718251</v>
      </c>
      <c r="O211" s="52">
        <f>_xlfn.XLOOKUP(D211,Grupo!B:B,Grupo!E:E)</f>
        <v>-47.884083728442604</v>
      </c>
      <c r="P211" s="52">
        <f>_xlfn.XLOOKUP(A211,[1]COORDENADAS_GEOGRÁFICAS!$D:$D,[1]COORDENADAS_GEOGRÁFICAS!$G:$G)</f>
        <v>-12.477772</v>
      </c>
      <c r="Q211" s="52">
        <f>_xlfn.XLOOKUP(A211,[1]COORDENADAS_GEOGRÁFICAS!$D:$D,[1]COORDENADAS_GEOGRÁFICAS!$H:$H)</f>
        <v>-48.124668</v>
      </c>
      <c r="R211" s="20">
        <f t="shared" si="3"/>
        <v>30.5562062482717</v>
      </c>
    </row>
    <row r="212" spans="1:18" x14ac:dyDescent="0.3">
      <c r="A212" s="24">
        <v>3466741</v>
      </c>
      <c r="B212" s="24" t="s">
        <v>765</v>
      </c>
      <c r="C212" s="24">
        <v>402400096</v>
      </c>
      <c r="D212" s="24" t="str">
        <f>_xlfn.XLOOKUP(C212,Planilha3!A:A,Planilha3!C:C)</f>
        <v>PARANÃ</v>
      </c>
      <c r="E212" s="24">
        <v>1</v>
      </c>
      <c r="F212" s="54">
        <f>_xlfn.XLOOKUP(C212,Planilha3!A:A,Planilha3!E:E)</f>
        <v>45456.624965277777</v>
      </c>
      <c r="G212" s="54">
        <f>_xlfn.XLOOKUP(C212,Planilha3!A:A,Planilha3!F:F)</f>
        <v>45468.624965277777</v>
      </c>
      <c r="H212" s="54">
        <f>_xlfn.XLOOKUP(C212,Planilha3!A:A,Planilha3!G:G)</f>
        <v>45922</v>
      </c>
      <c r="I212" s="23">
        <f>_xlfn.XLOOKUP(K212,Grupo!F:F,Grupo!G:G)</f>
        <v>46440.22</v>
      </c>
      <c r="J212" s="6">
        <f>_xlfn.XLOOKUP(D212,Grupo!B:B,Grupo!C:C)</f>
        <v>10</v>
      </c>
      <c r="K212" s="24">
        <f>_xlfn.XLOOKUP(A212,[1]COORDENADAS_GEOGRÁFICAS!$D:$D,[1]COORDENADAS_GEOGRÁFICAS!$F:$F)</f>
        <v>80</v>
      </c>
      <c r="L212" s="53"/>
      <c r="M212" s="53"/>
      <c r="N212" s="52">
        <f>_xlfn.XLOOKUP(D212,Grupo!B:B,Grupo!D:D)</f>
        <v>-12.620481488718251</v>
      </c>
      <c r="O212" s="52">
        <f>_xlfn.XLOOKUP(D212,Grupo!B:B,Grupo!E:E)</f>
        <v>-47.884083728442604</v>
      </c>
      <c r="P212" s="52">
        <f>_xlfn.XLOOKUP(A212,[1]COORDENADAS_GEOGRÁFICAS!$D:$D,[1]COORDENADAS_GEOGRÁFICAS!$G:$G)</f>
        <v>-12.486492</v>
      </c>
      <c r="Q212" s="52">
        <f>_xlfn.XLOOKUP(A212,[1]COORDENADAS_GEOGRÁFICAS!$D:$D,[1]COORDENADAS_GEOGRÁFICAS!$H:$H)</f>
        <v>-48.151127000000002</v>
      </c>
      <c r="R212" s="20">
        <f t="shared" si="3"/>
        <v>32.58909996853923</v>
      </c>
    </row>
    <row r="213" spans="1:18" x14ac:dyDescent="0.3">
      <c r="A213" s="24">
        <v>3466121</v>
      </c>
      <c r="B213" s="24" t="s">
        <v>765</v>
      </c>
      <c r="C213" s="24">
        <v>402400093</v>
      </c>
      <c r="D213" s="24" t="str">
        <f>_xlfn.XLOOKUP(C213,Planilha3!A:A,Planilha3!C:C)</f>
        <v>PARANÃ</v>
      </c>
      <c r="E213" s="24">
        <v>1</v>
      </c>
      <c r="F213" s="54">
        <f>_xlfn.XLOOKUP(C213,Planilha3!A:A,Planilha3!E:E)</f>
        <v>45455.589803240742</v>
      </c>
      <c r="G213" s="54">
        <f>_xlfn.XLOOKUP(C213,Planilha3!A:A,Planilha3!F:F)</f>
        <v>45468.589803240742</v>
      </c>
      <c r="H213" s="54">
        <f>_xlfn.XLOOKUP(C213,Planilha3!A:A,Planilha3!G:G)</f>
        <v>45922</v>
      </c>
      <c r="I213" s="23">
        <f>_xlfn.XLOOKUP(K213,Grupo!F:F,Grupo!G:G)</f>
        <v>46440.22</v>
      </c>
      <c r="J213" s="6">
        <f>_xlfn.XLOOKUP(D213,Grupo!B:B,Grupo!C:C)</f>
        <v>10</v>
      </c>
      <c r="K213" s="24">
        <f>_xlfn.XLOOKUP(A213,[1]COORDENADAS_GEOGRÁFICAS!$D:$D,[1]COORDENADAS_GEOGRÁFICAS!$F:$F)</f>
        <v>80</v>
      </c>
      <c r="L213" s="53"/>
      <c r="M213" s="53"/>
      <c r="N213" s="52">
        <f>_xlfn.XLOOKUP(D213,Grupo!B:B,Grupo!D:D)</f>
        <v>-12.620481488718251</v>
      </c>
      <c r="O213" s="52">
        <f>_xlfn.XLOOKUP(D213,Grupo!B:B,Grupo!E:E)</f>
        <v>-47.884083728442604</v>
      </c>
      <c r="P213" s="52">
        <f>_xlfn.XLOOKUP(A213,[1]COORDENADAS_GEOGRÁFICAS!$D:$D,[1]COORDENADAS_GEOGRÁFICAS!$G:$G)</f>
        <v>-12.395507</v>
      </c>
      <c r="Q213" s="52">
        <f>_xlfn.XLOOKUP(A213,[1]COORDENADAS_GEOGRÁFICAS!$D:$D,[1]COORDENADAS_GEOGRÁFICAS!$H:$H)</f>
        <v>-47.919023000000003</v>
      </c>
      <c r="R213" s="20">
        <f t="shared" si="3"/>
        <v>25.30191922226339</v>
      </c>
    </row>
    <row r="214" spans="1:18" x14ac:dyDescent="0.3">
      <c r="A214" s="24">
        <v>3466967</v>
      </c>
      <c r="B214" s="24" t="s">
        <v>765</v>
      </c>
      <c r="C214" s="24">
        <v>402400097</v>
      </c>
      <c r="D214" s="24" t="str">
        <f>_xlfn.XLOOKUP(C214,Planilha3!A:A,Planilha3!C:C)</f>
        <v>PARANÃ</v>
      </c>
      <c r="E214" s="24">
        <v>1</v>
      </c>
      <c r="F214" s="54">
        <f>_xlfn.XLOOKUP(C214,Planilha3!A:A,Planilha3!E:E)</f>
        <v>45453.64770833333</v>
      </c>
      <c r="G214" s="54">
        <f>_xlfn.XLOOKUP(C214,Planilha3!A:A,Planilha3!F:F)</f>
        <v>45468.64770833333</v>
      </c>
      <c r="H214" s="54">
        <f>_xlfn.XLOOKUP(C214,Planilha3!A:A,Planilha3!G:G)</f>
        <v>45922</v>
      </c>
      <c r="I214" s="23">
        <f>_xlfn.XLOOKUP(K214,Grupo!F:F,Grupo!G:G)</f>
        <v>46440.22</v>
      </c>
      <c r="J214" s="6">
        <f>_xlfn.XLOOKUP(D214,Grupo!B:B,Grupo!C:C)</f>
        <v>10</v>
      </c>
      <c r="K214" s="24">
        <f>_xlfn.XLOOKUP(A214,[1]COORDENADAS_GEOGRÁFICAS!$D:$D,[1]COORDENADAS_GEOGRÁFICAS!$F:$F)</f>
        <v>80</v>
      </c>
      <c r="L214" s="53"/>
      <c r="M214" s="53"/>
      <c r="N214" s="52">
        <f>_xlfn.XLOOKUP(D214,Grupo!B:B,Grupo!D:D)</f>
        <v>-12.620481488718251</v>
      </c>
      <c r="O214" s="52">
        <f>_xlfn.XLOOKUP(D214,Grupo!B:B,Grupo!E:E)</f>
        <v>-47.884083728442604</v>
      </c>
      <c r="P214" s="52">
        <f>_xlfn.XLOOKUP(A214,[1]COORDENADAS_GEOGRÁFICAS!$D:$D,[1]COORDENADAS_GEOGRÁFICAS!$G:$G)</f>
        <v>-12.398683</v>
      </c>
      <c r="Q214" s="52">
        <f>_xlfn.XLOOKUP(A214,[1]COORDENADAS_GEOGRÁFICAS!$D:$D,[1]COORDENADAS_GEOGRÁFICAS!$H:$H)</f>
        <v>-47.897922000000001</v>
      </c>
      <c r="R214" s="20">
        <f t="shared" si="3"/>
        <v>24.708574241647923</v>
      </c>
    </row>
    <row r="215" spans="1:18" x14ac:dyDescent="0.3">
      <c r="A215" s="24">
        <v>3466124</v>
      </c>
      <c r="B215" s="24" t="s">
        <v>765</v>
      </c>
      <c r="C215" s="24">
        <v>402400059</v>
      </c>
      <c r="D215" s="24" t="str">
        <f>_xlfn.XLOOKUP(C215,Planilha3!A:A,Planilha3!C:C)</f>
        <v>PARANÃ</v>
      </c>
      <c r="E215" s="24">
        <v>1</v>
      </c>
      <c r="F215" s="54">
        <f>_xlfn.XLOOKUP(C215,Planilha3!A:A,Planilha3!E:E)</f>
        <v>45447.457129629627</v>
      </c>
      <c r="G215" s="54">
        <f>_xlfn.XLOOKUP(C215,Planilha3!A:A,Planilha3!F:F)</f>
        <v>45463.457129629627</v>
      </c>
      <c r="H215" s="54">
        <f>_xlfn.XLOOKUP(C215,Planilha3!A:A,Planilha3!G:G)</f>
        <v>45922</v>
      </c>
      <c r="I215" s="23">
        <f>_xlfn.XLOOKUP(K215,Grupo!F:F,Grupo!G:G)</f>
        <v>46440.22</v>
      </c>
      <c r="J215" s="6">
        <f>_xlfn.XLOOKUP(D215,Grupo!B:B,Grupo!C:C)</f>
        <v>10</v>
      </c>
      <c r="K215" s="24">
        <f>_xlfn.XLOOKUP(A215,[1]COORDENADAS_GEOGRÁFICAS!$D:$D,[1]COORDENADAS_GEOGRÁFICAS!$F:$F)</f>
        <v>80</v>
      </c>
      <c r="L215" s="53"/>
      <c r="M215" s="53"/>
      <c r="N215" s="52">
        <f>_xlfn.XLOOKUP(D215,Grupo!B:B,Grupo!D:D)</f>
        <v>-12.620481488718251</v>
      </c>
      <c r="O215" s="52">
        <f>_xlfn.XLOOKUP(D215,Grupo!B:B,Grupo!E:E)</f>
        <v>-47.884083728442604</v>
      </c>
      <c r="P215" s="52">
        <f>_xlfn.XLOOKUP(A215,[1]COORDENADAS_GEOGRÁFICAS!$D:$D,[1]COORDENADAS_GEOGRÁFICAS!$G:$G)</f>
        <v>-12.663038</v>
      </c>
      <c r="Q215" s="52">
        <f>_xlfn.XLOOKUP(A215,[1]COORDENADAS_GEOGRÁFICAS!$D:$D,[1]COORDENADAS_GEOGRÁFICAS!$H:$H)</f>
        <v>-47.391868000000002</v>
      </c>
      <c r="R215" s="20">
        <f t="shared" si="3"/>
        <v>53.614282820601133</v>
      </c>
    </row>
    <row r="216" spans="1:18" x14ac:dyDescent="0.3">
      <c r="A216" s="24">
        <v>3462368</v>
      </c>
      <c r="B216" s="24" t="s">
        <v>765</v>
      </c>
      <c r="C216" s="24">
        <v>402400051</v>
      </c>
      <c r="D216" s="24" t="str">
        <f>_xlfn.XLOOKUP(C216,Planilha3!A:A,Planilha3!C:C)</f>
        <v>PARANÃ</v>
      </c>
      <c r="E216" s="24">
        <v>1</v>
      </c>
      <c r="F216" s="54">
        <f>_xlfn.XLOOKUP(C216,Planilha3!A:A,Planilha3!E:E)</f>
        <v>45450.640277777777</v>
      </c>
      <c r="G216" s="54">
        <f>_xlfn.XLOOKUP(C216,Planilha3!A:A,Planilha3!F:F)</f>
        <v>45461.640277777777</v>
      </c>
      <c r="H216" s="54">
        <f>_xlfn.XLOOKUP(C216,Planilha3!A:A,Planilha3!G:G)</f>
        <v>45922</v>
      </c>
      <c r="I216" s="23">
        <f>_xlfn.XLOOKUP(K216,Grupo!F:F,Grupo!G:G)</f>
        <v>46440.22</v>
      </c>
      <c r="J216" s="6">
        <f>_xlfn.XLOOKUP(D216,Grupo!B:B,Grupo!C:C)</f>
        <v>10</v>
      </c>
      <c r="K216" s="24">
        <f>_xlfn.XLOOKUP(A216,[1]COORDENADAS_GEOGRÁFICAS!$D:$D,[1]COORDENADAS_GEOGRÁFICAS!$F:$F)</f>
        <v>80</v>
      </c>
      <c r="L216" s="53"/>
      <c r="M216" s="53"/>
      <c r="N216" s="52">
        <f>_xlfn.XLOOKUP(D216,Grupo!B:B,Grupo!D:D)</f>
        <v>-12.620481488718251</v>
      </c>
      <c r="O216" s="52">
        <f>_xlfn.XLOOKUP(D216,Grupo!B:B,Grupo!E:E)</f>
        <v>-47.884083728442604</v>
      </c>
      <c r="P216" s="52">
        <f>_xlfn.XLOOKUP(A216,[1]COORDENADAS_GEOGRÁFICAS!$D:$D,[1]COORDENADAS_GEOGRÁFICAS!$G:$G)</f>
        <v>-12.336717</v>
      </c>
      <c r="Q216" s="52">
        <f>_xlfn.XLOOKUP(A216,[1]COORDENADAS_GEOGRÁFICAS!$D:$D,[1]COORDENADAS_GEOGRÁFICAS!$H:$H)</f>
        <v>-48.181638</v>
      </c>
      <c r="R216" s="20">
        <f t="shared" si="3"/>
        <v>45.157586541460603</v>
      </c>
    </row>
    <row r="217" spans="1:18" x14ac:dyDescent="0.3">
      <c r="A217" s="24">
        <v>3465691</v>
      </c>
      <c r="B217" s="24" t="s">
        <v>765</v>
      </c>
      <c r="C217" s="24">
        <v>402400043</v>
      </c>
      <c r="D217" s="24" t="str">
        <f>_xlfn.XLOOKUP(C217,Planilha3!A:A,Planilha3!C:C)</f>
        <v>PARANÃ</v>
      </c>
      <c r="E217" s="24">
        <v>1</v>
      </c>
      <c r="F217" s="54">
        <f>_xlfn.XLOOKUP(C217,Planilha3!A:A,Planilha3!E:E)</f>
        <v>45442.403032407405</v>
      </c>
      <c r="G217" s="54">
        <f>_xlfn.XLOOKUP(C217,Planilha3!A:A,Planilha3!F:F)</f>
        <v>45454.403032407405</v>
      </c>
      <c r="H217" s="54">
        <f>_xlfn.XLOOKUP(C217,Planilha3!A:A,Planilha3!G:G)</f>
        <v>45922</v>
      </c>
      <c r="I217" s="23">
        <f>_xlfn.XLOOKUP(K217,Grupo!F:F,Grupo!G:G)</f>
        <v>46440.22</v>
      </c>
      <c r="J217" s="6">
        <f>_xlfn.XLOOKUP(D217,Grupo!B:B,Grupo!C:C)</f>
        <v>10</v>
      </c>
      <c r="K217" s="24">
        <f>_xlfn.XLOOKUP(A217,[1]COORDENADAS_GEOGRÁFICAS!$D:$D,[1]COORDENADAS_GEOGRÁFICAS!$F:$F)</f>
        <v>80</v>
      </c>
      <c r="L217" s="53"/>
      <c r="M217" s="53"/>
      <c r="N217" s="52">
        <f>_xlfn.XLOOKUP(D217,Grupo!B:B,Grupo!D:D)</f>
        <v>-12.620481488718251</v>
      </c>
      <c r="O217" s="52">
        <f>_xlfn.XLOOKUP(D217,Grupo!B:B,Grupo!E:E)</f>
        <v>-47.884083728442604</v>
      </c>
      <c r="P217" s="52">
        <f>_xlfn.XLOOKUP(A217,[1]COORDENADAS_GEOGRÁFICAS!$D:$D,[1]COORDENADAS_GEOGRÁFICAS!$G:$G)</f>
        <v>-12.661802</v>
      </c>
      <c r="Q217" s="52">
        <f>_xlfn.XLOOKUP(A217,[1]COORDENADAS_GEOGRÁFICAS!$D:$D,[1]COORDENADAS_GEOGRÁFICAS!$H:$H)</f>
        <v>-47.381329999999998</v>
      </c>
      <c r="R217" s="20">
        <f t="shared" si="3"/>
        <v>54.741703377790209</v>
      </c>
    </row>
    <row r="218" spans="1:18" x14ac:dyDescent="0.3">
      <c r="A218" s="24">
        <v>3464193</v>
      </c>
      <c r="B218" s="24" t="s">
        <v>765</v>
      </c>
      <c r="C218" s="24">
        <v>402400032</v>
      </c>
      <c r="D218" s="24" t="str">
        <f>_xlfn.XLOOKUP(C218,Planilha3!A:A,Planilha3!C:C)</f>
        <v>PARANÃ</v>
      </c>
      <c r="E218" s="24">
        <v>1</v>
      </c>
      <c r="F218" s="54">
        <f>_xlfn.XLOOKUP(C218,Planilha3!A:A,Planilha3!E:E)</f>
        <v>45440.364722222221</v>
      </c>
      <c r="G218" s="54">
        <f>_xlfn.XLOOKUP(C218,Planilha3!A:A,Planilha3!F:F)</f>
        <v>45453.364722222221</v>
      </c>
      <c r="H218" s="54">
        <f>_xlfn.XLOOKUP(C218,Planilha3!A:A,Planilha3!G:G)</f>
        <v>45922</v>
      </c>
      <c r="I218" s="23">
        <f>_xlfn.XLOOKUP(K218,Grupo!F:F,Grupo!G:G)</f>
        <v>46440.22</v>
      </c>
      <c r="J218" s="6">
        <f>_xlfn.XLOOKUP(D218,Grupo!B:B,Grupo!C:C)</f>
        <v>10</v>
      </c>
      <c r="K218" s="24">
        <f>_xlfn.XLOOKUP(A218,[1]COORDENADAS_GEOGRÁFICAS!$D:$D,[1]COORDENADAS_GEOGRÁFICAS!$F:$F)</f>
        <v>80</v>
      </c>
      <c r="L218" s="53"/>
      <c r="M218" s="53"/>
      <c r="N218" s="52">
        <f>_xlfn.XLOOKUP(D218,Grupo!B:B,Grupo!D:D)</f>
        <v>-12.620481488718251</v>
      </c>
      <c r="O218" s="52">
        <f>_xlfn.XLOOKUP(D218,Grupo!B:B,Grupo!E:E)</f>
        <v>-47.884083728442604</v>
      </c>
      <c r="P218" s="52">
        <f>_xlfn.XLOOKUP(A218,[1]COORDENADAS_GEOGRÁFICAS!$D:$D,[1]COORDENADAS_GEOGRÁFICAS!$G:$G)</f>
        <v>-12.488853000000001</v>
      </c>
      <c r="Q218" s="52">
        <f>_xlfn.XLOOKUP(A218,[1]COORDENADAS_GEOGRÁFICAS!$D:$D,[1]COORDENADAS_GEOGRÁFICAS!$H:$H)</f>
        <v>-48.117212000000002</v>
      </c>
      <c r="R218" s="20">
        <f t="shared" si="3"/>
        <v>29.231120477632277</v>
      </c>
    </row>
    <row r="219" spans="1:18" x14ac:dyDescent="0.3">
      <c r="A219" s="24">
        <v>3468085</v>
      </c>
      <c r="B219" s="24" t="s">
        <v>765</v>
      </c>
      <c r="C219" s="24">
        <v>652400129</v>
      </c>
      <c r="D219" s="24" t="str">
        <f>_xlfn.XLOOKUP(C219,Planilha3!A:A,Planilha3!C:C)</f>
        <v>TOCANTINÓPOLIS</v>
      </c>
      <c r="E219" s="24">
        <v>1</v>
      </c>
      <c r="F219" s="54">
        <f>_xlfn.XLOOKUP(C219,Planilha3!A:A,Planilha3!E:E)</f>
        <v>45452.683900462966</v>
      </c>
      <c r="G219" s="54">
        <f>_xlfn.XLOOKUP(C219,Planilha3!A:A,Planilha3!F:F)</f>
        <v>45467.683900462966</v>
      </c>
      <c r="H219" s="54">
        <f>_xlfn.XLOOKUP(C219,Planilha3!A:A,Planilha3!G:G)</f>
        <v>45922</v>
      </c>
      <c r="I219" s="23">
        <f>_xlfn.XLOOKUP(K219,Grupo!F:F,Grupo!G:G)</f>
        <v>79888.47</v>
      </c>
      <c r="J219" s="6">
        <f>_xlfn.XLOOKUP(D219,Grupo!B:B,Grupo!C:C)</f>
        <v>15</v>
      </c>
      <c r="K219" s="24">
        <f>_xlfn.XLOOKUP(A219,[1]COORDENADAS_GEOGRÁFICAS!$D:$D,[1]COORDENADAS_GEOGRÁFICAS!$F:$F)</f>
        <v>160</v>
      </c>
      <c r="L219" s="53"/>
      <c r="M219" s="53"/>
      <c r="N219" s="52">
        <f>_xlfn.XLOOKUP(D219,Grupo!B:B,Grupo!D:D)</f>
        <v>-6.3256343760279616</v>
      </c>
      <c r="O219" s="52">
        <f>_xlfn.XLOOKUP(D219,Grupo!B:B,Grupo!E:E)</f>
        <v>-47.427412928692668</v>
      </c>
      <c r="P219" s="52">
        <f>_xlfn.XLOOKUP(A219,[1]COORDENADAS_GEOGRÁFICAS!$D:$D,[1]COORDENADAS_GEOGRÁFICAS!$G:$G)</f>
        <v>-6.2578719999999999</v>
      </c>
      <c r="Q219" s="52">
        <f>_xlfn.XLOOKUP(A219,[1]COORDENADAS_GEOGRÁFICAS!$D:$D,[1]COORDENADAS_GEOGRÁFICAS!$H:$H)</f>
        <v>-47.571891999999998</v>
      </c>
      <c r="R219" s="20">
        <f t="shared" si="3"/>
        <v>17.656982282348647</v>
      </c>
    </row>
    <row r="220" spans="1:18" x14ac:dyDescent="0.3">
      <c r="A220" s="24">
        <v>3467993</v>
      </c>
      <c r="B220" s="24" t="s">
        <v>765</v>
      </c>
      <c r="C220" s="24">
        <v>652400127</v>
      </c>
      <c r="D220" s="24" t="str">
        <f>_xlfn.XLOOKUP(C220,Planilha3!A:A,Planilha3!C:C)</f>
        <v>TOCANTINÓPOLIS</v>
      </c>
      <c r="E220" s="24">
        <v>1</v>
      </c>
      <c r="F220" s="54">
        <f>_xlfn.XLOOKUP(C220,Planilha3!A:A,Planilha3!E:E)</f>
        <v>45456.703206018516</v>
      </c>
      <c r="G220" s="54">
        <f>_xlfn.XLOOKUP(C220,Planilha3!A:A,Planilha3!F:F)</f>
        <v>45467.703206018516</v>
      </c>
      <c r="H220" s="54">
        <f>_xlfn.XLOOKUP(C220,Planilha3!A:A,Planilha3!G:G)</f>
        <v>45922</v>
      </c>
      <c r="I220" s="23">
        <f>_xlfn.XLOOKUP(K220,Grupo!F:F,Grupo!G:G)</f>
        <v>79888.47</v>
      </c>
      <c r="J220" s="6">
        <f>_xlfn.XLOOKUP(D220,Grupo!B:B,Grupo!C:C)</f>
        <v>15</v>
      </c>
      <c r="K220" s="24">
        <f>_xlfn.XLOOKUP(A220,[1]COORDENADAS_GEOGRÁFICAS!$D:$D,[1]COORDENADAS_GEOGRÁFICAS!$F:$F)</f>
        <v>160</v>
      </c>
      <c r="L220" s="53"/>
      <c r="M220" s="53"/>
      <c r="N220" s="52">
        <f>_xlfn.XLOOKUP(D220,Grupo!B:B,Grupo!D:D)</f>
        <v>-6.3256343760279616</v>
      </c>
      <c r="O220" s="52">
        <f>_xlfn.XLOOKUP(D220,Grupo!B:B,Grupo!E:E)</f>
        <v>-47.427412928692668</v>
      </c>
      <c r="P220" s="52">
        <f>_xlfn.XLOOKUP(A220,[1]COORDENADAS_GEOGRÁFICAS!$D:$D,[1]COORDENADAS_GEOGRÁFICAS!$G:$G)</f>
        <v>-6.0366020000000002</v>
      </c>
      <c r="Q220" s="52">
        <f>_xlfn.XLOOKUP(A220,[1]COORDENADAS_GEOGRÁFICAS!$D:$D,[1]COORDENADAS_GEOGRÁFICAS!$H:$H)</f>
        <v>-47.857222999999998</v>
      </c>
      <c r="R220" s="20">
        <f t="shared" si="3"/>
        <v>57.36346906232037</v>
      </c>
    </row>
    <row r="221" spans="1:18" x14ac:dyDescent="0.3">
      <c r="A221" s="24">
        <v>3468607</v>
      </c>
      <c r="B221" s="24" t="s">
        <v>765</v>
      </c>
      <c r="C221" s="24">
        <v>652400126</v>
      </c>
      <c r="D221" s="24" t="str">
        <f>_xlfn.XLOOKUP(C221,Planilha3!A:A,Planilha3!C:C)</f>
        <v>SÃO BENTO DO TOCANTINS</v>
      </c>
      <c r="E221" s="24">
        <v>1</v>
      </c>
      <c r="F221" s="54">
        <f>_xlfn.XLOOKUP(C221,Planilha3!A:A,Planilha3!E:E)</f>
        <v>45455.722719907404</v>
      </c>
      <c r="G221" s="54">
        <f>_xlfn.XLOOKUP(C221,Planilha3!A:A,Planilha3!F:F)</f>
        <v>45467.722719907404</v>
      </c>
      <c r="H221" s="54">
        <f>_xlfn.XLOOKUP(C221,Planilha3!A:A,Planilha3!G:G)</f>
        <v>45922</v>
      </c>
      <c r="I221" s="23">
        <f>_xlfn.XLOOKUP(K221,Grupo!F:F,Grupo!G:G)</f>
        <v>79888.47</v>
      </c>
      <c r="J221" s="6">
        <f>_xlfn.XLOOKUP(D221,Grupo!B:B,Grupo!C:C)</f>
        <v>14</v>
      </c>
      <c r="K221" s="24">
        <f>_xlfn.XLOOKUP(A221,[1]COORDENADAS_GEOGRÁFICAS!$D:$D,[1]COORDENADAS_GEOGRÁFICAS!$F:$F)</f>
        <v>160</v>
      </c>
      <c r="L221" s="53"/>
      <c r="M221" s="53"/>
      <c r="N221" s="52">
        <f>_xlfn.XLOOKUP(D221,Grupo!B:B,Grupo!D:D)</f>
        <v>-6.0449992571923881</v>
      </c>
      <c r="O221" s="52">
        <f>_xlfn.XLOOKUP(D221,Grupo!B:B,Grupo!E:E)</f>
        <v>-47.919392287053363</v>
      </c>
      <c r="P221" s="52">
        <f>_xlfn.XLOOKUP(A221,[1]COORDENADAS_GEOGRÁFICAS!$D:$D,[1]COORDENADAS_GEOGRÁFICAS!$G:$G)</f>
        <v>-6.0184319999999998</v>
      </c>
      <c r="Q221" s="52">
        <f>_xlfn.XLOOKUP(A221,[1]COORDENADAS_GEOGRÁFICAS!$D:$D,[1]COORDENADAS_GEOGRÁFICAS!$H:$H)</f>
        <v>-47.804993000000003</v>
      </c>
      <c r="R221" s="20">
        <f t="shared" si="3"/>
        <v>12.990552749292497</v>
      </c>
    </row>
    <row r="222" spans="1:18" x14ac:dyDescent="0.3">
      <c r="A222" s="24">
        <v>3467394</v>
      </c>
      <c r="B222" s="24" t="s">
        <v>765</v>
      </c>
      <c r="C222" s="24">
        <v>602400141</v>
      </c>
      <c r="D222" s="24" t="str">
        <f>_xlfn.XLOOKUP(C222,Planilha3!A:A,Planilha3!C:C)</f>
        <v>FORMOSO DO ARAGUAIA</v>
      </c>
      <c r="E222" s="24">
        <v>1</v>
      </c>
      <c r="F222" s="54">
        <f>_xlfn.XLOOKUP(C222,Planilha3!A:A,Planilha3!E:E)</f>
        <v>45441.705555555556</v>
      </c>
      <c r="G222" s="54">
        <f>_xlfn.XLOOKUP(C222,Planilha3!A:A,Planilha3!F:F)</f>
        <v>45454.705555555556</v>
      </c>
      <c r="H222" s="54">
        <f>_xlfn.XLOOKUP(C222,Planilha3!A:A,Planilha3!G:G)</f>
        <v>45922</v>
      </c>
      <c r="I222" s="23">
        <f>_xlfn.XLOOKUP(K222,Grupo!F:F,Grupo!G:G)</f>
        <v>79888.47</v>
      </c>
      <c r="J222" s="6">
        <f>_xlfn.XLOOKUP(D222,Grupo!B:B,Grupo!C:C)</f>
        <v>6</v>
      </c>
      <c r="K222" s="24">
        <f>_xlfn.XLOOKUP(A222,[1]COORDENADAS_GEOGRÁFICAS!$D:$D,[1]COORDENADAS_GEOGRÁFICAS!$F:$F)</f>
        <v>160</v>
      </c>
      <c r="L222" s="53"/>
      <c r="M222" s="53"/>
      <c r="N222" s="52">
        <f>_xlfn.XLOOKUP(D222,Grupo!B:B,Grupo!D:D)</f>
        <v>-11.805141968649453</v>
      </c>
      <c r="O222" s="52">
        <f>_xlfn.XLOOKUP(D222,Grupo!B:B,Grupo!E:E)</f>
        <v>-49.52686036291248</v>
      </c>
      <c r="P222" s="52">
        <f>_xlfn.XLOOKUP(A222,[1]COORDENADAS_GEOGRÁFICAS!$D:$D,[1]COORDENADAS_GEOGRÁFICAS!$G:$G)</f>
        <v>-8.4776849999999992</v>
      </c>
      <c r="Q222" s="52">
        <f>_xlfn.XLOOKUP(A222,[1]COORDENADAS_GEOGRÁFICAS!$D:$D,[1]COORDENADAS_GEOGRÁFICAS!$H:$H)</f>
        <v>-46.904307000000003</v>
      </c>
      <c r="R222" s="20">
        <f t="shared" si="3"/>
        <v>468.26705173524442</v>
      </c>
    </row>
    <row r="223" spans="1:18" x14ac:dyDescent="0.3">
      <c r="A223" s="24">
        <v>3466549</v>
      </c>
      <c r="B223" s="24" t="s">
        <v>765</v>
      </c>
      <c r="C223" s="24">
        <v>402400205</v>
      </c>
      <c r="D223" s="24" t="str">
        <f>_xlfn.XLOOKUP(C223,Planilha3!A:A,Planilha3!C:C)</f>
        <v>PARANÃ</v>
      </c>
      <c r="E223" s="24">
        <v>1</v>
      </c>
      <c r="F223" s="54">
        <f>_xlfn.XLOOKUP(C223,Planilha3!A:A,Planilha3!E:E)</f>
        <v>45454.627118055556</v>
      </c>
      <c r="G223" s="54">
        <f>_xlfn.XLOOKUP(C223,Planilha3!A:A,Planilha3!F:F)</f>
        <v>45469.627118055556</v>
      </c>
      <c r="H223" s="54">
        <f>_xlfn.XLOOKUP(C223,Planilha3!A:A,Planilha3!G:G)</f>
        <v>45922</v>
      </c>
      <c r="I223" s="23">
        <f>_xlfn.XLOOKUP(K223,Grupo!F:F,Grupo!G:G)</f>
        <v>46440.22</v>
      </c>
      <c r="J223" s="6">
        <f>_xlfn.XLOOKUP(D223,Grupo!B:B,Grupo!C:C)</f>
        <v>10</v>
      </c>
      <c r="K223" s="24">
        <f>_xlfn.XLOOKUP(A223,[1]COORDENADAS_GEOGRÁFICAS!$D:$D,[1]COORDENADAS_GEOGRÁFICAS!$F:$F)</f>
        <v>80</v>
      </c>
      <c r="L223" s="53"/>
      <c r="M223" s="53"/>
      <c r="N223" s="52">
        <f>_xlfn.XLOOKUP(D223,Grupo!B:B,Grupo!D:D)</f>
        <v>-12.620481488718251</v>
      </c>
      <c r="O223" s="52">
        <f>_xlfn.XLOOKUP(D223,Grupo!B:B,Grupo!E:E)</f>
        <v>-47.884083728442604</v>
      </c>
      <c r="P223" s="52">
        <f>_xlfn.XLOOKUP(A223,[1]COORDENADAS_GEOGRÁFICAS!$D:$D,[1]COORDENADAS_GEOGRÁFICAS!$G:$G)</f>
        <v>-13.091058</v>
      </c>
      <c r="Q223" s="52">
        <f>_xlfn.XLOOKUP(A223,[1]COORDENADAS_GEOGRÁFICAS!$D:$D,[1]COORDENADAS_GEOGRÁFICAS!$H:$H)</f>
        <v>-47.657127000000003</v>
      </c>
      <c r="R223" s="20">
        <f t="shared" si="3"/>
        <v>57.821501789390801</v>
      </c>
    </row>
    <row r="224" spans="1:18" x14ac:dyDescent="0.3">
      <c r="A224" s="24">
        <v>3467610</v>
      </c>
      <c r="B224" s="24" t="s">
        <v>765</v>
      </c>
      <c r="C224" s="24">
        <v>602400139</v>
      </c>
      <c r="D224" s="24" t="str">
        <f>_xlfn.XLOOKUP(C224,Planilha3!A:A,Planilha3!C:C)</f>
        <v>LIZARDA</v>
      </c>
      <c r="E224" s="24">
        <v>1</v>
      </c>
      <c r="F224" s="54">
        <f>_xlfn.XLOOKUP(C224,Planilha3!A:A,Planilha3!E:E)</f>
        <v>45461.443437499998</v>
      </c>
      <c r="G224" s="54">
        <f>_xlfn.XLOOKUP(C224,Planilha3!A:A,Planilha3!F:F)</f>
        <v>45477.443437499998</v>
      </c>
      <c r="H224" s="54">
        <f>_xlfn.XLOOKUP(C224,Planilha3!A:A,Planilha3!G:G)</f>
        <v>45922</v>
      </c>
      <c r="I224" s="23">
        <f>_xlfn.XLOOKUP(K224,Grupo!F:F,Grupo!G:G)</f>
        <v>46440.22</v>
      </c>
      <c r="J224" s="6">
        <f>_xlfn.XLOOKUP(D224,Grupo!B:B,Grupo!C:C)</f>
        <v>8</v>
      </c>
      <c r="K224" s="24">
        <f>_xlfn.XLOOKUP(A224,[1]COORDENADAS_GEOGRÁFICAS!$D:$D,[1]COORDENADAS_GEOGRÁFICAS!$F:$F)</f>
        <v>80</v>
      </c>
      <c r="L224" s="53"/>
      <c r="M224" s="53"/>
      <c r="N224" s="52">
        <f>_xlfn.XLOOKUP(D224,Grupo!B:B,Grupo!D:D)</f>
        <v>-9.5945702878096721</v>
      </c>
      <c r="O224" s="52">
        <f>_xlfn.XLOOKUP(D224,Grupo!B:B,Grupo!E:E)</f>
        <v>-46.675165455846134</v>
      </c>
      <c r="P224" s="52">
        <f>_xlfn.XLOOKUP(A224,[1]COORDENADAS_GEOGRÁFICAS!$D:$D,[1]COORDENADAS_GEOGRÁFICAS!$G:$G)</f>
        <v>-8.3634850000000007</v>
      </c>
      <c r="Q224" s="52">
        <f>_xlfn.XLOOKUP(A224,[1]COORDENADAS_GEOGRÁFICAS!$D:$D,[1]COORDENADAS_GEOGRÁFICAS!$H:$H)</f>
        <v>-46.823653</v>
      </c>
      <c r="R224" s="20">
        <f t="shared" si="3"/>
        <v>137.85846247224984</v>
      </c>
    </row>
    <row r="225" spans="1:18" x14ac:dyDescent="0.3">
      <c r="A225" s="24">
        <v>3467218</v>
      </c>
      <c r="B225" s="24" t="s">
        <v>765</v>
      </c>
      <c r="C225" s="24">
        <v>402400219</v>
      </c>
      <c r="D225" s="24" t="str">
        <f>_xlfn.XLOOKUP(C225,Planilha3!A:A,Planilha3!C:C)</f>
        <v>PARANÃ</v>
      </c>
      <c r="E225" s="24">
        <v>1</v>
      </c>
      <c r="F225" s="54">
        <f>_xlfn.XLOOKUP(C225,Planilha3!A:A,Planilha3!E:E)</f>
        <v>45458.471006944441</v>
      </c>
      <c r="G225" s="54">
        <f>_xlfn.XLOOKUP(C225,Planilha3!A:A,Planilha3!F:F)</f>
        <v>45469.471006944441</v>
      </c>
      <c r="H225" s="54">
        <f>_xlfn.XLOOKUP(C225,Planilha3!A:A,Planilha3!G:G)</f>
        <v>45922</v>
      </c>
      <c r="I225" s="23">
        <f>_xlfn.XLOOKUP(K225,Grupo!F:F,Grupo!G:G)</f>
        <v>46440.22</v>
      </c>
      <c r="J225" s="6">
        <f>_xlfn.XLOOKUP(D225,Grupo!B:B,Grupo!C:C)</f>
        <v>10</v>
      </c>
      <c r="K225" s="24">
        <f>_xlfn.XLOOKUP(A225,[1]COORDENADAS_GEOGRÁFICAS!$D:$D,[1]COORDENADAS_GEOGRÁFICAS!$F:$F)</f>
        <v>80</v>
      </c>
      <c r="L225" s="53"/>
      <c r="M225" s="53"/>
      <c r="N225" s="52">
        <f>_xlfn.XLOOKUP(D225,Grupo!B:B,Grupo!D:D)</f>
        <v>-12.620481488718251</v>
      </c>
      <c r="O225" s="52">
        <f>_xlfn.XLOOKUP(D225,Grupo!B:B,Grupo!E:E)</f>
        <v>-47.884083728442604</v>
      </c>
      <c r="P225" s="52">
        <f>_xlfn.XLOOKUP(A225,[1]COORDENADAS_GEOGRÁFICAS!$D:$D,[1]COORDENADAS_GEOGRÁFICAS!$G:$G)</f>
        <v>-12.987048</v>
      </c>
      <c r="Q225" s="52">
        <f>_xlfn.XLOOKUP(A225,[1]COORDENADAS_GEOGRÁFICAS!$D:$D,[1]COORDENADAS_GEOGRÁFICAS!$H:$H)</f>
        <v>-47.773347999999999</v>
      </c>
      <c r="R225" s="20">
        <f t="shared" si="3"/>
        <v>42.492051142601824</v>
      </c>
    </row>
    <row r="226" spans="1:18" x14ac:dyDescent="0.3">
      <c r="A226" s="24">
        <v>3467219</v>
      </c>
      <c r="B226" s="24" t="s">
        <v>765</v>
      </c>
      <c r="C226" s="24">
        <v>402400207</v>
      </c>
      <c r="D226" s="24" t="str">
        <f>_xlfn.XLOOKUP(C226,Planilha3!A:A,Planilha3!C:C)</f>
        <v>PARANÃ</v>
      </c>
      <c r="E226" s="24">
        <v>1</v>
      </c>
      <c r="F226" s="54">
        <f>_xlfn.XLOOKUP(C226,Planilha3!A:A,Planilha3!E:E)</f>
        <v>45457.706006944441</v>
      </c>
      <c r="G226" s="54">
        <f>_xlfn.XLOOKUP(C226,Planilha3!A:A,Planilha3!F:F)</f>
        <v>45469.706006944441</v>
      </c>
      <c r="H226" s="54">
        <f>_xlfn.XLOOKUP(C226,Planilha3!A:A,Planilha3!G:G)</f>
        <v>45922</v>
      </c>
      <c r="I226" s="23">
        <f>_xlfn.XLOOKUP(K226,Grupo!F:F,Grupo!G:G)</f>
        <v>46440.22</v>
      </c>
      <c r="J226" s="6">
        <f>_xlfn.XLOOKUP(D226,Grupo!B:B,Grupo!C:C)</f>
        <v>10</v>
      </c>
      <c r="K226" s="24">
        <f>_xlfn.XLOOKUP(A226,[1]COORDENADAS_GEOGRÁFICAS!$D:$D,[1]COORDENADAS_GEOGRÁFICAS!$F:$F)</f>
        <v>80</v>
      </c>
      <c r="L226" s="53"/>
      <c r="M226" s="53"/>
      <c r="N226" s="52">
        <f>_xlfn.XLOOKUP(D226,Grupo!B:B,Grupo!D:D)</f>
        <v>-12.620481488718251</v>
      </c>
      <c r="O226" s="52">
        <f>_xlfn.XLOOKUP(D226,Grupo!B:B,Grupo!E:E)</f>
        <v>-47.884083728442604</v>
      </c>
      <c r="P226" s="52">
        <f>_xlfn.XLOOKUP(A226,[1]COORDENADAS_GEOGRÁFICAS!$D:$D,[1]COORDENADAS_GEOGRÁFICAS!$G:$G)</f>
        <v>-12.764913</v>
      </c>
      <c r="Q226" s="52">
        <f>_xlfn.XLOOKUP(A226,[1]COORDENADAS_GEOGRÁFICAS!$D:$D,[1]COORDENADAS_GEOGRÁFICAS!$H:$H)</f>
        <v>-47.405475000000003</v>
      </c>
      <c r="R226" s="20">
        <f t="shared" si="3"/>
        <v>54.345522243795038</v>
      </c>
    </row>
    <row r="227" spans="1:18" x14ac:dyDescent="0.3">
      <c r="A227" s="24">
        <v>3466734</v>
      </c>
      <c r="B227" s="24" t="s">
        <v>765</v>
      </c>
      <c r="C227" s="24">
        <v>402400204</v>
      </c>
      <c r="D227" s="24" t="str">
        <f>_xlfn.XLOOKUP(C227,Planilha3!A:A,Planilha3!C:C)</f>
        <v>PARANÃ</v>
      </c>
      <c r="E227" s="24">
        <v>1</v>
      </c>
      <c r="F227" s="54">
        <f>_xlfn.XLOOKUP(C227,Planilha3!A:A,Planilha3!E:E)</f>
        <v>45456.621018518519</v>
      </c>
      <c r="G227" s="54">
        <f>_xlfn.XLOOKUP(C227,Planilha3!A:A,Planilha3!F:F)</f>
        <v>45469.621018518519</v>
      </c>
      <c r="H227" s="54">
        <f>_xlfn.XLOOKUP(C227,Planilha3!A:A,Planilha3!G:G)</f>
        <v>45922</v>
      </c>
      <c r="I227" s="23">
        <f>_xlfn.XLOOKUP(K227,Grupo!F:F,Grupo!G:G)</f>
        <v>46440.22</v>
      </c>
      <c r="J227" s="6">
        <f>_xlfn.XLOOKUP(D227,Grupo!B:B,Grupo!C:C)</f>
        <v>10</v>
      </c>
      <c r="K227" s="24">
        <f>_xlfn.XLOOKUP(A227,[1]COORDENADAS_GEOGRÁFICAS!$D:$D,[1]COORDENADAS_GEOGRÁFICAS!$F:$F)</f>
        <v>80</v>
      </c>
      <c r="L227" s="53"/>
      <c r="M227" s="53"/>
      <c r="N227" s="52">
        <f>_xlfn.XLOOKUP(D227,Grupo!B:B,Grupo!D:D)</f>
        <v>-12.620481488718251</v>
      </c>
      <c r="O227" s="52">
        <f>_xlfn.XLOOKUP(D227,Grupo!B:B,Grupo!E:E)</f>
        <v>-47.884083728442604</v>
      </c>
      <c r="P227" s="52">
        <f>_xlfn.XLOOKUP(A227,[1]COORDENADAS_GEOGRÁFICAS!$D:$D,[1]COORDENADAS_GEOGRÁFICAS!$G:$G)</f>
        <v>-12.622353</v>
      </c>
      <c r="Q227" s="52">
        <f>_xlfn.XLOOKUP(A227,[1]COORDENADAS_GEOGRÁFICAS!$D:$D,[1]COORDENADAS_GEOGRÁFICAS!$H:$H)</f>
        <v>-47.33276</v>
      </c>
      <c r="R227" s="20">
        <f t="shared" si="3"/>
        <v>59.823340899376696</v>
      </c>
    </row>
    <row r="228" spans="1:18" x14ac:dyDescent="0.3">
      <c r="A228" s="24">
        <v>3466167</v>
      </c>
      <c r="B228" s="24" t="s">
        <v>765</v>
      </c>
      <c r="C228" s="24">
        <v>402400220</v>
      </c>
      <c r="D228" s="24" t="str">
        <f>_xlfn.XLOOKUP(C228,Planilha3!A:A,Planilha3!C:C)</f>
        <v>PARANÃ</v>
      </c>
      <c r="E228" s="24">
        <v>1</v>
      </c>
      <c r="F228" s="54">
        <f>_xlfn.XLOOKUP(C228,Planilha3!A:A,Planilha3!E:E)</f>
        <v>45454.591006944444</v>
      </c>
      <c r="G228" s="54">
        <f>_xlfn.XLOOKUP(C228,Planilha3!A:A,Planilha3!F:F)</f>
        <v>45469.591006944444</v>
      </c>
      <c r="H228" s="54">
        <f>_xlfn.XLOOKUP(C228,Planilha3!A:A,Planilha3!G:G)</f>
        <v>45922</v>
      </c>
      <c r="I228" s="23">
        <f>_xlfn.XLOOKUP(K228,Grupo!F:F,Grupo!G:G)</f>
        <v>46440.22</v>
      </c>
      <c r="J228" s="6">
        <f>_xlfn.XLOOKUP(D228,Grupo!B:B,Grupo!C:C)</f>
        <v>10</v>
      </c>
      <c r="K228" s="24">
        <f>_xlfn.XLOOKUP(A228,[1]COORDENADAS_GEOGRÁFICAS!$D:$D,[1]COORDENADAS_GEOGRÁFICAS!$F:$F)</f>
        <v>80</v>
      </c>
      <c r="L228" s="53"/>
      <c r="M228" s="53"/>
      <c r="N228" s="52">
        <f>_xlfn.XLOOKUP(D228,Grupo!B:B,Grupo!D:D)</f>
        <v>-12.620481488718251</v>
      </c>
      <c r="O228" s="52">
        <f>_xlfn.XLOOKUP(D228,Grupo!B:B,Grupo!E:E)</f>
        <v>-47.884083728442604</v>
      </c>
      <c r="P228" s="52">
        <f>_xlfn.XLOOKUP(A228,[1]COORDENADAS_GEOGRÁFICAS!$D:$D,[1]COORDENADAS_GEOGRÁFICAS!$G:$G)</f>
        <v>-12.378947</v>
      </c>
      <c r="Q228" s="52">
        <f>_xlfn.XLOOKUP(A228,[1]COORDENADAS_GEOGRÁFICAS!$D:$D,[1]COORDENADAS_GEOGRÁFICAS!$H:$H)</f>
        <v>-48.138917999999997</v>
      </c>
      <c r="R228" s="20">
        <f t="shared" si="3"/>
        <v>38.5571085400681</v>
      </c>
    </row>
    <row r="229" spans="1:18" x14ac:dyDescent="0.3">
      <c r="A229" s="24">
        <v>3464005</v>
      </c>
      <c r="B229" s="24" t="s">
        <v>765</v>
      </c>
      <c r="C229" s="24">
        <v>402400213</v>
      </c>
      <c r="D229" s="24" t="str">
        <f>_xlfn.XLOOKUP(C229,Planilha3!A:A,Planilha3!C:C)</f>
        <v>PARANÃ</v>
      </c>
      <c r="E229" s="24">
        <v>1</v>
      </c>
      <c r="F229" s="54">
        <f>_xlfn.XLOOKUP(C229,Planilha3!A:A,Planilha3!E:E)</f>
        <v>45458.713530092595</v>
      </c>
      <c r="G229" s="54">
        <f>_xlfn.XLOOKUP(C229,Planilha3!A:A,Planilha3!F:F)</f>
        <v>45469.713530092595</v>
      </c>
      <c r="H229" s="54">
        <f>_xlfn.XLOOKUP(C229,Planilha3!A:A,Planilha3!G:G)</f>
        <v>45922</v>
      </c>
      <c r="I229" s="23">
        <f>_xlfn.XLOOKUP(K229,Grupo!F:F,Grupo!G:G)</f>
        <v>46440.22</v>
      </c>
      <c r="J229" s="6">
        <f>_xlfn.XLOOKUP(D229,Grupo!B:B,Grupo!C:C)</f>
        <v>10</v>
      </c>
      <c r="K229" s="24">
        <f>_xlfn.XLOOKUP(A229,[1]COORDENADAS_GEOGRÁFICAS!$D:$D,[1]COORDENADAS_GEOGRÁFICAS!$F:$F)</f>
        <v>80</v>
      </c>
      <c r="L229" s="53"/>
      <c r="M229" s="53"/>
      <c r="N229" s="52">
        <f>_xlfn.XLOOKUP(D229,Grupo!B:B,Grupo!D:D)</f>
        <v>-12.620481488718251</v>
      </c>
      <c r="O229" s="52">
        <f>_xlfn.XLOOKUP(D229,Grupo!B:B,Grupo!E:E)</f>
        <v>-47.884083728442604</v>
      </c>
      <c r="P229" s="52">
        <f>_xlfn.XLOOKUP(A229,[1]COORDENADAS_GEOGRÁFICAS!$D:$D,[1]COORDENADAS_GEOGRÁFICAS!$G:$G)</f>
        <v>-12.661391999999999</v>
      </c>
      <c r="Q229" s="52">
        <f>_xlfn.XLOOKUP(A229,[1]COORDENADAS_GEOGRÁFICAS!$D:$D,[1]COORDENADAS_GEOGRÁFICAS!$H:$H)</f>
        <v>-47.380924999999998</v>
      </c>
      <c r="R229" s="20">
        <f t="shared" si="3"/>
        <v>54.781729826078305</v>
      </c>
    </row>
    <row r="230" spans="1:18" x14ac:dyDescent="0.3">
      <c r="A230" s="24">
        <v>3464092</v>
      </c>
      <c r="B230" s="24" t="s">
        <v>765</v>
      </c>
      <c r="C230" s="24">
        <v>402400202</v>
      </c>
      <c r="D230" s="24" t="str">
        <f>_xlfn.XLOOKUP(C230,Planilha3!A:A,Planilha3!C:C)</f>
        <v>PARANÃ</v>
      </c>
      <c r="E230" s="24">
        <v>1</v>
      </c>
      <c r="F230" s="54">
        <f>_xlfn.XLOOKUP(C230,Planilha3!A:A,Planilha3!E:E)</f>
        <v>45435.448020833333</v>
      </c>
      <c r="G230" s="54">
        <f>_xlfn.XLOOKUP(C230,Planilha3!A:A,Planilha3!F:F)</f>
        <v>45447.448020833333</v>
      </c>
      <c r="H230" s="54">
        <f>_xlfn.XLOOKUP(C230,Planilha3!A:A,Planilha3!G:G)</f>
        <v>45922</v>
      </c>
      <c r="I230" s="23">
        <f>_xlfn.XLOOKUP(K230,Grupo!F:F,Grupo!G:G)</f>
        <v>46440.22</v>
      </c>
      <c r="J230" s="6">
        <f>_xlfn.XLOOKUP(D230,Grupo!B:B,Grupo!C:C)</f>
        <v>10</v>
      </c>
      <c r="K230" s="24">
        <f>_xlfn.XLOOKUP(A230,[1]COORDENADAS_GEOGRÁFICAS!$D:$D,[1]COORDENADAS_GEOGRÁFICAS!$F:$F)</f>
        <v>80</v>
      </c>
      <c r="L230" s="53"/>
      <c r="M230" s="53"/>
      <c r="N230" s="52">
        <f>_xlfn.XLOOKUP(D230,Grupo!B:B,Grupo!D:D)</f>
        <v>-12.620481488718251</v>
      </c>
      <c r="O230" s="52">
        <f>_xlfn.XLOOKUP(D230,Grupo!B:B,Grupo!E:E)</f>
        <v>-47.884083728442604</v>
      </c>
      <c r="P230" s="52">
        <f>_xlfn.XLOOKUP(A230,[1]COORDENADAS_GEOGRÁFICAS!$D:$D,[1]COORDENADAS_GEOGRÁFICAS!$G:$G)</f>
        <v>-12.59488</v>
      </c>
      <c r="Q230" s="52">
        <f>_xlfn.XLOOKUP(A230,[1]COORDENADAS_GEOGRÁFICAS!$D:$D,[1]COORDENADAS_GEOGRÁFICAS!$H:$H)</f>
        <v>-47.430872999999998</v>
      </c>
      <c r="R230" s="20">
        <f t="shared" si="3"/>
        <v>49.26190780996847</v>
      </c>
    </row>
    <row r="231" spans="1:18" x14ac:dyDescent="0.3">
      <c r="A231" s="24">
        <v>3466722</v>
      </c>
      <c r="B231" s="24" t="s">
        <v>765</v>
      </c>
      <c r="C231" s="24">
        <v>402400228</v>
      </c>
      <c r="D231" s="24" t="str">
        <f>_xlfn.XLOOKUP(C231,Planilha3!A:A,Planilha3!C:C)</f>
        <v>PARANÃ</v>
      </c>
      <c r="E231" s="24">
        <v>1</v>
      </c>
      <c r="F231" s="54">
        <f>_xlfn.XLOOKUP(C231,Planilha3!A:A,Planilha3!E:E)</f>
        <v>45456.650173611109</v>
      </c>
      <c r="G231" s="54">
        <f>_xlfn.XLOOKUP(C231,Planilha3!A:A,Planilha3!F:F)</f>
        <v>45469.650173611109</v>
      </c>
      <c r="H231" s="54">
        <f>_xlfn.XLOOKUP(C231,Planilha3!A:A,Planilha3!G:G)</f>
        <v>45922</v>
      </c>
      <c r="I231" s="23">
        <f>_xlfn.XLOOKUP(K231,Grupo!F:F,Grupo!G:G)</f>
        <v>46440.22</v>
      </c>
      <c r="J231" s="6">
        <f>_xlfn.XLOOKUP(D231,Grupo!B:B,Grupo!C:C)</f>
        <v>10</v>
      </c>
      <c r="K231" s="24">
        <f>_xlfn.XLOOKUP(A231,[1]COORDENADAS_GEOGRÁFICAS!$D:$D,[1]COORDENADAS_GEOGRÁFICAS!$F:$F)</f>
        <v>80</v>
      </c>
      <c r="L231" s="53"/>
      <c r="M231" s="53"/>
      <c r="N231" s="52">
        <f>_xlfn.XLOOKUP(D231,Grupo!B:B,Grupo!D:D)</f>
        <v>-12.620481488718251</v>
      </c>
      <c r="O231" s="52">
        <f>_xlfn.XLOOKUP(D231,Grupo!B:B,Grupo!E:E)</f>
        <v>-47.884083728442604</v>
      </c>
      <c r="P231" s="52">
        <f>_xlfn.XLOOKUP(A231,[1]COORDENADAS_GEOGRÁFICAS!$D:$D,[1]COORDENADAS_GEOGRÁFICAS!$G:$G)</f>
        <v>-12.909477000000001</v>
      </c>
      <c r="Q231" s="52">
        <f>_xlfn.XLOOKUP(A231,[1]COORDENADAS_GEOGRÁFICAS!$D:$D,[1]COORDENADAS_GEOGRÁFICAS!$H:$H)</f>
        <v>-47.407792000000001</v>
      </c>
      <c r="R231" s="20">
        <f t="shared" si="3"/>
        <v>60.832531105960001</v>
      </c>
    </row>
    <row r="232" spans="1:18" x14ac:dyDescent="0.3">
      <c r="A232" s="24">
        <v>3466777</v>
      </c>
      <c r="B232" s="24" t="s">
        <v>765</v>
      </c>
      <c r="C232" s="24">
        <v>402400226</v>
      </c>
      <c r="D232" s="24" t="str">
        <f>_xlfn.XLOOKUP(C232,Planilha3!A:A,Planilha3!C:C)</f>
        <v>PARANÃ</v>
      </c>
      <c r="E232" s="24">
        <v>1</v>
      </c>
      <c r="F232" s="54">
        <f>_xlfn.XLOOKUP(C232,Planilha3!A:A,Planilha3!E:E)</f>
        <v>45454.63003472222</v>
      </c>
      <c r="G232" s="54">
        <f>_xlfn.XLOOKUP(C232,Planilha3!A:A,Planilha3!F:F)</f>
        <v>45469.63003472222</v>
      </c>
      <c r="H232" s="54">
        <f>_xlfn.XLOOKUP(C232,Planilha3!A:A,Planilha3!G:G)</f>
        <v>45922</v>
      </c>
      <c r="I232" s="23">
        <f>_xlfn.XLOOKUP(K232,Grupo!F:F,Grupo!G:G)</f>
        <v>46440.22</v>
      </c>
      <c r="J232" s="6">
        <f>_xlfn.XLOOKUP(D232,Grupo!B:B,Grupo!C:C)</f>
        <v>10</v>
      </c>
      <c r="K232" s="24">
        <f>_xlfn.XLOOKUP(A232,[1]COORDENADAS_GEOGRÁFICAS!$D:$D,[1]COORDENADAS_GEOGRÁFICAS!$F:$F)</f>
        <v>80</v>
      </c>
      <c r="L232" s="53"/>
      <c r="M232" s="53"/>
      <c r="N232" s="52">
        <f>_xlfn.XLOOKUP(D232,Grupo!B:B,Grupo!D:D)</f>
        <v>-12.620481488718251</v>
      </c>
      <c r="O232" s="52">
        <f>_xlfn.XLOOKUP(D232,Grupo!B:B,Grupo!E:E)</f>
        <v>-47.884083728442604</v>
      </c>
      <c r="P232" s="52">
        <f>_xlfn.XLOOKUP(A232,[1]COORDENADAS_GEOGRÁFICAS!$D:$D,[1]COORDENADAS_GEOGRÁFICAS!$G:$G)</f>
        <v>-12.392538</v>
      </c>
      <c r="Q232" s="52">
        <f>_xlfn.XLOOKUP(A232,[1]COORDENADAS_GEOGRÁFICAS!$D:$D,[1]COORDENADAS_GEOGRÁFICAS!$H:$H)</f>
        <v>-47.887058000000003</v>
      </c>
      <c r="R232" s="20">
        <f t="shared" si="3"/>
        <v>25.348215927730095</v>
      </c>
    </row>
    <row r="233" spans="1:18" x14ac:dyDescent="0.3">
      <c r="A233" s="24">
        <v>3466966</v>
      </c>
      <c r="B233" s="24" t="s">
        <v>765</v>
      </c>
      <c r="C233" s="24">
        <v>402400227</v>
      </c>
      <c r="D233" s="24" t="str">
        <f>_xlfn.XLOOKUP(C233,Planilha3!A:A,Planilha3!C:C)</f>
        <v>PARANÃ</v>
      </c>
      <c r="E233" s="24">
        <v>1</v>
      </c>
      <c r="F233" s="54">
        <f>_xlfn.XLOOKUP(C233,Planilha3!A:A,Planilha3!E:E)</f>
        <v>45453.636666666665</v>
      </c>
      <c r="G233" s="54">
        <f>_xlfn.XLOOKUP(C233,Planilha3!A:A,Planilha3!F:F)</f>
        <v>45469.636666666665</v>
      </c>
      <c r="H233" s="54">
        <f>_xlfn.XLOOKUP(C233,Planilha3!A:A,Planilha3!G:G)</f>
        <v>45922</v>
      </c>
      <c r="I233" s="23">
        <f>_xlfn.XLOOKUP(K233,Grupo!F:F,Grupo!G:G)</f>
        <v>46440.22</v>
      </c>
      <c r="J233" s="6">
        <f>_xlfn.XLOOKUP(D233,Grupo!B:B,Grupo!C:C)</f>
        <v>10</v>
      </c>
      <c r="K233" s="24">
        <f>_xlfn.XLOOKUP(A233,[1]COORDENADAS_GEOGRÁFICAS!$D:$D,[1]COORDENADAS_GEOGRÁFICAS!$F:$F)</f>
        <v>80</v>
      </c>
      <c r="L233" s="53"/>
      <c r="M233" s="53"/>
      <c r="N233" s="52">
        <f>_xlfn.XLOOKUP(D233,Grupo!B:B,Grupo!D:D)</f>
        <v>-12.620481488718251</v>
      </c>
      <c r="O233" s="52">
        <f>_xlfn.XLOOKUP(D233,Grupo!B:B,Grupo!E:E)</f>
        <v>-47.884083728442604</v>
      </c>
      <c r="P233" s="52">
        <f>_xlfn.XLOOKUP(A233,[1]COORDENADAS_GEOGRÁFICAS!$D:$D,[1]COORDENADAS_GEOGRÁFICAS!$G:$G)</f>
        <v>-12.700873</v>
      </c>
      <c r="Q233" s="52">
        <f>_xlfn.XLOOKUP(A233,[1]COORDENADAS_GEOGRÁFICAS!$D:$D,[1]COORDENADAS_GEOGRÁFICAS!$H:$H)</f>
        <v>-47.407473000000003</v>
      </c>
      <c r="R233" s="20">
        <f t="shared" si="3"/>
        <v>52.475074285476325</v>
      </c>
    </row>
    <row r="234" spans="1:18" x14ac:dyDescent="0.3">
      <c r="A234" s="24">
        <v>3464004</v>
      </c>
      <c r="B234" s="24" t="s">
        <v>765</v>
      </c>
      <c r="C234" s="24">
        <v>402400216</v>
      </c>
      <c r="D234" s="24" t="str">
        <f>_xlfn.XLOOKUP(C234,Planilha3!A:A,Planilha3!C:C)</f>
        <v>PARANÃ</v>
      </c>
      <c r="E234" s="24">
        <v>1</v>
      </c>
      <c r="F234" s="54">
        <f>_xlfn.XLOOKUP(C234,Planilha3!A:A,Planilha3!E:E)</f>
        <v>45458.717881944445</v>
      </c>
      <c r="G234" s="54">
        <f>_xlfn.XLOOKUP(C234,Planilha3!A:A,Planilha3!F:F)</f>
        <v>45469.717881944445</v>
      </c>
      <c r="H234" s="54">
        <f>_xlfn.XLOOKUP(C234,Planilha3!A:A,Planilha3!G:G)</f>
        <v>45922</v>
      </c>
      <c r="I234" s="23">
        <f>_xlfn.XLOOKUP(K234,Grupo!F:F,Grupo!G:G)</f>
        <v>46440.22</v>
      </c>
      <c r="J234" s="6">
        <f>_xlfn.XLOOKUP(D234,Grupo!B:B,Grupo!C:C)</f>
        <v>10</v>
      </c>
      <c r="K234" s="24">
        <f>_xlfn.XLOOKUP(A234,[1]COORDENADAS_GEOGRÁFICAS!$D:$D,[1]COORDENADAS_GEOGRÁFICAS!$F:$F)</f>
        <v>80</v>
      </c>
      <c r="L234" s="53"/>
      <c r="M234" s="53"/>
      <c r="N234" s="52">
        <f>_xlfn.XLOOKUP(D234,Grupo!B:B,Grupo!D:D)</f>
        <v>-12.620481488718251</v>
      </c>
      <c r="O234" s="52">
        <f>_xlfn.XLOOKUP(D234,Grupo!B:B,Grupo!E:E)</f>
        <v>-47.884083728442604</v>
      </c>
      <c r="P234" s="52">
        <f>_xlfn.XLOOKUP(A234,[1]COORDENADAS_GEOGRÁFICAS!$D:$D,[1]COORDENADAS_GEOGRÁFICAS!$G:$G)</f>
        <v>-12.700708000000001</v>
      </c>
      <c r="Q234" s="52">
        <f>_xlfn.XLOOKUP(A234,[1]COORDENADAS_GEOGRÁFICAS!$D:$D,[1]COORDENADAS_GEOGRÁFICAS!$H:$H)</f>
        <v>-47.407873000000002</v>
      </c>
      <c r="R234" s="20">
        <f t="shared" si="3"/>
        <v>52.429204246879713</v>
      </c>
    </row>
    <row r="235" spans="1:18" x14ac:dyDescent="0.3">
      <c r="A235" s="24">
        <v>3467182</v>
      </c>
      <c r="B235" s="24" t="s">
        <v>765</v>
      </c>
      <c r="C235" s="24">
        <v>402400225</v>
      </c>
      <c r="D235" s="24" t="str">
        <f>_xlfn.XLOOKUP(C235,Planilha3!A:A,Planilha3!C:C)</f>
        <v>PARANÃ</v>
      </c>
      <c r="E235" s="24">
        <v>1</v>
      </c>
      <c r="F235" s="54">
        <f>_xlfn.XLOOKUP(C235,Planilha3!A:A,Planilha3!E:E)</f>
        <v>45457.620162037034</v>
      </c>
      <c r="G235" s="54">
        <f>_xlfn.XLOOKUP(C235,Planilha3!A:A,Planilha3!F:F)</f>
        <v>45469.620162037034</v>
      </c>
      <c r="H235" s="54">
        <f>_xlfn.XLOOKUP(C235,Planilha3!A:A,Planilha3!G:G)</f>
        <v>45922</v>
      </c>
      <c r="I235" s="23">
        <f>_xlfn.XLOOKUP(K235,Grupo!F:F,Grupo!G:G)</f>
        <v>46440.22</v>
      </c>
      <c r="J235" s="6">
        <f>_xlfn.XLOOKUP(D235,Grupo!B:B,Grupo!C:C)</f>
        <v>10</v>
      </c>
      <c r="K235" s="24">
        <f>_xlfn.XLOOKUP(A235,[1]COORDENADAS_GEOGRÁFICAS!$D:$D,[1]COORDENADAS_GEOGRÁFICAS!$F:$F)</f>
        <v>80</v>
      </c>
      <c r="L235" s="53"/>
      <c r="M235" s="53"/>
      <c r="N235" s="52">
        <f>_xlfn.XLOOKUP(D235,Grupo!B:B,Grupo!D:D)</f>
        <v>-12.620481488718251</v>
      </c>
      <c r="O235" s="52">
        <f>_xlfn.XLOOKUP(D235,Grupo!B:B,Grupo!E:E)</f>
        <v>-47.884083728442604</v>
      </c>
      <c r="P235" s="52">
        <f>_xlfn.XLOOKUP(A235,[1]COORDENADAS_GEOGRÁFICAS!$D:$D,[1]COORDENADAS_GEOGRÁFICAS!$G:$G)</f>
        <v>-12.884347</v>
      </c>
      <c r="Q235" s="52">
        <f>_xlfn.XLOOKUP(A235,[1]COORDENADAS_GEOGRÁFICAS!$D:$D,[1]COORDENADAS_GEOGRÁFICAS!$H:$H)</f>
        <v>-47.504112999999997</v>
      </c>
      <c r="R235" s="20">
        <f t="shared" si="3"/>
        <v>50.586674824928764</v>
      </c>
    </row>
    <row r="236" spans="1:18" x14ac:dyDescent="0.3">
      <c r="A236" s="24">
        <v>3466735</v>
      </c>
      <c r="B236" s="24" t="s">
        <v>765</v>
      </c>
      <c r="C236" s="24">
        <v>502400054</v>
      </c>
      <c r="D236" s="24" t="str">
        <f>_xlfn.XLOOKUP(C236,Planilha3!A:A,Planilha3!C:C)</f>
        <v>PONTE ALTA DO BOM JESUS</v>
      </c>
      <c r="E236" s="24">
        <v>1</v>
      </c>
      <c r="F236" s="54">
        <f>_xlfn.XLOOKUP(C236,Planilha3!A:A,Planilha3!E:E)</f>
        <v>45456.603310185186</v>
      </c>
      <c r="G236" s="54">
        <f>_xlfn.XLOOKUP(C236,Planilha3!A:A,Planilha3!F:F)</f>
        <v>45469.603310185186</v>
      </c>
      <c r="H236" s="54">
        <f>_xlfn.XLOOKUP(C236,Planilha3!A:A,Planilha3!G:G)</f>
        <v>45922</v>
      </c>
      <c r="I236" s="23">
        <f>_xlfn.XLOOKUP(K236,Grupo!F:F,Grupo!G:G)</f>
        <v>46440.22</v>
      </c>
      <c r="J236" s="6">
        <f>_xlfn.XLOOKUP(D236,Grupo!B:B,Grupo!C:C)</f>
        <v>11</v>
      </c>
      <c r="K236" s="24">
        <f>_xlfn.XLOOKUP(A236,[1]COORDENADAS_GEOGRÁFICAS!$D:$D,[1]COORDENADAS_GEOGRÁFICAS!$F:$F)</f>
        <v>80</v>
      </c>
      <c r="L236" s="53"/>
      <c r="M236" s="53"/>
      <c r="N236" s="52">
        <f>_xlfn.XLOOKUP(D236,Grupo!B:B,Grupo!D:D)</f>
        <v>-12.087812908434403</v>
      </c>
      <c r="O236" s="52">
        <f>_xlfn.XLOOKUP(D236,Grupo!B:B,Grupo!E:E)</f>
        <v>-46.469586792395198</v>
      </c>
      <c r="P236" s="52">
        <f>_xlfn.XLOOKUP(A236,[1]COORDENADAS_GEOGRÁFICAS!$D:$D,[1]COORDENADAS_GEOGRÁFICAS!$G:$G)</f>
        <v>-11.792977</v>
      </c>
      <c r="Q236" s="52">
        <f>_xlfn.XLOOKUP(A236,[1]COORDENADAS_GEOGRÁFICAS!$D:$D,[1]COORDENADAS_GEOGRÁFICAS!$H:$H)</f>
        <v>-46.397263000000002</v>
      </c>
      <c r="R236" s="20">
        <f t="shared" si="3"/>
        <v>33.715179932199327</v>
      </c>
    </row>
    <row r="237" spans="1:18" x14ac:dyDescent="0.3">
      <c r="A237" s="24">
        <v>3466498</v>
      </c>
      <c r="B237" s="24" t="s">
        <v>765</v>
      </c>
      <c r="C237" s="24">
        <v>502400055</v>
      </c>
      <c r="D237" s="24" t="str">
        <f>_xlfn.XLOOKUP(C237,Planilha3!A:A,Planilha3!C:C)</f>
        <v>PONTE ALTA DO BOM JESUS</v>
      </c>
      <c r="E237" s="24">
        <v>1</v>
      </c>
      <c r="F237" s="54">
        <f>_xlfn.XLOOKUP(C237,Planilha3!A:A,Planilha3!E:E)</f>
        <v>45454.611087962963</v>
      </c>
      <c r="G237" s="54">
        <f>_xlfn.XLOOKUP(C237,Planilha3!A:A,Planilha3!F:F)</f>
        <v>45469.611087962963</v>
      </c>
      <c r="H237" s="54">
        <f>_xlfn.XLOOKUP(C237,Planilha3!A:A,Planilha3!G:G)</f>
        <v>45922</v>
      </c>
      <c r="I237" s="23">
        <f>_xlfn.XLOOKUP(K237,Grupo!F:F,Grupo!G:G)</f>
        <v>46440.22</v>
      </c>
      <c r="J237" s="6">
        <f>_xlfn.XLOOKUP(D237,Grupo!B:B,Grupo!C:C)</f>
        <v>11</v>
      </c>
      <c r="K237" s="24">
        <f>_xlfn.XLOOKUP(A237,[1]COORDENADAS_GEOGRÁFICAS!$D:$D,[1]COORDENADAS_GEOGRÁFICAS!$F:$F)</f>
        <v>80</v>
      </c>
      <c r="L237" s="53"/>
      <c r="M237" s="53"/>
      <c r="N237" s="52">
        <f>_xlfn.XLOOKUP(D237,Grupo!B:B,Grupo!D:D)</f>
        <v>-12.087812908434403</v>
      </c>
      <c r="O237" s="52">
        <f>_xlfn.XLOOKUP(D237,Grupo!B:B,Grupo!E:E)</f>
        <v>-46.469586792395198</v>
      </c>
      <c r="P237" s="52">
        <f>_xlfn.XLOOKUP(A237,[1]COORDENADAS_GEOGRÁFICAS!$D:$D,[1]COORDENADAS_GEOGRÁFICAS!$G:$G)</f>
        <v>-11.890832</v>
      </c>
      <c r="Q237" s="52">
        <f>_xlfn.XLOOKUP(A237,[1]COORDENADAS_GEOGRÁFICAS!$D:$D,[1]COORDENADAS_GEOGRÁFICAS!$H:$H)</f>
        <v>-46.422016999999997</v>
      </c>
      <c r="R237" s="20">
        <f t="shared" si="3"/>
        <v>22.506115237265778</v>
      </c>
    </row>
    <row r="238" spans="1:18" x14ac:dyDescent="0.3">
      <c r="A238" s="24">
        <v>3464270</v>
      </c>
      <c r="B238" s="24" t="s">
        <v>765</v>
      </c>
      <c r="C238" s="24">
        <v>502400044</v>
      </c>
      <c r="D238" s="24" t="str">
        <f>_xlfn.XLOOKUP(C238,Planilha3!A:A,Planilha3!C:C)</f>
        <v>PONTE ALTA DO BOM JESUS</v>
      </c>
      <c r="E238" s="24">
        <v>1</v>
      </c>
      <c r="F238" s="54">
        <f>_xlfn.XLOOKUP(C238,Planilha3!A:A,Planilha3!E:E)</f>
        <v>45458.636053240742</v>
      </c>
      <c r="G238" s="54">
        <f>_xlfn.XLOOKUP(C238,Planilha3!A:A,Planilha3!F:F)</f>
        <v>45469.636053240742</v>
      </c>
      <c r="H238" s="54">
        <f>_xlfn.XLOOKUP(C238,Planilha3!A:A,Planilha3!G:G)</f>
        <v>45922</v>
      </c>
      <c r="I238" s="23">
        <f>_xlfn.XLOOKUP(K238,Grupo!F:F,Grupo!G:G)</f>
        <v>46440.22</v>
      </c>
      <c r="J238" s="6">
        <f>_xlfn.XLOOKUP(D238,Grupo!B:B,Grupo!C:C)</f>
        <v>11</v>
      </c>
      <c r="K238" s="24">
        <f>_xlfn.XLOOKUP(A238,[1]COORDENADAS_GEOGRÁFICAS!$D:$D,[1]COORDENADAS_GEOGRÁFICAS!$F:$F)</f>
        <v>80</v>
      </c>
      <c r="L238" s="53"/>
      <c r="M238" s="53"/>
      <c r="N238" s="52">
        <f>_xlfn.XLOOKUP(D238,Grupo!B:B,Grupo!D:D)</f>
        <v>-12.087812908434403</v>
      </c>
      <c r="O238" s="52">
        <f>_xlfn.XLOOKUP(D238,Grupo!B:B,Grupo!E:E)</f>
        <v>-46.469586792395198</v>
      </c>
      <c r="P238" s="52">
        <f>_xlfn.XLOOKUP(A238,[1]COORDENADAS_GEOGRÁFICAS!$D:$D,[1]COORDENADAS_GEOGRÁFICAS!$G:$G)</f>
        <v>-12.136687999999999</v>
      </c>
      <c r="Q238" s="52">
        <f>_xlfn.XLOOKUP(A238,[1]COORDENADAS_GEOGRÁFICAS!$D:$D,[1]COORDENADAS_GEOGRÁFICAS!$H:$H)</f>
        <v>-46.746023000000001</v>
      </c>
      <c r="R238" s="20">
        <f t="shared" si="3"/>
        <v>30.54143946077178</v>
      </c>
    </row>
    <row r="239" spans="1:18" x14ac:dyDescent="0.3">
      <c r="A239" s="24">
        <v>3459762</v>
      </c>
      <c r="B239" s="24" t="s">
        <v>765</v>
      </c>
      <c r="C239" s="24">
        <v>652400124</v>
      </c>
      <c r="D239" s="24" t="str">
        <f>_xlfn.XLOOKUP(C239,Planilha3!A:A,Planilha3!C:C)</f>
        <v>ARAGUATINS</v>
      </c>
      <c r="E239" s="24">
        <v>1</v>
      </c>
      <c r="F239" s="54">
        <f>_xlfn.XLOOKUP(C239,Planilha3!A:A,Planilha3!E:E)</f>
        <v>45388.388206018521</v>
      </c>
      <c r="G239" s="54">
        <f>_xlfn.XLOOKUP(C239,Planilha3!A:A,Planilha3!F:F)</f>
        <v>45400.388206018521</v>
      </c>
      <c r="H239" s="54">
        <f>_xlfn.XLOOKUP(C239,Planilha3!A:A,Planilha3!G:G)</f>
        <v>45922</v>
      </c>
      <c r="I239" s="23">
        <f>_xlfn.XLOOKUP(K239,Grupo!F:F,Grupo!G:G)</f>
        <v>46440.22</v>
      </c>
      <c r="J239" s="6">
        <f>_xlfn.XLOOKUP(D239,Grupo!B:B,Grupo!C:C)</f>
        <v>2</v>
      </c>
      <c r="K239" s="24">
        <f>_xlfn.XLOOKUP(A239,[1]COORDENADAS_GEOGRÁFICAS!$D:$D,[1]COORDENADAS_GEOGRÁFICAS!$F:$F)</f>
        <v>80</v>
      </c>
      <c r="L239" s="53"/>
      <c r="M239" s="53"/>
      <c r="N239" s="52">
        <f>_xlfn.XLOOKUP(D239,Grupo!B:B,Grupo!D:D)</f>
        <v>-5.6505864729999509</v>
      </c>
      <c r="O239" s="52">
        <f>_xlfn.XLOOKUP(D239,Grupo!B:B,Grupo!E:E)</f>
        <v>-48.123507343029381</v>
      </c>
      <c r="P239" s="52">
        <f>_xlfn.XLOOKUP(A239,[1]COORDENADAS_GEOGRÁFICAS!$D:$D,[1]COORDENADAS_GEOGRÁFICAS!$G:$G)</f>
        <v>-5.8596620000000001</v>
      </c>
      <c r="Q239" s="52">
        <f>_xlfn.XLOOKUP(A239,[1]COORDENADAS_GEOGRÁFICAS!$D:$D,[1]COORDENADAS_GEOGRÁFICAS!$H:$H)</f>
        <v>-48.107534999999999</v>
      </c>
      <c r="R239" s="20">
        <f t="shared" si="3"/>
        <v>23.315199418314673</v>
      </c>
    </row>
    <row r="240" spans="1:18" x14ac:dyDescent="0.3">
      <c r="A240" s="24">
        <v>3467245</v>
      </c>
      <c r="B240" s="24" t="s">
        <v>765</v>
      </c>
      <c r="C240" s="24">
        <v>402400244</v>
      </c>
      <c r="D240" s="24" t="str">
        <f>_xlfn.XLOOKUP(C240,Planilha3!A:A,Planilha3!C:C)</f>
        <v>JAU DO TOCANTINS</v>
      </c>
      <c r="E240" s="24">
        <v>1</v>
      </c>
      <c r="F240" s="54">
        <f>_xlfn.XLOOKUP(C240,Planilha3!A:A,Planilha3!E:E)</f>
        <v>45456.675312500003</v>
      </c>
      <c r="G240" s="54">
        <f>_xlfn.XLOOKUP(C240,Planilha3!A:A,Planilha3!F:F)</f>
        <v>45469.675312500003</v>
      </c>
      <c r="H240" s="54">
        <f>_xlfn.XLOOKUP(C240,Planilha3!A:A,Planilha3!G:G)</f>
        <v>45922</v>
      </c>
      <c r="I240" s="23">
        <f>_xlfn.XLOOKUP(K240,Grupo!F:F,Grupo!G:G)</f>
        <v>46440.22</v>
      </c>
      <c r="J240" s="6">
        <f>_xlfn.XLOOKUP(D240,Grupo!B:B,Grupo!C:C)</f>
        <v>7</v>
      </c>
      <c r="K240" s="24">
        <f>_xlfn.XLOOKUP(A240,[1]COORDENADAS_GEOGRÁFICAS!$D:$D,[1]COORDENADAS_GEOGRÁFICAS!$F:$F)</f>
        <v>80</v>
      </c>
      <c r="L240" s="53"/>
      <c r="M240" s="53"/>
      <c r="N240" s="52">
        <f>_xlfn.XLOOKUP(D240,Grupo!B:B,Grupo!D:D)</f>
        <v>-12.652926369270553</v>
      </c>
      <c r="O240" s="52">
        <f>_xlfn.XLOOKUP(D240,Grupo!B:B,Grupo!E:E)</f>
        <v>-48.594608292724836</v>
      </c>
      <c r="P240" s="52">
        <f>_xlfn.XLOOKUP(A240,[1]COORDENADAS_GEOGRÁFICAS!$D:$D,[1]COORDENADAS_GEOGRÁFICAS!$G:$G)</f>
        <v>-13.268815</v>
      </c>
      <c r="Q240" s="52">
        <f>_xlfn.XLOOKUP(A240,[1]COORDENADAS_GEOGRÁFICAS!$D:$D,[1]COORDENADAS_GEOGRÁFICAS!$H:$H)</f>
        <v>-48.586042999999997</v>
      </c>
      <c r="R240" s="20">
        <f t="shared" si="3"/>
        <v>68.48998033870275</v>
      </c>
    </row>
    <row r="241" spans="1:18" x14ac:dyDescent="0.3">
      <c r="A241" s="24">
        <v>3466726</v>
      </c>
      <c r="B241" s="24" t="s">
        <v>765</v>
      </c>
      <c r="C241" s="24">
        <v>302400090</v>
      </c>
      <c r="D241" s="24" t="str">
        <f>_xlfn.XLOOKUP(C241,Planilha3!A:A,Planilha3!C:C)</f>
        <v>PONTE ALTA DO TOCANTINS</v>
      </c>
      <c r="E241" s="24">
        <v>1</v>
      </c>
      <c r="F241" s="54">
        <f>_xlfn.XLOOKUP(C241,Planilha3!A:A,Planilha3!E:E)</f>
        <v>45460.615104166667</v>
      </c>
      <c r="G241" s="54">
        <f>_xlfn.XLOOKUP(C241,Planilha3!A:A,Planilha3!F:F)</f>
        <v>45475.615104166667</v>
      </c>
      <c r="H241" s="54">
        <f>_xlfn.XLOOKUP(C241,Planilha3!A:A,Planilha3!G:G)</f>
        <v>45922</v>
      </c>
      <c r="I241" s="23">
        <f>_xlfn.XLOOKUP(K241,Grupo!F:F,Grupo!G:G)</f>
        <v>46440.22</v>
      </c>
      <c r="J241" s="6">
        <f>_xlfn.XLOOKUP(D241,Grupo!B:B,Grupo!C:C)</f>
        <v>12</v>
      </c>
      <c r="K241" s="24">
        <f>_xlfn.XLOOKUP(A241,[1]COORDENADAS_GEOGRÁFICAS!$D:$D,[1]COORDENADAS_GEOGRÁFICAS!$F:$F)</f>
        <v>80</v>
      </c>
      <c r="L241" s="53"/>
      <c r="M241" s="53"/>
      <c r="N241" s="52">
        <f>_xlfn.XLOOKUP(D241,Grupo!B:B,Grupo!D:D)</f>
        <v>-10.740672848681452</v>
      </c>
      <c r="O241" s="52">
        <f>_xlfn.XLOOKUP(D241,Grupo!B:B,Grupo!E:E)</f>
        <v>-47.541180358301936</v>
      </c>
      <c r="P241" s="52">
        <f>_xlfn.XLOOKUP(A241,[1]COORDENADAS_GEOGRÁFICAS!$D:$D,[1]COORDENADAS_GEOGRÁFICAS!$G:$G)</f>
        <v>-10.807563</v>
      </c>
      <c r="Q241" s="52">
        <f>_xlfn.XLOOKUP(A241,[1]COORDENADAS_GEOGRÁFICAS!$D:$D,[1]COORDENADAS_GEOGRÁFICAS!$H:$H)</f>
        <v>-47.737107999999999</v>
      </c>
      <c r="R241" s="20">
        <f t="shared" si="3"/>
        <v>22.657708096240317</v>
      </c>
    </row>
    <row r="242" spans="1:18" x14ac:dyDescent="0.3">
      <c r="A242" s="24">
        <v>3466660</v>
      </c>
      <c r="B242" s="24" t="s">
        <v>765</v>
      </c>
      <c r="C242" s="24">
        <v>302400091</v>
      </c>
      <c r="D242" s="24" t="str">
        <f>_xlfn.XLOOKUP(C242,Planilha3!A:A,Planilha3!C:C)</f>
        <v>PONTE ALTA DO TOCANTINS</v>
      </c>
      <c r="E242" s="24">
        <v>1</v>
      </c>
      <c r="F242" s="54">
        <f>_xlfn.XLOOKUP(C242,Planilha3!A:A,Planilha3!E:E)</f>
        <v>45459.663310185184</v>
      </c>
      <c r="G242" s="54">
        <f>_xlfn.XLOOKUP(C242,Planilha3!A:A,Planilha3!F:F)</f>
        <v>45475.663310185184</v>
      </c>
      <c r="H242" s="54">
        <f>_xlfn.XLOOKUP(C242,Planilha3!A:A,Planilha3!G:G)</f>
        <v>45922</v>
      </c>
      <c r="I242" s="23">
        <f>_xlfn.XLOOKUP(K242,Grupo!F:F,Grupo!G:G)</f>
        <v>46440.22</v>
      </c>
      <c r="J242" s="6">
        <f>_xlfn.XLOOKUP(D242,Grupo!B:B,Grupo!C:C)</f>
        <v>12</v>
      </c>
      <c r="K242" s="24">
        <f>_xlfn.XLOOKUP(A242,[1]COORDENADAS_GEOGRÁFICAS!$D:$D,[1]COORDENADAS_GEOGRÁFICAS!$F:$F)</f>
        <v>80</v>
      </c>
      <c r="L242" s="53"/>
      <c r="M242" s="53"/>
      <c r="N242" s="52">
        <f>_xlfn.XLOOKUP(D242,Grupo!B:B,Grupo!D:D)</f>
        <v>-10.740672848681452</v>
      </c>
      <c r="O242" s="52">
        <f>_xlfn.XLOOKUP(D242,Grupo!B:B,Grupo!E:E)</f>
        <v>-47.541180358301936</v>
      </c>
      <c r="P242" s="52">
        <f>_xlfn.XLOOKUP(A242,[1]COORDENADAS_GEOGRÁFICAS!$D:$D,[1]COORDENADAS_GEOGRÁFICAS!$G:$G)</f>
        <v>-10.993237000000001</v>
      </c>
      <c r="Q242" s="52">
        <f>_xlfn.XLOOKUP(A242,[1]COORDENADAS_GEOGRÁFICAS!$D:$D,[1]COORDENADAS_GEOGRÁFICAS!$H:$H)</f>
        <v>-47.159185000000001</v>
      </c>
      <c r="R242" s="20">
        <f t="shared" si="3"/>
        <v>50.286957580761516</v>
      </c>
    </row>
    <row r="243" spans="1:18" x14ac:dyDescent="0.3">
      <c r="A243" s="24">
        <v>3466551</v>
      </c>
      <c r="B243" s="24" t="s">
        <v>765</v>
      </c>
      <c r="C243" s="24">
        <v>652400130</v>
      </c>
      <c r="D243" s="24" t="str">
        <f>_xlfn.XLOOKUP(C243,Planilha3!A:A,Planilha3!C:C)</f>
        <v>ARAGUATINS</v>
      </c>
      <c r="E243" s="24">
        <v>1</v>
      </c>
      <c r="F243" s="54">
        <f>_xlfn.XLOOKUP(C243,Planilha3!A:A,Planilha3!E:E)</f>
        <v>45465.351736111108</v>
      </c>
      <c r="G243" s="54">
        <f>_xlfn.XLOOKUP(C243,Planilha3!A:A,Planilha3!F:F)</f>
        <v>45476.351736111108</v>
      </c>
      <c r="H243" s="54">
        <f>_xlfn.XLOOKUP(C243,Planilha3!A:A,Planilha3!G:G)</f>
        <v>45922</v>
      </c>
      <c r="I243" s="23">
        <f>_xlfn.XLOOKUP(K243,Grupo!F:F,Grupo!G:G)</f>
        <v>46440.22</v>
      </c>
      <c r="J243" s="6">
        <f>_xlfn.XLOOKUP(D243,Grupo!B:B,Grupo!C:C)</f>
        <v>2</v>
      </c>
      <c r="K243" s="24">
        <f>_xlfn.XLOOKUP(A243,[1]COORDENADAS_GEOGRÁFICAS!$D:$D,[1]COORDENADAS_GEOGRÁFICAS!$F:$F)</f>
        <v>80</v>
      </c>
      <c r="L243" s="53"/>
      <c r="M243" s="53"/>
      <c r="N243" s="52">
        <f>_xlfn.XLOOKUP(D243,Grupo!B:B,Grupo!D:D)</f>
        <v>-5.6505864729999509</v>
      </c>
      <c r="O243" s="52">
        <f>_xlfn.XLOOKUP(D243,Grupo!B:B,Grupo!E:E)</f>
        <v>-48.123507343029381</v>
      </c>
      <c r="P243" s="52">
        <f>_xlfn.XLOOKUP(A243,[1]COORDENADAS_GEOGRÁFICAS!$D:$D,[1]COORDENADAS_GEOGRÁFICAS!$G:$G)</f>
        <v>-5.8622670000000001</v>
      </c>
      <c r="Q243" s="52">
        <f>_xlfn.XLOOKUP(A243,[1]COORDENADAS_GEOGRÁFICAS!$D:$D,[1]COORDENADAS_GEOGRÁFICAS!$H:$H)</f>
        <v>-48.111021999999998</v>
      </c>
      <c r="R243" s="20">
        <f t="shared" si="3"/>
        <v>23.578296468591549</v>
      </c>
    </row>
    <row r="244" spans="1:18" x14ac:dyDescent="0.3">
      <c r="A244" s="24">
        <v>3466172</v>
      </c>
      <c r="B244" s="24" t="s">
        <v>765</v>
      </c>
      <c r="C244" s="24">
        <v>502400061</v>
      </c>
      <c r="D244" s="24" t="str">
        <f>_xlfn.XLOOKUP(C244,Planilha3!A:A,Planilha3!C:C)</f>
        <v>ALMAS</v>
      </c>
      <c r="E244" s="24">
        <v>1</v>
      </c>
      <c r="F244" s="54">
        <f>_xlfn.XLOOKUP(C244,Planilha3!A:A,Planilha3!E:E)</f>
        <v>45465.392627314817</v>
      </c>
      <c r="G244" s="54">
        <f>_xlfn.XLOOKUP(C244,Planilha3!A:A,Planilha3!F:F)</f>
        <v>45477.392627314817</v>
      </c>
      <c r="H244" s="54">
        <f>_xlfn.XLOOKUP(C244,Planilha3!A:A,Planilha3!G:G)</f>
        <v>45922</v>
      </c>
      <c r="I244" s="23">
        <f>_xlfn.XLOOKUP(K244,Grupo!F:F,Grupo!G:G)</f>
        <v>46440.22</v>
      </c>
      <c r="J244" s="6">
        <f>_xlfn.XLOOKUP(D244,Grupo!B:B,Grupo!C:C)</f>
        <v>1</v>
      </c>
      <c r="K244" s="24">
        <f>_xlfn.XLOOKUP(A244,[1]COORDENADAS_GEOGRÁFICAS!$D:$D,[1]COORDENADAS_GEOGRÁFICAS!$F:$F)</f>
        <v>80</v>
      </c>
      <c r="L244" s="53"/>
      <c r="M244" s="53"/>
      <c r="N244" s="52">
        <f>_xlfn.XLOOKUP(D244,Grupo!B:B,Grupo!D:D)</f>
        <v>-11.574523469447804</v>
      </c>
      <c r="O244" s="52">
        <f>_xlfn.XLOOKUP(D244,Grupo!B:B,Grupo!E:E)</f>
        <v>-47.174171684235809</v>
      </c>
      <c r="P244" s="52">
        <f>_xlfn.XLOOKUP(A244,[1]COORDENADAS_GEOGRÁFICAS!$D:$D,[1]COORDENADAS_GEOGRÁFICAS!$G:$G)</f>
        <v>-11.478218</v>
      </c>
      <c r="Q244" s="52">
        <f>_xlfn.XLOOKUP(A244,[1]COORDENADAS_GEOGRÁFICAS!$D:$D,[1]COORDENADAS_GEOGRÁFICAS!$H:$H)</f>
        <v>-47.409377999999997</v>
      </c>
      <c r="R244" s="20">
        <f t="shared" si="3"/>
        <v>27.773782110537617</v>
      </c>
    </row>
    <row r="245" spans="1:18" x14ac:dyDescent="0.3">
      <c r="A245" s="24">
        <v>3466171</v>
      </c>
      <c r="B245" s="24" t="s">
        <v>765</v>
      </c>
      <c r="C245" s="24">
        <v>502400064</v>
      </c>
      <c r="D245" s="24" t="str">
        <f>_xlfn.XLOOKUP(C245,Planilha3!A:A,Planilha3!C:C)</f>
        <v>ALMAS</v>
      </c>
      <c r="E245" s="24">
        <v>1</v>
      </c>
      <c r="F245" s="54">
        <f>_xlfn.XLOOKUP(C245,Planilha3!A:A,Planilha3!E:E)</f>
        <v>45464.40084490741</v>
      </c>
      <c r="G245" s="54">
        <f>_xlfn.XLOOKUP(C245,Planilha3!A:A,Planilha3!F:F)</f>
        <v>45477.40084490741</v>
      </c>
      <c r="H245" s="54">
        <f>_xlfn.XLOOKUP(C245,Planilha3!A:A,Planilha3!G:G)</f>
        <v>45922</v>
      </c>
      <c r="I245" s="23">
        <f>_xlfn.XLOOKUP(K245,Grupo!F:F,Grupo!G:G)</f>
        <v>46440.22</v>
      </c>
      <c r="J245" s="6">
        <f>_xlfn.XLOOKUP(D245,Grupo!B:B,Grupo!C:C)</f>
        <v>1</v>
      </c>
      <c r="K245" s="24">
        <f>_xlfn.XLOOKUP(A245,[1]COORDENADAS_GEOGRÁFICAS!$D:$D,[1]COORDENADAS_GEOGRÁFICAS!$F:$F)</f>
        <v>80</v>
      </c>
      <c r="L245" s="53"/>
      <c r="M245" s="53"/>
      <c r="N245" s="52">
        <f>_xlfn.XLOOKUP(D245,Grupo!B:B,Grupo!D:D)</f>
        <v>-11.574523469447804</v>
      </c>
      <c r="O245" s="52">
        <f>_xlfn.XLOOKUP(D245,Grupo!B:B,Grupo!E:E)</f>
        <v>-47.174171684235809</v>
      </c>
      <c r="P245" s="52">
        <f>_xlfn.XLOOKUP(A245,[1]COORDENADAS_GEOGRÁFICAS!$D:$D,[1]COORDENADAS_GEOGRÁFICAS!$G:$G)</f>
        <v>-11.48302</v>
      </c>
      <c r="Q245" s="52">
        <f>_xlfn.XLOOKUP(A245,[1]COORDENADAS_GEOGRÁFICAS!$D:$D,[1]COORDENADAS_GEOGRÁFICAS!$H:$H)</f>
        <v>-47.434804999999997</v>
      </c>
      <c r="R245" s="20">
        <f t="shared" si="3"/>
        <v>30.164214864533978</v>
      </c>
    </row>
    <row r="246" spans="1:18" x14ac:dyDescent="0.3">
      <c r="A246" s="24">
        <v>3467056</v>
      </c>
      <c r="B246" s="24" t="s">
        <v>765</v>
      </c>
      <c r="C246" s="24">
        <v>502400059</v>
      </c>
      <c r="D246" s="24" t="str">
        <f>_xlfn.XLOOKUP(C246,Planilha3!A:A,Planilha3!C:C)</f>
        <v>ALMAS</v>
      </c>
      <c r="E246" s="24">
        <v>1</v>
      </c>
      <c r="F246" s="54">
        <f>_xlfn.XLOOKUP(C246,Planilha3!A:A,Planilha3!E:E)</f>
        <v>45454.662557870368</v>
      </c>
      <c r="G246" s="54">
        <f>_xlfn.XLOOKUP(C246,Planilha3!A:A,Planilha3!F:F)</f>
        <v>45469.662557870368</v>
      </c>
      <c r="H246" s="54">
        <f>_xlfn.XLOOKUP(C246,Planilha3!A:A,Planilha3!G:G)</f>
        <v>45922</v>
      </c>
      <c r="I246" s="23">
        <f>_xlfn.XLOOKUP(K246,Grupo!F:F,Grupo!G:G)</f>
        <v>46440.22</v>
      </c>
      <c r="J246" s="6">
        <f>_xlfn.XLOOKUP(D246,Grupo!B:B,Grupo!C:C)</f>
        <v>1</v>
      </c>
      <c r="K246" s="24">
        <f>_xlfn.XLOOKUP(A246,[1]COORDENADAS_GEOGRÁFICAS!$D:$D,[1]COORDENADAS_GEOGRÁFICAS!$F:$F)</f>
        <v>80</v>
      </c>
      <c r="L246" s="53"/>
      <c r="M246" s="53"/>
      <c r="N246" s="52">
        <f>_xlfn.XLOOKUP(D246,Grupo!B:B,Grupo!D:D)</f>
        <v>-11.574523469447804</v>
      </c>
      <c r="O246" s="52">
        <f>_xlfn.XLOOKUP(D246,Grupo!B:B,Grupo!E:E)</f>
        <v>-47.174171684235809</v>
      </c>
      <c r="P246" s="52">
        <f>_xlfn.XLOOKUP(A246,[1]COORDENADAS_GEOGRÁFICAS!$D:$D,[1]COORDENADAS_GEOGRÁFICAS!$G:$G)</f>
        <v>-11.462440000000001</v>
      </c>
      <c r="Q246" s="52">
        <f>_xlfn.XLOOKUP(A246,[1]COORDENADAS_GEOGRÁFICAS!$D:$D,[1]COORDENADAS_GEOGRÁFICAS!$H:$H)</f>
        <v>-47.412421999999999</v>
      </c>
      <c r="R246" s="20">
        <f t="shared" si="3"/>
        <v>28.795521938240263</v>
      </c>
    </row>
    <row r="247" spans="1:18" x14ac:dyDescent="0.3">
      <c r="A247" s="24">
        <v>3466848</v>
      </c>
      <c r="B247" s="24" t="s">
        <v>765</v>
      </c>
      <c r="C247" s="24">
        <v>402400203</v>
      </c>
      <c r="D247" s="24" t="str">
        <f>_xlfn.XLOOKUP(C247,Planilha3!A:A,Planilha3!C:C)</f>
        <v>PARANÃ</v>
      </c>
      <c r="E247" s="24">
        <v>1</v>
      </c>
      <c r="F247" s="54">
        <f>_xlfn.XLOOKUP(C247,Planilha3!A:A,Planilha3!E:E)</f>
        <v>45458.611990740741</v>
      </c>
      <c r="G247" s="54">
        <f>_xlfn.XLOOKUP(C247,Planilha3!A:A,Planilha3!F:F)</f>
        <v>45469.611990740741</v>
      </c>
      <c r="H247" s="54">
        <f>_xlfn.XLOOKUP(C247,Planilha3!A:A,Planilha3!G:G)</f>
        <v>45922</v>
      </c>
      <c r="I247" s="23">
        <f>_xlfn.XLOOKUP(K247,Grupo!F:F,Grupo!G:G)</f>
        <v>46440.22</v>
      </c>
      <c r="J247" s="6">
        <f>_xlfn.XLOOKUP(D247,Grupo!B:B,Grupo!C:C)</f>
        <v>10</v>
      </c>
      <c r="K247" s="24">
        <f>_xlfn.XLOOKUP(A247,[1]COORDENADAS_GEOGRÁFICAS!$D:$D,[1]COORDENADAS_GEOGRÁFICAS!$F:$F)</f>
        <v>80</v>
      </c>
      <c r="L247" s="53"/>
      <c r="M247" s="53"/>
      <c r="N247" s="52">
        <f>_xlfn.XLOOKUP(D247,Grupo!B:B,Grupo!D:D)</f>
        <v>-12.620481488718251</v>
      </c>
      <c r="O247" s="52">
        <f>_xlfn.XLOOKUP(D247,Grupo!B:B,Grupo!E:E)</f>
        <v>-47.884083728442604</v>
      </c>
      <c r="P247" s="52">
        <f>_xlfn.XLOOKUP(A247,[1]COORDENADAS_GEOGRÁFICAS!$D:$D,[1]COORDENADAS_GEOGRÁFICAS!$G:$G)</f>
        <v>-12.478725000000001</v>
      </c>
      <c r="Q247" s="52">
        <f>_xlfn.XLOOKUP(A247,[1]COORDENADAS_GEOGRÁFICAS!$D:$D,[1]COORDENADAS_GEOGRÁFICAS!$H:$H)</f>
        <v>-48.103177000000002</v>
      </c>
      <c r="R247" s="20">
        <f t="shared" si="3"/>
        <v>28.529775021515555</v>
      </c>
    </row>
    <row r="248" spans="1:18" x14ac:dyDescent="0.3">
      <c r="A248" s="24">
        <v>3467108</v>
      </c>
      <c r="B248" s="24" t="s">
        <v>765</v>
      </c>
      <c r="C248" s="24">
        <v>102400216</v>
      </c>
      <c r="D248" s="24" t="str">
        <f>_xlfn.XLOOKUP(C248,Planilha3!A:A,Planilha3!C:C)</f>
        <v>LIZARDA</v>
      </c>
      <c r="E248" s="24">
        <v>1</v>
      </c>
      <c r="F248" s="54">
        <f>_xlfn.XLOOKUP(C248,Planilha3!A:A,Planilha3!E:E)</f>
        <v>45462.45753472222</v>
      </c>
      <c r="G248" s="54">
        <f>_xlfn.XLOOKUP(C248,Planilha3!A:A,Planilha3!F:F)</f>
        <v>45474.45753472222</v>
      </c>
      <c r="H248" s="54">
        <f>_xlfn.XLOOKUP(C248,Planilha3!A:A,Planilha3!G:G)</f>
        <v>45922</v>
      </c>
      <c r="I248" s="23">
        <f>_xlfn.XLOOKUP(K248,Grupo!F:F,Grupo!G:G)</f>
        <v>46440.22</v>
      </c>
      <c r="J248" s="6">
        <f>_xlfn.XLOOKUP(D248,Grupo!B:B,Grupo!C:C)</f>
        <v>8</v>
      </c>
      <c r="K248" s="24">
        <f>_xlfn.XLOOKUP(A248,[1]COORDENADAS_GEOGRÁFICAS!$D:$D,[1]COORDENADAS_GEOGRÁFICAS!$F:$F)</f>
        <v>80</v>
      </c>
      <c r="L248" s="53"/>
      <c r="M248" s="53"/>
      <c r="N248" s="52">
        <f>_xlfn.XLOOKUP(D248,Grupo!B:B,Grupo!D:D)</f>
        <v>-9.5945702878096721</v>
      </c>
      <c r="O248" s="52">
        <f>_xlfn.XLOOKUP(D248,Grupo!B:B,Grupo!E:E)</f>
        <v>-46.675165455846134</v>
      </c>
      <c r="P248" s="52">
        <f>_xlfn.XLOOKUP(A248,[1]COORDENADAS_GEOGRÁFICAS!$D:$D,[1]COORDENADAS_GEOGRÁFICAS!$G:$G)</f>
        <v>-9.9761729999999993</v>
      </c>
      <c r="Q248" s="52">
        <f>_xlfn.XLOOKUP(A248,[1]COORDENADAS_GEOGRÁFICAS!$D:$D,[1]COORDENADAS_GEOGRÁFICAS!$H:$H)</f>
        <v>-46.969562000000003</v>
      </c>
      <c r="R248" s="20">
        <f t="shared" si="3"/>
        <v>53.302411411426007</v>
      </c>
    </row>
    <row r="249" spans="1:18" x14ac:dyDescent="0.3">
      <c r="A249" s="24">
        <v>3466707</v>
      </c>
      <c r="B249" s="24" t="s">
        <v>765</v>
      </c>
      <c r="C249" s="24">
        <v>102400214</v>
      </c>
      <c r="D249" s="24" t="str">
        <f>_xlfn.XLOOKUP(C249,Planilha3!A:A,Planilha3!C:C)</f>
        <v>LIZARDA</v>
      </c>
      <c r="E249" s="24">
        <v>1</v>
      </c>
      <c r="F249" s="54">
        <f>_xlfn.XLOOKUP(C249,Planilha3!A:A,Planilha3!E:E)</f>
        <v>45461.439814814818</v>
      </c>
      <c r="G249" s="54">
        <f>_xlfn.XLOOKUP(C249,Planilha3!A:A,Planilha3!F:F)</f>
        <v>45474.439814814818</v>
      </c>
      <c r="H249" s="54">
        <f>_xlfn.XLOOKUP(C249,Planilha3!A:A,Planilha3!G:G)</f>
        <v>45922</v>
      </c>
      <c r="I249" s="23">
        <f>_xlfn.XLOOKUP(K249,Grupo!F:F,Grupo!G:G)</f>
        <v>46440.22</v>
      </c>
      <c r="J249" s="6">
        <f>_xlfn.XLOOKUP(D249,Grupo!B:B,Grupo!C:C)</f>
        <v>8</v>
      </c>
      <c r="K249" s="24">
        <f>_xlfn.XLOOKUP(A249,[1]COORDENADAS_GEOGRÁFICAS!$D:$D,[1]COORDENADAS_GEOGRÁFICAS!$F:$F)</f>
        <v>80</v>
      </c>
      <c r="L249" s="53"/>
      <c r="M249" s="53"/>
      <c r="N249" s="52">
        <f>_xlfn.XLOOKUP(D249,Grupo!B:B,Grupo!D:D)</f>
        <v>-9.5945702878096721</v>
      </c>
      <c r="O249" s="52">
        <f>_xlfn.XLOOKUP(D249,Grupo!B:B,Grupo!E:E)</f>
        <v>-46.675165455846134</v>
      </c>
      <c r="P249" s="52">
        <f>_xlfn.XLOOKUP(A249,[1]COORDENADAS_GEOGRÁFICAS!$D:$D,[1]COORDENADAS_GEOGRÁFICAS!$G:$G)</f>
        <v>-9.9736820000000002</v>
      </c>
      <c r="Q249" s="52">
        <f>_xlfn.XLOOKUP(A249,[1]COORDENADAS_GEOGRÁFICAS!$D:$D,[1]COORDENADAS_GEOGRÁFICAS!$H:$H)</f>
        <v>-46.956851999999998</v>
      </c>
      <c r="R249" s="20">
        <f t="shared" si="3"/>
        <v>52.247568149206572</v>
      </c>
    </row>
    <row r="250" spans="1:18" x14ac:dyDescent="0.3">
      <c r="A250" s="24">
        <v>3467082</v>
      </c>
      <c r="B250" s="24" t="s">
        <v>765</v>
      </c>
      <c r="C250" s="24">
        <v>102400176</v>
      </c>
      <c r="D250" s="24" t="str">
        <f>_xlfn.XLOOKUP(C250,Planilha3!A:A,Planilha3!C:C)</f>
        <v>LIZARDA</v>
      </c>
      <c r="E250" s="24">
        <v>1</v>
      </c>
      <c r="F250" s="54">
        <f>_xlfn.XLOOKUP(C250,Planilha3!A:A,Planilha3!E:E)</f>
        <v>45455.606782407405</v>
      </c>
      <c r="G250" s="54">
        <f>_xlfn.XLOOKUP(C250,Planilha3!A:A,Planilha3!F:F)</f>
        <v>45470.606782407405</v>
      </c>
      <c r="H250" s="54">
        <f>_xlfn.XLOOKUP(C250,Planilha3!A:A,Planilha3!G:G)</f>
        <v>45922</v>
      </c>
      <c r="I250" s="23">
        <f>_xlfn.XLOOKUP(K250,Grupo!F:F,Grupo!G:G)</f>
        <v>46440.22</v>
      </c>
      <c r="J250" s="6">
        <f>_xlfn.XLOOKUP(D250,Grupo!B:B,Grupo!C:C)</f>
        <v>8</v>
      </c>
      <c r="K250" s="24">
        <f>_xlfn.XLOOKUP(A250,[1]COORDENADAS_GEOGRÁFICAS!$D:$D,[1]COORDENADAS_GEOGRÁFICAS!$F:$F)</f>
        <v>80</v>
      </c>
      <c r="L250" s="53"/>
      <c r="M250" s="53"/>
      <c r="N250" s="52">
        <f>_xlfn.XLOOKUP(D250,Grupo!B:B,Grupo!D:D)</f>
        <v>-9.5945702878096721</v>
      </c>
      <c r="O250" s="52">
        <f>_xlfn.XLOOKUP(D250,Grupo!B:B,Grupo!E:E)</f>
        <v>-46.675165455846134</v>
      </c>
      <c r="P250" s="52">
        <f>_xlfn.XLOOKUP(A250,[1]COORDENADAS_GEOGRÁFICAS!$D:$D,[1]COORDENADAS_GEOGRÁFICAS!$G:$G)</f>
        <v>-9.8008120000000005</v>
      </c>
      <c r="Q250" s="52">
        <f>_xlfn.XLOOKUP(A250,[1]COORDENADAS_GEOGRÁFICAS!$D:$D,[1]COORDENADAS_GEOGRÁFICAS!$H:$H)</f>
        <v>-46.855114999999998</v>
      </c>
      <c r="R250" s="20">
        <f t="shared" si="3"/>
        <v>30.248004305162301</v>
      </c>
    </row>
    <row r="251" spans="1:18" x14ac:dyDescent="0.3">
      <c r="A251" s="24">
        <v>3466423</v>
      </c>
      <c r="B251" s="24" t="s">
        <v>765</v>
      </c>
      <c r="C251" s="24">
        <v>102400230</v>
      </c>
      <c r="D251" s="24" t="str">
        <f>_xlfn.XLOOKUP(C251,Planilha3!A:A,Planilha3!C:C)</f>
        <v>LIZARDA</v>
      </c>
      <c r="E251" s="24">
        <v>1</v>
      </c>
      <c r="F251" s="54">
        <f>_xlfn.XLOOKUP(C251,Planilha3!A:A,Planilha3!E:E)</f>
        <v>45460.692210648151</v>
      </c>
      <c r="G251" s="54">
        <f>_xlfn.XLOOKUP(C251,Planilha3!A:A,Planilha3!F:F)</f>
        <v>45476.692210648151</v>
      </c>
      <c r="H251" s="54">
        <f>_xlfn.XLOOKUP(C251,Planilha3!A:A,Planilha3!G:G)</f>
        <v>45922</v>
      </c>
      <c r="I251" s="23">
        <f>_xlfn.XLOOKUP(K251,Grupo!F:F,Grupo!G:G)</f>
        <v>46440.22</v>
      </c>
      <c r="J251" s="6">
        <f>_xlfn.XLOOKUP(D251,Grupo!B:B,Grupo!C:C)</f>
        <v>8</v>
      </c>
      <c r="K251" s="24">
        <f>_xlfn.XLOOKUP(A251,[1]COORDENADAS_GEOGRÁFICAS!$D:$D,[1]COORDENADAS_GEOGRÁFICAS!$F:$F)</f>
        <v>80</v>
      </c>
      <c r="L251" s="53"/>
      <c r="M251" s="53"/>
      <c r="N251" s="52">
        <f>_xlfn.XLOOKUP(D251,Grupo!B:B,Grupo!D:D)</f>
        <v>-9.5945702878096721</v>
      </c>
      <c r="O251" s="52">
        <f>_xlfn.XLOOKUP(D251,Grupo!B:B,Grupo!E:E)</f>
        <v>-46.675165455846134</v>
      </c>
      <c r="P251" s="52">
        <f>_xlfn.XLOOKUP(A251,[1]COORDENADAS_GEOGRÁFICAS!$D:$D,[1]COORDENADAS_GEOGRÁFICAS!$G:$G)</f>
        <v>-9.9108920000000005</v>
      </c>
      <c r="Q251" s="52">
        <f>_xlfn.XLOOKUP(A251,[1]COORDENADAS_GEOGRÁFICAS!$D:$D,[1]COORDENADAS_GEOGRÁFICAS!$H:$H)</f>
        <v>-47.088132000000002</v>
      </c>
      <c r="R251" s="20">
        <f t="shared" si="3"/>
        <v>57.317355405516459</v>
      </c>
    </row>
    <row r="252" spans="1:18" x14ac:dyDescent="0.3">
      <c r="A252" s="24">
        <v>3465683</v>
      </c>
      <c r="B252" s="24" t="s">
        <v>765</v>
      </c>
      <c r="C252" s="24">
        <v>102400217</v>
      </c>
      <c r="D252" s="24" t="str">
        <f>_xlfn.XLOOKUP(C252,Planilha3!A:A,Planilha3!C:C)</f>
        <v>LIZARDA</v>
      </c>
      <c r="E252" s="24">
        <v>1</v>
      </c>
      <c r="F252" s="54">
        <f>_xlfn.XLOOKUP(C252,Planilha3!A:A,Planilha3!E:E)</f>
        <v>45466.648888888885</v>
      </c>
      <c r="G252" s="54">
        <f>_xlfn.XLOOKUP(C252,Planilha3!A:A,Planilha3!F:F)</f>
        <v>45477.648888888885</v>
      </c>
      <c r="H252" s="54">
        <f>_xlfn.XLOOKUP(C252,Planilha3!A:A,Planilha3!G:G)</f>
        <v>45922</v>
      </c>
      <c r="I252" s="23">
        <f>_xlfn.XLOOKUP(K252,Grupo!F:F,Grupo!G:G)</f>
        <v>46440.22</v>
      </c>
      <c r="J252" s="6">
        <f>_xlfn.XLOOKUP(D252,Grupo!B:B,Grupo!C:C)</f>
        <v>8</v>
      </c>
      <c r="K252" s="24">
        <f>_xlfn.XLOOKUP(A252,[1]COORDENADAS_GEOGRÁFICAS!$D:$D,[1]COORDENADAS_GEOGRÁFICAS!$F:$F)</f>
        <v>80</v>
      </c>
      <c r="L252" s="53"/>
      <c r="M252" s="53"/>
      <c r="N252" s="52">
        <f>_xlfn.XLOOKUP(D252,Grupo!B:B,Grupo!D:D)</f>
        <v>-9.5945702878096721</v>
      </c>
      <c r="O252" s="52">
        <f>_xlfn.XLOOKUP(D252,Grupo!B:B,Grupo!E:E)</f>
        <v>-46.675165455846134</v>
      </c>
      <c r="P252" s="52">
        <f>_xlfn.XLOOKUP(A252,[1]COORDENADAS_GEOGRÁFICAS!$D:$D,[1]COORDENADAS_GEOGRÁFICAS!$G:$G)</f>
        <v>-9.9763830000000002</v>
      </c>
      <c r="Q252" s="52">
        <f>_xlfn.XLOOKUP(A252,[1]COORDENADAS_GEOGRÁFICAS!$D:$D,[1]COORDENADAS_GEOGRÁFICAS!$H:$H)</f>
        <v>-46.969790000000003</v>
      </c>
      <c r="R252" s="20">
        <f t="shared" si="3"/>
        <v>53.336114666150152</v>
      </c>
    </row>
    <row r="253" spans="1:18" x14ac:dyDescent="0.3">
      <c r="A253" s="24">
        <v>3465679</v>
      </c>
      <c r="B253" s="24" t="s">
        <v>765</v>
      </c>
      <c r="C253" s="24">
        <v>102400218</v>
      </c>
      <c r="D253" s="24" t="str">
        <f>_xlfn.XLOOKUP(C253,Planilha3!A:A,Planilha3!C:C)</f>
        <v>LIZARDA</v>
      </c>
      <c r="E253" s="24">
        <v>1</v>
      </c>
      <c r="F253" s="54">
        <f>_xlfn.XLOOKUP(C253,Planilha3!A:A,Planilha3!E:E)</f>
        <v>45465.660081018519</v>
      </c>
      <c r="G253" s="54">
        <f>_xlfn.XLOOKUP(C253,Planilha3!A:A,Planilha3!F:F)</f>
        <v>45477.660081018519</v>
      </c>
      <c r="H253" s="54">
        <f>_xlfn.XLOOKUP(C253,Planilha3!A:A,Planilha3!G:G)</f>
        <v>45922</v>
      </c>
      <c r="I253" s="23">
        <f>_xlfn.XLOOKUP(K253,Grupo!F:F,Grupo!G:G)</f>
        <v>46440.22</v>
      </c>
      <c r="J253" s="6">
        <f>_xlfn.XLOOKUP(D253,Grupo!B:B,Grupo!C:C)</f>
        <v>8</v>
      </c>
      <c r="K253" s="24">
        <f>_xlfn.XLOOKUP(A253,[1]COORDENADAS_GEOGRÁFICAS!$D:$D,[1]COORDENADAS_GEOGRÁFICAS!$F:$F)</f>
        <v>80</v>
      </c>
      <c r="L253" s="53"/>
      <c r="M253" s="53"/>
      <c r="N253" s="52">
        <f>_xlfn.XLOOKUP(D253,Grupo!B:B,Grupo!D:D)</f>
        <v>-9.5945702878096721</v>
      </c>
      <c r="O253" s="52">
        <f>_xlfn.XLOOKUP(D253,Grupo!B:B,Grupo!E:E)</f>
        <v>-46.675165455846134</v>
      </c>
      <c r="P253" s="52">
        <f>_xlfn.XLOOKUP(A253,[1]COORDENADAS_GEOGRÁFICAS!$D:$D,[1]COORDENADAS_GEOGRÁFICAS!$G:$G)</f>
        <v>-9.9874749999999999</v>
      </c>
      <c r="Q253" s="52">
        <f>_xlfn.XLOOKUP(A253,[1]COORDENADAS_GEOGRÁFICAS!$D:$D,[1]COORDENADAS_GEOGRÁFICAS!$H:$H)</f>
        <v>-46.960487999999998</v>
      </c>
      <c r="R253" s="20">
        <f t="shared" si="3"/>
        <v>53.723202607273855</v>
      </c>
    </row>
    <row r="254" spans="1:18" x14ac:dyDescent="0.3">
      <c r="A254" s="24">
        <v>3465675</v>
      </c>
      <c r="B254" s="24" t="s">
        <v>765</v>
      </c>
      <c r="C254" s="24">
        <v>102400219</v>
      </c>
      <c r="D254" s="24" t="str">
        <f>_xlfn.XLOOKUP(C254,Planilha3!A:A,Planilha3!C:C)</f>
        <v>LIZARDA</v>
      </c>
      <c r="E254" s="24">
        <v>1</v>
      </c>
      <c r="F254" s="54">
        <f>_xlfn.XLOOKUP(C254,Planilha3!A:A,Planilha3!E:E)</f>
        <v>45464.677719907406</v>
      </c>
      <c r="G254" s="54">
        <f>_xlfn.XLOOKUP(C254,Planilha3!A:A,Planilha3!F:F)</f>
        <v>45477.677719907406</v>
      </c>
      <c r="H254" s="54">
        <f>_xlfn.XLOOKUP(C254,Planilha3!A:A,Planilha3!G:G)</f>
        <v>45922</v>
      </c>
      <c r="I254" s="23">
        <f>_xlfn.XLOOKUP(K254,Grupo!F:F,Grupo!G:G)</f>
        <v>46440.22</v>
      </c>
      <c r="J254" s="6">
        <f>_xlfn.XLOOKUP(D254,Grupo!B:B,Grupo!C:C)</f>
        <v>8</v>
      </c>
      <c r="K254" s="24">
        <f>_xlfn.XLOOKUP(A254,[1]COORDENADAS_GEOGRÁFICAS!$D:$D,[1]COORDENADAS_GEOGRÁFICAS!$F:$F)</f>
        <v>80</v>
      </c>
      <c r="L254" s="53"/>
      <c r="M254" s="53"/>
      <c r="N254" s="52">
        <f>_xlfn.XLOOKUP(D254,Grupo!B:B,Grupo!D:D)</f>
        <v>-9.5945702878096721</v>
      </c>
      <c r="O254" s="52">
        <f>_xlfn.XLOOKUP(D254,Grupo!B:B,Grupo!E:E)</f>
        <v>-46.675165455846134</v>
      </c>
      <c r="P254" s="52">
        <f>_xlfn.XLOOKUP(A254,[1]COORDENADAS_GEOGRÁFICAS!$D:$D,[1]COORDENADAS_GEOGRÁFICAS!$G:$G)</f>
        <v>-9.9882369999999998</v>
      </c>
      <c r="Q254" s="52">
        <f>_xlfn.XLOOKUP(A254,[1]COORDENADAS_GEOGRÁFICAS!$D:$D,[1]COORDENADAS_GEOGRÁFICAS!$H:$H)</f>
        <v>-46.958942999999998</v>
      </c>
      <c r="R254" s="20">
        <f t="shared" si="3"/>
        <v>53.693891862124175</v>
      </c>
    </row>
    <row r="255" spans="1:18" x14ac:dyDescent="0.3">
      <c r="A255" s="24">
        <v>3467075</v>
      </c>
      <c r="B255" s="24" t="s">
        <v>765</v>
      </c>
      <c r="C255" s="24">
        <v>102400229</v>
      </c>
      <c r="D255" s="24" t="str">
        <f>_xlfn.XLOOKUP(C255,Planilha3!A:A,Planilha3!C:C)</f>
        <v>LIZARDA</v>
      </c>
      <c r="E255" s="24">
        <v>1</v>
      </c>
      <c r="F255" s="54">
        <f>_xlfn.XLOOKUP(C255,Planilha3!A:A,Planilha3!E:E)</f>
        <v>45461.684745370374</v>
      </c>
      <c r="G255" s="54">
        <f>_xlfn.XLOOKUP(C255,Planilha3!A:A,Planilha3!F:F)</f>
        <v>45476.684745370374</v>
      </c>
      <c r="H255" s="54">
        <f>_xlfn.XLOOKUP(C255,Planilha3!A:A,Planilha3!G:G)</f>
        <v>45922</v>
      </c>
      <c r="I255" s="23">
        <f>_xlfn.XLOOKUP(K255,Grupo!F:F,Grupo!G:G)</f>
        <v>46440.22</v>
      </c>
      <c r="J255" s="6">
        <f>_xlfn.XLOOKUP(D255,Grupo!B:B,Grupo!C:C)</f>
        <v>8</v>
      </c>
      <c r="K255" s="24">
        <f>_xlfn.XLOOKUP(A255,[1]COORDENADAS_GEOGRÁFICAS!$D:$D,[1]COORDENADAS_GEOGRÁFICAS!$F:$F)</f>
        <v>80</v>
      </c>
      <c r="L255" s="53"/>
      <c r="M255" s="53"/>
      <c r="N255" s="52">
        <f>_xlfn.XLOOKUP(D255,Grupo!B:B,Grupo!D:D)</f>
        <v>-9.5945702878096721</v>
      </c>
      <c r="O255" s="52">
        <f>_xlfn.XLOOKUP(D255,Grupo!B:B,Grupo!E:E)</f>
        <v>-46.675165455846134</v>
      </c>
      <c r="P255" s="52">
        <f>_xlfn.XLOOKUP(A255,[1]COORDENADAS_GEOGRÁFICAS!$D:$D,[1]COORDENADAS_GEOGRÁFICAS!$G:$G)</f>
        <v>-9.9336479999999998</v>
      </c>
      <c r="Q255" s="52">
        <f>_xlfn.XLOOKUP(A255,[1]COORDENADAS_GEOGRÁFICAS!$D:$D,[1]COORDENADAS_GEOGRÁFICAS!$H:$H)</f>
        <v>-47.050246999999999</v>
      </c>
      <c r="R255" s="20">
        <f t="shared" si="3"/>
        <v>55.77653952622039</v>
      </c>
    </row>
    <row r="256" spans="1:18" x14ac:dyDescent="0.3">
      <c r="A256" s="24">
        <v>3466173</v>
      </c>
      <c r="B256" s="24" t="s">
        <v>765</v>
      </c>
      <c r="C256" s="24">
        <v>102400231</v>
      </c>
      <c r="D256" s="24" t="str">
        <f>_xlfn.XLOOKUP(C256,Planilha3!A:A,Planilha3!C:C)</f>
        <v>LIZARDA</v>
      </c>
      <c r="E256" s="24">
        <v>1</v>
      </c>
      <c r="F256" s="54">
        <f>_xlfn.XLOOKUP(C256,Planilha3!A:A,Planilha3!E:E)</f>
        <v>45466.384189814817</v>
      </c>
      <c r="G256" s="54">
        <f>_xlfn.XLOOKUP(C256,Planilha3!A:A,Planilha3!F:F)</f>
        <v>45477.384189814817</v>
      </c>
      <c r="H256" s="54">
        <f>_xlfn.XLOOKUP(C256,Planilha3!A:A,Planilha3!G:G)</f>
        <v>45922</v>
      </c>
      <c r="I256" s="23">
        <f>_xlfn.XLOOKUP(K256,Grupo!F:F,Grupo!G:G)</f>
        <v>46440.22</v>
      </c>
      <c r="J256" s="6">
        <f>_xlfn.XLOOKUP(D256,Grupo!B:B,Grupo!C:C)</f>
        <v>8</v>
      </c>
      <c r="K256" s="24">
        <f>_xlfn.XLOOKUP(A256,[1]COORDENADAS_GEOGRÁFICAS!$D:$D,[1]COORDENADAS_GEOGRÁFICAS!$F:$F)</f>
        <v>80</v>
      </c>
      <c r="L256" s="53"/>
      <c r="M256" s="53"/>
      <c r="N256" s="52">
        <f>_xlfn.XLOOKUP(D256,Grupo!B:B,Grupo!D:D)</f>
        <v>-9.5945702878096721</v>
      </c>
      <c r="O256" s="52">
        <f>_xlfn.XLOOKUP(D256,Grupo!B:B,Grupo!E:E)</f>
        <v>-46.675165455846134</v>
      </c>
      <c r="P256" s="52">
        <f>_xlfn.XLOOKUP(A256,[1]COORDENADAS_GEOGRÁFICAS!$D:$D,[1]COORDENADAS_GEOGRÁFICAS!$G:$G)</f>
        <v>-9.9104229999999998</v>
      </c>
      <c r="Q256" s="52">
        <f>_xlfn.XLOOKUP(A256,[1]COORDENADAS_GEOGRÁFICAS!$D:$D,[1]COORDENADAS_GEOGRÁFICAS!$H:$H)</f>
        <v>-47.08905</v>
      </c>
      <c r="R256" s="20">
        <f t="shared" si="3"/>
        <v>57.364902480322641</v>
      </c>
    </row>
    <row r="257" spans="1:18" x14ac:dyDescent="0.3">
      <c r="A257" s="24">
        <v>3465670</v>
      </c>
      <c r="B257" s="24" t="s">
        <v>765</v>
      </c>
      <c r="C257" s="24">
        <v>102400220</v>
      </c>
      <c r="D257" s="24" t="str">
        <f>_xlfn.XLOOKUP(C257,Planilha3!A:A,Planilha3!C:C)</f>
        <v>LIZARDA</v>
      </c>
      <c r="E257" s="24">
        <v>1</v>
      </c>
      <c r="F257" s="54">
        <f>_xlfn.XLOOKUP(C257,Planilha3!A:A,Planilha3!E:E)</f>
        <v>45465.694351851853</v>
      </c>
      <c r="G257" s="54">
        <f>_xlfn.XLOOKUP(C257,Planilha3!A:A,Planilha3!F:F)</f>
        <v>45477.694351851853</v>
      </c>
      <c r="H257" s="54">
        <f>_xlfn.XLOOKUP(C257,Planilha3!A:A,Planilha3!G:G)</f>
        <v>45922</v>
      </c>
      <c r="I257" s="23">
        <f>_xlfn.XLOOKUP(K257,Grupo!F:F,Grupo!G:G)</f>
        <v>46440.22</v>
      </c>
      <c r="J257" s="6">
        <f>_xlfn.XLOOKUP(D257,Grupo!B:B,Grupo!C:C)</f>
        <v>8</v>
      </c>
      <c r="K257" s="24">
        <f>_xlfn.XLOOKUP(A257,[1]COORDENADAS_GEOGRÁFICAS!$D:$D,[1]COORDENADAS_GEOGRÁFICAS!$F:$F)</f>
        <v>80</v>
      </c>
      <c r="L257" s="53"/>
      <c r="M257" s="53"/>
      <c r="N257" s="52">
        <f>_xlfn.XLOOKUP(D257,Grupo!B:B,Grupo!D:D)</f>
        <v>-9.5945702878096721</v>
      </c>
      <c r="O257" s="52">
        <f>_xlfn.XLOOKUP(D257,Grupo!B:B,Grupo!E:E)</f>
        <v>-46.675165455846134</v>
      </c>
      <c r="P257" s="52">
        <f>_xlfn.XLOOKUP(A257,[1]COORDENADAS_GEOGRÁFICAS!$D:$D,[1]COORDENADAS_GEOGRÁFICAS!$G:$G)</f>
        <v>-9.6602650000000008</v>
      </c>
      <c r="Q257" s="52">
        <f>_xlfn.XLOOKUP(A257,[1]COORDENADAS_GEOGRÁFICAS!$D:$D,[1]COORDENADAS_GEOGRÁFICAS!$H:$H)</f>
        <v>-46.853267000000002</v>
      </c>
      <c r="R257" s="20">
        <f t="shared" si="3"/>
        <v>20.846826785321873</v>
      </c>
    </row>
    <row r="258" spans="1:18" x14ac:dyDescent="0.3">
      <c r="A258" s="24">
        <v>3466113</v>
      </c>
      <c r="B258" s="24" t="s">
        <v>765</v>
      </c>
      <c r="C258" s="24">
        <v>102400204</v>
      </c>
      <c r="D258" s="24" t="str">
        <f>_xlfn.XLOOKUP(C258,Planilha3!A:A,Planilha3!C:C)</f>
        <v>LIZARDA</v>
      </c>
      <c r="E258" s="24">
        <v>1</v>
      </c>
      <c r="F258" s="54">
        <f>_xlfn.XLOOKUP(C258,Planilha3!A:A,Planilha3!E:E)</f>
        <v>45463.670370370368</v>
      </c>
      <c r="G258" s="54">
        <f>_xlfn.XLOOKUP(C258,Planilha3!A:A,Planilha3!F:F)</f>
        <v>45476.670370370368</v>
      </c>
      <c r="H258" s="54">
        <f>_xlfn.XLOOKUP(C258,Planilha3!A:A,Planilha3!G:G)</f>
        <v>45922</v>
      </c>
      <c r="I258" s="23">
        <f>_xlfn.XLOOKUP(K258,Grupo!F:F,Grupo!G:G)</f>
        <v>46440.22</v>
      </c>
      <c r="J258" s="6">
        <f>_xlfn.XLOOKUP(D258,Grupo!B:B,Grupo!C:C)</f>
        <v>8</v>
      </c>
      <c r="K258" s="24">
        <f>_xlfn.XLOOKUP(A258,[1]COORDENADAS_GEOGRÁFICAS!$D:$D,[1]COORDENADAS_GEOGRÁFICAS!$F:$F)</f>
        <v>80</v>
      </c>
      <c r="L258" s="53"/>
      <c r="M258" s="53"/>
      <c r="N258" s="52">
        <f>_xlfn.XLOOKUP(D258,Grupo!B:B,Grupo!D:D)</f>
        <v>-9.5945702878096721</v>
      </c>
      <c r="O258" s="52">
        <f>_xlfn.XLOOKUP(D258,Grupo!B:B,Grupo!E:E)</f>
        <v>-46.675165455846134</v>
      </c>
      <c r="P258" s="52">
        <f>_xlfn.XLOOKUP(A258,[1]COORDENADAS_GEOGRÁFICAS!$D:$D,[1]COORDENADAS_GEOGRÁFICAS!$G:$G)</f>
        <v>-9.8788429999999998</v>
      </c>
      <c r="Q258" s="52">
        <f>_xlfn.XLOOKUP(A258,[1]COORDENADAS_GEOGRÁFICAS!$D:$D,[1]COORDENADAS_GEOGRÁFICAS!$H:$H)</f>
        <v>-46.897548</v>
      </c>
      <c r="R258" s="20">
        <f t="shared" si="3"/>
        <v>39.914237222181399</v>
      </c>
    </row>
    <row r="259" spans="1:18" x14ac:dyDescent="0.3">
      <c r="A259" s="24">
        <v>3465695</v>
      </c>
      <c r="B259" s="24" t="s">
        <v>765</v>
      </c>
      <c r="C259" s="24">
        <v>102400193</v>
      </c>
      <c r="D259" s="24" t="str">
        <f>_xlfn.XLOOKUP(C259,Planilha3!A:A,Planilha3!C:C)</f>
        <v>LIZARDA</v>
      </c>
      <c r="E259" s="24">
        <v>1</v>
      </c>
      <c r="F259" s="54">
        <f>_xlfn.XLOOKUP(C259,Planilha3!A:A,Planilha3!E:E)</f>
        <v>45448.438298611109</v>
      </c>
      <c r="G259" s="54">
        <f>_xlfn.XLOOKUP(C259,Planilha3!A:A,Planilha3!F:F)</f>
        <v>45463.438298611109</v>
      </c>
      <c r="H259" s="54">
        <f>_xlfn.XLOOKUP(C259,Planilha3!A:A,Planilha3!G:G)</f>
        <v>45922</v>
      </c>
      <c r="I259" s="23">
        <f>_xlfn.XLOOKUP(K259,Grupo!F:F,Grupo!G:G)</f>
        <v>46440.22</v>
      </c>
      <c r="J259" s="6">
        <f>_xlfn.XLOOKUP(D259,Grupo!B:B,Grupo!C:C)</f>
        <v>8</v>
      </c>
      <c r="K259" s="24">
        <f>_xlfn.XLOOKUP(A259,[1]COORDENADAS_GEOGRÁFICAS!$D:$D,[1]COORDENADAS_GEOGRÁFICAS!$F:$F)</f>
        <v>80</v>
      </c>
      <c r="L259" s="53"/>
      <c r="M259" s="53"/>
      <c r="N259" s="52">
        <f>_xlfn.XLOOKUP(D259,Grupo!B:B,Grupo!D:D)</f>
        <v>-9.5945702878096721</v>
      </c>
      <c r="O259" s="52">
        <f>_xlfn.XLOOKUP(D259,Grupo!B:B,Grupo!E:E)</f>
        <v>-46.675165455846134</v>
      </c>
      <c r="P259" s="52">
        <f>_xlfn.XLOOKUP(A259,[1]COORDENADAS_GEOGRÁFICAS!$D:$D,[1]COORDENADAS_GEOGRÁFICAS!$G:$G)</f>
        <v>-9.8606280000000002</v>
      </c>
      <c r="Q259" s="52">
        <f>_xlfn.XLOOKUP(A259,[1]COORDENADAS_GEOGRÁFICAS!$D:$D,[1]COORDENADAS_GEOGRÁFICAS!$H:$H)</f>
        <v>-46.936169999999997</v>
      </c>
      <c r="R259" s="20">
        <f t="shared" si="3"/>
        <v>41.151903682772129</v>
      </c>
    </row>
    <row r="260" spans="1:18" x14ac:dyDescent="0.3">
      <c r="A260" s="24">
        <v>3467078</v>
      </c>
      <c r="B260" s="24" t="s">
        <v>765</v>
      </c>
      <c r="C260" s="24">
        <v>102400215</v>
      </c>
      <c r="D260" s="24" t="str">
        <f>_xlfn.XLOOKUP(C260,Planilha3!A:A,Planilha3!C:C)</f>
        <v>LIZARDA</v>
      </c>
      <c r="E260" s="24">
        <v>1</v>
      </c>
      <c r="F260" s="54">
        <f>_xlfn.XLOOKUP(C260,Planilha3!A:A,Planilha3!E:E)</f>
        <v>45458.44935185185</v>
      </c>
      <c r="G260" s="54">
        <f>_xlfn.XLOOKUP(C260,Planilha3!A:A,Planilha3!F:F)</f>
        <v>45474.44935185185</v>
      </c>
      <c r="H260" s="54">
        <f>_xlfn.XLOOKUP(C260,Planilha3!A:A,Planilha3!G:G)</f>
        <v>45922</v>
      </c>
      <c r="I260" s="23">
        <f>_xlfn.XLOOKUP(K260,Grupo!F:F,Grupo!G:G)</f>
        <v>46440.22</v>
      </c>
      <c r="J260" s="6">
        <f>_xlfn.XLOOKUP(D260,Grupo!B:B,Grupo!C:C)</f>
        <v>8</v>
      </c>
      <c r="K260" s="24">
        <f>_xlfn.XLOOKUP(A260,[1]COORDENADAS_GEOGRÁFICAS!$D:$D,[1]COORDENADAS_GEOGRÁFICAS!$F:$F)</f>
        <v>80</v>
      </c>
      <c r="L260" s="53"/>
      <c r="M260" s="53"/>
      <c r="N260" s="52">
        <f>_xlfn.XLOOKUP(D260,Grupo!B:B,Grupo!D:D)</f>
        <v>-9.5945702878096721</v>
      </c>
      <c r="O260" s="52">
        <f>_xlfn.XLOOKUP(D260,Grupo!B:B,Grupo!E:E)</f>
        <v>-46.675165455846134</v>
      </c>
      <c r="P260" s="52">
        <f>_xlfn.XLOOKUP(A260,[1]COORDENADAS_GEOGRÁFICAS!$D:$D,[1]COORDENADAS_GEOGRÁFICAS!$G:$G)</f>
        <v>-9.9746319999999997</v>
      </c>
      <c r="Q260" s="52">
        <f>_xlfn.XLOOKUP(A260,[1]COORDENADAS_GEOGRÁFICAS!$D:$D,[1]COORDENADAS_GEOGRÁFICAS!$H:$H)</f>
        <v>-46.958213000000001</v>
      </c>
      <c r="R260" s="20">
        <f t="shared" si="3"/>
        <v>52.420909030051853</v>
      </c>
    </row>
    <row r="261" spans="1:18" x14ac:dyDescent="0.3">
      <c r="A261" s="24">
        <v>3466775</v>
      </c>
      <c r="B261" s="24" t="s">
        <v>765</v>
      </c>
      <c r="C261" s="24">
        <v>102400185</v>
      </c>
      <c r="D261" s="24" t="str">
        <f>_xlfn.XLOOKUP(C261,Planilha3!A:A,Planilha3!C:C)</f>
        <v>LIZARDA</v>
      </c>
      <c r="E261" s="24">
        <v>1</v>
      </c>
      <c r="F261" s="54">
        <f>_xlfn.XLOOKUP(C261,Planilha3!A:A,Planilha3!E:E)</f>
        <v>45459.678148148145</v>
      </c>
      <c r="G261" s="54">
        <f>_xlfn.XLOOKUP(C261,Planilha3!A:A,Planilha3!F:F)</f>
        <v>45470.678148148145</v>
      </c>
      <c r="H261" s="54">
        <f>_xlfn.XLOOKUP(C261,Planilha3!A:A,Planilha3!G:G)</f>
        <v>45922</v>
      </c>
      <c r="I261" s="23">
        <f>_xlfn.XLOOKUP(K261,Grupo!F:F,Grupo!G:G)</f>
        <v>46440.22</v>
      </c>
      <c r="J261" s="6">
        <f>_xlfn.XLOOKUP(D261,Grupo!B:B,Grupo!C:C)</f>
        <v>8</v>
      </c>
      <c r="K261" s="24">
        <f>_xlfn.XLOOKUP(A261,[1]COORDENADAS_GEOGRÁFICAS!$D:$D,[1]COORDENADAS_GEOGRÁFICAS!$F:$F)</f>
        <v>80</v>
      </c>
      <c r="L261" s="53"/>
      <c r="M261" s="53"/>
      <c r="N261" s="52">
        <f>_xlfn.XLOOKUP(D261,Grupo!B:B,Grupo!D:D)</f>
        <v>-9.5945702878096721</v>
      </c>
      <c r="O261" s="52">
        <f>_xlfn.XLOOKUP(D261,Grupo!B:B,Grupo!E:E)</f>
        <v>-46.675165455846134</v>
      </c>
      <c r="P261" s="52">
        <f>_xlfn.XLOOKUP(A261,[1]COORDENADAS_GEOGRÁFICAS!$D:$D,[1]COORDENADAS_GEOGRÁFICAS!$G:$G)</f>
        <v>-9.8367950000000004</v>
      </c>
      <c r="Q261" s="52">
        <f>_xlfn.XLOOKUP(A261,[1]COORDENADAS_GEOGRÁFICAS!$D:$D,[1]COORDENADAS_GEOGRÁFICAS!$H:$H)</f>
        <v>-46.903098</v>
      </c>
      <c r="R261" s="20">
        <f t="shared" ref="R261:R324" si="4">6371*ACOS(COS(PI()*(90-P261)/180)*COS((90-N261)*PI()/180)+SIN((90-P261)*PI()/180)*SIN((90-N261)*PI()/180)*COS((Q261-O261)*PI()/180))</f>
        <v>36.735808633893235</v>
      </c>
    </row>
    <row r="262" spans="1:18" x14ac:dyDescent="0.3">
      <c r="A262" s="24">
        <v>3467173</v>
      </c>
      <c r="B262" s="24" t="s">
        <v>765</v>
      </c>
      <c r="C262" s="24">
        <v>102400213</v>
      </c>
      <c r="D262" s="24" t="str">
        <f>_xlfn.XLOOKUP(C262,Planilha3!A:A,Planilha3!C:C)</f>
        <v>LIZARDA</v>
      </c>
      <c r="E262" s="24">
        <v>1</v>
      </c>
      <c r="F262" s="54">
        <f>_xlfn.XLOOKUP(C262,Planilha3!A:A,Planilha3!E:E)</f>
        <v>45462.419907407406</v>
      </c>
      <c r="G262" s="54">
        <f>_xlfn.XLOOKUP(C262,Planilha3!A:A,Planilha3!F:F)</f>
        <v>45474.419907407406</v>
      </c>
      <c r="H262" s="54">
        <f>_xlfn.XLOOKUP(C262,Planilha3!A:A,Planilha3!G:G)</f>
        <v>45922</v>
      </c>
      <c r="I262" s="23">
        <f>_xlfn.XLOOKUP(K262,Grupo!F:F,Grupo!G:G)</f>
        <v>46440.22</v>
      </c>
      <c r="J262" s="6">
        <f>_xlfn.XLOOKUP(D262,Grupo!B:B,Grupo!C:C)</f>
        <v>8</v>
      </c>
      <c r="K262" s="24">
        <f>_xlfn.XLOOKUP(A262,[1]COORDENADAS_GEOGRÁFICAS!$D:$D,[1]COORDENADAS_GEOGRÁFICAS!$F:$F)</f>
        <v>80</v>
      </c>
      <c r="L262" s="53"/>
      <c r="M262" s="53"/>
      <c r="N262" s="52">
        <f>_xlfn.XLOOKUP(D262,Grupo!B:B,Grupo!D:D)</f>
        <v>-9.5945702878096721</v>
      </c>
      <c r="O262" s="52">
        <f>_xlfn.XLOOKUP(D262,Grupo!B:B,Grupo!E:E)</f>
        <v>-46.675165455846134</v>
      </c>
      <c r="P262" s="52">
        <f>_xlfn.XLOOKUP(A262,[1]COORDENADAS_GEOGRÁFICAS!$D:$D,[1]COORDENADAS_GEOGRÁFICAS!$G:$G)</f>
        <v>-9.9641420000000007</v>
      </c>
      <c r="Q262" s="52">
        <f>_xlfn.XLOOKUP(A262,[1]COORDENADAS_GEOGRÁFICAS!$D:$D,[1]COORDENADAS_GEOGRÁFICAS!$H:$H)</f>
        <v>-46.941581999999997</v>
      </c>
      <c r="R262" s="20">
        <f t="shared" si="4"/>
        <v>50.408600245141628</v>
      </c>
    </row>
    <row r="263" spans="1:18" x14ac:dyDescent="0.3">
      <c r="A263" s="24">
        <v>3466704</v>
      </c>
      <c r="B263" s="24" t="s">
        <v>765</v>
      </c>
      <c r="C263" s="24">
        <v>102400227</v>
      </c>
      <c r="D263" s="24" t="str">
        <f>_xlfn.XLOOKUP(C263,Planilha3!A:A,Planilha3!C:C)</f>
        <v>LIZARDA</v>
      </c>
      <c r="E263" s="24">
        <v>1</v>
      </c>
      <c r="F263" s="54">
        <f>_xlfn.XLOOKUP(C263,Planilha3!A:A,Planilha3!E:E)</f>
        <v>45463.659907407404</v>
      </c>
      <c r="G263" s="54">
        <f>_xlfn.XLOOKUP(C263,Planilha3!A:A,Planilha3!F:F)</f>
        <v>45476.659907407404</v>
      </c>
      <c r="H263" s="54">
        <f>_xlfn.XLOOKUP(C263,Planilha3!A:A,Planilha3!G:G)</f>
        <v>45922</v>
      </c>
      <c r="I263" s="23">
        <f>_xlfn.XLOOKUP(K263,Grupo!F:F,Grupo!G:G)</f>
        <v>46440.22</v>
      </c>
      <c r="J263" s="6">
        <f>_xlfn.XLOOKUP(D263,Grupo!B:B,Grupo!C:C)</f>
        <v>8</v>
      </c>
      <c r="K263" s="24">
        <f>_xlfn.XLOOKUP(A263,[1]COORDENADAS_GEOGRÁFICAS!$D:$D,[1]COORDENADAS_GEOGRÁFICAS!$F:$F)</f>
        <v>80</v>
      </c>
      <c r="L263" s="53"/>
      <c r="M263" s="53"/>
      <c r="N263" s="52">
        <f>_xlfn.XLOOKUP(D263,Grupo!B:B,Grupo!D:D)</f>
        <v>-9.5945702878096721</v>
      </c>
      <c r="O263" s="52">
        <f>_xlfn.XLOOKUP(D263,Grupo!B:B,Grupo!E:E)</f>
        <v>-46.675165455846134</v>
      </c>
      <c r="P263" s="52">
        <f>_xlfn.XLOOKUP(A263,[1]COORDENADAS_GEOGRÁFICAS!$D:$D,[1]COORDENADAS_GEOGRÁFICAS!$G:$G)</f>
        <v>-9.7164029999999997</v>
      </c>
      <c r="Q263" s="52">
        <f>_xlfn.XLOOKUP(A263,[1]COORDENADAS_GEOGRÁFICAS!$D:$D,[1]COORDENADAS_GEOGRÁFICAS!$H:$H)</f>
        <v>-46.853414999999998</v>
      </c>
      <c r="R263" s="20">
        <f t="shared" si="4"/>
        <v>23.776555898649008</v>
      </c>
    </row>
    <row r="264" spans="1:18" x14ac:dyDescent="0.3">
      <c r="A264" s="24">
        <v>3467248</v>
      </c>
      <c r="B264" s="24" t="s">
        <v>765</v>
      </c>
      <c r="C264" s="24">
        <v>102400232</v>
      </c>
      <c r="D264" s="24" t="str">
        <f>_xlfn.XLOOKUP(C264,Planilha3!A:A,Planilha3!C:C)</f>
        <v>LIZARDA</v>
      </c>
      <c r="E264" s="24">
        <v>1</v>
      </c>
      <c r="F264" s="54">
        <f>_xlfn.XLOOKUP(C264,Planilha3!A:A,Planilha3!E:E)</f>
        <v>45462.430173611108</v>
      </c>
      <c r="G264" s="54">
        <f>_xlfn.XLOOKUP(C264,Planilha3!A:A,Planilha3!F:F)</f>
        <v>45477.430173611108</v>
      </c>
      <c r="H264" s="54">
        <f>_xlfn.XLOOKUP(C264,Planilha3!A:A,Planilha3!G:G)</f>
        <v>45922</v>
      </c>
      <c r="I264" s="23">
        <f>_xlfn.XLOOKUP(K264,Grupo!F:F,Grupo!G:G)</f>
        <v>46440.22</v>
      </c>
      <c r="J264" s="6">
        <f>_xlfn.XLOOKUP(D264,Grupo!B:B,Grupo!C:C)</f>
        <v>8</v>
      </c>
      <c r="K264" s="24">
        <f>_xlfn.XLOOKUP(A264,[1]COORDENADAS_GEOGRÁFICAS!$D:$D,[1]COORDENADAS_GEOGRÁFICAS!$F:$F)</f>
        <v>80</v>
      </c>
      <c r="L264" s="53"/>
      <c r="M264" s="53"/>
      <c r="N264" s="52">
        <f>_xlfn.XLOOKUP(D264,Grupo!B:B,Grupo!D:D)</f>
        <v>-9.5945702878096721</v>
      </c>
      <c r="O264" s="52">
        <f>_xlfn.XLOOKUP(D264,Grupo!B:B,Grupo!E:E)</f>
        <v>-46.675165455846134</v>
      </c>
      <c r="P264" s="52">
        <f>_xlfn.XLOOKUP(A264,[1]COORDENADAS_GEOGRÁFICAS!$D:$D,[1]COORDENADAS_GEOGRÁFICAS!$G:$G)</f>
        <v>-9.7169720000000002</v>
      </c>
      <c r="Q264" s="52">
        <f>_xlfn.XLOOKUP(A264,[1]COORDENADAS_GEOGRÁFICAS!$D:$D,[1]COORDENADAS_GEOGRÁFICAS!$H:$H)</f>
        <v>-46.850977</v>
      </c>
      <c r="R264" s="20">
        <f t="shared" si="4"/>
        <v>23.593846706925831</v>
      </c>
    </row>
    <row r="265" spans="1:18" x14ac:dyDescent="0.3">
      <c r="A265" s="24">
        <v>3467064</v>
      </c>
      <c r="B265" s="24" t="s">
        <v>765</v>
      </c>
      <c r="C265" s="24">
        <v>102400228</v>
      </c>
      <c r="D265" s="24" t="str">
        <f>_xlfn.XLOOKUP(C265,Planilha3!A:A,Planilha3!C:C)</f>
        <v>LIZARDA</v>
      </c>
      <c r="E265" s="24">
        <v>1</v>
      </c>
      <c r="F265" s="54">
        <f>_xlfn.XLOOKUP(C265,Planilha3!A:A,Planilha3!E:E)</f>
        <v>45465.677303240744</v>
      </c>
      <c r="G265" s="54">
        <f>_xlfn.XLOOKUP(C265,Planilha3!A:A,Planilha3!F:F)</f>
        <v>45476.677303240744</v>
      </c>
      <c r="H265" s="54">
        <f>_xlfn.XLOOKUP(C265,Planilha3!A:A,Planilha3!G:G)</f>
        <v>45922</v>
      </c>
      <c r="I265" s="23">
        <f>_xlfn.XLOOKUP(K265,Grupo!F:F,Grupo!G:G)</f>
        <v>46440.22</v>
      </c>
      <c r="J265" s="6">
        <f>_xlfn.XLOOKUP(D265,Grupo!B:B,Grupo!C:C)</f>
        <v>8</v>
      </c>
      <c r="K265" s="24">
        <f>_xlfn.XLOOKUP(A265,[1]COORDENADAS_GEOGRÁFICAS!$D:$D,[1]COORDENADAS_GEOGRÁFICAS!$F:$F)</f>
        <v>80</v>
      </c>
      <c r="L265" s="53"/>
      <c r="M265" s="53"/>
      <c r="N265" s="52">
        <f>_xlfn.XLOOKUP(D265,Grupo!B:B,Grupo!D:D)</f>
        <v>-9.5945702878096721</v>
      </c>
      <c r="O265" s="52">
        <f>_xlfn.XLOOKUP(D265,Grupo!B:B,Grupo!E:E)</f>
        <v>-46.675165455846134</v>
      </c>
      <c r="P265" s="52">
        <f>_xlfn.XLOOKUP(A265,[1]COORDENADAS_GEOGRÁFICAS!$D:$D,[1]COORDENADAS_GEOGRÁFICAS!$G:$G)</f>
        <v>-9.8040070000000004</v>
      </c>
      <c r="Q265" s="52">
        <f>_xlfn.XLOOKUP(A265,[1]COORDENADAS_GEOGRÁFICAS!$D:$D,[1]COORDENADAS_GEOGRÁFICAS!$H:$H)</f>
        <v>-46.861187999999999</v>
      </c>
      <c r="R265" s="20">
        <f t="shared" si="4"/>
        <v>30.952531827873777</v>
      </c>
    </row>
    <row r="266" spans="1:18" x14ac:dyDescent="0.3">
      <c r="A266" s="24">
        <v>3467223</v>
      </c>
      <c r="B266" s="24" t="s">
        <v>765</v>
      </c>
      <c r="C266" s="24">
        <v>102400199</v>
      </c>
      <c r="D266" s="24" t="str">
        <f>_xlfn.XLOOKUP(C266,Planilha3!A:A,Planilha3!C:C)</f>
        <v>LIZARDA</v>
      </c>
      <c r="E266" s="24">
        <v>1</v>
      </c>
      <c r="F266" s="54">
        <f>_xlfn.XLOOKUP(C266,Planilha3!A:A,Planilha3!E:E)</f>
        <v>45463.658854166664</v>
      </c>
      <c r="G266" s="54">
        <f>_xlfn.XLOOKUP(C266,Planilha3!A:A,Planilha3!F:F)</f>
        <v>45475.658854166664</v>
      </c>
      <c r="H266" s="54">
        <f>_xlfn.XLOOKUP(C266,Planilha3!A:A,Planilha3!G:G)</f>
        <v>45922</v>
      </c>
      <c r="I266" s="23">
        <f>_xlfn.XLOOKUP(K266,Grupo!F:F,Grupo!G:G)</f>
        <v>46440.22</v>
      </c>
      <c r="J266" s="6">
        <f>_xlfn.XLOOKUP(D266,Grupo!B:B,Grupo!C:C)</f>
        <v>8</v>
      </c>
      <c r="K266" s="24">
        <f>_xlfn.XLOOKUP(A266,[1]COORDENADAS_GEOGRÁFICAS!$D:$D,[1]COORDENADAS_GEOGRÁFICAS!$F:$F)</f>
        <v>80</v>
      </c>
      <c r="L266" s="53"/>
      <c r="M266" s="53"/>
      <c r="N266" s="52">
        <f>_xlfn.XLOOKUP(D266,Grupo!B:B,Grupo!D:D)</f>
        <v>-9.5945702878096721</v>
      </c>
      <c r="O266" s="52">
        <f>_xlfn.XLOOKUP(D266,Grupo!B:B,Grupo!E:E)</f>
        <v>-46.675165455846134</v>
      </c>
      <c r="P266" s="52">
        <f>_xlfn.XLOOKUP(A266,[1]COORDENADAS_GEOGRÁFICAS!$D:$D,[1]COORDENADAS_GEOGRÁFICAS!$G:$G)</f>
        <v>-9.8716000000000008</v>
      </c>
      <c r="Q266" s="52">
        <f>_xlfn.XLOOKUP(A266,[1]COORDENADAS_GEOGRÁFICAS!$D:$D,[1]COORDENADAS_GEOGRÁFICAS!$H:$H)</f>
        <v>-46.985875</v>
      </c>
      <c r="R266" s="20">
        <f t="shared" si="4"/>
        <v>45.917779741244154</v>
      </c>
    </row>
    <row r="267" spans="1:18" x14ac:dyDescent="0.3">
      <c r="A267" s="24">
        <v>3465684</v>
      </c>
      <c r="B267" s="24" t="s">
        <v>765</v>
      </c>
      <c r="C267" s="24">
        <v>102400210</v>
      </c>
      <c r="D267" s="24" t="str">
        <f>_xlfn.XLOOKUP(C267,Planilha3!A:A,Planilha3!C:C)</f>
        <v>LIZARDA</v>
      </c>
      <c r="E267" s="24">
        <v>1</v>
      </c>
      <c r="F267" s="54">
        <f>_xlfn.XLOOKUP(C267,Planilha3!A:A,Planilha3!E:E)</f>
        <v>45464.631886574076</v>
      </c>
      <c r="G267" s="54">
        <f>_xlfn.XLOOKUP(C267,Planilha3!A:A,Planilha3!F:F)</f>
        <v>45477.631886574076</v>
      </c>
      <c r="H267" s="54">
        <f>_xlfn.XLOOKUP(C267,Planilha3!A:A,Planilha3!G:G)</f>
        <v>45922</v>
      </c>
      <c r="I267" s="23">
        <f>_xlfn.XLOOKUP(K267,Grupo!F:F,Grupo!G:G)</f>
        <v>46440.22</v>
      </c>
      <c r="J267" s="6">
        <f>_xlfn.XLOOKUP(D267,Grupo!B:B,Grupo!C:C)</f>
        <v>8</v>
      </c>
      <c r="K267" s="24">
        <f>_xlfn.XLOOKUP(A267,[1]COORDENADAS_GEOGRÁFICAS!$D:$D,[1]COORDENADAS_GEOGRÁFICAS!$F:$F)</f>
        <v>80</v>
      </c>
      <c r="L267" s="53"/>
      <c r="M267" s="53"/>
      <c r="N267" s="52">
        <f>_xlfn.XLOOKUP(D267,Grupo!B:B,Grupo!D:D)</f>
        <v>-9.5945702878096721</v>
      </c>
      <c r="O267" s="52">
        <f>_xlfn.XLOOKUP(D267,Grupo!B:B,Grupo!E:E)</f>
        <v>-46.675165455846134</v>
      </c>
      <c r="P267" s="52">
        <f>_xlfn.XLOOKUP(A267,[1]COORDENADAS_GEOGRÁFICAS!$D:$D,[1]COORDENADAS_GEOGRÁFICAS!$G:$G)</f>
        <v>-9.9227729999999994</v>
      </c>
      <c r="Q267" s="52">
        <f>_xlfn.XLOOKUP(A267,[1]COORDENADAS_GEOGRÁFICAS!$D:$D,[1]COORDENADAS_GEOGRÁFICAS!$H:$H)</f>
        <v>-46.930177</v>
      </c>
      <c r="R267" s="20">
        <f t="shared" si="4"/>
        <v>45.965270327356869</v>
      </c>
    </row>
    <row r="268" spans="1:18" x14ac:dyDescent="0.3">
      <c r="A268" s="24">
        <v>3466000</v>
      </c>
      <c r="B268" s="24" t="s">
        <v>765</v>
      </c>
      <c r="C268" s="24">
        <v>102400190</v>
      </c>
      <c r="D268" s="24" t="str">
        <f>_xlfn.XLOOKUP(C268,Planilha3!A:A,Planilha3!C:C)</f>
        <v>LIZARDA</v>
      </c>
      <c r="E268" s="24">
        <v>1</v>
      </c>
      <c r="F268" s="54">
        <f>_xlfn.XLOOKUP(C268,Planilha3!A:A,Planilha3!E:E)</f>
        <v>45455.697106481479</v>
      </c>
      <c r="G268" s="54">
        <f>_xlfn.XLOOKUP(C268,Planilha3!A:A,Planilha3!F:F)</f>
        <v>45470.697106481479</v>
      </c>
      <c r="H268" s="54">
        <f>_xlfn.XLOOKUP(C268,Planilha3!A:A,Planilha3!G:G)</f>
        <v>45922</v>
      </c>
      <c r="I268" s="23">
        <f>_xlfn.XLOOKUP(K268,Grupo!F:F,Grupo!G:G)</f>
        <v>46440.22</v>
      </c>
      <c r="J268" s="6">
        <f>_xlfn.XLOOKUP(D268,Grupo!B:B,Grupo!C:C)</f>
        <v>8</v>
      </c>
      <c r="K268" s="24">
        <f>_xlfn.XLOOKUP(A268,[1]COORDENADAS_GEOGRÁFICAS!$D:$D,[1]COORDENADAS_GEOGRÁFICAS!$F:$F)</f>
        <v>80</v>
      </c>
      <c r="L268" s="53"/>
      <c r="M268" s="53"/>
      <c r="N268" s="52">
        <f>_xlfn.XLOOKUP(D268,Grupo!B:B,Grupo!D:D)</f>
        <v>-9.5945702878096721</v>
      </c>
      <c r="O268" s="52">
        <f>_xlfn.XLOOKUP(D268,Grupo!B:B,Grupo!E:E)</f>
        <v>-46.675165455846134</v>
      </c>
      <c r="P268" s="52">
        <f>_xlfn.XLOOKUP(A268,[1]COORDENADAS_GEOGRÁFICAS!$D:$D,[1]COORDENADAS_GEOGRÁFICAS!$G:$G)</f>
        <v>-9.8488930000000003</v>
      </c>
      <c r="Q268" s="52">
        <f>_xlfn.XLOOKUP(A268,[1]COORDENADAS_GEOGRÁFICAS!$D:$D,[1]COORDENADAS_GEOGRÁFICAS!$H:$H)</f>
        <v>-47.006945000000002</v>
      </c>
      <c r="R268" s="20">
        <f t="shared" si="4"/>
        <v>46.064592574904978</v>
      </c>
    </row>
    <row r="269" spans="1:18" x14ac:dyDescent="0.3">
      <c r="A269" s="24">
        <v>3466729</v>
      </c>
      <c r="B269" s="24" t="s">
        <v>765</v>
      </c>
      <c r="C269" s="24">
        <v>102400194</v>
      </c>
      <c r="D269" s="24" t="str">
        <f>_xlfn.XLOOKUP(C269,Planilha3!A:A,Planilha3!C:C)</f>
        <v>LIZARDA</v>
      </c>
      <c r="E269" s="24">
        <v>1</v>
      </c>
      <c r="F269" s="54">
        <f>_xlfn.XLOOKUP(C269,Planilha3!A:A,Planilha3!E:E)</f>
        <v>45455.61791666667</v>
      </c>
      <c r="G269" s="54">
        <f>_xlfn.XLOOKUP(C269,Planilha3!A:A,Planilha3!F:F)</f>
        <v>45471.61791666667</v>
      </c>
      <c r="H269" s="54">
        <f>_xlfn.XLOOKUP(C269,Planilha3!A:A,Planilha3!G:G)</f>
        <v>45922</v>
      </c>
      <c r="I269" s="23">
        <f>_xlfn.XLOOKUP(K269,Grupo!F:F,Grupo!G:G)</f>
        <v>46440.22</v>
      </c>
      <c r="J269" s="6">
        <f>_xlfn.XLOOKUP(D269,Grupo!B:B,Grupo!C:C)</f>
        <v>8</v>
      </c>
      <c r="K269" s="24">
        <f>_xlfn.XLOOKUP(A269,[1]COORDENADAS_GEOGRÁFICAS!$D:$D,[1]COORDENADAS_GEOGRÁFICAS!$F:$F)</f>
        <v>80</v>
      </c>
      <c r="L269" s="53"/>
      <c r="M269" s="53"/>
      <c r="N269" s="52">
        <f>_xlfn.XLOOKUP(D269,Grupo!B:B,Grupo!D:D)</f>
        <v>-9.5945702878096721</v>
      </c>
      <c r="O269" s="52">
        <f>_xlfn.XLOOKUP(D269,Grupo!B:B,Grupo!E:E)</f>
        <v>-46.675165455846134</v>
      </c>
      <c r="P269" s="52">
        <f>_xlfn.XLOOKUP(A269,[1]COORDENADAS_GEOGRÁFICAS!$D:$D,[1]COORDENADAS_GEOGRÁFICAS!$G:$G)</f>
        <v>-9.8638600000000007</v>
      </c>
      <c r="Q269" s="52">
        <f>_xlfn.XLOOKUP(A269,[1]COORDENADAS_GEOGRÁFICAS!$D:$D,[1]COORDENADAS_GEOGRÁFICAS!$H:$H)</f>
        <v>-46.999478000000003</v>
      </c>
      <c r="R269" s="20">
        <f t="shared" si="4"/>
        <v>46.475175216230703</v>
      </c>
    </row>
    <row r="270" spans="1:18" x14ac:dyDescent="0.3">
      <c r="A270" s="24">
        <v>3466959</v>
      </c>
      <c r="B270" s="24" t="s">
        <v>765</v>
      </c>
      <c r="C270" s="24">
        <v>102400189</v>
      </c>
      <c r="D270" s="24" t="str">
        <f>_xlfn.XLOOKUP(C270,Planilha3!A:A,Planilha3!C:C)</f>
        <v>LIZARDA</v>
      </c>
      <c r="E270" s="24">
        <v>1</v>
      </c>
      <c r="F270" s="54">
        <f>_xlfn.XLOOKUP(C270,Planilha3!A:A,Planilha3!E:E)</f>
        <v>45459.693020833336</v>
      </c>
      <c r="G270" s="54">
        <f>_xlfn.XLOOKUP(C270,Planilha3!A:A,Planilha3!F:F)</f>
        <v>45470.693020833336</v>
      </c>
      <c r="H270" s="54">
        <f>_xlfn.XLOOKUP(C270,Planilha3!A:A,Planilha3!G:G)</f>
        <v>45922</v>
      </c>
      <c r="I270" s="23">
        <f>_xlfn.XLOOKUP(K270,Grupo!F:F,Grupo!G:G)</f>
        <v>46440.22</v>
      </c>
      <c r="J270" s="6">
        <f>_xlfn.XLOOKUP(D270,Grupo!B:B,Grupo!C:C)</f>
        <v>8</v>
      </c>
      <c r="K270" s="24">
        <f>_xlfn.XLOOKUP(A270,[1]COORDENADAS_GEOGRÁFICAS!$D:$D,[1]COORDENADAS_GEOGRÁFICAS!$F:$F)</f>
        <v>80</v>
      </c>
      <c r="L270" s="53"/>
      <c r="M270" s="53"/>
      <c r="N270" s="52">
        <f>_xlfn.XLOOKUP(D270,Grupo!B:B,Grupo!D:D)</f>
        <v>-9.5945702878096721</v>
      </c>
      <c r="O270" s="52">
        <f>_xlfn.XLOOKUP(D270,Grupo!B:B,Grupo!E:E)</f>
        <v>-46.675165455846134</v>
      </c>
      <c r="P270" s="52">
        <f>_xlfn.XLOOKUP(A270,[1]COORDENADAS_GEOGRÁFICAS!$D:$D,[1]COORDENADAS_GEOGRÁFICAS!$G:$G)</f>
        <v>-9.8484999999999996</v>
      </c>
      <c r="Q270" s="52">
        <f>_xlfn.XLOOKUP(A270,[1]COORDENADAS_GEOGRÁFICAS!$D:$D,[1]COORDENADAS_GEOGRÁFICAS!$H:$H)</f>
        <v>-47.004775000000002</v>
      </c>
      <c r="R270" s="20">
        <f t="shared" si="4"/>
        <v>45.850181529827282</v>
      </c>
    </row>
    <row r="271" spans="1:18" x14ac:dyDescent="0.3">
      <c r="A271" s="24">
        <v>3466962</v>
      </c>
      <c r="B271" s="24" t="s">
        <v>765</v>
      </c>
      <c r="C271" s="24">
        <v>102400177</v>
      </c>
      <c r="D271" s="24" t="str">
        <f>_xlfn.XLOOKUP(C271,Planilha3!A:A,Planilha3!C:C)</f>
        <v>LIZARDA</v>
      </c>
      <c r="E271" s="24">
        <v>1</v>
      </c>
      <c r="F271" s="54">
        <f>_xlfn.XLOOKUP(C271,Planilha3!A:A,Planilha3!E:E)</f>
        <v>45458.616400462961</v>
      </c>
      <c r="G271" s="54">
        <f>_xlfn.XLOOKUP(C271,Planilha3!A:A,Planilha3!F:F)</f>
        <v>45470.616400462961</v>
      </c>
      <c r="H271" s="54">
        <f>_xlfn.XLOOKUP(C271,Planilha3!A:A,Planilha3!G:G)</f>
        <v>45922</v>
      </c>
      <c r="I271" s="23">
        <f>_xlfn.XLOOKUP(K271,Grupo!F:F,Grupo!G:G)</f>
        <v>46440.22</v>
      </c>
      <c r="J271" s="6">
        <f>_xlfn.XLOOKUP(D271,Grupo!B:B,Grupo!C:C)</f>
        <v>8</v>
      </c>
      <c r="K271" s="24">
        <f>_xlfn.XLOOKUP(A271,[1]COORDENADAS_GEOGRÁFICAS!$D:$D,[1]COORDENADAS_GEOGRÁFICAS!$F:$F)</f>
        <v>80</v>
      </c>
      <c r="L271" s="53"/>
      <c r="M271" s="53"/>
      <c r="N271" s="52">
        <f>_xlfn.XLOOKUP(D271,Grupo!B:B,Grupo!D:D)</f>
        <v>-9.5945702878096721</v>
      </c>
      <c r="O271" s="52">
        <f>_xlfn.XLOOKUP(D271,Grupo!B:B,Grupo!E:E)</f>
        <v>-46.675165455846134</v>
      </c>
      <c r="P271" s="52">
        <f>_xlfn.XLOOKUP(A271,[1]COORDENADAS_GEOGRÁFICAS!$D:$D,[1]COORDENADAS_GEOGRÁFICAS!$G:$G)</f>
        <v>-9.8231999999999999</v>
      </c>
      <c r="Q271" s="52">
        <f>_xlfn.XLOOKUP(A271,[1]COORDENADAS_GEOGRÁFICAS!$D:$D,[1]COORDENADAS_GEOGRÁFICAS!$H:$H)</f>
        <v>-46.838990000000003</v>
      </c>
      <c r="R271" s="20">
        <f t="shared" si="4"/>
        <v>31.12399360143057</v>
      </c>
    </row>
    <row r="272" spans="1:18" x14ac:dyDescent="0.3">
      <c r="A272" s="24">
        <v>3466720</v>
      </c>
      <c r="B272" s="24" t="s">
        <v>765</v>
      </c>
      <c r="C272" s="24">
        <v>102400178</v>
      </c>
      <c r="D272" s="24" t="str">
        <f>_xlfn.XLOOKUP(C272,Planilha3!A:A,Planilha3!C:C)</f>
        <v>LIZARDA</v>
      </c>
      <c r="E272" s="24">
        <v>1</v>
      </c>
      <c r="F272" s="54">
        <f>_xlfn.XLOOKUP(C272,Planilha3!A:A,Planilha3!E:E)</f>
        <v>45457.626516203702</v>
      </c>
      <c r="G272" s="54">
        <f>_xlfn.XLOOKUP(C272,Planilha3!A:A,Planilha3!F:F)</f>
        <v>45470.626516203702</v>
      </c>
      <c r="H272" s="54">
        <f>_xlfn.XLOOKUP(C272,Planilha3!A:A,Planilha3!G:G)</f>
        <v>45922</v>
      </c>
      <c r="I272" s="23">
        <f>_xlfn.XLOOKUP(K272,Grupo!F:F,Grupo!G:G)</f>
        <v>46440.22</v>
      </c>
      <c r="J272" s="6">
        <f>_xlfn.XLOOKUP(D272,Grupo!B:B,Grupo!C:C)</f>
        <v>8</v>
      </c>
      <c r="K272" s="24">
        <f>_xlfn.XLOOKUP(A272,[1]COORDENADAS_GEOGRÁFICAS!$D:$D,[1]COORDENADAS_GEOGRÁFICAS!$F:$F)</f>
        <v>80</v>
      </c>
      <c r="L272" s="53"/>
      <c r="M272" s="53"/>
      <c r="N272" s="52">
        <f>_xlfn.XLOOKUP(D272,Grupo!B:B,Grupo!D:D)</f>
        <v>-9.5945702878096721</v>
      </c>
      <c r="O272" s="52">
        <f>_xlfn.XLOOKUP(D272,Grupo!B:B,Grupo!E:E)</f>
        <v>-46.675165455846134</v>
      </c>
      <c r="P272" s="52">
        <f>_xlfn.XLOOKUP(A272,[1]COORDENADAS_GEOGRÁFICAS!$D:$D,[1]COORDENADAS_GEOGRÁFICAS!$G:$G)</f>
        <v>-9.8238830000000004</v>
      </c>
      <c r="Q272" s="52">
        <f>_xlfn.XLOOKUP(A272,[1]COORDENADAS_GEOGRÁFICAS!$D:$D,[1]COORDENADAS_GEOGRÁFICAS!$H:$H)</f>
        <v>-46.845146999999997</v>
      </c>
      <c r="R272" s="20">
        <f t="shared" si="4"/>
        <v>31.579398964453624</v>
      </c>
    </row>
    <row r="273" spans="1:18" x14ac:dyDescent="0.3">
      <c r="A273" s="24">
        <v>3466731</v>
      </c>
      <c r="B273" s="24" t="s">
        <v>765</v>
      </c>
      <c r="C273" s="24">
        <v>102400188</v>
      </c>
      <c r="D273" s="24" t="str">
        <f>_xlfn.XLOOKUP(C273,Planilha3!A:A,Planilha3!C:C)</f>
        <v>LIZARDA</v>
      </c>
      <c r="E273" s="24">
        <v>1</v>
      </c>
      <c r="F273" s="54">
        <f>_xlfn.XLOOKUP(C273,Planilha3!A:A,Planilha3!E:E)</f>
        <v>45455.688831018517</v>
      </c>
      <c r="G273" s="54">
        <f>_xlfn.XLOOKUP(C273,Planilha3!A:A,Planilha3!F:F)</f>
        <v>45470.688831018517</v>
      </c>
      <c r="H273" s="54">
        <f>_xlfn.XLOOKUP(C273,Planilha3!A:A,Planilha3!G:G)</f>
        <v>45922</v>
      </c>
      <c r="I273" s="23">
        <f>_xlfn.XLOOKUP(K273,Grupo!F:F,Grupo!G:G)</f>
        <v>46440.22</v>
      </c>
      <c r="J273" s="6">
        <f>_xlfn.XLOOKUP(D273,Grupo!B:B,Grupo!C:C)</f>
        <v>8</v>
      </c>
      <c r="K273" s="24">
        <f>_xlfn.XLOOKUP(A273,[1]COORDENADAS_GEOGRÁFICAS!$D:$D,[1]COORDENADAS_GEOGRÁFICAS!$F:$F)</f>
        <v>80</v>
      </c>
      <c r="L273" s="53"/>
      <c r="M273" s="53"/>
      <c r="N273" s="52">
        <f>_xlfn.XLOOKUP(D273,Grupo!B:B,Grupo!D:D)</f>
        <v>-9.5945702878096721</v>
      </c>
      <c r="O273" s="52">
        <f>_xlfn.XLOOKUP(D273,Grupo!B:B,Grupo!E:E)</f>
        <v>-46.675165455846134</v>
      </c>
      <c r="P273" s="52">
        <f>_xlfn.XLOOKUP(A273,[1]COORDENADAS_GEOGRÁFICAS!$D:$D,[1]COORDENADAS_GEOGRÁFICAS!$G:$G)</f>
        <v>-9.8449179999999998</v>
      </c>
      <c r="Q273" s="52">
        <f>_xlfn.XLOOKUP(A273,[1]COORDENADAS_GEOGRÁFICAS!$D:$D,[1]COORDENADAS_GEOGRÁFICAS!$H:$H)</f>
        <v>-46.831097999999997</v>
      </c>
      <c r="R273" s="20">
        <f t="shared" si="4"/>
        <v>32.664792210413459</v>
      </c>
    </row>
    <row r="274" spans="1:18" x14ac:dyDescent="0.3">
      <c r="A274" s="24">
        <v>3466844</v>
      </c>
      <c r="B274" s="24" t="s">
        <v>765</v>
      </c>
      <c r="C274" s="24">
        <v>102400181</v>
      </c>
      <c r="D274" s="24" t="str">
        <f>_xlfn.XLOOKUP(C274,Planilha3!A:A,Planilha3!C:C)</f>
        <v>LIZARDA</v>
      </c>
      <c r="E274" s="24">
        <v>1</v>
      </c>
      <c r="F274" s="54">
        <f>_xlfn.XLOOKUP(C274,Planilha3!A:A,Planilha3!E:E)</f>
        <v>45459.652407407404</v>
      </c>
      <c r="G274" s="54">
        <f>_xlfn.XLOOKUP(C274,Planilha3!A:A,Planilha3!F:F)</f>
        <v>45470.652407407404</v>
      </c>
      <c r="H274" s="54">
        <f>_xlfn.XLOOKUP(C274,Planilha3!A:A,Planilha3!G:G)</f>
        <v>45922</v>
      </c>
      <c r="I274" s="23">
        <f>_xlfn.XLOOKUP(K274,Grupo!F:F,Grupo!G:G)</f>
        <v>46440.22</v>
      </c>
      <c r="J274" s="6">
        <f>_xlfn.XLOOKUP(D274,Grupo!B:B,Grupo!C:C)</f>
        <v>8</v>
      </c>
      <c r="K274" s="24">
        <f>_xlfn.XLOOKUP(A274,[1]COORDENADAS_GEOGRÁFICAS!$D:$D,[1]COORDENADAS_GEOGRÁFICAS!$F:$F)</f>
        <v>80</v>
      </c>
      <c r="L274" s="53"/>
      <c r="M274" s="53"/>
      <c r="N274" s="52">
        <f>_xlfn.XLOOKUP(D274,Grupo!B:B,Grupo!D:D)</f>
        <v>-9.5945702878096721</v>
      </c>
      <c r="O274" s="52">
        <f>_xlfn.XLOOKUP(D274,Grupo!B:B,Grupo!E:E)</f>
        <v>-46.675165455846134</v>
      </c>
      <c r="P274" s="52">
        <f>_xlfn.XLOOKUP(A274,[1]COORDENADAS_GEOGRÁFICAS!$D:$D,[1]COORDENADAS_GEOGRÁFICAS!$G:$G)</f>
        <v>-9.8280270000000005</v>
      </c>
      <c r="Q274" s="52">
        <f>_xlfn.XLOOKUP(A274,[1]COORDENADAS_GEOGRÁFICAS!$D:$D,[1]COORDENADAS_GEOGRÁFICAS!$H:$H)</f>
        <v>-46.835079999999998</v>
      </c>
      <c r="R274" s="20">
        <f t="shared" si="4"/>
        <v>31.32205560427802</v>
      </c>
    </row>
    <row r="275" spans="1:18" x14ac:dyDescent="0.3">
      <c r="A275" s="24">
        <v>3466045</v>
      </c>
      <c r="B275" s="24" t="s">
        <v>765</v>
      </c>
      <c r="C275" s="24">
        <v>102400186</v>
      </c>
      <c r="D275" s="24" t="str">
        <f>_xlfn.XLOOKUP(C275,Planilha3!A:A,Planilha3!C:C)</f>
        <v>LIZARDA</v>
      </c>
      <c r="E275" s="24">
        <v>1</v>
      </c>
      <c r="F275" s="54">
        <f>_xlfn.XLOOKUP(C275,Planilha3!A:A,Planilha3!E:E)</f>
        <v>45458.684328703705</v>
      </c>
      <c r="G275" s="54">
        <f>_xlfn.XLOOKUP(C275,Planilha3!A:A,Planilha3!F:F)</f>
        <v>45470.684328703705</v>
      </c>
      <c r="H275" s="54">
        <f>_xlfn.XLOOKUP(C275,Planilha3!A:A,Planilha3!G:G)</f>
        <v>45922</v>
      </c>
      <c r="I275" s="23">
        <f>_xlfn.XLOOKUP(K275,Grupo!F:F,Grupo!G:G)</f>
        <v>46440.22</v>
      </c>
      <c r="J275" s="6">
        <f>_xlfn.XLOOKUP(D275,Grupo!B:B,Grupo!C:C)</f>
        <v>8</v>
      </c>
      <c r="K275" s="24">
        <f>_xlfn.XLOOKUP(A275,[1]COORDENADAS_GEOGRÁFICAS!$D:$D,[1]COORDENADAS_GEOGRÁFICAS!$F:$F)</f>
        <v>80</v>
      </c>
      <c r="L275" s="53"/>
      <c r="M275" s="53"/>
      <c r="N275" s="52">
        <f>_xlfn.XLOOKUP(D275,Grupo!B:B,Grupo!D:D)</f>
        <v>-9.5945702878096721</v>
      </c>
      <c r="O275" s="52">
        <f>_xlfn.XLOOKUP(D275,Grupo!B:B,Grupo!E:E)</f>
        <v>-46.675165455846134</v>
      </c>
      <c r="P275" s="52">
        <f>_xlfn.XLOOKUP(A275,[1]COORDENADAS_GEOGRÁFICAS!$D:$D,[1]COORDENADAS_GEOGRÁFICAS!$G:$G)</f>
        <v>-9.8385370000000005</v>
      </c>
      <c r="Q275" s="52">
        <f>_xlfn.XLOOKUP(A275,[1]COORDENADAS_GEOGRÁFICAS!$D:$D,[1]COORDENADAS_GEOGRÁFICAS!$H:$H)</f>
        <v>-46.830517999999998</v>
      </c>
      <c r="R275" s="20">
        <f t="shared" si="4"/>
        <v>32.028514707912763</v>
      </c>
    </row>
    <row r="276" spans="1:18" x14ac:dyDescent="0.3">
      <c r="A276" s="24">
        <v>3466044</v>
      </c>
      <c r="B276" s="24" t="s">
        <v>765</v>
      </c>
      <c r="C276" s="24">
        <v>102400182</v>
      </c>
      <c r="D276" s="24" t="str">
        <f>_xlfn.XLOOKUP(C276,Planilha3!A:A,Planilha3!C:C)</f>
        <v>LIZARDA</v>
      </c>
      <c r="E276" s="24">
        <v>1</v>
      </c>
      <c r="F276" s="54">
        <f>_xlfn.XLOOKUP(C276,Planilha3!A:A,Planilha3!E:E)</f>
        <v>45457.665937500002</v>
      </c>
      <c r="G276" s="54">
        <f>_xlfn.XLOOKUP(C276,Planilha3!A:A,Planilha3!F:F)</f>
        <v>45470.665937500002</v>
      </c>
      <c r="H276" s="54">
        <f>_xlfn.XLOOKUP(C276,Planilha3!A:A,Planilha3!G:G)</f>
        <v>45922</v>
      </c>
      <c r="I276" s="23">
        <f>_xlfn.XLOOKUP(K276,Grupo!F:F,Grupo!G:G)</f>
        <v>46440.22</v>
      </c>
      <c r="J276" s="6">
        <f>_xlfn.XLOOKUP(D276,Grupo!B:B,Grupo!C:C)</f>
        <v>8</v>
      </c>
      <c r="K276" s="24">
        <f>_xlfn.XLOOKUP(A276,[1]COORDENADAS_GEOGRÁFICAS!$D:$D,[1]COORDENADAS_GEOGRÁFICAS!$F:$F)</f>
        <v>80</v>
      </c>
      <c r="L276" s="53"/>
      <c r="M276" s="53"/>
      <c r="N276" s="52">
        <f>_xlfn.XLOOKUP(D276,Grupo!B:B,Grupo!D:D)</f>
        <v>-9.5945702878096721</v>
      </c>
      <c r="O276" s="52">
        <f>_xlfn.XLOOKUP(D276,Grupo!B:B,Grupo!E:E)</f>
        <v>-46.675165455846134</v>
      </c>
      <c r="P276" s="52">
        <f>_xlfn.XLOOKUP(A276,[1]COORDENADAS_GEOGRÁFICAS!$D:$D,[1]COORDENADAS_GEOGRÁFICAS!$G:$G)</f>
        <v>-9.8282380000000007</v>
      </c>
      <c r="Q276" s="52">
        <f>_xlfn.XLOOKUP(A276,[1]COORDENADAS_GEOGRÁFICAS!$D:$D,[1]COORDENADAS_GEOGRÁFICAS!$H:$H)</f>
        <v>-46.830807999999998</v>
      </c>
      <c r="R276" s="20">
        <f t="shared" si="4"/>
        <v>31.082086677936399</v>
      </c>
    </row>
    <row r="277" spans="1:18" x14ac:dyDescent="0.3">
      <c r="A277" s="24">
        <v>3466705</v>
      </c>
      <c r="B277" s="24" t="s">
        <v>765</v>
      </c>
      <c r="C277" s="24">
        <v>102400223</v>
      </c>
      <c r="D277" s="24" t="str">
        <f>_xlfn.XLOOKUP(C277,Planilha3!A:A,Planilha3!C:C)</f>
        <v>LIZARDA</v>
      </c>
      <c r="E277" s="24">
        <v>1</v>
      </c>
      <c r="F277" s="54">
        <f>_xlfn.XLOOKUP(C277,Planilha3!A:A,Planilha3!E:E)</f>
        <v>45461.575972222221</v>
      </c>
      <c r="G277" s="54">
        <f>_xlfn.XLOOKUP(C277,Planilha3!A:A,Planilha3!F:F)</f>
        <v>45476.575972222221</v>
      </c>
      <c r="H277" s="54">
        <f>_xlfn.XLOOKUP(C277,Planilha3!A:A,Planilha3!G:G)</f>
        <v>45922</v>
      </c>
      <c r="I277" s="23">
        <f>_xlfn.XLOOKUP(K277,Grupo!F:F,Grupo!G:G)</f>
        <v>46440.22</v>
      </c>
      <c r="J277" s="6">
        <f>_xlfn.XLOOKUP(D277,Grupo!B:B,Grupo!C:C)</f>
        <v>8</v>
      </c>
      <c r="K277" s="24">
        <f>_xlfn.XLOOKUP(A277,[1]COORDENADAS_GEOGRÁFICAS!$D:$D,[1]COORDENADAS_GEOGRÁFICAS!$F:$F)</f>
        <v>80</v>
      </c>
      <c r="L277" s="53"/>
      <c r="M277" s="53"/>
      <c r="N277" s="52">
        <f>_xlfn.XLOOKUP(D277,Grupo!B:B,Grupo!D:D)</f>
        <v>-9.5945702878096721</v>
      </c>
      <c r="O277" s="52">
        <f>_xlfn.XLOOKUP(D277,Grupo!B:B,Grupo!E:E)</f>
        <v>-46.675165455846134</v>
      </c>
      <c r="P277" s="52">
        <f>_xlfn.XLOOKUP(A277,[1]COORDENADAS_GEOGRÁFICAS!$D:$D,[1]COORDENADAS_GEOGRÁFICAS!$G:$G)</f>
        <v>-9.8308319999999991</v>
      </c>
      <c r="Q277" s="52">
        <f>_xlfn.XLOOKUP(A277,[1]COORDENADAS_GEOGRÁFICAS!$D:$D,[1]COORDENADAS_GEOGRÁFICAS!$H:$H)</f>
        <v>-46.829839999999997</v>
      </c>
      <c r="R277" s="20">
        <f t="shared" si="4"/>
        <v>31.265916665036922</v>
      </c>
    </row>
    <row r="278" spans="1:18" x14ac:dyDescent="0.3">
      <c r="A278" s="24">
        <v>3467222</v>
      </c>
      <c r="B278" s="24" t="s">
        <v>765</v>
      </c>
      <c r="C278" s="24">
        <v>102400183</v>
      </c>
      <c r="D278" s="24" t="str">
        <f>_xlfn.XLOOKUP(C278,Planilha3!A:A,Planilha3!C:C)</f>
        <v>LIZARDA</v>
      </c>
      <c r="E278" s="24">
        <v>1</v>
      </c>
      <c r="F278" s="54">
        <f>_xlfn.XLOOKUP(C278,Planilha3!A:A,Planilha3!E:E)</f>
        <v>45454.673391203702</v>
      </c>
      <c r="G278" s="54">
        <f>_xlfn.XLOOKUP(C278,Planilha3!A:A,Planilha3!F:F)</f>
        <v>45470.673391203702</v>
      </c>
      <c r="H278" s="54">
        <f>_xlfn.XLOOKUP(C278,Planilha3!A:A,Planilha3!G:G)</f>
        <v>45922</v>
      </c>
      <c r="I278" s="23">
        <f>_xlfn.XLOOKUP(K278,Grupo!F:F,Grupo!G:G)</f>
        <v>46440.22</v>
      </c>
      <c r="J278" s="6">
        <f>_xlfn.XLOOKUP(D278,Grupo!B:B,Grupo!C:C)</f>
        <v>8</v>
      </c>
      <c r="K278" s="24">
        <f>_xlfn.XLOOKUP(A278,[1]COORDENADAS_GEOGRÁFICAS!$D:$D,[1]COORDENADAS_GEOGRÁFICAS!$F:$F)</f>
        <v>80</v>
      </c>
      <c r="L278" s="53"/>
      <c r="M278" s="53"/>
      <c r="N278" s="52">
        <f>_xlfn.XLOOKUP(D278,Grupo!B:B,Grupo!D:D)</f>
        <v>-9.5945702878096721</v>
      </c>
      <c r="O278" s="52">
        <f>_xlfn.XLOOKUP(D278,Grupo!B:B,Grupo!E:E)</f>
        <v>-46.675165455846134</v>
      </c>
      <c r="P278" s="52">
        <f>_xlfn.XLOOKUP(A278,[1]COORDENADAS_GEOGRÁFICAS!$D:$D,[1]COORDENADAS_GEOGRÁFICAS!$G:$G)</f>
        <v>-9.834638</v>
      </c>
      <c r="Q278" s="52">
        <f>_xlfn.XLOOKUP(A278,[1]COORDENADAS_GEOGRÁFICAS!$D:$D,[1]COORDENADAS_GEOGRÁFICAS!$H:$H)</f>
        <v>-46.829867</v>
      </c>
      <c r="R278" s="20">
        <f t="shared" si="4"/>
        <v>31.623883134302233</v>
      </c>
    </row>
    <row r="279" spans="1:18" x14ac:dyDescent="0.3">
      <c r="A279" s="24">
        <v>3467177</v>
      </c>
      <c r="B279" s="24" t="s">
        <v>765</v>
      </c>
      <c r="C279" s="24">
        <v>102400211</v>
      </c>
      <c r="D279" s="24" t="str">
        <f>_xlfn.XLOOKUP(C279,Planilha3!A:A,Planilha3!C:C)</f>
        <v>LIZARDA</v>
      </c>
      <c r="E279" s="24">
        <v>1</v>
      </c>
      <c r="F279" s="54">
        <f>_xlfn.XLOOKUP(C279,Planilha3!A:A,Planilha3!E:E)</f>
        <v>45463.39261574074</v>
      </c>
      <c r="G279" s="54">
        <f>_xlfn.XLOOKUP(C279,Planilha3!A:A,Planilha3!F:F)</f>
        <v>45474.39261574074</v>
      </c>
      <c r="H279" s="54">
        <f>_xlfn.XLOOKUP(C279,Planilha3!A:A,Planilha3!G:G)</f>
        <v>45922</v>
      </c>
      <c r="I279" s="23">
        <f>_xlfn.XLOOKUP(K279,Grupo!F:F,Grupo!G:G)</f>
        <v>46440.22</v>
      </c>
      <c r="J279" s="6">
        <f>_xlfn.XLOOKUP(D279,Grupo!B:B,Grupo!C:C)</f>
        <v>8</v>
      </c>
      <c r="K279" s="24">
        <f>_xlfn.XLOOKUP(A279,[1]COORDENADAS_GEOGRÁFICAS!$D:$D,[1]COORDENADAS_GEOGRÁFICAS!$F:$F)</f>
        <v>80</v>
      </c>
      <c r="L279" s="53"/>
      <c r="M279" s="53"/>
      <c r="N279" s="52">
        <f>_xlfn.XLOOKUP(D279,Grupo!B:B,Grupo!D:D)</f>
        <v>-9.5945702878096721</v>
      </c>
      <c r="O279" s="52">
        <f>_xlfn.XLOOKUP(D279,Grupo!B:B,Grupo!E:E)</f>
        <v>-46.675165455846134</v>
      </c>
      <c r="P279" s="52">
        <f>_xlfn.XLOOKUP(A279,[1]COORDENADAS_GEOGRÁFICAS!$D:$D,[1]COORDENADAS_GEOGRÁFICAS!$G:$G)</f>
        <v>-9.9419679999999993</v>
      </c>
      <c r="Q279" s="52">
        <f>_xlfn.XLOOKUP(A279,[1]COORDENADAS_GEOGRÁFICAS!$D:$D,[1]COORDENADAS_GEOGRÁFICAS!$H:$H)</f>
        <v>-47.015794999999997</v>
      </c>
      <c r="R279" s="20">
        <f t="shared" si="4"/>
        <v>53.716852352972872</v>
      </c>
    </row>
    <row r="280" spans="1:18" x14ac:dyDescent="0.3">
      <c r="A280" s="24">
        <v>3466728</v>
      </c>
      <c r="B280" s="24" t="s">
        <v>765</v>
      </c>
      <c r="C280" s="24">
        <v>102400212</v>
      </c>
      <c r="D280" s="24" t="str">
        <f>_xlfn.XLOOKUP(C280,Planilha3!A:A,Planilha3!C:C)</f>
        <v>LIZARDA</v>
      </c>
      <c r="E280" s="24">
        <v>1</v>
      </c>
      <c r="F280" s="54">
        <f>_xlfn.XLOOKUP(C280,Planilha3!A:A,Planilha3!E:E)</f>
        <v>45462.404062499998</v>
      </c>
      <c r="G280" s="54">
        <f>_xlfn.XLOOKUP(C280,Planilha3!A:A,Planilha3!F:F)</f>
        <v>45474.404062499998</v>
      </c>
      <c r="H280" s="54">
        <f>_xlfn.XLOOKUP(C280,Planilha3!A:A,Planilha3!G:G)</f>
        <v>45922</v>
      </c>
      <c r="I280" s="23">
        <f>_xlfn.XLOOKUP(K280,Grupo!F:F,Grupo!G:G)</f>
        <v>46440.22</v>
      </c>
      <c r="J280" s="6">
        <f>_xlfn.XLOOKUP(D280,Grupo!B:B,Grupo!C:C)</f>
        <v>8</v>
      </c>
      <c r="K280" s="24">
        <f>_xlfn.XLOOKUP(A280,[1]COORDENADAS_GEOGRÁFICAS!$D:$D,[1]COORDENADAS_GEOGRÁFICAS!$F:$F)</f>
        <v>80</v>
      </c>
      <c r="L280" s="53"/>
      <c r="M280" s="53"/>
      <c r="N280" s="52">
        <f>_xlfn.XLOOKUP(D280,Grupo!B:B,Grupo!D:D)</f>
        <v>-9.5945702878096721</v>
      </c>
      <c r="O280" s="52">
        <f>_xlfn.XLOOKUP(D280,Grupo!B:B,Grupo!E:E)</f>
        <v>-46.675165455846134</v>
      </c>
      <c r="P280" s="52">
        <f>_xlfn.XLOOKUP(A280,[1]COORDENADAS_GEOGRÁFICAS!$D:$D,[1]COORDENADAS_GEOGRÁFICAS!$G:$G)</f>
        <v>-9.9481249999999992</v>
      </c>
      <c r="Q280" s="52">
        <f>_xlfn.XLOOKUP(A280,[1]COORDENADAS_GEOGRÁFICAS!$D:$D,[1]COORDENADAS_GEOGRÁFICAS!$H:$H)</f>
        <v>-46.945642999999997</v>
      </c>
      <c r="R280" s="20">
        <f t="shared" si="4"/>
        <v>49.234566978060116</v>
      </c>
    </row>
    <row r="281" spans="1:18" x14ac:dyDescent="0.3">
      <c r="A281" s="24">
        <v>3467246</v>
      </c>
      <c r="B281" s="24" t="s">
        <v>765</v>
      </c>
      <c r="C281" s="24">
        <v>102400206</v>
      </c>
      <c r="D281" s="24" t="str">
        <f>_xlfn.XLOOKUP(C281,Planilha3!A:A,Planilha3!C:C)</f>
        <v>LIZARDA</v>
      </c>
      <c r="E281" s="24">
        <v>1</v>
      </c>
      <c r="F281" s="54">
        <f>_xlfn.XLOOKUP(C281,Planilha3!A:A,Planilha3!E:E)</f>
        <v>45463.694664351853</v>
      </c>
      <c r="G281" s="54">
        <f>_xlfn.XLOOKUP(C281,Planilha3!A:A,Planilha3!F:F)</f>
        <v>45476.694664351853</v>
      </c>
      <c r="H281" s="54">
        <f>_xlfn.XLOOKUP(C281,Planilha3!A:A,Planilha3!G:G)</f>
        <v>45922</v>
      </c>
      <c r="I281" s="23">
        <f>_xlfn.XLOOKUP(K281,Grupo!F:F,Grupo!G:G)</f>
        <v>46440.22</v>
      </c>
      <c r="J281" s="6">
        <f>_xlfn.XLOOKUP(D281,Grupo!B:B,Grupo!C:C)</f>
        <v>8</v>
      </c>
      <c r="K281" s="24">
        <f>_xlfn.XLOOKUP(A281,[1]COORDENADAS_GEOGRÁFICAS!$D:$D,[1]COORDENADAS_GEOGRÁFICAS!$F:$F)</f>
        <v>80</v>
      </c>
      <c r="L281" s="53"/>
      <c r="M281" s="53"/>
      <c r="N281" s="52">
        <f>_xlfn.XLOOKUP(D281,Grupo!B:B,Grupo!D:D)</f>
        <v>-9.5945702878096721</v>
      </c>
      <c r="O281" s="52">
        <f>_xlfn.XLOOKUP(D281,Grupo!B:B,Grupo!E:E)</f>
        <v>-46.675165455846134</v>
      </c>
      <c r="P281" s="52">
        <f>_xlfn.XLOOKUP(A281,[1]COORDENADAS_GEOGRÁFICAS!$D:$D,[1]COORDENADAS_GEOGRÁFICAS!$G:$G)</f>
        <v>-9.8813150000000007</v>
      </c>
      <c r="Q281" s="52">
        <f>_xlfn.XLOOKUP(A281,[1]COORDENADAS_GEOGRÁFICAS!$D:$D,[1]COORDENADAS_GEOGRÁFICAS!$H:$H)</f>
        <v>-46.913598</v>
      </c>
      <c r="R281" s="20">
        <f t="shared" si="4"/>
        <v>41.224093085990972</v>
      </c>
    </row>
    <row r="282" spans="1:18" x14ac:dyDescent="0.3">
      <c r="A282" s="24">
        <v>3466982</v>
      </c>
      <c r="B282" s="24" t="s">
        <v>765</v>
      </c>
      <c r="C282" s="24">
        <v>102400224</v>
      </c>
      <c r="D282" s="24" t="str">
        <f>_xlfn.XLOOKUP(C282,Planilha3!A:A,Planilha3!C:C)</f>
        <v>LIZARDA</v>
      </c>
      <c r="E282" s="24">
        <v>1</v>
      </c>
      <c r="F282" s="54">
        <f>_xlfn.XLOOKUP(C282,Planilha3!A:A,Planilha3!E:E)</f>
        <v>45461.590243055558</v>
      </c>
      <c r="G282" s="54">
        <f>_xlfn.XLOOKUP(C282,Planilha3!A:A,Planilha3!F:F)</f>
        <v>45476.590243055558</v>
      </c>
      <c r="H282" s="54">
        <f>_xlfn.XLOOKUP(C282,Planilha3!A:A,Planilha3!G:G)</f>
        <v>45922</v>
      </c>
      <c r="I282" s="23">
        <f>_xlfn.XLOOKUP(K282,Grupo!F:F,Grupo!G:G)</f>
        <v>46440.22</v>
      </c>
      <c r="J282" s="6">
        <f>_xlfn.XLOOKUP(D282,Grupo!B:B,Grupo!C:C)</f>
        <v>8</v>
      </c>
      <c r="K282" s="24">
        <f>_xlfn.XLOOKUP(A282,[1]COORDENADAS_GEOGRÁFICAS!$D:$D,[1]COORDENADAS_GEOGRÁFICAS!$F:$F)</f>
        <v>80</v>
      </c>
      <c r="L282" s="53"/>
      <c r="M282" s="53"/>
      <c r="N282" s="52">
        <f>_xlfn.XLOOKUP(D282,Grupo!B:B,Grupo!D:D)</f>
        <v>-9.5945702878096721</v>
      </c>
      <c r="O282" s="52">
        <f>_xlfn.XLOOKUP(D282,Grupo!B:B,Grupo!E:E)</f>
        <v>-46.675165455846134</v>
      </c>
      <c r="P282" s="52">
        <f>_xlfn.XLOOKUP(A282,[1]COORDENADAS_GEOGRÁFICAS!$D:$D,[1]COORDENADAS_GEOGRÁFICAS!$G:$G)</f>
        <v>-9.8815270000000002</v>
      </c>
      <c r="Q282" s="52">
        <f>_xlfn.XLOOKUP(A282,[1]COORDENADAS_GEOGRÁFICAS!$D:$D,[1]COORDENADAS_GEOGRÁFICAS!$H:$H)</f>
        <v>-46.916719999999998</v>
      </c>
      <c r="R282" s="20">
        <f t="shared" si="4"/>
        <v>41.459947637596564</v>
      </c>
    </row>
    <row r="283" spans="1:18" x14ac:dyDescent="0.3">
      <c r="A283" s="24">
        <v>3465685</v>
      </c>
      <c r="B283" s="24" t="s">
        <v>765</v>
      </c>
      <c r="C283" s="24">
        <v>102400203</v>
      </c>
      <c r="D283" s="24" t="str">
        <f>_xlfn.XLOOKUP(C283,Planilha3!A:A,Planilha3!C:C)</f>
        <v>LIZARDA</v>
      </c>
      <c r="E283" s="24">
        <v>1</v>
      </c>
      <c r="F283" s="54">
        <f>_xlfn.XLOOKUP(C283,Planilha3!A:A,Planilha3!E:E)</f>
        <v>45465.656574074077</v>
      </c>
      <c r="G283" s="54">
        <f>_xlfn.XLOOKUP(C283,Planilha3!A:A,Planilha3!F:F)</f>
        <v>45476.656574074077</v>
      </c>
      <c r="H283" s="54">
        <f>_xlfn.XLOOKUP(C283,Planilha3!A:A,Planilha3!G:G)</f>
        <v>45922</v>
      </c>
      <c r="I283" s="23">
        <f>_xlfn.XLOOKUP(K283,Grupo!F:F,Grupo!G:G)</f>
        <v>46440.22</v>
      </c>
      <c r="J283" s="6">
        <f>_xlfn.XLOOKUP(D283,Grupo!B:B,Grupo!C:C)</f>
        <v>8</v>
      </c>
      <c r="K283" s="24">
        <f>_xlfn.XLOOKUP(A283,[1]COORDENADAS_GEOGRÁFICAS!$D:$D,[1]COORDENADAS_GEOGRÁFICAS!$F:$F)</f>
        <v>80</v>
      </c>
      <c r="L283" s="53"/>
      <c r="M283" s="53"/>
      <c r="N283" s="52">
        <f>_xlfn.XLOOKUP(D283,Grupo!B:B,Grupo!D:D)</f>
        <v>-9.5945702878096721</v>
      </c>
      <c r="O283" s="52">
        <f>_xlfn.XLOOKUP(D283,Grupo!B:B,Grupo!E:E)</f>
        <v>-46.675165455846134</v>
      </c>
      <c r="P283" s="52">
        <f>_xlfn.XLOOKUP(A283,[1]COORDENADAS_GEOGRÁFICAS!$D:$D,[1]COORDENADAS_GEOGRÁFICAS!$G:$G)</f>
        <v>-9.8781199999999991</v>
      </c>
      <c r="Q283" s="52">
        <f>_xlfn.XLOOKUP(A283,[1]COORDENADAS_GEOGRÁFICAS!$D:$D,[1]COORDENADAS_GEOGRÁFICAS!$H:$H)</f>
        <v>-46.884214999999998</v>
      </c>
      <c r="R283" s="20">
        <f t="shared" si="4"/>
        <v>38.974130678617833</v>
      </c>
    </row>
    <row r="284" spans="1:18" x14ac:dyDescent="0.3">
      <c r="A284" s="24">
        <v>3465686</v>
      </c>
      <c r="B284" s="24" t="s">
        <v>765</v>
      </c>
      <c r="C284" s="24">
        <v>102400202</v>
      </c>
      <c r="D284" s="24" t="str">
        <f>_xlfn.XLOOKUP(C284,Planilha3!A:A,Planilha3!C:C)</f>
        <v>LIZARDA</v>
      </c>
      <c r="E284" s="24">
        <v>1</v>
      </c>
      <c r="F284" s="54">
        <f>_xlfn.XLOOKUP(C284,Planilha3!A:A,Planilha3!E:E)</f>
        <v>45464.639421296299</v>
      </c>
      <c r="G284" s="54">
        <f>_xlfn.XLOOKUP(C284,Planilha3!A:A,Planilha3!F:F)</f>
        <v>45476.639421296299</v>
      </c>
      <c r="H284" s="54">
        <f>_xlfn.XLOOKUP(C284,Planilha3!A:A,Planilha3!G:G)</f>
        <v>45922</v>
      </c>
      <c r="I284" s="23">
        <f>_xlfn.XLOOKUP(K284,Grupo!F:F,Grupo!G:G)</f>
        <v>46440.22</v>
      </c>
      <c r="J284" s="6">
        <f>_xlfn.XLOOKUP(D284,Grupo!B:B,Grupo!C:C)</f>
        <v>8</v>
      </c>
      <c r="K284" s="24">
        <f>_xlfn.XLOOKUP(A284,[1]COORDENADAS_GEOGRÁFICAS!$D:$D,[1]COORDENADAS_GEOGRÁFICAS!$F:$F)</f>
        <v>80</v>
      </c>
      <c r="L284" s="53"/>
      <c r="M284" s="53"/>
      <c r="N284" s="52">
        <f>_xlfn.XLOOKUP(D284,Grupo!B:B,Grupo!D:D)</f>
        <v>-9.5945702878096721</v>
      </c>
      <c r="O284" s="52">
        <f>_xlfn.XLOOKUP(D284,Grupo!B:B,Grupo!E:E)</f>
        <v>-46.675165455846134</v>
      </c>
      <c r="P284" s="52">
        <f>_xlfn.XLOOKUP(A284,[1]COORDENADAS_GEOGRÁFICAS!$D:$D,[1]COORDENADAS_GEOGRÁFICAS!$G:$G)</f>
        <v>-9.8730080000000005</v>
      </c>
      <c r="Q284" s="52">
        <f>_xlfn.XLOOKUP(A284,[1]COORDENADAS_GEOGRÁFICAS!$D:$D,[1]COORDENADAS_GEOGRÁFICAS!$H:$H)</f>
        <v>-46.884031999999998</v>
      </c>
      <c r="R284" s="20">
        <f t="shared" si="4"/>
        <v>38.503911287052389</v>
      </c>
    </row>
    <row r="285" spans="1:18" x14ac:dyDescent="0.3">
      <c r="A285" s="24">
        <v>3466469</v>
      </c>
      <c r="B285" s="24" t="s">
        <v>765</v>
      </c>
      <c r="C285" s="24">
        <v>102400201</v>
      </c>
      <c r="D285" s="24" t="str">
        <f>_xlfn.XLOOKUP(C285,Planilha3!A:A,Planilha3!C:C)</f>
        <v>LIZARDA</v>
      </c>
      <c r="E285" s="24">
        <v>1</v>
      </c>
      <c r="F285" s="54">
        <f>_xlfn.XLOOKUP(C285,Planilha3!A:A,Planilha3!E:E)</f>
        <v>45463.585844907408</v>
      </c>
      <c r="G285" s="54">
        <f>_xlfn.XLOOKUP(C285,Planilha3!A:A,Planilha3!F:F)</f>
        <v>45476.585844907408</v>
      </c>
      <c r="H285" s="54">
        <f>_xlfn.XLOOKUP(C285,Planilha3!A:A,Planilha3!G:G)</f>
        <v>45922</v>
      </c>
      <c r="I285" s="23">
        <f>_xlfn.XLOOKUP(K285,Grupo!F:F,Grupo!G:G)</f>
        <v>46440.22</v>
      </c>
      <c r="J285" s="6">
        <f>_xlfn.XLOOKUP(D285,Grupo!B:B,Grupo!C:C)</f>
        <v>8</v>
      </c>
      <c r="K285" s="24">
        <f>_xlfn.XLOOKUP(A285,[1]COORDENADAS_GEOGRÁFICAS!$D:$D,[1]COORDENADAS_GEOGRÁFICAS!$F:$F)</f>
        <v>80</v>
      </c>
      <c r="L285" s="53"/>
      <c r="M285" s="53"/>
      <c r="N285" s="52">
        <f>_xlfn.XLOOKUP(D285,Grupo!B:B,Grupo!D:D)</f>
        <v>-9.5945702878096721</v>
      </c>
      <c r="O285" s="52">
        <f>_xlfn.XLOOKUP(D285,Grupo!B:B,Grupo!E:E)</f>
        <v>-46.675165455846134</v>
      </c>
      <c r="P285" s="52">
        <f>_xlfn.XLOOKUP(A285,[1]COORDENADAS_GEOGRÁFICAS!$D:$D,[1]COORDENADAS_GEOGRÁFICAS!$G:$G)</f>
        <v>-9.8724179999999997</v>
      </c>
      <c r="Q285" s="52">
        <f>_xlfn.XLOOKUP(A285,[1]COORDENADAS_GEOGRÁFICAS!$D:$D,[1]COORDENADAS_GEOGRÁFICAS!$H:$H)</f>
        <v>-46.884324999999997</v>
      </c>
      <c r="R285" s="20">
        <f t="shared" si="4"/>
        <v>38.470315248875586</v>
      </c>
    </row>
    <row r="286" spans="1:18" x14ac:dyDescent="0.3">
      <c r="A286" s="24">
        <v>3466953</v>
      </c>
      <c r="B286" s="24" t="s">
        <v>765</v>
      </c>
      <c r="C286" s="24">
        <v>102400222</v>
      </c>
      <c r="D286" s="24" t="str">
        <f>_xlfn.XLOOKUP(C286,Planilha3!A:A,Planilha3!C:C)</f>
        <v>LIZARDA</v>
      </c>
      <c r="E286" s="24">
        <v>1</v>
      </c>
      <c r="F286" s="54">
        <f>_xlfn.XLOOKUP(C286,Planilha3!A:A,Planilha3!E:E)</f>
        <v>45461.369305555556</v>
      </c>
      <c r="G286" s="54">
        <f>_xlfn.XLOOKUP(C286,Planilha3!A:A,Planilha3!F:F)</f>
        <v>45476.369305555556</v>
      </c>
      <c r="H286" s="54">
        <f>_xlfn.XLOOKUP(C286,Planilha3!A:A,Planilha3!G:G)</f>
        <v>45922</v>
      </c>
      <c r="I286" s="23">
        <f>_xlfn.XLOOKUP(K286,Grupo!F:F,Grupo!G:G)</f>
        <v>46440.22</v>
      </c>
      <c r="J286" s="6">
        <f>_xlfn.XLOOKUP(D286,Grupo!B:B,Grupo!C:C)</f>
        <v>8</v>
      </c>
      <c r="K286" s="24">
        <f>_xlfn.XLOOKUP(A286,[1]COORDENADAS_GEOGRÁFICAS!$D:$D,[1]COORDENADAS_GEOGRÁFICAS!$F:$F)</f>
        <v>80</v>
      </c>
      <c r="L286" s="53"/>
      <c r="M286" s="53"/>
      <c r="N286" s="52">
        <f>_xlfn.XLOOKUP(D286,Grupo!B:B,Grupo!D:D)</f>
        <v>-9.5945702878096721</v>
      </c>
      <c r="O286" s="52">
        <f>_xlfn.XLOOKUP(D286,Grupo!B:B,Grupo!E:E)</f>
        <v>-46.675165455846134</v>
      </c>
      <c r="P286" s="52">
        <f>_xlfn.XLOOKUP(A286,[1]COORDENADAS_GEOGRÁFICAS!$D:$D,[1]COORDENADAS_GEOGRÁFICAS!$G:$G)</f>
        <v>-9.8241770000000006</v>
      </c>
      <c r="Q286" s="52">
        <f>_xlfn.XLOOKUP(A286,[1]COORDENADAS_GEOGRÁFICAS!$D:$D,[1]COORDENADAS_GEOGRÁFICAS!$H:$H)</f>
        <v>-46.863847</v>
      </c>
      <c r="R286" s="20">
        <f t="shared" si="4"/>
        <v>32.855668624449166</v>
      </c>
    </row>
    <row r="287" spans="1:18" x14ac:dyDescent="0.3">
      <c r="A287" s="24">
        <v>3467054</v>
      </c>
      <c r="B287" s="24" t="s">
        <v>765</v>
      </c>
      <c r="C287" s="24">
        <v>102400180</v>
      </c>
      <c r="D287" s="24" t="str">
        <f>_xlfn.XLOOKUP(C287,Planilha3!A:A,Planilha3!C:C)</f>
        <v>LIZARDA</v>
      </c>
      <c r="E287" s="24">
        <v>1</v>
      </c>
      <c r="F287" s="54">
        <f>_xlfn.XLOOKUP(C287,Planilha3!A:A,Planilha3!E:E)</f>
        <v>45454.633726851855</v>
      </c>
      <c r="G287" s="54">
        <f>_xlfn.XLOOKUP(C287,Planilha3!A:A,Planilha3!F:F)</f>
        <v>45470.633726851855</v>
      </c>
      <c r="H287" s="54">
        <f>_xlfn.XLOOKUP(C287,Planilha3!A:A,Planilha3!G:G)</f>
        <v>45922</v>
      </c>
      <c r="I287" s="23">
        <f>_xlfn.XLOOKUP(K287,Grupo!F:F,Grupo!G:G)</f>
        <v>46440.22</v>
      </c>
      <c r="J287" s="6">
        <f>_xlfn.XLOOKUP(D287,Grupo!B:B,Grupo!C:C)</f>
        <v>8</v>
      </c>
      <c r="K287" s="24">
        <f>_xlfn.XLOOKUP(A287,[1]COORDENADAS_GEOGRÁFICAS!$D:$D,[1]COORDENADAS_GEOGRÁFICAS!$F:$F)</f>
        <v>80</v>
      </c>
      <c r="L287" s="53"/>
      <c r="M287" s="53"/>
      <c r="N287" s="52">
        <f>_xlfn.XLOOKUP(D287,Grupo!B:B,Grupo!D:D)</f>
        <v>-9.5945702878096721</v>
      </c>
      <c r="O287" s="52">
        <f>_xlfn.XLOOKUP(D287,Grupo!B:B,Grupo!E:E)</f>
        <v>-46.675165455846134</v>
      </c>
      <c r="P287" s="52">
        <f>_xlfn.XLOOKUP(A287,[1]COORDENADAS_GEOGRÁFICAS!$D:$D,[1]COORDENADAS_GEOGRÁFICAS!$G:$G)</f>
        <v>-9.8252880000000005</v>
      </c>
      <c r="Q287" s="52">
        <f>_xlfn.XLOOKUP(A287,[1]COORDENADAS_GEOGRÁFICAS!$D:$D,[1]COORDENADAS_GEOGRÁFICAS!$H:$H)</f>
        <v>-46.916718000000003</v>
      </c>
      <c r="R287" s="20">
        <f t="shared" si="4"/>
        <v>36.865509801248585</v>
      </c>
    </row>
    <row r="288" spans="1:18" x14ac:dyDescent="0.3">
      <c r="A288" s="24">
        <v>3466663</v>
      </c>
      <c r="B288" s="24" t="s">
        <v>765</v>
      </c>
      <c r="C288" s="24">
        <v>102400226</v>
      </c>
      <c r="D288" s="24" t="str">
        <f>_xlfn.XLOOKUP(C288,Planilha3!A:A,Planilha3!C:C)</f>
        <v>LIZARDA</v>
      </c>
      <c r="E288" s="24">
        <v>1</v>
      </c>
      <c r="F288" s="54">
        <f>_xlfn.XLOOKUP(C288,Planilha3!A:A,Planilha3!E:E)</f>
        <v>45465.644861111112</v>
      </c>
      <c r="G288" s="54">
        <f>_xlfn.XLOOKUP(C288,Planilha3!A:A,Planilha3!F:F)</f>
        <v>45476.644861111112</v>
      </c>
      <c r="H288" s="54">
        <f>_xlfn.XLOOKUP(C288,Planilha3!A:A,Planilha3!G:G)</f>
        <v>45922</v>
      </c>
      <c r="I288" s="23">
        <f>_xlfn.XLOOKUP(K288,Grupo!F:F,Grupo!G:G)</f>
        <v>46440.22</v>
      </c>
      <c r="J288" s="6">
        <f>_xlfn.XLOOKUP(D288,Grupo!B:B,Grupo!C:C)</f>
        <v>8</v>
      </c>
      <c r="K288" s="24">
        <f>_xlfn.XLOOKUP(A288,[1]COORDENADAS_GEOGRÁFICAS!$D:$D,[1]COORDENADAS_GEOGRÁFICAS!$F:$F)</f>
        <v>80</v>
      </c>
      <c r="L288" s="53"/>
      <c r="M288" s="53"/>
      <c r="N288" s="52">
        <f>_xlfn.XLOOKUP(D288,Grupo!B:B,Grupo!D:D)</f>
        <v>-9.5945702878096721</v>
      </c>
      <c r="O288" s="52">
        <f>_xlfn.XLOOKUP(D288,Grupo!B:B,Grupo!E:E)</f>
        <v>-46.675165455846134</v>
      </c>
      <c r="P288" s="52">
        <f>_xlfn.XLOOKUP(A288,[1]COORDENADAS_GEOGRÁFICAS!$D:$D,[1]COORDENADAS_GEOGRÁFICAS!$G:$G)</f>
        <v>-9.8255049999999997</v>
      </c>
      <c r="Q288" s="52">
        <f>_xlfn.XLOOKUP(A288,[1]COORDENADAS_GEOGRÁFICAS!$D:$D,[1]COORDENADAS_GEOGRÁFICAS!$H:$H)</f>
        <v>-46.919494999999998</v>
      </c>
      <c r="R288" s="20">
        <f t="shared" si="4"/>
        <v>37.10138119893476</v>
      </c>
    </row>
    <row r="289" spans="1:18" x14ac:dyDescent="0.3">
      <c r="A289" s="24">
        <v>3466952</v>
      </c>
      <c r="B289" s="24" t="s">
        <v>765</v>
      </c>
      <c r="C289" s="24">
        <v>102400225</v>
      </c>
      <c r="D289" s="24" t="str">
        <f>_xlfn.XLOOKUP(C289,Planilha3!A:A,Planilha3!C:C)</f>
        <v>LIZARDA</v>
      </c>
      <c r="E289" s="24">
        <v>1</v>
      </c>
      <c r="F289" s="54">
        <f>_xlfn.XLOOKUP(C289,Planilha3!A:A,Planilha3!E:E)</f>
        <v>45464.618738425925</v>
      </c>
      <c r="G289" s="54">
        <f>_xlfn.XLOOKUP(C289,Planilha3!A:A,Planilha3!F:F)</f>
        <v>45476.618738425925</v>
      </c>
      <c r="H289" s="54">
        <f>_xlfn.XLOOKUP(C289,Planilha3!A:A,Planilha3!G:G)</f>
        <v>45922</v>
      </c>
      <c r="I289" s="23">
        <f>_xlfn.XLOOKUP(K289,Grupo!F:F,Grupo!G:G)</f>
        <v>46440.22</v>
      </c>
      <c r="J289" s="6">
        <f>_xlfn.XLOOKUP(D289,Grupo!B:B,Grupo!C:C)</f>
        <v>8</v>
      </c>
      <c r="K289" s="24">
        <f>_xlfn.XLOOKUP(A289,[1]COORDENADAS_GEOGRÁFICAS!$D:$D,[1]COORDENADAS_GEOGRÁFICAS!$F:$F)</f>
        <v>80</v>
      </c>
      <c r="L289" s="53"/>
      <c r="M289" s="53"/>
      <c r="N289" s="52">
        <f>_xlfn.XLOOKUP(D289,Grupo!B:B,Grupo!D:D)</f>
        <v>-9.5945702878096721</v>
      </c>
      <c r="O289" s="52">
        <f>_xlfn.XLOOKUP(D289,Grupo!B:B,Grupo!E:E)</f>
        <v>-46.675165455846134</v>
      </c>
      <c r="P289" s="52">
        <f>_xlfn.XLOOKUP(A289,[1]COORDENADAS_GEOGRÁFICAS!$D:$D,[1]COORDENADAS_GEOGRÁFICAS!$G:$G)</f>
        <v>-9.8266299999999998</v>
      </c>
      <c r="Q289" s="52">
        <f>_xlfn.XLOOKUP(A289,[1]COORDENADAS_GEOGRÁFICAS!$D:$D,[1]COORDENADAS_GEOGRÁFICAS!$H:$H)</f>
        <v>-46.920403</v>
      </c>
      <c r="R289" s="20">
        <f t="shared" si="4"/>
        <v>37.259765721819768</v>
      </c>
    </row>
    <row r="290" spans="1:18" x14ac:dyDescent="0.3">
      <c r="A290" s="24">
        <v>3466482</v>
      </c>
      <c r="B290" s="24" t="s">
        <v>765</v>
      </c>
      <c r="C290" s="24">
        <v>102400187</v>
      </c>
      <c r="D290" s="24" t="str">
        <f>_xlfn.XLOOKUP(C290,Planilha3!A:A,Planilha3!C:C)</f>
        <v>LIZARDA</v>
      </c>
      <c r="E290" s="24">
        <v>1</v>
      </c>
      <c r="F290" s="54">
        <f>_xlfn.XLOOKUP(C290,Planilha3!A:A,Planilha3!E:E)</f>
        <v>45450.432951388888</v>
      </c>
      <c r="G290" s="54">
        <f>_xlfn.XLOOKUP(C290,Planilha3!A:A,Planilha3!F:F)</f>
        <v>45463.432951388888</v>
      </c>
      <c r="H290" s="54">
        <f>_xlfn.XLOOKUP(C290,Planilha3!A:A,Planilha3!G:G)</f>
        <v>45922</v>
      </c>
      <c r="I290" s="23">
        <f>_xlfn.XLOOKUP(K290,Grupo!F:F,Grupo!G:G)</f>
        <v>46440.22</v>
      </c>
      <c r="J290" s="6">
        <f>_xlfn.XLOOKUP(D290,Grupo!B:B,Grupo!C:C)</f>
        <v>8</v>
      </c>
      <c r="K290" s="24">
        <f>_xlfn.XLOOKUP(A290,[1]COORDENADAS_GEOGRÁFICAS!$D:$D,[1]COORDENADAS_GEOGRÁFICAS!$F:$F)</f>
        <v>80</v>
      </c>
      <c r="L290" s="53"/>
      <c r="M290" s="53"/>
      <c r="N290" s="52">
        <f>_xlfn.XLOOKUP(D290,Grupo!B:B,Grupo!D:D)</f>
        <v>-9.5945702878096721</v>
      </c>
      <c r="O290" s="52">
        <f>_xlfn.XLOOKUP(D290,Grupo!B:B,Grupo!E:E)</f>
        <v>-46.675165455846134</v>
      </c>
      <c r="P290" s="52">
        <f>_xlfn.XLOOKUP(A290,[1]COORDENADAS_GEOGRÁFICAS!$D:$D,[1]COORDENADAS_GEOGRÁFICAS!$G:$G)</f>
        <v>-9.8436369999999993</v>
      </c>
      <c r="Q290" s="52">
        <f>_xlfn.XLOOKUP(A290,[1]COORDENADAS_GEOGRÁFICAS!$D:$D,[1]COORDENADAS_GEOGRÁFICAS!$H:$H)</f>
        <v>-46.882803000000003</v>
      </c>
      <c r="R290" s="20">
        <f t="shared" si="4"/>
        <v>35.845283637174404</v>
      </c>
    </row>
    <row r="291" spans="1:18" x14ac:dyDescent="0.3">
      <c r="A291" s="24">
        <v>3467051</v>
      </c>
      <c r="B291" s="24" t="s">
        <v>765</v>
      </c>
      <c r="C291" s="24">
        <v>102400191</v>
      </c>
      <c r="D291" s="24" t="str">
        <f>_xlfn.XLOOKUP(C291,Planilha3!A:A,Planilha3!C:C)</f>
        <v>LIZARDA</v>
      </c>
      <c r="E291" s="24">
        <v>1</v>
      </c>
      <c r="F291" s="54">
        <f>_xlfn.XLOOKUP(C291,Planilha3!A:A,Planilha3!E:E)</f>
        <v>45456.599027777775</v>
      </c>
      <c r="G291" s="54">
        <f>_xlfn.XLOOKUP(C291,Planilha3!A:A,Planilha3!F:F)</f>
        <v>45471.599027777775</v>
      </c>
      <c r="H291" s="54">
        <f>_xlfn.XLOOKUP(C291,Planilha3!A:A,Planilha3!G:G)</f>
        <v>45922</v>
      </c>
      <c r="I291" s="23">
        <f>_xlfn.XLOOKUP(K291,Grupo!F:F,Grupo!G:G)</f>
        <v>46440.22</v>
      </c>
      <c r="J291" s="6">
        <f>_xlfn.XLOOKUP(D291,Grupo!B:B,Grupo!C:C)</f>
        <v>8</v>
      </c>
      <c r="K291" s="24">
        <f>_xlfn.XLOOKUP(A291,[1]COORDENADAS_GEOGRÁFICAS!$D:$D,[1]COORDENADAS_GEOGRÁFICAS!$F:$F)</f>
        <v>80</v>
      </c>
      <c r="L291" s="53"/>
      <c r="M291" s="53"/>
      <c r="N291" s="52">
        <f>_xlfn.XLOOKUP(D291,Grupo!B:B,Grupo!D:D)</f>
        <v>-9.5945702878096721</v>
      </c>
      <c r="O291" s="52">
        <f>_xlfn.XLOOKUP(D291,Grupo!B:B,Grupo!E:E)</f>
        <v>-46.675165455846134</v>
      </c>
      <c r="P291" s="52">
        <f>_xlfn.XLOOKUP(A291,[1]COORDENADAS_GEOGRÁFICAS!$D:$D,[1]COORDENADAS_GEOGRÁFICAS!$G:$G)</f>
        <v>-9.8533279999999994</v>
      </c>
      <c r="Q291" s="52">
        <f>_xlfn.XLOOKUP(A291,[1]COORDENADAS_GEOGRÁFICAS!$D:$D,[1]COORDENADAS_GEOGRÁFICAS!$H:$H)</f>
        <v>-46.870187999999999</v>
      </c>
      <c r="R291" s="20">
        <f t="shared" si="4"/>
        <v>35.842777158994394</v>
      </c>
    </row>
    <row r="292" spans="1:18" x14ac:dyDescent="0.3">
      <c r="A292" s="24">
        <v>3467110</v>
      </c>
      <c r="B292" s="24" t="s">
        <v>765</v>
      </c>
      <c r="C292" s="24">
        <v>102400192</v>
      </c>
      <c r="D292" s="24" t="str">
        <f>_xlfn.XLOOKUP(C292,Planilha3!A:A,Planilha3!C:C)</f>
        <v>LIZARDA</v>
      </c>
      <c r="E292" s="24">
        <v>1</v>
      </c>
      <c r="F292" s="54">
        <f>_xlfn.XLOOKUP(C292,Planilha3!A:A,Planilha3!E:E)</f>
        <v>45460.60837962963</v>
      </c>
      <c r="G292" s="54">
        <f>_xlfn.XLOOKUP(C292,Planilha3!A:A,Planilha3!F:F)</f>
        <v>45471.60837962963</v>
      </c>
      <c r="H292" s="54">
        <f>_xlfn.XLOOKUP(C292,Planilha3!A:A,Planilha3!G:G)</f>
        <v>45922</v>
      </c>
      <c r="I292" s="23">
        <f>_xlfn.XLOOKUP(K292,Grupo!F:F,Grupo!G:G)</f>
        <v>46440.22</v>
      </c>
      <c r="J292" s="6">
        <f>_xlfn.XLOOKUP(D292,Grupo!B:B,Grupo!C:C)</f>
        <v>8</v>
      </c>
      <c r="K292" s="24">
        <f>_xlfn.XLOOKUP(A292,[1]COORDENADAS_GEOGRÁFICAS!$D:$D,[1]COORDENADAS_GEOGRÁFICAS!$F:$F)</f>
        <v>80</v>
      </c>
      <c r="L292" s="53"/>
      <c r="M292" s="53"/>
      <c r="N292" s="52">
        <f>_xlfn.XLOOKUP(D292,Grupo!B:B,Grupo!D:D)</f>
        <v>-9.5945702878096721</v>
      </c>
      <c r="O292" s="52">
        <f>_xlfn.XLOOKUP(D292,Grupo!B:B,Grupo!E:E)</f>
        <v>-46.675165455846134</v>
      </c>
      <c r="P292" s="52">
        <f>_xlfn.XLOOKUP(A292,[1]COORDENADAS_GEOGRÁFICAS!$D:$D,[1]COORDENADAS_GEOGRÁFICAS!$G:$G)</f>
        <v>-9.8550649999999997</v>
      </c>
      <c r="Q292" s="52">
        <f>_xlfn.XLOOKUP(A292,[1]COORDENADAS_GEOGRÁFICAS!$D:$D,[1]COORDENADAS_GEOGRÁFICAS!$H:$H)</f>
        <v>-46.870274999999999</v>
      </c>
      <c r="R292" s="20">
        <f t="shared" si="4"/>
        <v>36.003636805933475</v>
      </c>
    </row>
    <row r="293" spans="1:18" x14ac:dyDescent="0.3">
      <c r="A293" s="24">
        <v>3466648</v>
      </c>
      <c r="B293" s="24" t="s">
        <v>765</v>
      </c>
      <c r="C293" s="24">
        <v>102400200</v>
      </c>
      <c r="D293" s="24" t="str">
        <f>_xlfn.XLOOKUP(C293,Planilha3!A:A,Planilha3!C:C)</f>
        <v>LIZARDA</v>
      </c>
      <c r="E293" s="24">
        <v>1</v>
      </c>
      <c r="F293" s="54">
        <f>_xlfn.XLOOKUP(C293,Planilha3!A:A,Planilha3!E:E)</f>
        <v>45463.682650462964</v>
      </c>
      <c r="G293" s="54">
        <f>_xlfn.XLOOKUP(C293,Planilha3!A:A,Planilha3!F:F)</f>
        <v>45475.682650462964</v>
      </c>
      <c r="H293" s="54">
        <f>_xlfn.XLOOKUP(C293,Planilha3!A:A,Planilha3!G:G)</f>
        <v>45922</v>
      </c>
      <c r="I293" s="23">
        <f>_xlfn.XLOOKUP(K293,Grupo!F:F,Grupo!G:G)</f>
        <v>46440.22</v>
      </c>
      <c r="J293" s="6">
        <f>_xlfn.XLOOKUP(D293,Grupo!B:B,Grupo!C:C)</f>
        <v>8</v>
      </c>
      <c r="K293" s="24">
        <f>_xlfn.XLOOKUP(A293,[1]COORDENADAS_GEOGRÁFICAS!$D:$D,[1]COORDENADAS_GEOGRÁFICAS!$F:$F)</f>
        <v>80</v>
      </c>
      <c r="L293" s="53"/>
      <c r="M293" s="53"/>
      <c r="N293" s="52">
        <f>_xlfn.XLOOKUP(D293,Grupo!B:B,Grupo!D:D)</f>
        <v>-9.5945702878096721</v>
      </c>
      <c r="O293" s="52">
        <f>_xlfn.XLOOKUP(D293,Grupo!B:B,Grupo!E:E)</f>
        <v>-46.675165455846134</v>
      </c>
      <c r="P293" s="52">
        <f>_xlfn.XLOOKUP(A293,[1]COORDENADAS_GEOGRÁFICAS!$D:$D,[1]COORDENADAS_GEOGRÁFICAS!$G:$G)</f>
        <v>-9.8718419999999991</v>
      </c>
      <c r="Q293" s="52">
        <f>_xlfn.XLOOKUP(A293,[1]COORDENADAS_GEOGRÁFICAS!$D:$D,[1]COORDENADAS_GEOGRÁFICAS!$H:$H)</f>
        <v>-46.872723000000001</v>
      </c>
      <c r="R293" s="20">
        <f t="shared" si="4"/>
        <v>37.674081302648041</v>
      </c>
    </row>
    <row r="294" spans="1:18" x14ac:dyDescent="0.3">
      <c r="A294" s="24">
        <v>3467118</v>
      </c>
      <c r="B294" s="24" t="s">
        <v>765</v>
      </c>
      <c r="C294" s="24">
        <v>102400195</v>
      </c>
      <c r="D294" s="24" t="str">
        <f>_xlfn.XLOOKUP(C294,Planilha3!A:A,Planilha3!C:C)</f>
        <v>LIZARDA</v>
      </c>
      <c r="E294" s="24">
        <v>1</v>
      </c>
      <c r="F294" s="54">
        <f>_xlfn.XLOOKUP(C294,Planilha3!A:A,Planilha3!E:E)</f>
        <v>45458.62462962963</v>
      </c>
      <c r="G294" s="54">
        <f>_xlfn.XLOOKUP(C294,Planilha3!A:A,Planilha3!F:F)</f>
        <v>45471.62462962963</v>
      </c>
      <c r="H294" s="54">
        <f>_xlfn.XLOOKUP(C294,Planilha3!A:A,Planilha3!G:G)</f>
        <v>45922</v>
      </c>
      <c r="I294" s="23">
        <f>_xlfn.XLOOKUP(K294,Grupo!F:F,Grupo!G:G)</f>
        <v>46440.22</v>
      </c>
      <c r="J294" s="6">
        <f>_xlfn.XLOOKUP(D294,Grupo!B:B,Grupo!C:C)</f>
        <v>8</v>
      </c>
      <c r="K294" s="24">
        <f>_xlfn.XLOOKUP(A294,[1]COORDENADAS_GEOGRÁFICAS!$D:$D,[1]COORDENADAS_GEOGRÁFICAS!$F:$F)</f>
        <v>80</v>
      </c>
      <c r="L294" s="53"/>
      <c r="M294" s="53"/>
      <c r="N294" s="52">
        <f>_xlfn.XLOOKUP(D294,Grupo!B:B,Grupo!D:D)</f>
        <v>-9.5945702878096721</v>
      </c>
      <c r="O294" s="52">
        <f>_xlfn.XLOOKUP(D294,Grupo!B:B,Grupo!E:E)</f>
        <v>-46.675165455846134</v>
      </c>
      <c r="P294" s="52">
        <f>_xlfn.XLOOKUP(A294,[1]COORDENADAS_GEOGRÁFICAS!$D:$D,[1]COORDENADAS_GEOGRÁFICAS!$G:$G)</f>
        <v>-9.866517</v>
      </c>
      <c r="Q294" s="52">
        <f>_xlfn.XLOOKUP(A294,[1]COORDENADAS_GEOGRÁFICAS!$D:$D,[1]COORDENADAS_GEOGRÁFICAS!$H:$H)</f>
        <v>-46.887946999999997</v>
      </c>
      <c r="R294" s="20">
        <f t="shared" si="4"/>
        <v>38.186603453375767</v>
      </c>
    </row>
    <row r="295" spans="1:18" x14ac:dyDescent="0.3">
      <c r="A295" s="24">
        <v>3469637</v>
      </c>
      <c r="B295" s="24" t="s">
        <v>765</v>
      </c>
      <c r="C295" s="24">
        <v>102400196</v>
      </c>
      <c r="D295" s="24" t="str">
        <f>_xlfn.XLOOKUP(C295,Planilha3!A:A,Planilha3!C:C)</f>
        <v>LIZARDA</v>
      </c>
      <c r="E295" s="24">
        <v>1</v>
      </c>
      <c r="F295" s="54">
        <f>_xlfn.XLOOKUP(C295,Planilha3!A:A,Planilha3!E:E)</f>
        <v>45456.645277777781</v>
      </c>
      <c r="G295" s="54">
        <f>_xlfn.XLOOKUP(C295,Planilha3!A:A,Planilha3!F:F)</f>
        <v>45471.645277777781</v>
      </c>
      <c r="H295" s="54">
        <f>_xlfn.XLOOKUP(C295,Planilha3!A:A,Planilha3!G:G)</f>
        <v>45922</v>
      </c>
      <c r="I295" s="23">
        <f>_xlfn.XLOOKUP(K295,Grupo!F:F,Grupo!G:G)</f>
        <v>46440.22</v>
      </c>
      <c r="J295" s="6">
        <f>_xlfn.XLOOKUP(D295,Grupo!B:B,Grupo!C:C)</f>
        <v>8</v>
      </c>
      <c r="K295" s="24">
        <f>_xlfn.XLOOKUP(A295,[1]COORDENADAS_GEOGRÁFICAS!$D:$D,[1]COORDENADAS_GEOGRÁFICAS!$F:$F)</f>
        <v>80</v>
      </c>
      <c r="L295" s="53"/>
      <c r="M295" s="53"/>
      <c r="N295" s="52">
        <f>_xlfn.XLOOKUP(D295,Grupo!B:B,Grupo!D:D)</f>
        <v>-9.5945702878096721</v>
      </c>
      <c r="O295" s="52">
        <f>_xlfn.XLOOKUP(D295,Grupo!B:B,Grupo!E:E)</f>
        <v>-46.675165455846134</v>
      </c>
      <c r="P295" s="52">
        <f>_xlfn.XLOOKUP(A295,[1]COORDENADAS_GEOGRÁFICAS!$D:$D,[1]COORDENADAS_GEOGRÁFICAS!$G:$G)</f>
        <v>-9.8667730000000002</v>
      </c>
      <c r="Q295" s="52">
        <f>_xlfn.XLOOKUP(A295,[1]COORDENADAS_GEOGRÁFICAS!$D:$D,[1]COORDENADAS_GEOGRÁFICAS!$H:$H)</f>
        <v>-46.890453000000001</v>
      </c>
      <c r="R295" s="20">
        <f t="shared" si="4"/>
        <v>38.377381600971184</v>
      </c>
    </row>
    <row r="296" spans="1:18" x14ac:dyDescent="0.3">
      <c r="A296" s="24">
        <v>3466559</v>
      </c>
      <c r="B296" s="24" t="s">
        <v>765</v>
      </c>
      <c r="C296" s="24">
        <v>102400198</v>
      </c>
      <c r="D296" s="24" t="str">
        <f>_xlfn.XLOOKUP(C296,Planilha3!A:A,Planilha3!C:C)</f>
        <v>LIZARDA</v>
      </c>
      <c r="E296" s="24">
        <v>1</v>
      </c>
      <c r="F296" s="54">
        <f>_xlfn.XLOOKUP(C296,Planilha3!A:A,Planilha3!E:E)</f>
        <v>45459.631111111114</v>
      </c>
      <c r="G296" s="54">
        <f>_xlfn.XLOOKUP(C296,Planilha3!A:A,Planilha3!F:F)</f>
        <v>45475.631111111114</v>
      </c>
      <c r="H296" s="54">
        <f>_xlfn.XLOOKUP(C296,Planilha3!A:A,Planilha3!G:G)</f>
        <v>45922</v>
      </c>
      <c r="I296" s="23">
        <f>_xlfn.XLOOKUP(K296,Grupo!F:F,Grupo!G:G)</f>
        <v>46440.22</v>
      </c>
      <c r="J296" s="6">
        <f>_xlfn.XLOOKUP(D296,Grupo!B:B,Grupo!C:C)</f>
        <v>8</v>
      </c>
      <c r="K296" s="24">
        <f>_xlfn.XLOOKUP(A296,[1]COORDENADAS_GEOGRÁFICAS!$D:$D,[1]COORDENADAS_GEOGRÁFICAS!$F:$F)</f>
        <v>80</v>
      </c>
      <c r="L296" s="53"/>
      <c r="M296" s="53"/>
      <c r="N296" s="52">
        <f>_xlfn.XLOOKUP(D296,Grupo!B:B,Grupo!D:D)</f>
        <v>-9.5945702878096721</v>
      </c>
      <c r="O296" s="52">
        <f>_xlfn.XLOOKUP(D296,Grupo!B:B,Grupo!E:E)</f>
        <v>-46.675165455846134</v>
      </c>
      <c r="P296" s="52">
        <f>_xlfn.XLOOKUP(A296,[1]COORDENADAS_GEOGRÁFICAS!$D:$D,[1]COORDENADAS_GEOGRÁFICAS!$G:$G)</f>
        <v>-9.8712769999999992</v>
      </c>
      <c r="Q296" s="52">
        <f>_xlfn.XLOOKUP(A296,[1]COORDENADAS_GEOGRÁFICAS!$D:$D,[1]COORDENADAS_GEOGRÁFICAS!$H:$H)</f>
        <v>-46.887185000000002</v>
      </c>
      <c r="R296" s="20">
        <f t="shared" si="4"/>
        <v>38.556601223135786</v>
      </c>
    </row>
    <row r="297" spans="1:18" x14ac:dyDescent="0.3">
      <c r="A297" s="24">
        <v>3467224</v>
      </c>
      <c r="B297" s="24" t="s">
        <v>765</v>
      </c>
      <c r="C297" s="24">
        <v>102400205</v>
      </c>
      <c r="D297" s="24" t="str">
        <f>_xlfn.XLOOKUP(C297,Planilha3!A:A,Planilha3!C:C)</f>
        <v>LIZARDA</v>
      </c>
      <c r="E297" s="24">
        <v>1</v>
      </c>
      <c r="F297" s="54">
        <f>_xlfn.XLOOKUP(C297,Planilha3!A:A,Planilha3!E:E)</f>
        <v>45465.681689814817</v>
      </c>
      <c r="G297" s="54">
        <f>_xlfn.XLOOKUP(C297,Planilha3!A:A,Planilha3!F:F)</f>
        <v>45476.681689814817</v>
      </c>
      <c r="H297" s="54">
        <f>_xlfn.XLOOKUP(C297,Planilha3!A:A,Planilha3!G:G)</f>
        <v>45922</v>
      </c>
      <c r="I297" s="23">
        <f>_xlfn.XLOOKUP(K297,Grupo!F:F,Grupo!G:G)</f>
        <v>46440.22</v>
      </c>
      <c r="J297" s="6">
        <f>_xlfn.XLOOKUP(D297,Grupo!B:B,Grupo!C:C)</f>
        <v>8</v>
      </c>
      <c r="K297" s="24">
        <f>_xlfn.XLOOKUP(A297,[1]COORDENADAS_GEOGRÁFICAS!$D:$D,[1]COORDENADAS_GEOGRÁFICAS!$F:$F)</f>
        <v>80</v>
      </c>
      <c r="L297" s="53"/>
      <c r="M297" s="53"/>
      <c r="N297" s="52">
        <f>_xlfn.XLOOKUP(D297,Grupo!B:B,Grupo!D:D)</f>
        <v>-9.5945702878096721</v>
      </c>
      <c r="O297" s="52">
        <f>_xlfn.XLOOKUP(D297,Grupo!B:B,Grupo!E:E)</f>
        <v>-46.675165455846134</v>
      </c>
      <c r="P297" s="52">
        <f>_xlfn.XLOOKUP(A297,[1]COORDENADAS_GEOGRÁFICAS!$D:$D,[1]COORDENADAS_GEOGRÁFICAS!$G:$G)</f>
        <v>-9.8800519999999992</v>
      </c>
      <c r="Q297" s="52">
        <f>_xlfn.XLOOKUP(A297,[1]COORDENADAS_GEOGRÁFICAS!$D:$D,[1]COORDENADAS_GEOGRÁFICAS!$H:$H)</f>
        <v>-46.885902999999999</v>
      </c>
      <c r="R297" s="20">
        <f t="shared" si="4"/>
        <v>39.256635919104816</v>
      </c>
    </row>
    <row r="298" spans="1:18" x14ac:dyDescent="0.3">
      <c r="A298" s="24">
        <v>3463153</v>
      </c>
      <c r="B298" s="24" t="s">
        <v>765</v>
      </c>
      <c r="C298" s="24">
        <v>102400175</v>
      </c>
      <c r="D298" s="24" t="str">
        <f>_xlfn.XLOOKUP(C298,Planilha3!A:A,Planilha3!C:C)</f>
        <v>LIZARDA</v>
      </c>
      <c r="E298" s="24">
        <v>1</v>
      </c>
      <c r="F298" s="54">
        <f>_xlfn.XLOOKUP(C298,Planilha3!A:A,Planilha3!E:E)</f>
        <v>45457.726226851853</v>
      </c>
      <c r="G298" s="54">
        <f>_xlfn.XLOOKUP(C298,Planilha3!A:A,Planilha3!F:F)</f>
        <v>45469.726226851853</v>
      </c>
      <c r="H298" s="54">
        <f>_xlfn.XLOOKUP(C298,Planilha3!A:A,Planilha3!G:G)</f>
        <v>45922</v>
      </c>
      <c r="I298" s="23">
        <f>_xlfn.XLOOKUP(K298,Grupo!F:F,Grupo!G:G)</f>
        <v>46440.22</v>
      </c>
      <c r="J298" s="6">
        <f>_xlfn.XLOOKUP(D298,Grupo!B:B,Grupo!C:C)</f>
        <v>8</v>
      </c>
      <c r="K298" s="24">
        <f>_xlfn.XLOOKUP(A298,[1]COORDENADAS_GEOGRÁFICAS!$D:$D,[1]COORDENADAS_GEOGRÁFICAS!$F:$F)</f>
        <v>80</v>
      </c>
      <c r="L298" s="53"/>
      <c r="M298" s="53"/>
      <c r="N298" s="52">
        <f>_xlfn.XLOOKUP(D298,Grupo!B:B,Grupo!D:D)</f>
        <v>-9.5945702878096721</v>
      </c>
      <c r="O298" s="52">
        <f>_xlfn.XLOOKUP(D298,Grupo!B:B,Grupo!E:E)</f>
        <v>-46.675165455846134</v>
      </c>
      <c r="P298" s="52">
        <f>_xlfn.XLOOKUP(A298,[1]COORDENADAS_GEOGRÁFICAS!$D:$D,[1]COORDENADAS_GEOGRÁFICAS!$G:$G)</f>
        <v>-9.6556800000000003</v>
      </c>
      <c r="Q298" s="52">
        <f>_xlfn.XLOOKUP(A298,[1]COORDENADAS_GEOGRÁFICAS!$D:$D,[1]COORDENADAS_GEOGRÁFICAS!$H:$H)</f>
        <v>-46.844332000000001</v>
      </c>
      <c r="R298" s="20">
        <f t="shared" si="4"/>
        <v>19.751324597340112</v>
      </c>
    </row>
    <row r="299" spans="1:18" x14ac:dyDescent="0.3">
      <c r="A299" s="24">
        <v>3467048</v>
      </c>
      <c r="B299" s="24" t="s">
        <v>765</v>
      </c>
      <c r="C299" s="24">
        <v>102400197</v>
      </c>
      <c r="D299" s="24" t="str">
        <f>_xlfn.XLOOKUP(C299,Planilha3!A:A,Planilha3!C:C)</f>
        <v>LIZARDA</v>
      </c>
      <c r="E299" s="24">
        <v>1</v>
      </c>
      <c r="F299" s="54">
        <f>_xlfn.XLOOKUP(C299,Planilha3!A:A,Planilha3!E:E)</f>
        <v>45458.67496527778</v>
      </c>
      <c r="G299" s="54">
        <f>_xlfn.XLOOKUP(C299,Planilha3!A:A,Planilha3!F:F)</f>
        <v>45471.67496527778</v>
      </c>
      <c r="H299" s="54">
        <f>_xlfn.XLOOKUP(C299,Planilha3!A:A,Planilha3!G:G)</f>
        <v>45922</v>
      </c>
      <c r="I299" s="23">
        <f>_xlfn.XLOOKUP(K299,Grupo!F:F,Grupo!G:G)</f>
        <v>46440.22</v>
      </c>
      <c r="J299" s="6">
        <f>_xlfn.XLOOKUP(D299,Grupo!B:B,Grupo!C:C)</f>
        <v>8</v>
      </c>
      <c r="K299" s="24">
        <f>_xlfn.XLOOKUP(A299,[1]COORDENADAS_GEOGRÁFICAS!$D:$D,[1]COORDENADAS_GEOGRÁFICAS!$F:$F)</f>
        <v>80</v>
      </c>
      <c r="L299" s="53"/>
      <c r="M299" s="53"/>
      <c r="N299" s="52">
        <f>_xlfn.XLOOKUP(D299,Grupo!B:B,Grupo!D:D)</f>
        <v>-9.5945702878096721</v>
      </c>
      <c r="O299" s="52">
        <f>_xlfn.XLOOKUP(D299,Grupo!B:B,Grupo!E:E)</f>
        <v>-46.675165455846134</v>
      </c>
      <c r="P299" s="52">
        <f>_xlfn.XLOOKUP(A299,[1]COORDENADAS_GEOGRÁFICAS!$D:$D,[1]COORDENADAS_GEOGRÁFICAS!$G:$G)</f>
        <v>-9.8689400000000003</v>
      </c>
      <c r="Q299" s="52">
        <f>_xlfn.XLOOKUP(A299,[1]COORDENADAS_GEOGRÁFICAS!$D:$D,[1]COORDENADAS_GEOGRÁFICAS!$H:$H)</f>
        <v>-46.885283000000001</v>
      </c>
      <c r="R299" s="20">
        <f t="shared" si="4"/>
        <v>38.22365803805485</v>
      </c>
    </row>
    <row r="300" spans="1:18" x14ac:dyDescent="0.3">
      <c r="A300" s="24">
        <v>3465557</v>
      </c>
      <c r="B300" s="24" t="s">
        <v>765</v>
      </c>
      <c r="C300" s="24">
        <v>102400209</v>
      </c>
      <c r="D300" s="24" t="str">
        <f>_xlfn.XLOOKUP(C300,Planilha3!A:A,Planilha3!C:C)</f>
        <v>LIZARDA</v>
      </c>
      <c r="E300" s="24">
        <v>1</v>
      </c>
      <c r="F300" s="54">
        <f>_xlfn.XLOOKUP(C300,Planilha3!A:A,Planilha3!E:E)</f>
        <v>45462.611689814818</v>
      </c>
      <c r="G300" s="54">
        <f>_xlfn.XLOOKUP(C300,Planilha3!A:A,Planilha3!F:F)</f>
        <v>45477.611689814818</v>
      </c>
      <c r="H300" s="54">
        <f>_xlfn.XLOOKUP(C300,Planilha3!A:A,Planilha3!G:G)</f>
        <v>45922</v>
      </c>
      <c r="I300" s="23">
        <f>_xlfn.XLOOKUP(K300,Grupo!F:F,Grupo!G:G)</f>
        <v>46440.22</v>
      </c>
      <c r="J300" s="6">
        <f>_xlfn.XLOOKUP(D300,Grupo!B:B,Grupo!C:C)</f>
        <v>8</v>
      </c>
      <c r="K300" s="24">
        <f>_xlfn.XLOOKUP(A300,[1]COORDENADAS_GEOGRÁFICAS!$D:$D,[1]COORDENADAS_GEOGRÁFICAS!$F:$F)</f>
        <v>80</v>
      </c>
      <c r="L300" s="53"/>
      <c r="M300" s="53"/>
      <c r="N300" s="52">
        <f>_xlfn.XLOOKUP(D300,Grupo!B:B,Grupo!D:D)</f>
        <v>-9.5945702878096721</v>
      </c>
      <c r="O300" s="52">
        <f>_xlfn.XLOOKUP(D300,Grupo!B:B,Grupo!E:E)</f>
        <v>-46.675165455846134</v>
      </c>
      <c r="P300" s="52">
        <f>_xlfn.XLOOKUP(A300,[1]COORDENADAS_GEOGRÁFICAS!$D:$D,[1]COORDENADAS_GEOGRÁFICAS!$G:$G)</f>
        <v>-9.9202919999999999</v>
      </c>
      <c r="Q300" s="52">
        <f>_xlfn.XLOOKUP(A300,[1]COORDENADAS_GEOGRÁFICAS!$D:$D,[1]COORDENADAS_GEOGRÁFICAS!$H:$H)</f>
        <v>-47.040819999999997</v>
      </c>
      <c r="R300" s="20">
        <f t="shared" si="4"/>
        <v>54.013407571813715</v>
      </c>
    </row>
    <row r="301" spans="1:18" x14ac:dyDescent="0.3">
      <c r="A301" s="24">
        <v>3466157</v>
      </c>
      <c r="B301" s="24" t="s">
        <v>765</v>
      </c>
      <c r="C301" s="24">
        <v>102400208</v>
      </c>
      <c r="D301" s="24" t="str">
        <f>_xlfn.XLOOKUP(C301,Planilha3!A:A,Planilha3!C:C)</f>
        <v>LIZARDA</v>
      </c>
      <c r="E301" s="24">
        <v>1</v>
      </c>
      <c r="F301" s="54">
        <f>_xlfn.XLOOKUP(C301,Planilha3!A:A,Planilha3!E:E)</f>
        <v>45465.722129629627</v>
      </c>
      <c r="G301" s="54">
        <f>_xlfn.XLOOKUP(C301,Planilha3!A:A,Planilha3!F:F)</f>
        <v>45476.722129629627</v>
      </c>
      <c r="H301" s="54">
        <f>_xlfn.XLOOKUP(C301,Planilha3!A:A,Planilha3!G:G)</f>
        <v>45922</v>
      </c>
      <c r="I301" s="23">
        <f>_xlfn.XLOOKUP(K301,Grupo!F:F,Grupo!G:G)</f>
        <v>46440.22</v>
      </c>
      <c r="J301" s="6">
        <f>_xlfn.XLOOKUP(D301,Grupo!B:B,Grupo!C:C)</f>
        <v>8</v>
      </c>
      <c r="K301" s="24">
        <f>_xlfn.XLOOKUP(A301,[1]COORDENADAS_GEOGRÁFICAS!$D:$D,[1]COORDENADAS_GEOGRÁFICAS!$F:$F)</f>
        <v>80</v>
      </c>
      <c r="L301" s="53"/>
      <c r="M301" s="53"/>
      <c r="N301" s="52">
        <f>_xlfn.XLOOKUP(D301,Grupo!B:B,Grupo!D:D)</f>
        <v>-9.5945702878096721</v>
      </c>
      <c r="O301" s="52">
        <f>_xlfn.XLOOKUP(D301,Grupo!B:B,Grupo!E:E)</f>
        <v>-46.675165455846134</v>
      </c>
      <c r="P301" s="52">
        <f>_xlfn.XLOOKUP(A301,[1]COORDENADAS_GEOGRÁFICAS!$D:$D,[1]COORDENADAS_GEOGRÁFICAS!$G:$G)</f>
        <v>-9.9001149999999996</v>
      </c>
      <c r="Q301" s="52">
        <f>_xlfn.XLOOKUP(A301,[1]COORDENADAS_GEOGRÁFICAS!$D:$D,[1]COORDENADAS_GEOGRÁFICAS!$H:$H)</f>
        <v>-47.049218000000003</v>
      </c>
      <c r="R301" s="20">
        <f t="shared" si="4"/>
        <v>53.241590664265708</v>
      </c>
    </row>
    <row r="302" spans="1:18" x14ac:dyDescent="0.3">
      <c r="A302" s="24">
        <v>3467250</v>
      </c>
      <c r="B302" s="24" t="s">
        <v>765</v>
      </c>
      <c r="C302" s="24">
        <v>102400207</v>
      </c>
      <c r="D302" s="24" t="str">
        <f>_xlfn.XLOOKUP(C302,Planilha3!A:A,Planilha3!C:C)</f>
        <v>LIZARDA</v>
      </c>
      <c r="E302" s="24">
        <v>1</v>
      </c>
      <c r="F302" s="54">
        <f>_xlfn.XLOOKUP(C302,Planilha3!A:A,Planilha3!E:E)</f>
        <v>45464.707638888889</v>
      </c>
      <c r="G302" s="54">
        <f>_xlfn.XLOOKUP(C302,Planilha3!A:A,Planilha3!F:F)</f>
        <v>45476.707638888889</v>
      </c>
      <c r="H302" s="54">
        <f>_xlfn.XLOOKUP(C302,Planilha3!A:A,Planilha3!G:G)</f>
        <v>45922</v>
      </c>
      <c r="I302" s="23">
        <f>_xlfn.XLOOKUP(K302,Grupo!F:F,Grupo!G:G)</f>
        <v>46440.22</v>
      </c>
      <c r="J302" s="6">
        <f>_xlfn.XLOOKUP(D302,Grupo!B:B,Grupo!C:C)</f>
        <v>8</v>
      </c>
      <c r="K302" s="24">
        <f>_xlfn.XLOOKUP(A302,[1]COORDENADAS_GEOGRÁFICAS!$D:$D,[1]COORDENADAS_GEOGRÁFICAS!$F:$F)</f>
        <v>80</v>
      </c>
      <c r="L302" s="53"/>
      <c r="M302" s="53"/>
      <c r="N302" s="52">
        <f>_xlfn.XLOOKUP(D302,Grupo!B:B,Grupo!D:D)</f>
        <v>-9.5945702878096721</v>
      </c>
      <c r="O302" s="52">
        <f>_xlfn.XLOOKUP(D302,Grupo!B:B,Grupo!E:E)</f>
        <v>-46.675165455846134</v>
      </c>
      <c r="P302" s="52">
        <f>_xlfn.XLOOKUP(A302,[1]COORDENADAS_GEOGRÁFICAS!$D:$D,[1]COORDENADAS_GEOGRÁFICAS!$G:$G)</f>
        <v>-9.8880750000000006</v>
      </c>
      <c r="Q302" s="52">
        <f>_xlfn.XLOOKUP(A302,[1]COORDENADAS_GEOGRÁFICAS!$D:$D,[1]COORDENADAS_GEOGRÁFICAS!$H:$H)</f>
        <v>-47.043872</v>
      </c>
      <c r="R302" s="20">
        <f t="shared" si="4"/>
        <v>51.940920938330152</v>
      </c>
    </row>
    <row r="303" spans="1:18" x14ac:dyDescent="0.3">
      <c r="A303" s="24">
        <v>3466111</v>
      </c>
      <c r="B303" s="24" t="s">
        <v>765</v>
      </c>
      <c r="C303" s="24">
        <v>102400241</v>
      </c>
      <c r="D303" s="24" t="str">
        <f>_xlfn.XLOOKUP(C303,Planilha3!A:A,Planilha3!C:C)</f>
        <v>RIO SONO</v>
      </c>
      <c r="E303" s="24">
        <v>1</v>
      </c>
      <c r="F303" s="54">
        <f>_xlfn.XLOOKUP(C303,Planilha3!A:A,Planilha3!E:E)</f>
        <v>45465.650439814817</v>
      </c>
      <c r="G303" s="54">
        <f>_xlfn.XLOOKUP(C303,Planilha3!A:A,Planilha3!F:F)</f>
        <v>45478.650439814817</v>
      </c>
      <c r="H303" s="54">
        <f>_xlfn.XLOOKUP(C303,Planilha3!A:A,Planilha3!G:G)</f>
        <v>45922</v>
      </c>
      <c r="I303" s="23">
        <f>_xlfn.XLOOKUP(K303,Grupo!F:F,Grupo!G:G)</f>
        <v>46440.22</v>
      </c>
      <c r="J303" s="6">
        <f>_xlfn.XLOOKUP(D303,Grupo!B:B,Grupo!C:C)</f>
        <v>13</v>
      </c>
      <c r="K303" s="24">
        <f>_xlfn.XLOOKUP(A303,[1]COORDENADAS_GEOGRÁFICAS!$D:$D,[1]COORDENADAS_GEOGRÁFICAS!$F:$F)</f>
        <v>80</v>
      </c>
      <c r="L303" s="53"/>
      <c r="M303" s="53"/>
      <c r="N303" s="52">
        <f>_xlfn.XLOOKUP(D303,Grupo!B:B,Grupo!D:D)</f>
        <v>-9.347789334116106</v>
      </c>
      <c r="O303" s="52">
        <f>_xlfn.XLOOKUP(D303,Grupo!B:B,Grupo!E:E)</f>
        <v>-47.89994163913947</v>
      </c>
      <c r="P303" s="52">
        <f>_xlfn.XLOOKUP(A303,[1]COORDENADAS_GEOGRÁFICAS!$D:$D,[1]COORDENADAS_GEOGRÁFICAS!$G:$G)</f>
        <v>-9.8640950000000007</v>
      </c>
      <c r="Q303" s="52">
        <f>_xlfn.XLOOKUP(A303,[1]COORDENADAS_GEOGRÁFICAS!$D:$D,[1]COORDENADAS_GEOGRÁFICAS!$H:$H)</f>
        <v>-47.162292999999998</v>
      </c>
      <c r="R303" s="20">
        <f t="shared" si="4"/>
        <v>99.178225435117113</v>
      </c>
    </row>
    <row r="304" spans="1:18" x14ac:dyDescent="0.3">
      <c r="A304" s="24">
        <v>3465676</v>
      </c>
      <c r="B304" s="24" t="s">
        <v>765</v>
      </c>
      <c r="C304" s="24">
        <v>102400239</v>
      </c>
      <c r="D304" s="24" t="str">
        <f>_xlfn.XLOOKUP(C304,Planilha3!A:A,Planilha3!C:C)</f>
        <v>LIZARDA</v>
      </c>
      <c r="E304" s="24">
        <v>1</v>
      </c>
      <c r="F304" s="54">
        <f>_xlfn.XLOOKUP(C304,Planilha3!A:A,Planilha3!E:E)</f>
        <v>45462.663784722223</v>
      </c>
      <c r="G304" s="54">
        <f>_xlfn.XLOOKUP(C304,Planilha3!A:A,Planilha3!F:F)</f>
        <v>45477.663784722223</v>
      </c>
      <c r="H304" s="54">
        <f>_xlfn.XLOOKUP(C304,Planilha3!A:A,Planilha3!G:G)</f>
        <v>45922</v>
      </c>
      <c r="I304" s="23">
        <f>_xlfn.XLOOKUP(K304,Grupo!F:F,Grupo!G:G)</f>
        <v>46440.22</v>
      </c>
      <c r="J304" s="6">
        <f>_xlfn.XLOOKUP(D304,Grupo!B:B,Grupo!C:C)</f>
        <v>8</v>
      </c>
      <c r="K304" s="24">
        <f>_xlfn.XLOOKUP(A304,[1]COORDENADAS_GEOGRÁFICAS!$D:$D,[1]COORDENADAS_GEOGRÁFICAS!$F:$F)</f>
        <v>80</v>
      </c>
      <c r="L304" s="53"/>
      <c r="M304" s="53"/>
      <c r="N304" s="52">
        <f>_xlfn.XLOOKUP(D304,Grupo!B:B,Grupo!D:D)</f>
        <v>-9.5945702878096721</v>
      </c>
      <c r="O304" s="52">
        <f>_xlfn.XLOOKUP(D304,Grupo!B:B,Grupo!E:E)</f>
        <v>-46.675165455846134</v>
      </c>
      <c r="P304" s="52">
        <f>_xlfn.XLOOKUP(A304,[1]COORDENADAS_GEOGRÁFICAS!$D:$D,[1]COORDENADAS_GEOGRÁFICAS!$G:$G)</f>
        <v>-9.9880630000000004</v>
      </c>
      <c r="Q304" s="52">
        <f>_xlfn.XLOOKUP(A304,[1]COORDENADAS_GEOGRÁFICAS!$D:$D,[1]COORDENADAS_GEOGRÁFICAS!$H:$H)</f>
        <v>-46.95429</v>
      </c>
      <c r="R304" s="20">
        <f t="shared" si="4"/>
        <v>53.384392441660495</v>
      </c>
    </row>
    <row r="305" spans="1:18" x14ac:dyDescent="0.3">
      <c r="A305" s="24">
        <v>3466118</v>
      </c>
      <c r="B305" s="24" t="s">
        <v>765</v>
      </c>
      <c r="C305" s="24">
        <v>102400235</v>
      </c>
      <c r="D305" s="24" t="str">
        <f>_xlfn.XLOOKUP(C305,Planilha3!A:A,Planilha3!C:C)</f>
        <v>LIZARDA</v>
      </c>
      <c r="E305" s="24">
        <v>1</v>
      </c>
      <c r="F305" s="54">
        <f>_xlfn.XLOOKUP(C305,Planilha3!A:A,Planilha3!E:E)</f>
        <v>45461.616377314815</v>
      </c>
      <c r="G305" s="54">
        <f>_xlfn.XLOOKUP(C305,Planilha3!A:A,Planilha3!F:F)</f>
        <v>45477.616377314815</v>
      </c>
      <c r="H305" s="54">
        <f>_xlfn.XLOOKUP(C305,Planilha3!A:A,Planilha3!G:G)</f>
        <v>45922</v>
      </c>
      <c r="I305" s="23">
        <f>_xlfn.XLOOKUP(K305,Grupo!F:F,Grupo!G:G)</f>
        <v>46440.22</v>
      </c>
      <c r="J305" s="6">
        <f>_xlfn.XLOOKUP(D305,Grupo!B:B,Grupo!C:C)</f>
        <v>8</v>
      </c>
      <c r="K305" s="24">
        <f>_xlfn.XLOOKUP(A305,[1]COORDENADAS_GEOGRÁFICAS!$D:$D,[1]COORDENADAS_GEOGRÁFICAS!$F:$F)</f>
        <v>80</v>
      </c>
      <c r="L305" s="53"/>
      <c r="M305" s="53"/>
      <c r="N305" s="52">
        <f>_xlfn.XLOOKUP(D305,Grupo!B:B,Grupo!D:D)</f>
        <v>-9.5945702878096721</v>
      </c>
      <c r="O305" s="52">
        <f>_xlfn.XLOOKUP(D305,Grupo!B:B,Grupo!E:E)</f>
        <v>-46.675165455846134</v>
      </c>
      <c r="P305" s="52">
        <f>_xlfn.XLOOKUP(A305,[1]COORDENADAS_GEOGRÁFICAS!$D:$D,[1]COORDENADAS_GEOGRÁFICAS!$G:$G)</f>
        <v>-9.956035</v>
      </c>
      <c r="Q305" s="52">
        <f>_xlfn.XLOOKUP(A305,[1]COORDENADAS_GEOGRÁFICAS!$D:$D,[1]COORDENADAS_GEOGRÁFICAS!$H:$H)</f>
        <v>-46.939566999999997</v>
      </c>
      <c r="R305" s="20">
        <f t="shared" si="4"/>
        <v>49.547220747861203</v>
      </c>
    </row>
    <row r="306" spans="1:18" x14ac:dyDescent="0.3">
      <c r="A306" s="24">
        <v>3466117</v>
      </c>
      <c r="B306" s="24" t="s">
        <v>765</v>
      </c>
      <c r="C306" s="24">
        <v>102400237</v>
      </c>
      <c r="D306" s="24" t="str">
        <f>_xlfn.XLOOKUP(C306,Planilha3!A:A,Planilha3!C:C)</f>
        <v>LIZARDA</v>
      </c>
      <c r="E306" s="24">
        <v>1</v>
      </c>
      <c r="F306" s="54">
        <f>_xlfn.XLOOKUP(C306,Planilha3!A:A,Planilha3!E:E)</f>
        <v>45466.627337962964</v>
      </c>
      <c r="G306" s="54">
        <f>_xlfn.XLOOKUP(C306,Planilha3!A:A,Planilha3!F:F)</f>
        <v>45477.627337962964</v>
      </c>
      <c r="H306" s="54">
        <f>_xlfn.XLOOKUP(C306,Planilha3!A:A,Planilha3!G:G)</f>
        <v>45922</v>
      </c>
      <c r="I306" s="23">
        <f>_xlfn.XLOOKUP(K306,Grupo!F:F,Grupo!G:G)</f>
        <v>46440.22</v>
      </c>
      <c r="J306" s="6">
        <f>_xlfn.XLOOKUP(D306,Grupo!B:B,Grupo!C:C)</f>
        <v>8</v>
      </c>
      <c r="K306" s="24">
        <f>_xlfn.XLOOKUP(A306,[1]COORDENADAS_GEOGRÁFICAS!$D:$D,[1]COORDENADAS_GEOGRÁFICAS!$F:$F)</f>
        <v>80</v>
      </c>
      <c r="L306" s="53"/>
      <c r="M306" s="53"/>
      <c r="N306" s="52">
        <f>_xlfn.XLOOKUP(D306,Grupo!B:B,Grupo!D:D)</f>
        <v>-9.5945702878096721</v>
      </c>
      <c r="O306" s="52">
        <f>_xlfn.XLOOKUP(D306,Grupo!B:B,Grupo!E:E)</f>
        <v>-46.675165455846134</v>
      </c>
      <c r="P306" s="52">
        <f>_xlfn.XLOOKUP(A306,[1]COORDENADAS_GEOGRÁFICAS!$D:$D,[1]COORDENADAS_GEOGRÁFICAS!$G:$G)</f>
        <v>-9.9596119999999999</v>
      </c>
      <c r="Q306" s="52">
        <f>_xlfn.XLOOKUP(A306,[1]COORDENADAS_GEOGRÁFICAS!$D:$D,[1]COORDENADAS_GEOGRÁFICAS!$H:$H)</f>
        <v>-46.939100000000003</v>
      </c>
      <c r="R306" s="20">
        <f t="shared" si="4"/>
        <v>49.840611941258345</v>
      </c>
    </row>
    <row r="307" spans="1:18" x14ac:dyDescent="0.3">
      <c r="A307" s="24">
        <v>3466107</v>
      </c>
      <c r="B307" s="24" t="s">
        <v>765</v>
      </c>
      <c r="C307" s="24">
        <v>102400242</v>
      </c>
      <c r="D307" s="24" t="str">
        <f>_xlfn.XLOOKUP(C307,Planilha3!A:A,Planilha3!C:C)</f>
        <v>LIZARDA</v>
      </c>
      <c r="E307" s="24">
        <v>1</v>
      </c>
      <c r="F307" s="54">
        <f>_xlfn.XLOOKUP(C307,Planilha3!A:A,Planilha3!E:E)</f>
        <v>45466.689756944441</v>
      </c>
      <c r="G307" s="54">
        <f>_xlfn.XLOOKUP(C307,Planilha3!A:A,Planilha3!F:F)</f>
        <v>45478.689756944441</v>
      </c>
      <c r="H307" s="54">
        <f>_xlfn.XLOOKUP(C307,Planilha3!A:A,Planilha3!G:G)</f>
        <v>45922</v>
      </c>
      <c r="I307" s="23">
        <f>_xlfn.XLOOKUP(K307,Grupo!F:F,Grupo!G:G)</f>
        <v>46440.22</v>
      </c>
      <c r="J307" s="6">
        <f>_xlfn.XLOOKUP(D307,Grupo!B:B,Grupo!C:C)</f>
        <v>8</v>
      </c>
      <c r="K307" s="24">
        <f>_xlfn.XLOOKUP(A307,[1]COORDENADAS_GEOGRÁFICAS!$D:$D,[1]COORDENADAS_GEOGRÁFICAS!$F:$F)</f>
        <v>80</v>
      </c>
      <c r="L307" s="53"/>
      <c r="M307" s="53"/>
      <c r="N307" s="52">
        <f>_xlfn.XLOOKUP(D307,Grupo!B:B,Grupo!D:D)</f>
        <v>-9.5945702878096721</v>
      </c>
      <c r="O307" s="52">
        <f>_xlfn.XLOOKUP(D307,Grupo!B:B,Grupo!E:E)</f>
        <v>-46.675165455846134</v>
      </c>
      <c r="P307" s="52">
        <f>_xlfn.XLOOKUP(A307,[1]COORDENADAS_GEOGRÁFICAS!$D:$D,[1]COORDENADAS_GEOGRÁFICAS!$G:$G)</f>
        <v>-9.9365670000000001</v>
      </c>
      <c r="Q307" s="52">
        <f>_xlfn.XLOOKUP(A307,[1]COORDENADAS_GEOGRÁFICAS!$D:$D,[1]COORDENADAS_GEOGRÁFICAS!$H:$H)</f>
        <v>-46.956429999999997</v>
      </c>
      <c r="R307" s="20">
        <f t="shared" si="4"/>
        <v>48.950433210811745</v>
      </c>
    </row>
    <row r="308" spans="1:18" x14ac:dyDescent="0.3">
      <c r="A308" s="24">
        <v>3467613</v>
      </c>
      <c r="B308" s="24" t="s">
        <v>765</v>
      </c>
      <c r="C308" s="24">
        <v>102400243</v>
      </c>
      <c r="D308" s="24" t="str">
        <f>_xlfn.XLOOKUP(C308,Planilha3!A:A,Planilha3!C:C)</f>
        <v>LIZARDA</v>
      </c>
      <c r="E308" s="24">
        <v>1</v>
      </c>
      <c r="F308" s="54">
        <f>_xlfn.XLOOKUP(C308,Planilha3!A:A,Planilha3!E:E)</f>
        <v>45465.703159722223</v>
      </c>
      <c r="G308" s="54">
        <f>_xlfn.XLOOKUP(C308,Planilha3!A:A,Planilha3!F:F)</f>
        <v>45478.703159722223</v>
      </c>
      <c r="H308" s="54">
        <f>_xlfn.XLOOKUP(C308,Planilha3!A:A,Planilha3!G:G)</f>
        <v>45922</v>
      </c>
      <c r="I308" s="23">
        <f>_xlfn.XLOOKUP(K308,Grupo!F:F,Grupo!G:G)</f>
        <v>46440.22</v>
      </c>
      <c r="J308" s="6">
        <f>_xlfn.XLOOKUP(D308,Grupo!B:B,Grupo!C:C)</f>
        <v>8</v>
      </c>
      <c r="K308" s="24">
        <f>_xlfn.XLOOKUP(A308,[1]COORDENADAS_GEOGRÁFICAS!$D:$D,[1]COORDENADAS_GEOGRÁFICAS!$F:$F)</f>
        <v>80</v>
      </c>
      <c r="L308" s="53"/>
      <c r="M308" s="53"/>
      <c r="N308" s="52">
        <f>_xlfn.XLOOKUP(D308,Grupo!B:B,Grupo!D:D)</f>
        <v>-9.5945702878096721</v>
      </c>
      <c r="O308" s="52">
        <f>_xlfn.XLOOKUP(D308,Grupo!B:B,Grupo!E:E)</f>
        <v>-46.675165455846134</v>
      </c>
      <c r="P308" s="52">
        <f>_xlfn.XLOOKUP(A308,[1]COORDENADAS_GEOGRÁFICAS!$D:$D,[1]COORDENADAS_GEOGRÁFICAS!$G:$G)</f>
        <v>-9.8761369999999999</v>
      </c>
      <c r="Q308" s="52">
        <f>_xlfn.XLOOKUP(A308,[1]COORDENADAS_GEOGRÁFICAS!$D:$D,[1]COORDENADAS_GEOGRÁFICAS!$H:$H)</f>
        <v>-46.745440000000002</v>
      </c>
      <c r="R308" s="20">
        <f t="shared" si="4"/>
        <v>32.242138666133464</v>
      </c>
    </row>
    <row r="309" spans="1:18" x14ac:dyDescent="0.3">
      <c r="A309" s="24">
        <v>3465682</v>
      </c>
      <c r="B309" s="24" t="s">
        <v>765</v>
      </c>
      <c r="C309" s="24">
        <v>102400238</v>
      </c>
      <c r="D309" s="24" t="str">
        <f>_xlfn.XLOOKUP(C309,Planilha3!A:A,Planilha3!C:C)</f>
        <v>LIZARDA</v>
      </c>
      <c r="E309" s="24">
        <v>1</v>
      </c>
      <c r="F309" s="54">
        <f>_xlfn.XLOOKUP(C309,Planilha3!A:A,Planilha3!E:E)</f>
        <v>45462.654710648145</v>
      </c>
      <c r="G309" s="54">
        <f>_xlfn.XLOOKUP(C309,Planilha3!A:A,Planilha3!F:F)</f>
        <v>45477.654710648145</v>
      </c>
      <c r="H309" s="54">
        <f>_xlfn.XLOOKUP(C309,Planilha3!A:A,Planilha3!G:G)</f>
        <v>45922</v>
      </c>
      <c r="I309" s="23">
        <f>_xlfn.XLOOKUP(K309,Grupo!F:F,Grupo!G:G)</f>
        <v>46440.22</v>
      </c>
      <c r="J309" s="6">
        <f>_xlfn.XLOOKUP(D309,Grupo!B:B,Grupo!C:C)</f>
        <v>8</v>
      </c>
      <c r="K309" s="24">
        <f>_xlfn.XLOOKUP(A309,[1]COORDENADAS_GEOGRÁFICAS!$D:$D,[1]COORDENADAS_GEOGRÁFICAS!$F:$F)</f>
        <v>80</v>
      </c>
      <c r="L309" s="53"/>
      <c r="M309" s="53"/>
      <c r="N309" s="52">
        <f>_xlfn.XLOOKUP(D309,Grupo!B:B,Grupo!D:D)</f>
        <v>-9.5945702878096721</v>
      </c>
      <c r="O309" s="52">
        <f>_xlfn.XLOOKUP(D309,Grupo!B:B,Grupo!E:E)</f>
        <v>-46.675165455846134</v>
      </c>
      <c r="P309" s="52">
        <f>_xlfn.XLOOKUP(A309,[1]COORDENADAS_GEOGRÁFICAS!$D:$D,[1]COORDENADAS_GEOGRÁFICAS!$G:$G)</f>
        <v>-9.9707849999999993</v>
      </c>
      <c r="Q309" s="52">
        <f>_xlfn.XLOOKUP(A309,[1]COORDENADAS_GEOGRÁFICAS!$D:$D,[1]COORDENADAS_GEOGRÁFICAS!$H:$H)</f>
        <v>-46.812967999999998</v>
      </c>
      <c r="R309" s="20">
        <f t="shared" si="4"/>
        <v>44.475017148698399</v>
      </c>
    </row>
    <row r="310" spans="1:18" x14ac:dyDescent="0.3">
      <c r="A310" s="24">
        <v>3466120</v>
      </c>
      <c r="B310" s="24" t="s">
        <v>765</v>
      </c>
      <c r="C310" s="24">
        <v>102400233</v>
      </c>
      <c r="D310" s="24" t="str">
        <f>_xlfn.XLOOKUP(C310,Planilha3!A:A,Planilha3!C:C)</f>
        <v>LIZARDA</v>
      </c>
      <c r="E310" s="24">
        <v>1</v>
      </c>
      <c r="F310" s="54">
        <f>_xlfn.XLOOKUP(C310,Planilha3!A:A,Planilha3!E:E)</f>
        <v>45466.602129629631</v>
      </c>
      <c r="G310" s="54">
        <f>_xlfn.XLOOKUP(C310,Planilha3!A:A,Planilha3!F:F)</f>
        <v>45477.602129629631</v>
      </c>
      <c r="H310" s="54">
        <f>_xlfn.XLOOKUP(C310,Planilha3!A:A,Planilha3!G:G)</f>
        <v>45922</v>
      </c>
      <c r="I310" s="23">
        <f>_xlfn.XLOOKUP(K310,Grupo!F:F,Grupo!G:G)</f>
        <v>46440.22</v>
      </c>
      <c r="J310" s="6">
        <f>_xlfn.XLOOKUP(D310,Grupo!B:B,Grupo!C:C)</f>
        <v>8</v>
      </c>
      <c r="K310" s="24">
        <f>_xlfn.XLOOKUP(A310,[1]COORDENADAS_GEOGRÁFICAS!$D:$D,[1]COORDENADAS_GEOGRÁFICAS!$F:$F)</f>
        <v>80</v>
      </c>
      <c r="L310" s="53"/>
      <c r="M310" s="53"/>
      <c r="N310" s="52">
        <f>_xlfn.XLOOKUP(D310,Grupo!B:B,Grupo!D:D)</f>
        <v>-9.5945702878096721</v>
      </c>
      <c r="O310" s="52">
        <f>_xlfn.XLOOKUP(D310,Grupo!B:B,Grupo!E:E)</f>
        <v>-46.675165455846134</v>
      </c>
      <c r="P310" s="52">
        <f>_xlfn.XLOOKUP(A310,[1]COORDENADAS_GEOGRÁFICAS!$D:$D,[1]COORDENADAS_GEOGRÁFICAS!$G:$G)</f>
        <v>-9.9217069999999996</v>
      </c>
      <c r="Q310" s="52">
        <f>_xlfn.XLOOKUP(A310,[1]COORDENADAS_GEOGRÁFICAS!$D:$D,[1]COORDENADAS_GEOGRÁFICAS!$H:$H)</f>
        <v>-46.734990000000003</v>
      </c>
      <c r="R310" s="20">
        <f t="shared" si="4"/>
        <v>36.96200015930313</v>
      </c>
    </row>
    <row r="311" spans="1:18" x14ac:dyDescent="0.3">
      <c r="A311" s="24">
        <v>3467609</v>
      </c>
      <c r="B311" s="24" t="s">
        <v>765</v>
      </c>
      <c r="C311" s="24">
        <v>102400240</v>
      </c>
      <c r="D311" s="24" t="str">
        <f>_xlfn.XLOOKUP(C311,Planilha3!A:A,Planilha3!C:C)</f>
        <v>PALMAS</v>
      </c>
      <c r="E311" s="24">
        <v>1</v>
      </c>
      <c r="F311" s="54">
        <f>_xlfn.XLOOKUP(C311,Planilha3!A:A,Planilha3!E:E)</f>
        <v>45466.633668981478</v>
      </c>
      <c r="G311" s="54">
        <f>_xlfn.XLOOKUP(C311,Planilha3!A:A,Planilha3!F:F)</f>
        <v>45478.633668981478</v>
      </c>
      <c r="H311" s="54">
        <f>_xlfn.XLOOKUP(C311,Planilha3!A:A,Planilha3!G:G)</f>
        <v>45922</v>
      </c>
      <c r="I311" s="23">
        <f>_xlfn.XLOOKUP(K311,Grupo!F:F,Grupo!G:G)</f>
        <v>46440.22</v>
      </c>
      <c r="J311" s="6">
        <f>_xlfn.XLOOKUP(D311,Grupo!B:B,Grupo!C:C)</f>
        <v>9</v>
      </c>
      <c r="K311" s="24">
        <f>_xlfn.XLOOKUP(A311,[1]COORDENADAS_GEOGRÁFICAS!$D:$D,[1]COORDENADAS_GEOGRÁFICAS!$F:$F)</f>
        <v>80</v>
      </c>
      <c r="L311" s="53"/>
      <c r="M311" s="53"/>
      <c r="N311" s="52">
        <f>_xlfn.XLOOKUP(D311,Grupo!B:B,Grupo!D:D)</f>
        <v>-10.16325332679275</v>
      </c>
      <c r="O311" s="52">
        <f>_xlfn.XLOOKUP(D311,Grupo!B:B,Grupo!E:E)</f>
        <v>-48.351043708246195</v>
      </c>
      <c r="P311" s="52">
        <f>_xlfn.XLOOKUP(A311,[1]COORDENADAS_GEOGRÁFICAS!$D:$D,[1]COORDENADAS_GEOGRÁFICAS!$G:$G)</f>
        <v>-10.042355000000001</v>
      </c>
      <c r="Q311" s="52">
        <f>_xlfn.XLOOKUP(A311,[1]COORDENADAS_GEOGRÁFICAS!$D:$D,[1]COORDENADAS_GEOGRÁFICAS!$H:$H)</f>
        <v>-48.276260000000001</v>
      </c>
      <c r="R311" s="20">
        <f t="shared" si="4"/>
        <v>15.739844983525023</v>
      </c>
    </row>
    <row r="312" spans="1:18" x14ac:dyDescent="0.3">
      <c r="A312" s="24">
        <v>3466169</v>
      </c>
      <c r="B312" s="24" t="s">
        <v>765</v>
      </c>
      <c r="C312" s="24">
        <v>702400108</v>
      </c>
      <c r="D312" s="24" t="str">
        <f>_xlfn.XLOOKUP(C312,Planilha3!A:A,Planilha3!C:C)</f>
        <v>CENTENÁRIO</v>
      </c>
      <c r="E312" s="24">
        <v>1</v>
      </c>
      <c r="F312" s="54">
        <f>_xlfn.XLOOKUP(C312,Planilha3!A:A,Planilha3!E:E)</f>
        <v>45464.467129629629</v>
      </c>
      <c r="G312" s="54">
        <f>_xlfn.XLOOKUP(C312,Planilha3!A:A,Planilha3!F:F)</f>
        <v>45477.467129629629</v>
      </c>
      <c r="H312" s="54">
        <f>_xlfn.XLOOKUP(C312,Planilha3!A:A,Planilha3!G:G)</f>
        <v>45922</v>
      </c>
      <c r="I312" s="23">
        <f>_xlfn.XLOOKUP(K312,Grupo!F:F,Grupo!G:G)</f>
        <v>46440.22</v>
      </c>
      <c r="J312" s="6">
        <f>_xlfn.XLOOKUP(D312,Grupo!B:B,Grupo!C:C)</f>
        <v>5</v>
      </c>
      <c r="K312" s="24">
        <f>_xlfn.XLOOKUP(A312,[1]COORDENADAS_GEOGRÁFICAS!$D:$D,[1]COORDENADAS_GEOGRÁFICAS!$F:$F)</f>
        <v>80</v>
      </c>
      <c r="L312" s="53"/>
      <c r="M312" s="53"/>
      <c r="N312" s="52">
        <f>_xlfn.XLOOKUP(D312,Grupo!B:B,Grupo!D:D)</f>
        <v>-8.9584636390938019</v>
      </c>
      <c r="O312" s="52">
        <f>_xlfn.XLOOKUP(D312,Grupo!B:B,Grupo!E:E)</f>
        <v>-47.338398514587297</v>
      </c>
      <c r="P312" s="52">
        <f>_xlfn.XLOOKUP(A312,[1]COORDENADAS_GEOGRÁFICAS!$D:$D,[1]COORDENADAS_GEOGRÁFICAS!$G:$G)</f>
        <v>-8.9074050000000007</v>
      </c>
      <c r="Q312" s="52">
        <f>_xlfn.XLOOKUP(A312,[1]COORDENADAS_GEOGRÁFICAS!$D:$D,[1]COORDENADAS_GEOGRÁFICAS!$H:$H)</f>
        <v>-47.378976999999999</v>
      </c>
      <c r="R312" s="20">
        <f t="shared" si="4"/>
        <v>7.2181661735045513</v>
      </c>
    </row>
    <row r="313" spans="1:18" x14ac:dyDescent="0.3">
      <c r="A313" s="24">
        <v>3466166</v>
      </c>
      <c r="B313" s="24" t="s">
        <v>765</v>
      </c>
      <c r="C313" s="24">
        <v>702400109</v>
      </c>
      <c r="D313" s="24" t="str">
        <f>_xlfn.XLOOKUP(C313,Planilha3!A:A,Planilha3!C:C)</f>
        <v>CENTENÁRIO</v>
      </c>
      <c r="E313" s="24">
        <v>1</v>
      </c>
      <c r="F313" s="54">
        <f>_xlfn.XLOOKUP(C313,Planilha3!A:A,Planilha3!E:E)</f>
        <v>45462.594733796293</v>
      </c>
      <c r="G313" s="54">
        <f>_xlfn.XLOOKUP(C313,Planilha3!A:A,Planilha3!F:F)</f>
        <v>45477.594733796293</v>
      </c>
      <c r="H313" s="54">
        <f>_xlfn.XLOOKUP(C313,Planilha3!A:A,Planilha3!G:G)</f>
        <v>45922</v>
      </c>
      <c r="I313" s="23">
        <f>_xlfn.XLOOKUP(K313,Grupo!F:F,Grupo!G:G)</f>
        <v>46440.22</v>
      </c>
      <c r="J313" s="6">
        <f>_xlfn.XLOOKUP(D313,Grupo!B:B,Grupo!C:C)</f>
        <v>5</v>
      </c>
      <c r="K313" s="24">
        <f>_xlfn.XLOOKUP(A313,[1]COORDENADAS_GEOGRÁFICAS!$D:$D,[1]COORDENADAS_GEOGRÁFICAS!$F:$F)</f>
        <v>80</v>
      </c>
      <c r="L313" s="53"/>
      <c r="M313" s="53"/>
      <c r="N313" s="52">
        <f>_xlfn.XLOOKUP(D313,Grupo!B:B,Grupo!D:D)</f>
        <v>-8.9584636390938019</v>
      </c>
      <c r="O313" s="52">
        <f>_xlfn.XLOOKUP(D313,Grupo!B:B,Grupo!E:E)</f>
        <v>-47.338398514587297</v>
      </c>
      <c r="P313" s="52">
        <f>_xlfn.XLOOKUP(A313,[1]COORDENADAS_GEOGRÁFICAS!$D:$D,[1]COORDENADAS_GEOGRÁFICAS!$G:$G)</f>
        <v>-9.1522670000000002</v>
      </c>
      <c r="Q313" s="52">
        <f>_xlfn.XLOOKUP(A313,[1]COORDENADAS_GEOGRÁFICAS!$D:$D,[1]COORDENADAS_GEOGRÁFICAS!$H:$H)</f>
        <v>-47.579120000000003</v>
      </c>
      <c r="R313" s="20">
        <f t="shared" si="4"/>
        <v>34.104609992192081</v>
      </c>
    </row>
    <row r="314" spans="1:18" x14ac:dyDescent="0.3">
      <c r="A314" s="24">
        <v>3466109</v>
      </c>
      <c r="B314" s="24" t="s">
        <v>765</v>
      </c>
      <c r="C314" s="24">
        <v>702400112</v>
      </c>
      <c r="D314" s="24" t="str">
        <f>_xlfn.XLOOKUP(C314,Planilha3!A:A,Planilha3!C:C)</f>
        <v>CENTENÁRIO</v>
      </c>
      <c r="E314" s="24">
        <v>1</v>
      </c>
      <c r="F314" s="54">
        <f>_xlfn.XLOOKUP(C314,Planilha3!A:A,Planilha3!E:E)</f>
        <v>45462.666631944441</v>
      </c>
      <c r="G314" s="54">
        <f>_xlfn.XLOOKUP(C314,Planilha3!A:A,Planilha3!F:F)</f>
        <v>45478.666631944441</v>
      </c>
      <c r="H314" s="54">
        <f>_xlfn.XLOOKUP(C314,Planilha3!A:A,Planilha3!G:G)</f>
        <v>45922</v>
      </c>
      <c r="I314" s="23">
        <f>_xlfn.XLOOKUP(K314,Grupo!F:F,Grupo!G:G)</f>
        <v>46440.22</v>
      </c>
      <c r="J314" s="6">
        <f>_xlfn.XLOOKUP(D314,Grupo!B:B,Grupo!C:C)</f>
        <v>5</v>
      </c>
      <c r="K314" s="24">
        <f>_xlfn.XLOOKUP(A314,[1]COORDENADAS_GEOGRÁFICAS!$D:$D,[1]COORDENADAS_GEOGRÁFICAS!$F:$F)</f>
        <v>80</v>
      </c>
      <c r="L314" s="53"/>
      <c r="M314" s="53"/>
      <c r="N314" s="52">
        <f>_xlfn.XLOOKUP(D314,Grupo!B:B,Grupo!D:D)</f>
        <v>-8.9584636390938019</v>
      </c>
      <c r="O314" s="52">
        <f>_xlfn.XLOOKUP(D314,Grupo!B:B,Grupo!E:E)</f>
        <v>-47.338398514587297</v>
      </c>
      <c r="P314" s="52">
        <f>_xlfn.XLOOKUP(A314,[1]COORDENADAS_GEOGRÁFICAS!$D:$D,[1]COORDENADAS_GEOGRÁFICAS!$G:$G)</f>
        <v>-9.1529450000000008</v>
      </c>
      <c r="Q314" s="52">
        <f>_xlfn.XLOOKUP(A314,[1]COORDENADAS_GEOGRÁFICAS!$D:$D,[1]COORDENADAS_GEOGRÁFICAS!$H:$H)</f>
        <v>-47.576842999999997</v>
      </c>
      <c r="R314" s="20">
        <f t="shared" si="4"/>
        <v>33.959123714669097</v>
      </c>
    </row>
    <row r="315" spans="1:18" x14ac:dyDescent="0.3">
      <c r="A315" s="24">
        <v>3465997</v>
      </c>
      <c r="B315" s="24" t="s">
        <v>765</v>
      </c>
      <c r="C315" s="24">
        <v>402400261</v>
      </c>
      <c r="D315" s="24" t="str">
        <f>_xlfn.XLOOKUP(C315,Planilha3!A:A,Planilha3!C:C)</f>
        <v>PARANÃ</v>
      </c>
      <c r="E315" s="24">
        <v>1</v>
      </c>
      <c r="F315" s="54">
        <f>_xlfn.XLOOKUP(C315,Planilha3!A:A,Planilha3!E:E)</f>
        <v>45467.720092592594</v>
      </c>
      <c r="G315" s="54">
        <f>_xlfn.XLOOKUP(C315,Planilha3!A:A,Planilha3!F:F)</f>
        <v>45478.720092592594</v>
      </c>
      <c r="H315" s="54">
        <f>_xlfn.XLOOKUP(C315,Planilha3!A:A,Planilha3!G:G)</f>
        <v>45922</v>
      </c>
      <c r="I315" s="23">
        <f>_xlfn.XLOOKUP(K315,Grupo!F:F,Grupo!G:G)</f>
        <v>46440.22</v>
      </c>
      <c r="J315" s="6">
        <f>_xlfn.XLOOKUP(D315,Grupo!B:B,Grupo!C:C)</f>
        <v>10</v>
      </c>
      <c r="K315" s="24">
        <f>_xlfn.XLOOKUP(A315,[1]COORDENADAS_GEOGRÁFICAS!$D:$D,[1]COORDENADAS_GEOGRÁFICAS!$F:$F)</f>
        <v>80</v>
      </c>
      <c r="L315" s="53"/>
      <c r="M315" s="53"/>
      <c r="N315" s="52">
        <f>_xlfn.XLOOKUP(D315,Grupo!B:B,Grupo!D:D)</f>
        <v>-12.620481488718251</v>
      </c>
      <c r="O315" s="52">
        <f>_xlfn.XLOOKUP(D315,Grupo!B:B,Grupo!E:E)</f>
        <v>-47.884083728442604</v>
      </c>
      <c r="P315" s="52">
        <f>_xlfn.XLOOKUP(A315,[1]COORDENADAS_GEOGRÁFICAS!$D:$D,[1]COORDENADAS_GEOGRÁFICAS!$G:$G)</f>
        <v>-12.427847</v>
      </c>
      <c r="Q315" s="52">
        <f>_xlfn.XLOOKUP(A315,[1]COORDENADAS_GEOGRÁFICAS!$D:$D,[1]COORDENADAS_GEOGRÁFICAS!$H:$H)</f>
        <v>-47.864252</v>
      </c>
      <c r="R315" s="20">
        <f t="shared" si="4"/>
        <v>21.527880174837367</v>
      </c>
    </row>
    <row r="316" spans="1:18" x14ac:dyDescent="0.3">
      <c r="A316" s="24">
        <v>3465993</v>
      </c>
      <c r="B316" s="24" t="s">
        <v>765</v>
      </c>
      <c r="C316" s="24">
        <v>402400262</v>
      </c>
      <c r="D316" s="24" t="str">
        <f>_xlfn.XLOOKUP(C316,Planilha3!A:A,Planilha3!C:C)</f>
        <v>PARANÃ</v>
      </c>
      <c r="E316" s="24">
        <v>1</v>
      </c>
      <c r="F316" s="54">
        <f>_xlfn.XLOOKUP(C316,Planilha3!A:A,Planilha3!E:E)</f>
        <v>45466.727812500001</v>
      </c>
      <c r="G316" s="54">
        <f>_xlfn.XLOOKUP(C316,Planilha3!A:A,Planilha3!F:F)</f>
        <v>45478.727812500001</v>
      </c>
      <c r="H316" s="54">
        <f>_xlfn.XLOOKUP(C316,Planilha3!A:A,Planilha3!G:G)</f>
        <v>45922</v>
      </c>
      <c r="I316" s="23">
        <f>_xlfn.XLOOKUP(K316,Grupo!F:F,Grupo!G:G)</f>
        <v>46440.22</v>
      </c>
      <c r="J316" s="6">
        <f>_xlfn.XLOOKUP(D316,Grupo!B:B,Grupo!C:C)</f>
        <v>10</v>
      </c>
      <c r="K316" s="24">
        <f>_xlfn.XLOOKUP(A316,[1]COORDENADAS_GEOGRÁFICAS!$D:$D,[1]COORDENADAS_GEOGRÁFICAS!$F:$F)</f>
        <v>80</v>
      </c>
      <c r="L316" s="53"/>
      <c r="M316" s="53"/>
      <c r="N316" s="52">
        <f>_xlfn.XLOOKUP(D316,Grupo!B:B,Grupo!D:D)</f>
        <v>-12.620481488718251</v>
      </c>
      <c r="O316" s="52">
        <f>_xlfn.XLOOKUP(D316,Grupo!B:B,Grupo!E:E)</f>
        <v>-47.884083728442604</v>
      </c>
      <c r="P316" s="52">
        <f>_xlfn.XLOOKUP(A316,[1]COORDENADAS_GEOGRÁFICAS!$D:$D,[1]COORDENADAS_GEOGRÁFICAS!$G:$G)</f>
        <v>-12.42671</v>
      </c>
      <c r="Q316" s="52">
        <f>_xlfn.XLOOKUP(A316,[1]COORDENADAS_GEOGRÁFICAS!$D:$D,[1]COORDENADAS_GEOGRÁFICAS!$H:$H)</f>
        <v>-47.865538000000001</v>
      </c>
      <c r="R316" s="20">
        <f t="shared" si="4"/>
        <v>21.640247199103065</v>
      </c>
    </row>
    <row r="317" spans="1:18" x14ac:dyDescent="0.3">
      <c r="A317" s="24">
        <v>3465921</v>
      </c>
      <c r="B317" s="24" t="s">
        <v>765</v>
      </c>
      <c r="C317" s="24">
        <v>402400263</v>
      </c>
      <c r="D317" s="24" t="str">
        <f>_xlfn.XLOOKUP(C317,Planilha3!A:A,Planilha3!C:C)</f>
        <v>PARANÃ</v>
      </c>
      <c r="E317" s="24">
        <v>1</v>
      </c>
      <c r="F317" s="54">
        <f>_xlfn.XLOOKUP(C317,Planilha3!A:A,Planilha3!E:E)</f>
        <v>45465.73578703704</v>
      </c>
      <c r="G317" s="54">
        <f>_xlfn.XLOOKUP(C317,Planilha3!A:A,Planilha3!F:F)</f>
        <v>45478.73578703704</v>
      </c>
      <c r="H317" s="54">
        <f>_xlfn.XLOOKUP(C317,Planilha3!A:A,Planilha3!G:G)</f>
        <v>45922</v>
      </c>
      <c r="I317" s="23">
        <f>_xlfn.XLOOKUP(K317,Grupo!F:F,Grupo!G:G)</f>
        <v>46440.22</v>
      </c>
      <c r="J317" s="6">
        <f>_xlfn.XLOOKUP(D317,Grupo!B:B,Grupo!C:C)</f>
        <v>10</v>
      </c>
      <c r="K317" s="24">
        <f>_xlfn.XLOOKUP(A317,[1]COORDENADAS_GEOGRÁFICAS!$D:$D,[1]COORDENADAS_GEOGRÁFICAS!$F:$F)</f>
        <v>80</v>
      </c>
      <c r="L317" s="53"/>
      <c r="M317" s="53"/>
      <c r="N317" s="52">
        <f>_xlfn.XLOOKUP(D317,Grupo!B:B,Grupo!D:D)</f>
        <v>-12.620481488718251</v>
      </c>
      <c r="O317" s="52">
        <f>_xlfn.XLOOKUP(D317,Grupo!B:B,Grupo!E:E)</f>
        <v>-47.884083728442604</v>
      </c>
      <c r="P317" s="52">
        <f>_xlfn.XLOOKUP(A317,[1]COORDENADAS_GEOGRÁFICAS!$D:$D,[1]COORDENADAS_GEOGRÁFICAS!$G:$G)</f>
        <v>-12.388208000000001</v>
      </c>
      <c r="Q317" s="52">
        <f>_xlfn.XLOOKUP(A317,[1]COORDENADAS_GEOGRÁFICAS!$D:$D,[1]COORDENADAS_GEOGRÁFICAS!$H:$H)</f>
        <v>-47.834162999999997</v>
      </c>
      <c r="R317" s="20">
        <f t="shared" si="4"/>
        <v>26.390054979141926</v>
      </c>
    </row>
    <row r="318" spans="1:18" x14ac:dyDescent="0.3">
      <c r="A318" s="24">
        <v>3466652</v>
      </c>
      <c r="B318" s="24" t="s">
        <v>765</v>
      </c>
      <c r="C318" s="24">
        <v>402400264</v>
      </c>
      <c r="D318" s="24" t="str">
        <f>_xlfn.XLOOKUP(C318,Planilha3!A:A,Planilha3!C:C)</f>
        <v>PARANÃ</v>
      </c>
      <c r="E318" s="24">
        <v>1</v>
      </c>
      <c r="F318" s="54">
        <f>_xlfn.XLOOKUP(C318,Planilha3!A:A,Planilha3!E:E)</f>
        <v>45466.663159722222</v>
      </c>
      <c r="G318" s="54">
        <f>_xlfn.XLOOKUP(C318,Planilha3!A:A,Planilha3!F:F)</f>
        <v>45481.663159722222</v>
      </c>
      <c r="H318" s="54">
        <f>_xlfn.XLOOKUP(C318,Planilha3!A:A,Planilha3!G:G)</f>
        <v>45922</v>
      </c>
      <c r="I318" s="23">
        <f>_xlfn.XLOOKUP(K318,Grupo!F:F,Grupo!G:G)</f>
        <v>46440.22</v>
      </c>
      <c r="J318" s="6">
        <f>_xlfn.XLOOKUP(D318,Grupo!B:B,Grupo!C:C)</f>
        <v>10</v>
      </c>
      <c r="K318" s="24">
        <f>_xlfn.XLOOKUP(A318,[1]COORDENADAS_GEOGRÁFICAS!$D:$D,[1]COORDENADAS_GEOGRÁFICAS!$F:$F)</f>
        <v>80</v>
      </c>
      <c r="L318" s="53"/>
      <c r="M318" s="53"/>
      <c r="N318" s="52">
        <f>_xlfn.XLOOKUP(D318,Grupo!B:B,Grupo!D:D)</f>
        <v>-12.620481488718251</v>
      </c>
      <c r="O318" s="52">
        <f>_xlfn.XLOOKUP(D318,Grupo!B:B,Grupo!E:E)</f>
        <v>-47.884083728442604</v>
      </c>
      <c r="P318" s="52">
        <f>_xlfn.XLOOKUP(A318,[1]COORDENADAS_GEOGRÁFICAS!$D:$D,[1]COORDENADAS_GEOGRÁFICAS!$G:$G)</f>
        <v>-12.388525</v>
      </c>
      <c r="Q318" s="52">
        <f>_xlfn.XLOOKUP(A318,[1]COORDENADAS_GEOGRÁFICAS!$D:$D,[1]COORDENADAS_GEOGRÁFICAS!$H:$H)</f>
        <v>-47.835192999999997</v>
      </c>
      <c r="R318" s="20">
        <f t="shared" si="4"/>
        <v>26.332793796982536</v>
      </c>
    </row>
    <row r="319" spans="1:18" x14ac:dyDescent="0.3">
      <c r="A319" s="24">
        <v>3466659</v>
      </c>
      <c r="B319" s="24" t="s">
        <v>765</v>
      </c>
      <c r="C319" s="24">
        <v>402400265</v>
      </c>
      <c r="D319" s="24" t="str">
        <f>_xlfn.XLOOKUP(C319,Planilha3!A:A,Planilha3!C:C)</f>
        <v>PARANÃ</v>
      </c>
      <c r="E319" s="24">
        <v>1</v>
      </c>
      <c r="F319" s="54">
        <f>_xlfn.XLOOKUP(C319,Planilha3!A:A,Planilha3!E:E)</f>
        <v>45470.684652777774</v>
      </c>
      <c r="G319" s="54">
        <f>_xlfn.XLOOKUP(C319,Planilha3!A:A,Planilha3!F:F)</f>
        <v>45481.684652777774</v>
      </c>
      <c r="H319" s="54">
        <f>_xlfn.XLOOKUP(C319,Planilha3!A:A,Planilha3!G:G)</f>
        <v>45922</v>
      </c>
      <c r="I319" s="23">
        <f>_xlfn.XLOOKUP(K319,Grupo!F:F,Grupo!G:G)</f>
        <v>46440.22</v>
      </c>
      <c r="J319" s="6">
        <f>_xlfn.XLOOKUP(D319,Grupo!B:B,Grupo!C:C)</f>
        <v>10</v>
      </c>
      <c r="K319" s="24">
        <f>_xlfn.XLOOKUP(A319,[1]COORDENADAS_GEOGRÁFICAS!$D:$D,[1]COORDENADAS_GEOGRÁFICAS!$F:$F)</f>
        <v>80</v>
      </c>
      <c r="L319" s="53"/>
      <c r="M319" s="53"/>
      <c r="N319" s="52">
        <f>_xlfn.XLOOKUP(D319,Grupo!B:B,Grupo!D:D)</f>
        <v>-12.620481488718251</v>
      </c>
      <c r="O319" s="52">
        <f>_xlfn.XLOOKUP(D319,Grupo!B:B,Grupo!E:E)</f>
        <v>-47.884083728442604</v>
      </c>
      <c r="P319" s="52">
        <f>_xlfn.XLOOKUP(A319,[1]COORDENADAS_GEOGRÁFICAS!$D:$D,[1]COORDENADAS_GEOGRÁFICAS!$G:$G)</f>
        <v>-12.386248</v>
      </c>
      <c r="Q319" s="52">
        <f>_xlfn.XLOOKUP(A319,[1]COORDENADAS_GEOGRÁFICAS!$D:$D,[1]COORDENADAS_GEOGRÁFICAS!$H:$H)</f>
        <v>-47.826537000000002</v>
      </c>
      <c r="R319" s="20">
        <f t="shared" si="4"/>
        <v>26.784300350662612</v>
      </c>
    </row>
    <row r="320" spans="1:18" x14ac:dyDescent="0.3">
      <c r="A320" s="24">
        <v>3467059</v>
      </c>
      <c r="B320" s="24" t="s">
        <v>765</v>
      </c>
      <c r="C320" s="24">
        <v>402400218</v>
      </c>
      <c r="D320" s="24" t="str">
        <f>_xlfn.XLOOKUP(C320,Planilha3!A:A,Planilha3!C:C)</f>
        <v>PARANÃ</v>
      </c>
      <c r="E320" s="24">
        <v>1</v>
      </c>
      <c r="F320" s="54">
        <f>_xlfn.XLOOKUP(C320,Planilha3!A:A,Planilha3!E:E)</f>
        <v>45457.463252314818</v>
      </c>
      <c r="G320" s="54">
        <f>_xlfn.XLOOKUP(C320,Planilha3!A:A,Planilha3!F:F)</f>
        <v>45469.463252314818</v>
      </c>
      <c r="H320" s="54">
        <f>_xlfn.XLOOKUP(C320,Planilha3!A:A,Planilha3!G:G)</f>
        <v>45922</v>
      </c>
      <c r="I320" s="23">
        <f>_xlfn.XLOOKUP(K320,Grupo!F:F,Grupo!G:G)</f>
        <v>46440.22</v>
      </c>
      <c r="J320" s="6">
        <f>_xlfn.XLOOKUP(D320,Grupo!B:B,Grupo!C:C)</f>
        <v>10</v>
      </c>
      <c r="K320" s="24">
        <f>_xlfn.XLOOKUP(A320,[1]COORDENADAS_GEOGRÁFICAS!$D:$D,[1]COORDENADAS_GEOGRÁFICAS!$F:$F)</f>
        <v>80</v>
      </c>
      <c r="L320" s="53"/>
      <c r="M320" s="53"/>
      <c r="N320" s="52">
        <f>_xlfn.XLOOKUP(D320,Grupo!B:B,Grupo!D:D)</f>
        <v>-12.620481488718251</v>
      </c>
      <c r="O320" s="52">
        <f>_xlfn.XLOOKUP(D320,Grupo!B:B,Grupo!E:E)</f>
        <v>-47.884083728442604</v>
      </c>
      <c r="P320" s="52">
        <f>_xlfn.XLOOKUP(A320,[1]COORDENADAS_GEOGRÁFICAS!$D:$D,[1]COORDENADAS_GEOGRÁFICAS!$G:$G)</f>
        <v>-12.362837000000001</v>
      </c>
      <c r="Q320" s="52">
        <f>_xlfn.XLOOKUP(A320,[1]COORDENADAS_GEOGRÁFICAS!$D:$D,[1]COORDENADAS_GEOGRÁFICAS!$H:$H)</f>
        <v>-47.869565000000001</v>
      </c>
      <c r="R320" s="20">
        <f t="shared" si="4"/>
        <v>28.692086484404353</v>
      </c>
    </row>
    <row r="321" spans="1:18" x14ac:dyDescent="0.3">
      <c r="A321" s="24">
        <v>3464240</v>
      </c>
      <c r="B321" s="24" t="s">
        <v>765</v>
      </c>
      <c r="C321" s="24">
        <v>402400217</v>
      </c>
      <c r="D321" s="24" t="str">
        <f>_xlfn.XLOOKUP(C321,Planilha3!A:A,Planilha3!C:C)</f>
        <v>FORMOSO DO ARAGUAIA</v>
      </c>
      <c r="E321" s="24">
        <v>1</v>
      </c>
      <c r="F321" s="54">
        <f>_xlfn.XLOOKUP(C321,Planilha3!A:A,Planilha3!E:E)</f>
        <v>45441.68246527778</v>
      </c>
      <c r="G321" s="54">
        <f>_xlfn.XLOOKUP(C321,Planilha3!A:A,Planilha3!F:F)</f>
        <v>45454.68246527778</v>
      </c>
      <c r="H321" s="54">
        <f>_xlfn.XLOOKUP(C321,Planilha3!A:A,Planilha3!G:G)</f>
        <v>45922</v>
      </c>
      <c r="I321" s="23">
        <f>_xlfn.XLOOKUP(K321,Grupo!F:F,Grupo!G:G)</f>
        <v>46440.22</v>
      </c>
      <c r="J321" s="6">
        <f>_xlfn.XLOOKUP(D321,Grupo!B:B,Grupo!C:C)</f>
        <v>6</v>
      </c>
      <c r="K321" s="24">
        <f>_xlfn.XLOOKUP(A321,[1]COORDENADAS_GEOGRÁFICAS!$D:$D,[1]COORDENADAS_GEOGRÁFICAS!$F:$F)</f>
        <v>80</v>
      </c>
      <c r="L321" s="53"/>
      <c r="M321" s="53"/>
      <c r="N321" s="52">
        <f>_xlfn.XLOOKUP(D321,Grupo!B:B,Grupo!D:D)</f>
        <v>-11.805141968649453</v>
      </c>
      <c r="O321" s="52">
        <f>_xlfn.XLOOKUP(D321,Grupo!B:B,Grupo!E:E)</f>
        <v>-49.52686036291248</v>
      </c>
      <c r="P321" s="52">
        <f>_xlfn.XLOOKUP(A321,[1]COORDENADAS_GEOGRÁFICAS!$D:$D,[1]COORDENADAS_GEOGRÁFICAS!$G:$G)</f>
        <v>-12.196638</v>
      </c>
      <c r="Q321" s="52">
        <f>_xlfn.XLOOKUP(A321,[1]COORDENADAS_GEOGRÁFICAS!$D:$D,[1]COORDENADAS_GEOGRÁFICAS!$H:$H)</f>
        <v>-50.094884999999998</v>
      </c>
      <c r="R321" s="20">
        <f t="shared" si="4"/>
        <v>75.577405510275184</v>
      </c>
    </row>
    <row r="322" spans="1:18" x14ac:dyDescent="0.3">
      <c r="A322" s="24">
        <v>3466845</v>
      </c>
      <c r="B322" s="24" t="s">
        <v>765</v>
      </c>
      <c r="C322" s="24">
        <v>402400206</v>
      </c>
      <c r="D322" s="24" t="str">
        <f>_xlfn.XLOOKUP(C322,Planilha3!A:A,Planilha3!C:C)</f>
        <v>PARANÃ</v>
      </c>
      <c r="E322" s="24">
        <v>1</v>
      </c>
      <c r="F322" s="54">
        <f>_xlfn.XLOOKUP(C322,Planilha3!A:A,Planilha3!E:E)</f>
        <v>45454.659236111111</v>
      </c>
      <c r="G322" s="54">
        <f>_xlfn.XLOOKUP(C322,Planilha3!A:A,Planilha3!F:F)</f>
        <v>45469.659236111111</v>
      </c>
      <c r="H322" s="54">
        <f>_xlfn.XLOOKUP(C322,Planilha3!A:A,Planilha3!G:G)</f>
        <v>45922</v>
      </c>
      <c r="I322" s="23">
        <f>_xlfn.XLOOKUP(K322,Grupo!F:F,Grupo!G:G)</f>
        <v>46440.22</v>
      </c>
      <c r="J322" s="6">
        <f>_xlfn.XLOOKUP(D322,Grupo!B:B,Grupo!C:C)</f>
        <v>10</v>
      </c>
      <c r="K322" s="24">
        <f>_xlfn.XLOOKUP(A322,[1]COORDENADAS_GEOGRÁFICAS!$D:$D,[1]COORDENADAS_GEOGRÁFICAS!$F:$F)</f>
        <v>80</v>
      </c>
      <c r="L322" s="53"/>
      <c r="M322" s="53"/>
      <c r="N322" s="52">
        <f>_xlfn.XLOOKUP(D322,Grupo!B:B,Grupo!D:D)</f>
        <v>-12.620481488718251</v>
      </c>
      <c r="O322" s="52">
        <f>_xlfn.XLOOKUP(D322,Grupo!B:B,Grupo!E:E)</f>
        <v>-47.884083728442604</v>
      </c>
      <c r="P322" s="52">
        <f>_xlfn.XLOOKUP(A322,[1]COORDENADAS_GEOGRÁFICAS!$D:$D,[1]COORDENADAS_GEOGRÁFICAS!$G:$G)</f>
        <v>-12.368321999999999</v>
      </c>
      <c r="Q322" s="52">
        <f>_xlfn.XLOOKUP(A322,[1]COORDENADAS_GEOGRÁFICAS!$D:$D,[1]COORDENADAS_GEOGRÁFICAS!$H:$H)</f>
        <v>-48.128221000000003</v>
      </c>
      <c r="R322" s="20">
        <f t="shared" si="4"/>
        <v>38.582812594376115</v>
      </c>
    </row>
    <row r="323" spans="1:18" x14ac:dyDescent="0.3">
      <c r="A323" s="24">
        <v>3467576</v>
      </c>
      <c r="B323" s="24" t="s">
        <v>765</v>
      </c>
      <c r="C323" s="24">
        <v>502400048</v>
      </c>
      <c r="D323" s="24" t="str">
        <f>_xlfn.XLOOKUP(C323,Planilha3!A:A,Planilha3!C:C)</f>
        <v>ALMAS</v>
      </c>
      <c r="E323" s="24">
        <v>1</v>
      </c>
      <c r="F323" s="54">
        <f>_xlfn.XLOOKUP(C323,Planilha3!A:A,Planilha3!E:E)</f>
        <v>45465.757939814815</v>
      </c>
      <c r="G323" s="54">
        <f>_xlfn.XLOOKUP(C323,Planilha3!A:A,Planilha3!F:F)</f>
        <v>45481.757939814815</v>
      </c>
      <c r="H323" s="54">
        <f>_xlfn.XLOOKUP(C323,Planilha3!A:A,Planilha3!G:G)</f>
        <v>45922</v>
      </c>
      <c r="I323" s="23">
        <f>_xlfn.XLOOKUP(K323,Grupo!F:F,Grupo!G:G)</f>
        <v>39252.620000000003</v>
      </c>
      <c r="J323" s="6">
        <f>_xlfn.XLOOKUP(D323,Grupo!B:B,Grupo!C:C)</f>
        <v>1</v>
      </c>
      <c r="K323" s="24">
        <f>_xlfn.XLOOKUP(A323,[1]COORDENADAS_GEOGRÁFICAS!$D:$D,[1]COORDENADAS_GEOGRÁFICAS!$F:$F)</f>
        <v>45</v>
      </c>
      <c r="L323" s="53"/>
      <c r="M323" s="53"/>
      <c r="N323" s="52">
        <f>_xlfn.XLOOKUP(D323,Grupo!B:B,Grupo!D:D)</f>
        <v>-11.574523469447804</v>
      </c>
      <c r="O323" s="52">
        <f>_xlfn.XLOOKUP(D323,Grupo!B:B,Grupo!E:E)</f>
        <v>-47.174171684235809</v>
      </c>
      <c r="P323" s="52">
        <f>_xlfn.XLOOKUP(A323,[1]COORDENADAS_GEOGRÁFICAS!$D:$D,[1]COORDENADAS_GEOGRÁFICAS!$G:$G)</f>
        <v>-11.454803</v>
      </c>
      <c r="Q323" s="52">
        <f>_xlfn.XLOOKUP(A323,[1]COORDENADAS_GEOGRÁFICAS!$D:$D,[1]COORDENADAS_GEOGRÁFICAS!$H:$H)</f>
        <v>-47.423090000000002</v>
      </c>
      <c r="R323" s="20">
        <f t="shared" si="4"/>
        <v>30.21236311408396</v>
      </c>
    </row>
    <row r="324" spans="1:18" x14ac:dyDescent="0.3">
      <c r="A324" s="24">
        <v>3467514</v>
      </c>
      <c r="B324" s="24" t="s">
        <v>765</v>
      </c>
      <c r="C324" s="24">
        <v>502400051</v>
      </c>
      <c r="D324" s="24" t="str">
        <f>_xlfn.XLOOKUP(C324,Planilha3!A:A,Planilha3!C:C)</f>
        <v>ALMAS</v>
      </c>
      <c r="E324" s="24">
        <v>1</v>
      </c>
      <c r="F324" s="54">
        <f>_xlfn.XLOOKUP(C324,Planilha3!A:A,Planilha3!E:E)</f>
        <v>45470.437361111108</v>
      </c>
      <c r="G324" s="54">
        <f>_xlfn.XLOOKUP(C324,Planilha3!A:A,Planilha3!F:F)</f>
        <v>45481.437361111108</v>
      </c>
      <c r="H324" s="54">
        <f>_xlfn.XLOOKUP(C324,Planilha3!A:A,Planilha3!G:G)</f>
        <v>45922</v>
      </c>
      <c r="I324" s="23">
        <f>_xlfn.XLOOKUP(K324,Grupo!F:F,Grupo!G:G)</f>
        <v>39252.620000000003</v>
      </c>
      <c r="J324" s="6">
        <f>_xlfn.XLOOKUP(D324,Grupo!B:B,Grupo!C:C)</f>
        <v>1</v>
      </c>
      <c r="K324" s="24">
        <f>_xlfn.XLOOKUP(A324,[1]COORDENADAS_GEOGRÁFICAS!$D:$D,[1]COORDENADAS_GEOGRÁFICAS!$F:$F)</f>
        <v>45</v>
      </c>
      <c r="L324" s="53"/>
      <c r="M324" s="53"/>
      <c r="N324" s="52">
        <f>_xlfn.XLOOKUP(D324,Grupo!B:B,Grupo!D:D)</f>
        <v>-11.574523469447804</v>
      </c>
      <c r="O324" s="52">
        <f>_xlfn.XLOOKUP(D324,Grupo!B:B,Grupo!E:E)</f>
        <v>-47.174171684235809</v>
      </c>
      <c r="P324" s="52">
        <f>_xlfn.XLOOKUP(A324,[1]COORDENADAS_GEOGRÁFICAS!$D:$D,[1]COORDENADAS_GEOGRÁFICAS!$G:$G)</f>
        <v>-11.454148</v>
      </c>
      <c r="Q324" s="52">
        <f>_xlfn.XLOOKUP(A324,[1]COORDENADAS_GEOGRÁFICAS!$D:$D,[1]COORDENADAS_GEOGRÁFICAS!$H:$H)</f>
        <v>-47.427323000000001</v>
      </c>
      <c r="R324" s="20">
        <f t="shared" si="4"/>
        <v>30.658822243590905</v>
      </c>
    </row>
    <row r="325" spans="1:18" x14ac:dyDescent="0.3">
      <c r="A325" s="24">
        <v>3467510</v>
      </c>
      <c r="B325" s="24" t="s">
        <v>765</v>
      </c>
      <c r="C325" s="24">
        <v>502400049</v>
      </c>
      <c r="D325" s="24" t="str">
        <f>_xlfn.XLOOKUP(C325,Planilha3!A:A,Planilha3!C:C)</f>
        <v>ALMAS</v>
      </c>
      <c r="E325" s="24">
        <v>1</v>
      </c>
      <c r="F325" s="54">
        <f>_xlfn.XLOOKUP(C325,Planilha3!A:A,Planilha3!E:E)</f>
        <v>45469.398564814815</v>
      </c>
      <c r="G325" s="54">
        <f>_xlfn.XLOOKUP(C325,Planilha3!A:A,Planilha3!F:F)</f>
        <v>45481.398564814815</v>
      </c>
      <c r="H325" s="54">
        <f>_xlfn.XLOOKUP(C325,Planilha3!A:A,Planilha3!G:G)</f>
        <v>45922</v>
      </c>
      <c r="I325" s="23">
        <f>_xlfn.XLOOKUP(K325,Grupo!F:F,Grupo!G:G)</f>
        <v>39252.620000000003</v>
      </c>
      <c r="J325" s="6">
        <f>_xlfn.XLOOKUP(D325,Grupo!B:B,Grupo!C:C)</f>
        <v>1</v>
      </c>
      <c r="K325" s="24">
        <f>_xlfn.XLOOKUP(A325,[1]COORDENADAS_GEOGRÁFICAS!$D:$D,[1]COORDENADAS_GEOGRÁFICAS!$F:$F)</f>
        <v>45</v>
      </c>
      <c r="L325" s="53"/>
      <c r="M325" s="53"/>
      <c r="N325" s="52">
        <f>_xlfn.XLOOKUP(D325,Grupo!B:B,Grupo!D:D)</f>
        <v>-11.574523469447804</v>
      </c>
      <c r="O325" s="52">
        <f>_xlfn.XLOOKUP(D325,Grupo!B:B,Grupo!E:E)</f>
        <v>-47.174171684235809</v>
      </c>
      <c r="P325" s="52">
        <f>_xlfn.XLOOKUP(A325,[1]COORDENADAS_GEOGRÁFICAS!$D:$D,[1]COORDENADAS_GEOGRÁFICAS!$G:$G)</f>
        <v>-11.468282</v>
      </c>
      <c r="Q325" s="52">
        <f>_xlfn.XLOOKUP(A325,[1]COORDENADAS_GEOGRÁFICAS!$D:$D,[1]COORDENADAS_GEOGRÁFICAS!$H:$H)</f>
        <v>-47.424757999999997</v>
      </c>
      <c r="R325" s="20">
        <f t="shared" ref="R325:R388" si="5">6371*ACOS(COS(PI()*(90-P325)/180)*COS((90-N325)*PI()/180)+SIN((90-P325)*PI()/180)*SIN((90-N325)*PI()/180)*COS((Q325-O325)*PI()/180))</f>
        <v>29.748677981909008</v>
      </c>
    </row>
    <row r="326" spans="1:18" x14ac:dyDescent="0.3">
      <c r="A326" s="24">
        <v>3467571</v>
      </c>
      <c r="B326" s="24" t="s">
        <v>765</v>
      </c>
      <c r="C326" s="24">
        <v>502400047</v>
      </c>
      <c r="D326" s="24" t="str">
        <f>_xlfn.XLOOKUP(C326,Planilha3!A:A,Planilha3!C:C)</f>
        <v>ALMAS</v>
      </c>
      <c r="E326" s="24">
        <v>1</v>
      </c>
      <c r="F326" s="54">
        <f>_xlfn.XLOOKUP(C326,Planilha3!A:A,Planilha3!E:E)</f>
        <v>45468.752939814818</v>
      </c>
      <c r="G326" s="54">
        <f>_xlfn.XLOOKUP(C326,Planilha3!A:A,Planilha3!F:F)</f>
        <v>45481.752939814818</v>
      </c>
      <c r="H326" s="54">
        <f>_xlfn.XLOOKUP(C326,Planilha3!A:A,Planilha3!G:G)</f>
        <v>45922</v>
      </c>
      <c r="I326" s="23">
        <f>_xlfn.XLOOKUP(K326,Grupo!F:F,Grupo!G:G)</f>
        <v>39252.620000000003</v>
      </c>
      <c r="J326" s="6">
        <f>_xlfn.XLOOKUP(D326,Grupo!B:B,Grupo!C:C)</f>
        <v>1</v>
      </c>
      <c r="K326" s="24">
        <f>_xlfn.XLOOKUP(A326,[1]COORDENADAS_GEOGRÁFICAS!$D:$D,[1]COORDENADAS_GEOGRÁFICAS!$F:$F)</f>
        <v>45</v>
      </c>
      <c r="L326" s="53"/>
      <c r="M326" s="53"/>
      <c r="N326" s="52">
        <f>_xlfn.XLOOKUP(D326,Grupo!B:B,Grupo!D:D)</f>
        <v>-11.574523469447804</v>
      </c>
      <c r="O326" s="52">
        <f>_xlfn.XLOOKUP(D326,Grupo!B:B,Grupo!E:E)</f>
        <v>-47.174171684235809</v>
      </c>
      <c r="P326" s="52">
        <f>_xlfn.XLOOKUP(A326,[1]COORDENADAS_GEOGRÁFICAS!$D:$D,[1]COORDENADAS_GEOGRÁFICAS!$G:$G)</f>
        <v>-11.471537</v>
      </c>
      <c r="Q326" s="52">
        <f>_xlfn.XLOOKUP(A326,[1]COORDENADAS_GEOGRÁFICAS!$D:$D,[1]COORDENADAS_GEOGRÁFICAS!$H:$H)</f>
        <v>-47.429637999999997</v>
      </c>
      <c r="R326" s="20">
        <f t="shared" si="5"/>
        <v>30.097679702769028</v>
      </c>
    </row>
    <row r="327" spans="1:18" x14ac:dyDescent="0.3">
      <c r="A327" s="24">
        <v>3467566</v>
      </c>
      <c r="B327" s="24" t="s">
        <v>765</v>
      </c>
      <c r="C327" s="24">
        <v>502400046</v>
      </c>
      <c r="D327" s="24" t="str">
        <f>_xlfn.XLOOKUP(C327,Planilha3!A:A,Planilha3!C:C)</f>
        <v>ALMAS</v>
      </c>
      <c r="E327" s="24">
        <v>1</v>
      </c>
      <c r="F327" s="54">
        <f>_xlfn.XLOOKUP(C327,Planilha3!A:A,Planilha3!E:E)</f>
        <v>45466.744340277779</v>
      </c>
      <c r="G327" s="54">
        <f>_xlfn.XLOOKUP(C327,Planilha3!A:A,Planilha3!F:F)</f>
        <v>45481.744340277779</v>
      </c>
      <c r="H327" s="54">
        <f>_xlfn.XLOOKUP(C327,Planilha3!A:A,Planilha3!G:G)</f>
        <v>45922</v>
      </c>
      <c r="I327" s="23">
        <f>_xlfn.XLOOKUP(K327,Grupo!F:F,Grupo!G:G)</f>
        <v>39252.620000000003</v>
      </c>
      <c r="J327" s="6">
        <f>_xlfn.XLOOKUP(D327,Grupo!B:B,Grupo!C:C)</f>
        <v>1</v>
      </c>
      <c r="K327" s="24">
        <f>_xlfn.XLOOKUP(A327,[1]COORDENADAS_GEOGRÁFICAS!$D:$D,[1]COORDENADAS_GEOGRÁFICAS!$F:$F)</f>
        <v>45</v>
      </c>
      <c r="L327" s="53"/>
      <c r="M327" s="53"/>
      <c r="N327" s="52">
        <f>_xlfn.XLOOKUP(D327,Grupo!B:B,Grupo!D:D)</f>
        <v>-11.574523469447804</v>
      </c>
      <c r="O327" s="52">
        <f>_xlfn.XLOOKUP(D327,Grupo!B:B,Grupo!E:E)</f>
        <v>-47.174171684235809</v>
      </c>
      <c r="P327" s="52">
        <f>_xlfn.XLOOKUP(A327,[1]COORDENADAS_GEOGRÁFICAS!$D:$D,[1]COORDENADAS_GEOGRÁFICAS!$G:$G)</f>
        <v>-11.46715</v>
      </c>
      <c r="Q327" s="52">
        <f>_xlfn.XLOOKUP(A327,[1]COORDENADAS_GEOGRÁFICAS!$D:$D,[1]COORDENADAS_GEOGRÁFICAS!$H:$H)</f>
        <v>-47.421880000000002</v>
      </c>
      <c r="R327" s="20">
        <f t="shared" si="5"/>
        <v>29.511903275357753</v>
      </c>
    </row>
    <row r="328" spans="1:18" x14ac:dyDescent="0.3">
      <c r="A328" s="24">
        <v>3467520</v>
      </c>
      <c r="B328" s="24" t="s">
        <v>765</v>
      </c>
      <c r="C328" s="24">
        <v>502400050</v>
      </c>
      <c r="D328" s="24" t="str">
        <f>_xlfn.XLOOKUP(C328,Planilha3!A:A,Planilha3!C:C)</f>
        <v>ALMAS</v>
      </c>
      <c r="E328" s="24">
        <v>1</v>
      </c>
      <c r="F328" s="54">
        <f>_xlfn.XLOOKUP(C328,Planilha3!A:A,Planilha3!E:E)</f>
        <v>45470.424976851849</v>
      </c>
      <c r="G328" s="54">
        <f>_xlfn.XLOOKUP(C328,Planilha3!A:A,Planilha3!F:F)</f>
        <v>45481.424976851849</v>
      </c>
      <c r="H328" s="54">
        <f>_xlfn.XLOOKUP(C328,Planilha3!A:A,Planilha3!G:G)</f>
        <v>45922</v>
      </c>
      <c r="I328" s="23">
        <f>_xlfn.XLOOKUP(K328,Grupo!F:F,Grupo!G:G)</f>
        <v>39252.620000000003</v>
      </c>
      <c r="J328" s="6">
        <f>_xlfn.XLOOKUP(D328,Grupo!B:B,Grupo!C:C)</f>
        <v>1</v>
      </c>
      <c r="K328" s="24">
        <f>_xlfn.XLOOKUP(A328,[1]COORDENADAS_GEOGRÁFICAS!$D:$D,[1]COORDENADAS_GEOGRÁFICAS!$F:$F)</f>
        <v>45</v>
      </c>
      <c r="L328" s="53"/>
      <c r="M328" s="53"/>
      <c r="N328" s="52">
        <f>_xlfn.XLOOKUP(D328,Grupo!B:B,Grupo!D:D)</f>
        <v>-11.574523469447804</v>
      </c>
      <c r="O328" s="52">
        <f>_xlfn.XLOOKUP(D328,Grupo!B:B,Grupo!E:E)</f>
        <v>-47.174171684235809</v>
      </c>
      <c r="P328" s="52">
        <f>_xlfn.XLOOKUP(A328,[1]COORDENADAS_GEOGRÁFICAS!$D:$D,[1]COORDENADAS_GEOGRÁFICAS!$G:$G)</f>
        <v>-11.452742000000001</v>
      </c>
      <c r="Q328" s="52">
        <f>_xlfn.XLOOKUP(A328,[1]COORDENADAS_GEOGRÁFICAS!$D:$D,[1]COORDENADAS_GEOGRÁFICAS!$H:$H)</f>
        <v>-47.427636</v>
      </c>
      <c r="R328" s="20">
        <f t="shared" si="5"/>
        <v>30.75807847385714</v>
      </c>
    </row>
    <row r="329" spans="1:18" x14ac:dyDescent="0.3">
      <c r="A329" s="24">
        <v>3468366</v>
      </c>
      <c r="B329" s="24" t="s">
        <v>765</v>
      </c>
      <c r="C329" s="24">
        <v>652400090</v>
      </c>
      <c r="D329" s="24" t="str">
        <f>_xlfn.XLOOKUP(C329,Planilha3!A:A,Planilha3!C:C)</f>
        <v>SÃO BENTO DO TOCANTINS</v>
      </c>
      <c r="E329" s="24">
        <v>1</v>
      </c>
      <c r="F329" s="54">
        <f>_xlfn.XLOOKUP(C329,Planilha3!A:A,Planilha3!E:E)</f>
        <v>45470.645682870374</v>
      </c>
      <c r="G329" s="54">
        <f>_xlfn.XLOOKUP(C329,Planilha3!A:A,Planilha3!F:F)</f>
        <v>45482.645682870374</v>
      </c>
      <c r="H329" s="54">
        <f>_xlfn.XLOOKUP(C329,Planilha3!A:A,Planilha3!G:G)</f>
        <v>45922</v>
      </c>
      <c r="I329" s="23">
        <f>_xlfn.XLOOKUP(K329,Grupo!F:F,Grupo!G:G)</f>
        <v>39252.620000000003</v>
      </c>
      <c r="J329" s="6">
        <f>_xlfn.XLOOKUP(D329,Grupo!B:B,Grupo!C:C)</f>
        <v>14</v>
      </c>
      <c r="K329" s="24">
        <f>_xlfn.XLOOKUP(A329,[1]COORDENADAS_GEOGRÁFICAS!$D:$D,[1]COORDENADAS_GEOGRÁFICAS!$F:$F)</f>
        <v>45</v>
      </c>
      <c r="L329" s="53"/>
      <c r="M329" s="53"/>
      <c r="N329" s="52">
        <f>_xlfn.XLOOKUP(D329,Grupo!B:B,Grupo!D:D)</f>
        <v>-6.0449992571923881</v>
      </c>
      <c r="O329" s="52">
        <f>_xlfn.XLOOKUP(D329,Grupo!B:B,Grupo!E:E)</f>
        <v>-47.919392287053363</v>
      </c>
      <c r="P329" s="52">
        <f>_xlfn.XLOOKUP(A329,[1]COORDENADAS_GEOGRÁFICAS!$D:$D,[1]COORDENADAS_GEOGRÁFICAS!$G:$G)</f>
        <v>-6.0182880000000001</v>
      </c>
      <c r="Q329" s="52">
        <f>_xlfn.XLOOKUP(A329,[1]COORDENADAS_GEOGRÁFICAS!$D:$D,[1]COORDENADAS_GEOGRÁFICAS!$H:$H)</f>
        <v>-47.805022000000001</v>
      </c>
      <c r="R329" s="20">
        <f t="shared" si="5"/>
        <v>12.99108311256097</v>
      </c>
    </row>
    <row r="330" spans="1:18" x14ac:dyDescent="0.3">
      <c r="A330" s="24">
        <v>3468368</v>
      </c>
      <c r="B330" s="24" t="s">
        <v>765</v>
      </c>
      <c r="C330" s="24">
        <v>652400089</v>
      </c>
      <c r="D330" s="24" t="str">
        <f>_xlfn.XLOOKUP(C330,Planilha3!A:A,Planilha3!C:C)</f>
        <v>SÃO BENTO DO TOCANTINS</v>
      </c>
      <c r="E330" s="24">
        <v>1</v>
      </c>
      <c r="F330" s="54">
        <f>_xlfn.XLOOKUP(C330,Planilha3!A:A,Planilha3!E:E)</f>
        <v>45469.601157407407</v>
      </c>
      <c r="G330" s="54">
        <f>_xlfn.XLOOKUP(C330,Planilha3!A:A,Planilha3!F:F)</f>
        <v>45482.601157407407</v>
      </c>
      <c r="H330" s="54">
        <f>_xlfn.XLOOKUP(C330,Planilha3!A:A,Planilha3!G:G)</f>
        <v>45922</v>
      </c>
      <c r="I330" s="23">
        <f>_xlfn.XLOOKUP(K330,Grupo!F:F,Grupo!G:G)</f>
        <v>39252.620000000003</v>
      </c>
      <c r="J330" s="6">
        <f>_xlfn.XLOOKUP(D330,Grupo!B:B,Grupo!C:C)</f>
        <v>14</v>
      </c>
      <c r="K330" s="24">
        <f>_xlfn.XLOOKUP(A330,[1]COORDENADAS_GEOGRÁFICAS!$D:$D,[1]COORDENADAS_GEOGRÁFICAS!$F:$F)</f>
        <v>45</v>
      </c>
      <c r="L330" s="53"/>
      <c r="M330" s="53"/>
      <c r="N330" s="52">
        <f>_xlfn.XLOOKUP(D330,Grupo!B:B,Grupo!D:D)</f>
        <v>-6.0449992571923881</v>
      </c>
      <c r="O330" s="52">
        <f>_xlfn.XLOOKUP(D330,Grupo!B:B,Grupo!E:E)</f>
        <v>-47.919392287053363</v>
      </c>
      <c r="P330" s="52">
        <f>_xlfn.XLOOKUP(A330,[1]COORDENADAS_GEOGRÁFICAS!$D:$D,[1]COORDENADAS_GEOGRÁFICAS!$G:$G)</f>
        <v>-6.0114080000000003</v>
      </c>
      <c r="Q330" s="52">
        <f>_xlfn.XLOOKUP(A330,[1]COORDENADAS_GEOGRÁFICAS!$D:$D,[1]COORDENADAS_GEOGRÁFICAS!$H:$H)</f>
        <v>-47.755406999999998</v>
      </c>
      <c r="R330" s="20">
        <f t="shared" si="5"/>
        <v>18.514195401311227</v>
      </c>
    </row>
    <row r="331" spans="1:18" x14ac:dyDescent="0.3">
      <c r="A331" s="24">
        <v>3468187</v>
      </c>
      <c r="B331" s="24" t="s">
        <v>765</v>
      </c>
      <c r="C331" s="24">
        <v>652400108</v>
      </c>
      <c r="D331" s="24" t="str">
        <f>_xlfn.XLOOKUP(C331,Planilha3!A:A,Planilha3!C:C)</f>
        <v>TOCANTINÓPOLIS</v>
      </c>
      <c r="E331" s="24">
        <v>1</v>
      </c>
      <c r="F331" s="54">
        <f>_xlfn.XLOOKUP(C331,Planilha3!A:A,Planilha3!E:E)</f>
        <v>45468.64806712963</v>
      </c>
      <c r="G331" s="54">
        <f>_xlfn.XLOOKUP(C331,Planilha3!A:A,Planilha3!F:F)</f>
        <v>45483.64806712963</v>
      </c>
      <c r="H331" s="54">
        <f>_xlfn.XLOOKUP(C331,Planilha3!A:A,Planilha3!G:G)</f>
        <v>45922</v>
      </c>
      <c r="I331" s="23">
        <f>_xlfn.XLOOKUP(K331,Grupo!F:F,Grupo!G:G)</f>
        <v>39252.620000000003</v>
      </c>
      <c r="J331" s="6">
        <f>_xlfn.XLOOKUP(D331,Grupo!B:B,Grupo!C:C)</f>
        <v>15</v>
      </c>
      <c r="K331" s="24">
        <f>_xlfn.XLOOKUP(A331,[1]COORDENADAS_GEOGRÁFICAS!$D:$D,[1]COORDENADAS_GEOGRÁFICAS!$F:$F)</f>
        <v>45</v>
      </c>
      <c r="L331" s="53"/>
      <c r="M331" s="53"/>
      <c r="N331" s="52">
        <f>_xlfn.XLOOKUP(D331,Grupo!B:B,Grupo!D:D)</f>
        <v>-6.3256343760279616</v>
      </c>
      <c r="O331" s="52">
        <f>_xlfn.XLOOKUP(D331,Grupo!B:B,Grupo!E:E)</f>
        <v>-47.427412928692668</v>
      </c>
      <c r="P331" s="52">
        <f>_xlfn.XLOOKUP(A331,[1]COORDENADAS_GEOGRÁFICAS!$D:$D,[1]COORDENADAS_GEOGRÁFICAS!$G:$G)</f>
        <v>-6.257155</v>
      </c>
      <c r="Q331" s="52">
        <f>_xlfn.XLOOKUP(A331,[1]COORDENADAS_GEOGRÁFICAS!$D:$D,[1]COORDENADAS_GEOGRÁFICAS!$H:$H)</f>
        <v>-47.570611</v>
      </c>
      <c r="R331" s="20">
        <f t="shared" si="5"/>
        <v>17.563469972041613</v>
      </c>
    </row>
    <row r="332" spans="1:18" x14ac:dyDescent="0.3">
      <c r="A332" s="24">
        <v>3470588</v>
      </c>
      <c r="B332" s="24" t="s">
        <v>765</v>
      </c>
      <c r="C332" s="24">
        <v>652400067</v>
      </c>
      <c r="D332" s="24" t="str">
        <f>_xlfn.XLOOKUP(C332,Planilha3!A:A,Planilha3!C:C)</f>
        <v>CACHOEIRINHA</v>
      </c>
      <c r="E332" s="24">
        <v>1</v>
      </c>
      <c r="F332" s="54">
        <f>_xlfn.XLOOKUP(C332,Planilha3!A:A,Planilha3!E:E)</f>
        <v>45462.594930555555</v>
      </c>
      <c r="G332" s="54">
        <f>_xlfn.XLOOKUP(C332,Planilha3!A:A,Planilha3!F:F)</f>
        <v>45478.594930555555</v>
      </c>
      <c r="H332" s="54">
        <f>_xlfn.XLOOKUP(C332,Planilha3!A:A,Planilha3!G:G)</f>
        <v>45922</v>
      </c>
      <c r="I332" s="23">
        <f>_xlfn.XLOOKUP(K332,Grupo!F:F,Grupo!G:G)</f>
        <v>39252.620000000003</v>
      </c>
      <c r="J332" s="6">
        <f>_xlfn.XLOOKUP(D332,Grupo!B:B,Grupo!C:C)</f>
        <v>4</v>
      </c>
      <c r="K332" s="24">
        <f>_xlfn.XLOOKUP(A332,[1]COORDENADAS_GEOGRÁFICAS!$D:$D,[1]COORDENADAS_GEOGRÁFICAS!$F:$F)</f>
        <v>45</v>
      </c>
      <c r="L332" s="53"/>
      <c r="M332" s="53"/>
      <c r="N332" s="52">
        <f>_xlfn.XLOOKUP(D332,Grupo!B:B,Grupo!D:D)</f>
        <v>-6.1132416465046608</v>
      </c>
      <c r="O332" s="52">
        <f>_xlfn.XLOOKUP(D332,Grupo!B:B,Grupo!E:E)</f>
        <v>-47.914197778558957</v>
      </c>
      <c r="P332" s="52">
        <f>_xlfn.XLOOKUP(A332,[1]COORDENADAS_GEOGRÁFICAS!$D:$D,[1]COORDENADAS_GEOGRÁFICAS!$G:$G)</f>
        <v>-6.0437630000000002</v>
      </c>
      <c r="Q332" s="52">
        <f>_xlfn.XLOOKUP(A332,[1]COORDENADAS_GEOGRÁFICAS!$D:$D,[1]COORDENADAS_GEOGRÁFICAS!$H:$H)</f>
        <v>-47.767924999999998</v>
      </c>
      <c r="R332" s="20">
        <f t="shared" si="5"/>
        <v>17.923814103233347</v>
      </c>
    </row>
    <row r="333" spans="1:18" x14ac:dyDescent="0.3">
      <c r="A333" s="24">
        <v>3468416</v>
      </c>
      <c r="B333" s="24" t="s">
        <v>765</v>
      </c>
      <c r="C333" s="24">
        <v>652400081</v>
      </c>
      <c r="D333" s="24" t="str">
        <f>_xlfn.XLOOKUP(C333,Planilha3!A:A,Planilha3!C:C)</f>
        <v>CACHOEIRINHA</v>
      </c>
      <c r="E333" s="24">
        <v>1</v>
      </c>
      <c r="F333" s="54">
        <f>_xlfn.XLOOKUP(C333,Planilha3!A:A,Planilha3!E:E)</f>
        <v>45470.445648148147</v>
      </c>
      <c r="G333" s="54">
        <f>_xlfn.XLOOKUP(C333,Planilha3!A:A,Planilha3!F:F)</f>
        <v>45481.445648148147</v>
      </c>
      <c r="H333" s="54">
        <f>_xlfn.XLOOKUP(C333,Planilha3!A:A,Planilha3!G:G)</f>
        <v>45922</v>
      </c>
      <c r="I333" s="23">
        <f>_xlfn.XLOOKUP(K333,Grupo!F:F,Grupo!G:G)</f>
        <v>39252.620000000003</v>
      </c>
      <c r="J333" s="6">
        <f>_xlfn.XLOOKUP(D333,Grupo!B:B,Grupo!C:C)</f>
        <v>4</v>
      </c>
      <c r="K333" s="24">
        <f>_xlfn.XLOOKUP(A333,[1]COORDENADAS_GEOGRÁFICAS!$D:$D,[1]COORDENADAS_GEOGRÁFICAS!$F:$F)</f>
        <v>45</v>
      </c>
      <c r="L333" s="53"/>
      <c r="M333" s="53"/>
      <c r="N333" s="52">
        <v>-6.1132416465046608</v>
      </c>
      <c r="O333" s="52">
        <v>-47.914197778558957</v>
      </c>
      <c r="P333" s="52">
        <v>-6.0359470000000002</v>
      </c>
      <c r="Q333" s="52">
        <v>-47.857773000000002</v>
      </c>
      <c r="R333" s="20">
        <f t="shared" si="5"/>
        <v>10.620462614137072</v>
      </c>
    </row>
    <row r="334" spans="1:18" x14ac:dyDescent="0.3">
      <c r="A334" s="24">
        <v>3468192</v>
      </c>
      <c r="B334" s="24" t="s">
        <v>765</v>
      </c>
      <c r="C334" s="24">
        <v>652400106</v>
      </c>
      <c r="D334" s="24" t="str">
        <f>_xlfn.XLOOKUP(C334,Planilha3!A:A,Planilha3!C:C)</f>
        <v>TOCANTINÓPOLIS</v>
      </c>
      <c r="E334" s="24">
        <v>1</v>
      </c>
      <c r="F334" s="54">
        <f>_xlfn.XLOOKUP(C334,Planilha3!A:A,Planilha3!E:E)</f>
        <v>45471.614699074074</v>
      </c>
      <c r="G334" s="54">
        <f>_xlfn.XLOOKUP(C334,Planilha3!A:A,Planilha3!F:F)</f>
        <v>45483.614699074074</v>
      </c>
      <c r="H334" s="54">
        <f>_xlfn.XLOOKUP(C334,Planilha3!A:A,Planilha3!G:G)</f>
        <v>45922</v>
      </c>
      <c r="I334" s="23">
        <f>_xlfn.XLOOKUP(K334,Grupo!F:F,Grupo!G:G)</f>
        <v>39252.620000000003</v>
      </c>
      <c r="J334" s="6">
        <f>_xlfn.XLOOKUP(D334,Grupo!B:B,Grupo!C:C)</f>
        <v>15</v>
      </c>
      <c r="K334" s="24">
        <f>_xlfn.XLOOKUP(A334,[1]COORDENADAS_GEOGRÁFICAS!$D:$D,[1]COORDENADAS_GEOGRÁFICAS!$F:$F)</f>
        <v>45</v>
      </c>
      <c r="L334" s="53"/>
      <c r="M334" s="53"/>
      <c r="N334" s="52">
        <f>_xlfn.XLOOKUP(D334,Grupo!B:B,Grupo!D:D)</f>
        <v>-6.3256343760279616</v>
      </c>
      <c r="O334" s="52">
        <f>_xlfn.XLOOKUP(D334,Grupo!B:B,Grupo!E:E)</f>
        <v>-47.427412928692668</v>
      </c>
      <c r="P334" s="52">
        <f>_xlfn.XLOOKUP(A334,[1]COORDENADAS_GEOGRÁFICAS!$D:$D,[1]COORDENADAS_GEOGRÁFICAS!$G:$G)</f>
        <v>-6.2556320000000003</v>
      </c>
      <c r="Q334" s="52">
        <f>_xlfn.XLOOKUP(A334,[1]COORDENADAS_GEOGRÁFICAS!$D:$D,[1]COORDENADAS_GEOGRÁFICAS!$H:$H)</f>
        <v>-47.580987</v>
      </c>
      <c r="R334" s="20">
        <f t="shared" si="5"/>
        <v>18.673519868716408</v>
      </c>
    </row>
    <row r="335" spans="1:18" x14ac:dyDescent="0.3">
      <c r="A335" s="24">
        <v>3468372</v>
      </c>
      <c r="B335" s="24" t="s">
        <v>765</v>
      </c>
      <c r="C335" s="24">
        <v>652400103</v>
      </c>
      <c r="D335" s="24" t="str">
        <f>_xlfn.XLOOKUP(C335,Planilha3!A:A,Planilha3!C:C)</f>
        <v>TOCANTINÓPOLIS</v>
      </c>
      <c r="E335" s="24">
        <v>1</v>
      </c>
      <c r="F335" s="54">
        <f>_xlfn.XLOOKUP(C335,Planilha3!A:A,Planilha3!E:E)</f>
        <v>45469.45989583333</v>
      </c>
      <c r="G335" s="54">
        <f>_xlfn.XLOOKUP(C335,Planilha3!A:A,Planilha3!F:F)</f>
        <v>45482.45989583333</v>
      </c>
      <c r="H335" s="54">
        <f>_xlfn.XLOOKUP(C335,Planilha3!A:A,Planilha3!G:G)</f>
        <v>45922</v>
      </c>
      <c r="I335" s="23">
        <f>_xlfn.XLOOKUP(K335,Grupo!F:F,Grupo!G:G)</f>
        <v>39252.620000000003</v>
      </c>
      <c r="J335" s="6">
        <f>_xlfn.XLOOKUP(D335,Grupo!B:B,Grupo!C:C)</f>
        <v>15</v>
      </c>
      <c r="K335" s="24">
        <f>_xlfn.XLOOKUP(A335,[1]COORDENADAS_GEOGRÁFICAS!$D:$D,[1]COORDENADAS_GEOGRÁFICAS!$F:$F)</f>
        <v>45</v>
      </c>
      <c r="L335" s="53"/>
      <c r="M335" s="53"/>
      <c r="N335" s="52">
        <f>_xlfn.XLOOKUP(D335,Grupo!B:B,Grupo!D:D)</f>
        <v>-6.3256343760279616</v>
      </c>
      <c r="O335" s="52">
        <f>_xlfn.XLOOKUP(D335,Grupo!B:B,Grupo!E:E)</f>
        <v>-47.427412928692668</v>
      </c>
      <c r="P335" s="52">
        <f>_xlfn.XLOOKUP(A335,[1]COORDENADAS_GEOGRÁFICAS!$D:$D,[1]COORDENADAS_GEOGRÁFICAS!$G:$G)</f>
        <v>-6.2375319999999999</v>
      </c>
      <c r="Q335" s="52">
        <f>_xlfn.XLOOKUP(A335,[1]COORDENADAS_GEOGRÁFICAS!$D:$D,[1]COORDENADAS_GEOGRÁFICAS!$H:$H)</f>
        <v>-47.540143</v>
      </c>
      <c r="R335" s="20">
        <f t="shared" si="5"/>
        <v>15.849844780576021</v>
      </c>
    </row>
    <row r="336" spans="1:18" x14ac:dyDescent="0.3">
      <c r="A336" s="24">
        <v>3468369</v>
      </c>
      <c r="B336" s="24" t="s">
        <v>765</v>
      </c>
      <c r="C336" s="24">
        <v>652400105</v>
      </c>
      <c r="D336" s="24" t="str">
        <f>_xlfn.XLOOKUP(C336,Planilha3!A:A,Planilha3!C:C)</f>
        <v>TOCANTINÓPOLIS</v>
      </c>
      <c r="E336" s="24">
        <v>1</v>
      </c>
      <c r="F336" s="54">
        <f>_xlfn.XLOOKUP(C336,Planilha3!A:A,Planilha3!E:E)</f>
        <v>45467.469351851854</v>
      </c>
      <c r="G336" s="54">
        <f>_xlfn.XLOOKUP(C336,Planilha3!A:A,Planilha3!F:F)</f>
        <v>45482.469351851854</v>
      </c>
      <c r="H336" s="54">
        <f>_xlfn.XLOOKUP(C336,Planilha3!A:A,Planilha3!G:G)</f>
        <v>45922</v>
      </c>
      <c r="I336" s="23">
        <f>_xlfn.XLOOKUP(K336,Grupo!F:F,Grupo!G:G)</f>
        <v>39252.620000000003</v>
      </c>
      <c r="J336" s="6">
        <f>_xlfn.XLOOKUP(D336,Grupo!B:B,Grupo!C:C)</f>
        <v>15</v>
      </c>
      <c r="K336" s="24">
        <f>_xlfn.XLOOKUP(A336,[1]COORDENADAS_GEOGRÁFICAS!$D:$D,[1]COORDENADAS_GEOGRÁFICAS!$F:$F)</f>
        <v>45</v>
      </c>
      <c r="L336" s="53"/>
      <c r="M336" s="53"/>
      <c r="N336" s="52">
        <v>-6.3256343760279616</v>
      </c>
      <c r="O336" s="52">
        <v>-47.427412928692668</v>
      </c>
      <c r="P336" s="52">
        <v>-6.2453570000000003</v>
      </c>
      <c r="Q336" s="52">
        <v>-47.547139999999999</v>
      </c>
      <c r="R336" s="20">
        <f t="shared" si="5"/>
        <v>15.962265257578583</v>
      </c>
    </row>
    <row r="337" spans="1:18" x14ac:dyDescent="0.3">
      <c r="A337" s="24">
        <v>3468186</v>
      </c>
      <c r="B337" s="24" t="s">
        <v>765</v>
      </c>
      <c r="C337" s="24">
        <v>652400109</v>
      </c>
      <c r="D337" s="24" t="str">
        <f>_xlfn.XLOOKUP(C337,Planilha3!A:A,Planilha3!C:C)</f>
        <v>TOCANTINÓPOLIS</v>
      </c>
      <c r="E337" s="24">
        <v>1</v>
      </c>
      <c r="F337" s="54">
        <f>_xlfn.XLOOKUP(C337,Planilha3!A:A,Planilha3!E:E)</f>
        <v>45472.654224537036</v>
      </c>
      <c r="G337" s="54">
        <f>_xlfn.XLOOKUP(C337,Planilha3!A:A,Planilha3!F:F)</f>
        <v>45483.654224537036</v>
      </c>
      <c r="H337" s="54">
        <f>_xlfn.XLOOKUP(C337,Planilha3!A:A,Planilha3!G:G)</f>
        <v>45922</v>
      </c>
      <c r="I337" s="23">
        <f>_xlfn.XLOOKUP(K337,Grupo!F:F,Grupo!G:G)</f>
        <v>39252.620000000003</v>
      </c>
      <c r="J337" s="6">
        <f>_xlfn.XLOOKUP(D337,Grupo!B:B,Grupo!C:C)</f>
        <v>15</v>
      </c>
      <c r="K337" s="24">
        <f>_xlfn.XLOOKUP(A337,[1]COORDENADAS_GEOGRÁFICAS!$D:$D,[1]COORDENADAS_GEOGRÁFICAS!$F:$F)</f>
        <v>45</v>
      </c>
      <c r="L337" s="53"/>
      <c r="M337" s="53"/>
      <c r="N337" s="52">
        <v>-6.3256343760279616</v>
      </c>
      <c r="O337" s="52">
        <v>-47.427412928692668</v>
      </c>
      <c r="P337" s="52">
        <v>-6.2578849999999999</v>
      </c>
      <c r="Q337" s="52">
        <v>-47.571002</v>
      </c>
      <c r="R337" s="20">
        <f t="shared" si="5"/>
        <v>17.567451086977535</v>
      </c>
    </row>
    <row r="338" spans="1:18" x14ac:dyDescent="0.3">
      <c r="A338" s="24">
        <v>3468641</v>
      </c>
      <c r="B338" s="24" t="s">
        <v>765</v>
      </c>
      <c r="C338" s="24">
        <v>652400060</v>
      </c>
      <c r="D338" s="24" t="str">
        <f>_xlfn.XLOOKUP(C338,Planilha3!A:A,Planilha3!C:C)</f>
        <v>SÃO BENTO DO TOCANTINS</v>
      </c>
      <c r="E338" s="24">
        <v>1</v>
      </c>
      <c r="F338" s="54">
        <f>_xlfn.XLOOKUP(C338,Planilha3!A:A,Planilha3!E:E)</f>
        <v>45466.395740740743</v>
      </c>
      <c r="G338" s="54">
        <f>_xlfn.XLOOKUP(C338,Planilha3!A:A,Planilha3!F:F)</f>
        <v>45478.395740740743</v>
      </c>
      <c r="H338" s="54">
        <f>_xlfn.XLOOKUP(C338,Planilha3!A:A,Planilha3!G:G)</f>
        <v>45922</v>
      </c>
      <c r="I338" s="23">
        <f>_xlfn.XLOOKUP(K338,Grupo!F:F,Grupo!G:G)</f>
        <v>39252.620000000003</v>
      </c>
      <c r="J338" s="6">
        <f>_xlfn.XLOOKUP(D338,Grupo!B:B,Grupo!C:C)</f>
        <v>14</v>
      </c>
      <c r="K338" s="24">
        <f>_xlfn.XLOOKUP(A338,[1]COORDENADAS_GEOGRÁFICAS!$D:$D,[1]COORDENADAS_GEOGRÁFICAS!$F:$F)</f>
        <v>45</v>
      </c>
      <c r="L338" s="53"/>
      <c r="M338" s="53"/>
      <c r="N338" s="52">
        <f>_xlfn.XLOOKUP(D338,Grupo!B:B,Grupo!D:D)</f>
        <v>-6.0449992571923881</v>
      </c>
      <c r="O338" s="52">
        <f>_xlfn.XLOOKUP(D338,Grupo!B:B,Grupo!E:E)</f>
        <v>-47.919392287053363</v>
      </c>
      <c r="P338" s="52">
        <f>_xlfn.XLOOKUP(A338,[1]COORDENADAS_GEOGRÁFICAS!$D:$D,[1]COORDENADAS_GEOGRÁFICAS!$G:$G)</f>
        <v>-6.0184819999999997</v>
      </c>
      <c r="Q338" s="52">
        <f>_xlfn.XLOOKUP(A338,[1]COORDENADAS_GEOGRÁFICAS!$D:$D,[1]COORDENADAS_GEOGRÁFICAS!$H:$H)</f>
        <v>-47.804032999999997</v>
      </c>
      <c r="R338" s="20">
        <f t="shared" si="5"/>
        <v>13.092696056015216</v>
      </c>
    </row>
    <row r="339" spans="1:18" x14ac:dyDescent="0.3">
      <c r="A339" s="24">
        <v>3468199</v>
      </c>
      <c r="B339" s="24" t="s">
        <v>765</v>
      </c>
      <c r="C339" s="24">
        <v>652400091</v>
      </c>
      <c r="D339" s="24" t="str">
        <f>_xlfn.XLOOKUP(C339,Planilha3!A:A,Planilha3!C:C)</f>
        <v>SÃO BENTO DO TOCANTINS</v>
      </c>
      <c r="E339" s="24">
        <v>1</v>
      </c>
      <c r="F339" s="54">
        <f>_xlfn.XLOOKUP(C339,Planilha3!A:A,Planilha3!E:E)</f>
        <v>45469.664641203701</v>
      </c>
      <c r="G339" s="54">
        <f>_xlfn.XLOOKUP(C339,Planilha3!A:A,Planilha3!F:F)</f>
        <v>45482.664641203701</v>
      </c>
      <c r="H339" s="54">
        <f>_xlfn.XLOOKUP(C339,Planilha3!A:A,Planilha3!G:G)</f>
        <v>45922</v>
      </c>
      <c r="I339" s="23">
        <f>_xlfn.XLOOKUP(K339,Grupo!F:F,Grupo!G:G)</f>
        <v>39252.620000000003</v>
      </c>
      <c r="J339" s="6">
        <f>_xlfn.XLOOKUP(D339,Grupo!B:B,Grupo!C:C)</f>
        <v>14</v>
      </c>
      <c r="K339" s="24">
        <f>_xlfn.XLOOKUP(A339,[1]COORDENADAS_GEOGRÁFICAS!$D:$D,[1]COORDENADAS_GEOGRÁFICAS!$F:$F)</f>
        <v>45</v>
      </c>
      <c r="L339" s="53"/>
      <c r="M339" s="53"/>
      <c r="N339" s="52">
        <v>-6.0449992571923881</v>
      </c>
      <c r="O339" s="52">
        <v>-47.919392287053363</v>
      </c>
      <c r="P339" s="52">
        <v>-6.0189149999999998</v>
      </c>
      <c r="Q339" s="52">
        <f>-47.80497</f>
        <v>-47.804969999999997</v>
      </c>
      <c r="R339" s="20">
        <f t="shared" si="5"/>
        <v>12.980918263225544</v>
      </c>
    </row>
    <row r="340" spans="1:18" x14ac:dyDescent="0.3">
      <c r="A340" s="24">
        <v>3468630</v>
      </c>
      <c r="B340" s="24" t="s">
        <v>765</v>
      </c>
      <c r="C340" s="24">
        <v>652400062</v>
      </c>
      <c r="D340" s="24" t="str">
        <f>_xlfn.XLOOKUP(C340,Planilha3!A:A,Planilha3!C:C)</f>
        <v>SÃO BENTO DO TOCANTINS</v>
      </c>
      <c r="E340" s="24">
        <v>1</v>
      </c>
      <c r="F340" s="54">
        <f>_xlfn.XLOOKUP(C340,Planilha3!A:A,Planilha3!E:E)</f>
        <v>45463.424340277779</v>
      </c>
      <c r="G340" s="54">
        <f>_xlfn.XLOOKUP(C340,Planilha3!A:A,Planilha3!F:F)</f>
        <v>45478.424340277779</v>
      </c>
      <c r="H340" s="54">
        <f>_xlfn.XLOOKUP(C340,Planilha3!A:A,Planilha3!G:G)</f>
        <v>45922</v>
      </c>
      <c r="I340" s="23">
        <f>_xlfn.XLOOKUP(K340,Grupo!F:F,Grupo!G:G)</f>
        <v>39252.620000000003</v>
      </c>
      <c r="J340" s="6">
        <f>_xlfn.XLOOKUP(D340,Grupo!B:B,Grupo!C:C)</f>
        <v>14</v>
      </c>
      <c r="K340" s="24">
        <f>_xlfn.XLOOKUP(A340,[1]COORDENADAS_GEOGRÁFICAS!$D:$D,[1]COORDENADAS_GEOGRÁFICAS!$F:$F)</f>
        <v>45</v>
      </c>
      <c r="L340" s="53"/>
      <c r="M340" s="53"/>
      <c r="N340" s="52">
        <f>_xlfn.XLOOKUP(D340,Grupo!B:B,Grupo!D:D)</f>
        <v>-6.0449992571923881</v>
      </c>
      <c r="O340" s="52">
        <f>_xlfn.XLOOKUP(D340,Grupo!B:B,Grupo!E:E)</f>
        <v>-47.919392287053363</v>
      </c>
      <c r="P340" s="52">
        <f>_xlfn.XLOOKUP(A340,[1]COORDENADAS_GEOGRÁFICAS!$D:$D,[1]COORDENADAS_GEOGRÁFICAS!$G:$G)</f>
        <v>-6.0188370000000004</v>
      </c>
      <c r="Q340" s="52">
        <f>_xlfn.XLOOKUP(A340,[1]COORDENADAS_GEOGRÁFICAS!$D:$D,[1]COORDENADAS_GEOGRÁFICAS!$H:$H)</f>
        <v>-47.804927999999997</v>
      </c>
      <c r="R340" s="20">
        <f t="shared" si="5"/>
        <v>12.987386106809948</v>
      </c>
    </row>
    <row r="341" spans="1:18" x14ac:dyDescent="0.3">
      <c r="A341" s="24">
        <v>3468584</v>
      </c>
      <c r="B341" s="24" t="s">
        <v>765</v>
      </c>
      <c r="C341" s="24">
        <v>652400063</v>
      </c>
      <c r="D341" s="24" t="str">
        <f>_xlfn.XLOOKUP(C341,Planilha3!A:A,Planilha3!C:C)</f>
        <v>TOCANTINÓPOLIS</v>
      </c>
      <c r="E341" s="24">
        <v>1</v>
      </c>
      <c r="F341" s="54">
        <f>_xlfn.XLOOKUP(C341,Planilha3!A:A,Planilha3!E:E)</f>
        <v>45462.433252314811</v>
      </c>
      <c r="G341" s="54">
        <f>_xlfn.XLOOKUP(C341,Planilha3!A:A,Planilha3!F:F)</f>
        <v>45478.433252314811</v>
      </c>
      <c r="H341" s="54">
        <f>_xlfn.XLOOKUP(C341,Planilha3!A:A,Planilha3!G:G)</f>
        <v>45922</v>
      </c>
      <c r="I341" s="23">
        <f>_xlfn.XLOOKUP(K341,Grupo!F:F,Grupo!G:G)</f>
        <v>39252.620000000003</v>
      </c>
      <c r="J341" s="6">
        <f>_xlfn.XLOOKUP(D341,Grupo!B:B,Grupo!C:C)</f>
        <v>15</v>
      </c>
      <c r="K341" s="24">
        <f>_xlfn.XLOOKUP(A341,[1]COORDENADAS_GEOGRÁFICAS!$D:$D,[1]COORDENADAS_GEOGRÁFICAS!$F:$F)</f>
        <v>45</v>
      </c>
      <c r="L341" s="53"/>
      <c r="M341" s="53"/>
      <c r="N341" s="52">
        <f>_xlfn.XLOOKUP(D341,Grupo!B:B,Grupo!D:D)</f>
        <v>-6.3256343760279616</v>
      </c>
      <c r="O341" s="52">
        <f>_xlfn.XLOOKUP(D341,Grupo!B:B,Grupo!E:E)</f>
        <v>-47.427412928692668</v>
      </c>
      <c r="P341" s="52">
        <f>_xlfn.XLOOKUP(A341,[1]COORDENADAS_GEOGRÁFICAS!$D:$D,[1]COORDENADAS_GEOGRÁFICAS!$G:$G)</f>
        <v>-6.2203580000000001</v>
      </c>
      <c r="Q341" s="52">
        <f>_xlfn.XLOOKUP(A341,[1]COORDENADAS_GEOGRÁFICAS!$D:$D,[1]COORDENADAS_GEOGRÁFICAS!$H:$H)</f>
        <v>-47.675705000000001</v>
      </c>
      <c r="R341" s="20">
        <f t="shared" si="5"/>
        <v>29.835905271812557</v>
      </c>
    </row>
    <row r="342" spans="1:18" x14ac:dyDescent="0.3">
      <c r="A342" s="24">
        <v>3468323</v>
      </c>
      <c r="B342" s="24" t="s">
        <v>765</v>
      </c>
      <c r="C342" s="24">
        <v>652400092</v>
      </c>
      <c r="D342" s="24" t="str">
        <f>_xlfn.XLOOKUP(C342,Planilha3!A:A,Planilha3!C:C)</f>
        <v>SÃO BENTO DO TOCANTINS</v>
      </c>
      <c r="E342" s="24">
        <v>1</v>
      </c>
      <c r="F342" s="54">
        <f>_xlfn.XLOOKUP(C342,Planilha3!A:A,Planilha3!E:E)</f>
        <v>45471.69259259259</v>
      </c>
      <c r="G342" s="54">
        <f>_xlfn.XLOOKUP(C342,Planilha3!A:A,Planilha3!F:F)</f>
        <v>45482.69259259259</v>
      </c>
      <c r="H342" s="54">
        <f>_xlfn.XLOOKUP(C342,Planilha3!A:A,Planilha3!G:G)</f>
        <v>45922</v>
      </c>
      <c r="I342" s="23">
        <f>_xlfn.XLOOKUP(K342,Grupo!F:F,Grupo!G:G)</f>
        <v>39252.620000000003</v>
      </c>
      <c r="J342" s="6">
        <f>_xlfn.XLOOKUP(D342,Grupo!B:B,Grupo!C:C)</f>
        <v>14</v>
      </c>
      <c r="K342" s="24">
        <f>_xlfn.XLOOKUP(A342,[1]COORDENADAS_GEOGRÁFICAS!$D:$D,[1]COORDENADAS_GEOGRÁFICAS!$F:$F)</f>
        <v>45</v>
      </c>
      <c r="L342" s="53"/>
      <c r="M342" s="53"/>
      <c r="N342" s="52">
        <f>_xlfn.XLOOKUP(D342,Grupo!B:B,Grupo!D:D)</f>
        <v>-6.0449992571923881</v>
      </c>
      <c r="O342" s="52">
        <f>_xlfn.XLOOKUP(D342,Grupo!B:B,Grupo!E:E)</f>
        <v>-47.919392287053363</v>
      </c>
      <c r="P342" s="52">
        <f>_xlfn.XLOOKUP(A342,[1]COORDENADAS_GEOGRÁFICAS!$D:$D,[1]COORDENADAS_GEOGRÁFICAS!$G:$G)</f>
        <v>-6.019247</v>
      </c>
      <c r="Q342" s="52">
        <f>_xlfn.XLOOKUP(A342,[1]COORDENADAS_GEOGRÁFICAS!$D:$D,[1]COORDENADAS_GEOGRÁFICAS!$H:$H)</f>
        <v>-47.804319999999997</v>
      </c>
      <c r="R342" s="20">
        <f t="shared" si="5"/>
        <v>13.042829037155064</v>
      </c>
    </row>
    <row r="343" spans="1:18" x14ac:dyDescent="0.3">
      <c r="A343" s="24">
        <v>3468381</v>
      </c>
      <c r="B343" s="24" t="s">
        <v>765</v>
      </c>
      <c r="C343" s="24">
        <v>652400099</v>
      </c>
      <c r="D343" s="24" t="str">
        <f>_xlfn.XLOOKUP(C343,Planilha3!A:A,Planilha3!C:C)</f>
        <v>TOCANTINÓPOLIS</v>
      </c>
      <c r="E343" s="24">
        <v>1</v>
      </c>
      <c r="F343" s="54">
        <f>_xlfn.XLOOKUP(C343,Planilha3!A:A,Planilha3!E:E)</f>
        <v>45470.435833333337</v>
      </c>
      <c r="G343" s="54">
        <f>_xlfn.XLOOKUP(C343,Planilha3!A:A,Planilha3!F:F)</f>
        <v>45482.435833333337</v>
      </c>
      <c r="H343" s="54">
        <f>_xlfn.XLOOKUP(C343,Planilha3!A:A,Planilha3!G:G)</f>
        <v>45922</v>
      </c>
      <c r="I343" s="23">
        <f>_xlfn.XLOOKUP(K343,Grupo!F:F,Grupo!G:G)</f>
        <v>39252.620000000003</v>
      </c>
      <c r="J343" s="6">
        <f>_xlfn.XLOOKUP(D343,Grupo!B:B,Grupo!C:C)</f>
        <v>15</v>
      </c>
      <c r="K343" s="24">
        <f>_xlfn.XLOOKUP(A343,[1]COORDENADAS_GEOGRÁFICAS!$D:$D,[1]COORDENADAS_GEOGRÁFICAS!$F:$F)</f>
        <v>45</v>
      </c>
      <c r="L343" s="53"/>
      <c r="M343" s="53"/>
      <c r="N343" s="52">
        <f>_xlfn.XLOOKUP(D343,Grupo!B:B,Grupo!D:D)</f>
        <v>-6.3256343760279616</v>
      </c>
      <c r="O343" s="52">
        <f>_xlfn.XLOOKUP(D343,Grupo!B:B,Grupo!E:E)</f>
        <v>-47.427412928692668</v>
      </c>
      <c r="P343" s="52">
        <f>_xlfn.XLOOKUP(A343,[1]COORDENADAS_GEOGRÁFICAS!$D:$D,[1]COORDENADAS_GEOGRÁFICAS!$G:$G)</f>
        <v>-6.166372</v>
      </c>
      <c r="Q343" s="52">
        <f>_xlfn.XLOOKUP(A343,[1]COORDENADAS_GEOGRÁFICAS!$D:$D,[1]COORDENADAS_GEOGRÁFICAS!$H:$H)</f>
        <v>-47.507537999999997</v>
      </c>
      <c r="R343" s="20">
        <f t="shared" si="5"/>
        <v>19.800358536075315</v>
      </c>
    </row>
    <row r="344" spans="1:18" x14ac:dyDescent="0.3">
      <c r="A344" s="24">
        <v>3468322</v>
      </c>
      <c r="B344" s="24" t="s">
        <v>765</v>
      </c>
      <c r="C344" s="24">
        <v>652400093</v>
      </c>
      <c r="D344" s="24" t="str">
        <f>_xlfn.XLOOKUP(C344,Planilha3!A:A,Planilha3!C:C)</f>
        <v>SÃO BENTO DO TOCANTINS</v>
      </c>
      <c r="E344" s="24">
        <v>1</v>
      </c>
      <c r="F344" s="54">
        <f>_xlfn.XLOOKUP(C344,Planilha3!A:A,Planilha3!E:E)</f>
        <v>45469.701921296299</v>
      </c>
      <c r="G344" s="54">
        <f>_xlfn.XLOOKUP(C344,Planilha3!A:A,Planilha3!F:F)</f>
        <v>45482.701921296299</v>
      </c>
      <c r="H344" s="54">
        <f>_xlfn.XLOOKUP(C344,Planilha3!A:A,Planilha3!G:G)</f>
        <v>45922</v>
      </c>
      <c r="I344" s="23">
        <f>_xlfn.XLOOKUP(K344,Grupo!F:F,Grupo!G:G)</f>
        <v>39252.620000000003</v>
      </c>
      <c r="J344" s="6">
        <f>_xlfn.XLOOKUP(D344,Grupo!B:B,Grupo!C:C)</f>
        <v>14</v>
      </c>
      <c r="K344" s="24">
        <f>_xlfn.XLOOKUP(A344,[1]COORDENADAS_GEOGRÁFICAS!$D:$D,[1]COORDENADAS_GEOGRÁFICAS!$F:$F)</f>
        <v>45</v>
      </c>
      <c r="L344" s="53"/>
      <c r="M344" s="53"/>
      <c r="N344" s="52">
        <f>_xlfn.XLOOKUP(D344,Grupo!B:B,Grupo!D:D)</f>
        <v>-6.0449992571923881</v>
      </c>
      <c r="O344" s="52">
        <f>_xlfn.XLOOKUP(D344,Grupo!B:B,Grupo!E:E)</f>
        <v>-47.919392287053363</v>
      </c>
      <c r="P344" s="52">
        <f>_xlfn.XLOOKUP(A344,[1]COORDENADAS_GEOGRÁFICAS!$D:$D,[1]COORDENADAS_GEOGRÁFICAS!$G:$G)</f>
        <v>-6.0193370000000002</v>
      </c>
      <c r="Q344" s="52">
        <f>_xlfn.XLOOKUP(A344,[1]COORDENADAS_GEOGRÁFICAS!$D:$D,[1]COORDENADAS_GEOGRÁFICAS!$H:$H)</f>
        <v>-47.80489</v>
      </c>
      <c r="R344" s="20">
        <f t="shared" si="5"/>
        <v>12.979139168623671</v>
      </c>
    </row>
    <row r="345" spans="1:18" x14ac:dyDescent="0.3">
      <c r="A345" s="24">
        <v>3468632</v>
      </c>
      <c r="B345" s="24" t="s">
        <v>765</v>
      </c>
      <c r="C345" s="24">
        <v>652400061</v>
      </c>
      <c r="D345" s="24" t="str">
        <f>_xlfn.XLOOKUP(C345,Planilha3!A:A,Planilha3!C:C)</f>
        <v>SÃO BENTO DO TOCANTINS</v>
      </c>
      <c r="E345" s="24">
        <v>1</v>
      </c>
      <c r="F345" s="54">
        <f>_xlfn.XLOOKUP(C345,Planilha3!A:A,Planilha3!E:E)</f>
        <v>45463.417592592596</v>
      </c>
      <c r="G345" s="54">
        <f>_xlfn.XLOOKUP(C345,Planilha3!A:A,Planilha3!F:F)</f>
        <v>45478.417592592596</v>
      </c>
      <c r="H345" s="54">
        <f>_xlfn.XLOOKUP(C345,Planilha3!A:A,Planilha3!G:G)</f>
        <v>45922</v>
      </c>
      <c r="I345" s="23">
        <f>_xlfn.XLOOKUP(K345,Grupo!F:F,Grupo!G:G)</f>
        <v>39252.620000000003</v>
      </c>
      <c r="J345" s="6">
        <f>_xlfn.XLOOKUP(D345,Grupo!B:B,Grupo!C:C)</f>
        <v>14</v>
      </c>
      <c r="K345" s="24">
        <f>_xlfn.XLOOKUP(A345,[1]COORDENADAS_GEOGRÁFICAS!$D:$D,[1]COORDENADAS_GEOGRÁFICAS!$F:$F)</f>
        <v>45</v>
      </c>
      <c r="L345" s="53"/>
      <c r="M345" s="53"/>
      <c r="N345" s="52">
        <f>_xlfn.XLOOKUP(D345,Grupo!B:B,Grupo!D:D)</f>
        <v>-6.0449992571923881</v>
      </c>
      <c r="O345" s="52">
        <f>_xlfn.XLOOKUP(D345,Grupo!B:B,Grupo!E:E)</f>
        <v>-47.919392287053363</v>
      </c>
      <c r="P345" s="52">
        <f>_xlfn.XLOOKUP(A345,[1]COORDENADAS_GEOGRÁFICAS!$D:$D,[1]COORDENADAS_GEOGRÁFICAS!$G:$G)</f>
        <v>-6.0193029999999998</v>
      </c>
      <c r="Q345" s="52">
        <f>_xlfn.XLOOKUP(A345,[1]COORDENADAS_GEOGRÁFICAS!$D:$D,[1]COORDENADAS_GEOGRÁFICAS!$H:$H)</f>
        <v>-47.803708</v>
      </c>
      <c r="R345" s="20">
        <f t="shared" si="5"/>
        <v>13.107501372272385</v>
      </c>
    </row>
    <row r="346" spans="1:18" x14ac:dyDescent="0.3">
      <c r="A346" s="24">
        <v>3468585</v>
      </c>
      <c r="B346" s="24" t="s">
        <v>765</v>
      </c>
      <c r="C346" s="24">
        <v>652400079</v>
      </c>
      <c r="D346" s="24" t="str">
        <f>_xlfn.XLOOKUP(C346,Planilha3!A:A,Planilha3!C:C)</f>
        <v>TOCANTINÓPOLIS</v>
      </c>
      <c r="E346" s="24">
        <v>1</v>
      </c>
      <c r="F346" s="54">
        <f>_xlfn.XLOOKUP(C346,Planilha3!A:A,Planilha3!E:E)</f>
        <v>45470.732141203705</v>
      </c>
      <c r="G346" s="54">
        <f>_xlfn.XLOOKUP(C346,Planilha3!A:A,Planilha3!F:F)</f>
        <v>45481.732141203705</v>
      </c>
      <c r="H346" s="54">
        <f>_xlfn.XLOOKUP(C346,Planilha3!A:A,Planilha3!G:G)</f>
        <v>45922</v>
      </c>
      <c r="I346" s="23">
        <f>_xlfn.XLOOKUP(K346,Grupo!F:F,Grupo!G:G)</f>
        <v>39252.620000000003</v>
      </c>
      <c r="J346" s="6">
        <f>_xlfn.XLOOKUP(D346,Grupo!B:B,Grupo!C:C)</f>
        <v>15</v>
      </c>
      <c r="K346" s="24">
        <f>_xlfn.XLOOKUP(A346,[1]COORDENADAS_GEOGRÁFICAS!$D:$D,[1]COORDENADAS_GEOGRÁFICAS!$F:$F)</f>
        <v>45</v>
      </c>
      <c r="L346" s="53"/>
      <c r="M346" s="53"/>
      <c r="N346" s="52">
        <f>_xlfn.XLOOKUP(D346,Grupo!B:B,Grupo!D:D)</f>
        <v>-6.3256343760279616</v>
      </c>
      <c r="O346" s="52">
        <f>_xlfn.XLOOKUP(D346,Grupo!B:B,Grupo!E:E)</f>
        <v>-47.427412928692668</v>
      </c>
      <c r="P346" s="52">
        <f>_xlfn.XLOOKUP(A346,[1]COORDENADAS_GEOGRÁFICAS!$D:$D,[1]COORDENADAS_GEOGRÁFICAS!$G:$G)</f>
        <v>-6.1666369999999997</v>
      </c>
      <c r="Q346" s="52">
        <f>_xlfn.XLOOKUP(A346,[1]COORDENADAS_GEOGRÁFICAS!$D:$D,[1]COORDENADAS_GEOGRÁFICAS!$H:$H)</f>
        <v>-47.507596999999997</v>
      </c>
      <c r="R346" s="20">
        <f t="shared" si="5"/>
        <v>19.7769291654235</v>
      </c>
    </row>
    <row r="347" spans="1:18" x14ac:dyDescent="0.3">
      <c r="A347" s="24">
        <v>3468384</v>
      </c>
      <c r="B347" s="24" t="s">
        <v>765</v>
      </c>
      <c r="C347" s="24">
        <v>652400086</v>
      </c>
      <c r="D347" s="24" t="str">
        <f>_xlfn.XLOOKUP(C347,Planilha3!A:A,Planilha3!C:C)</f>
        <v>CACHOEIRINHA</v>
      </c>
      <c r="E347" s="24">
        <v>1</v>
      </c>
      <c r="F347" s="54">
        <f>_xlfn.XLOOKUP(C347,Planilha3!A:A,Planilha3!E:E)</f>
        <v>45470.408206018517</v>
      </c>
      <c r="G347" s="54">
        <f>_xlfn.XLOOKUP(C347,Planilha3!A:A,Planilha3!F:F)</f>
        <v>45482.408206018517</v>
      </c>
      <c r="H347" s="54">
        <f>_xlfn.XLOOKUP(C347,Planilha3!A:A,Planilha3!G:G)</f>
        <v>45922</v>
      </c>
      <c r="I347" s="23">
        <f>_xlfn.XLOOKUP(K347,Grupo!F:F,Grupo!G:G)</f>
        <v>39252.620000000003</v>
      </c>
      <c r="J347" s="6">
        <f>_xlfn.XLOOKUP(D347,Grupo!B:B,Grupo!C:C)</f>
        <v>4</v>
      </c>
      <c r="K347" s="24">
        <f>_xlfn.XLOOKUP(A347,[1]COORDENADAS_GEOGRÁFICAS!$D:$D,[1]COORDENADAS_GEOGRÁFICAS!$F:$F)</f>
        <v>45</v>
      </c>
      <c r="L347" s="53"/>
      <c r="M347" s="53"/>
      <c r="N347" s="52">
        <f>_xlfn.XLOOKUP(D347,Grupo!B:B,Grupo!D:D)</f>
        <v>-6.1132416465046608</v>
      </c>
      <c r="O347" s="52">
        <f>_xlfn.XLOOKUP(D347,Grupo!B:B,Grupo!E:E)</f>
        <v>-47.914197778558957</v>
      </c>
      <c r="P347" s="52">
        <f>_xlfn.XLOOKUP(A347,[1]COORDENADAS_GEOGRÁFICAS!$D:$D,[1]COORDENADAS_GEOGRÁFICAS!$G:$G)</f>
        <v>-6.0435720000000002</v>
      </c>
      <c r="Q347" s="52">
        <f>_xlfn.XLOOKUP(A347,[1]COORDENADAS_GEOGRÁFICAS!$D:$D,[1]COORDENADAS_GEOGRÁFICAS!$H:$H)</f>
        <v>-47.768676999999997</v>
      </c>
      <c r="R347" s="20">
        <f t="shared" si="5"/>
        <v>17.858027619010961</v>
      </c>
    </row>
    <row r="348" spans="1:18" x14ac:dyDescent="0.3">
      <c r="A348" s="24">
        <v>3468371</v>
      </c>
      <c r="B348" s="24" t="s">
        <v>765</v>
      </c>
      <c r="C348" s="24">
        <v>652400104</v>
      </c>
      <c r="D348" s="24" t="str">
        <f>_xlfn.XLOOKUP(C348,Planilha3!A:A,Planilha3!C:C)</f>
        <v>TOCANTINÓPOLIS</v>
      </c>
      <c r="E348" s="24">
        <v>1</v>
      </c>
      <c r="F348" s="54">
        <f>_xlfn.XLOOKUP(C348,Planilha3!A:A,Planilha3!E:E)</f>
        <v>45469.464270833334</v>
      </c>
      <c r="G348" s="54">
        <f>_xlfn.XLOOKUP(C348,Planilha3!A:A,Planilha3!F:F)</f>
        <v>45482.464270833334</v>
      </c>
      <c r="H348" s="54">
        <f>_xlfn.XLOOKUP(C348,Planilha3!A:A,Planilha3!G:G)</f>
        <v>45922</v>
      </c>
      <c r="I348" s="23">
        <f>_xlfn.XLOOKUP(K348,Grupo!F:F,Grupo!G:G)</f>
        <v>39252.620000000003</v>
      </c>
      <c r="J348" s="6">
        <f>_xlfn.XLOOKUP(D348,Grupo!B:B,Grupo!C:C)</f>
        <v>15</v>
      </c>
      <c r="K348" s="24">
        <f>_xlfn.XLOOKUP(A348,[1]COORDENADAS_GEOGRÁFICAS!$D:$D,[1]COORDENADAS_GEOGRÁFICAS!$F:$F)</f>
        <v>45</v>
      </c>
      <c r="L348" s="53"/>
      <c r="M348" s="53"/>
      <c r="N348" s="52">
        <f>_xlfn.XLOOKUP(D348,Grupo!B:B,Grupo!D:D)</f>
        <v>-6.3256343760279616</v>
      </c>
      <c r="O348" s="52">
        <f>_xlfn.XLOOKUP(D348,Grupo!B:B,Grupo!E:E)</f>
        <v>-47.427412928692668</v>
      </c>
      <c r="P348" s="52">
        <f>_xlfn.XLOOKUP(A348,[1]COORDENADAS_GEOGRÁFICAS!$D:$D,[1]COORDENADAS_GEOGRÁFICAS!$G:$G)</f>
        <v>-6.2390679999999996</v>
      </c>
      <c r="Q348" s="52">
        <f>_xlfn.XLOOKUP(A348,[1]COORDENADAS_GEOGRÁFICAS!$D:$D,[1]COORDENADAS_GEOGRÁFICAS!$H:$H)</f>
        <v>-47.539847999999999</v>
      </c>
      <c r="R348" s="20">
        <f t="shared" si="5"/>
        <v>15.7190469665411</v>
      </c>
    </row>
    <row r="349" spans="1:18" x14ac:dyDescent="0.3">
      <c r="A349" s="24">
        <v>3468198</v>
      </c>
      <c r="B349" s="24" t="s">
        <v>765</v>
      </c>
      <c r="C349" s="24">
        <v>652400117</v>
      </c>
      <c r="D349" s="24" t="str">
        <f>_xlfn.XLOOKUP(C349,Planilha3!A:A,Planilha3!C:C)</f>
        <v>TOCANTINÓPOLIS</v>
      </c>
      <c r="E349" s="24">
        <v>1</v>
      </c>
      <c r="F349" s="54">
        <f>_xlfn.XLOOKUP(C349,Planilha3!A:A,Planilha3!E:E)</f>
        <v>45468.354583333334</v>
      </c>
      <c r="G349" s="54">
        <f>_xlfn.XLOOKUP(C349,Planilha3!A:A,Planilha3!F:F)</f>
        <v>45483.354583333334</v>
      </c>
      <c r="H349" s="54">
        <f>_xlfn.XLOOKUP(C349,Planilha3!A:A,Planilha3!G:G)</f>
        <v>45922</v>
      </c>
      <c r="I349" s="23">
        <f>_xlfn.XLOOKUP(K349,Grupo!F:F,Grupo!G:G)</f>
        <v>39252.620000000003</v>
      </c>
      <c r="J349" s="6">
        <f>_xlfn.XLOOKUP(D349,Grupo!B:B,Grupo!C:C)</f>
        <v>15</v>
      </c>
      <c r="K349" s="24">
        <f>_xlfn.XLOOKUP(A349,[1]COORDENADAS_GEOGRÁFICAS!$D:$D,[1]COORDENADAS_GEOGRÁFICAS!$F:$F)</f>
        <v>45</v>
      </c>
      <c r="L349" s="53"/>
      <c r="M349" s="53"/>
      <c r="N349" s="52">
        <f>_xlfn.XLOOKUP(D349,Grupo!B:B,Grupo!D:D)</f>
        <v>-6.3256343760279616</v>
      </c>
      <c r="O349" s="52">
        <f>_xlfn.XLOOKUP(D349,Grupo!B:B,Grupo!E:E)</f>
        <v>-47.427412928692668</v>
      </c>
      <c r="P349" s="52">
        <f>_xlfn.XLOOKUP(A349,[1]COORDENADAS_GEOGRÁFICAS!$D:$D,[1]COORDENADAS_GEOGRÁFICAS!$G:$G)</f>
        <v>-6.239007</v>
      </c>
      <c r="Q349" s="52">
        <f>_xlfn.XLOOKUP(A349,[1]COORDENADAS_GEOGRÁFICAS!$D:$D,[1]COORDENADAS_GEOGRÁFICAS!$H:$H)</f>
        <v>-47.540132999999997</v>
      </c>
      <c r="R349" s="20">
        <f t="shared" si="5"/>
        <v>15.74811067233853</v>
      </c>
    </row>
    <row r="350" spans="1:18" x14ac:dyDescent="0.3">
      <c r="A350" s="24">
        <v>3468193</v>
      </c>
      <c r="B350" s="24" t="s">
        <v>765</v>
      </c>
      <c r="C350" s="24">
        <v>652400121</v>
      </c>
      <c r="D350" s="24" t="str">
        <f>_xlfn.XLOOKUP(C350,Planilha3!A:A,Planilha3!C:C)</f>
        <v>TOCANTINÓPOLIS</v>
      </c>
      <c r="E350" s="24">
        <v>1</v>
      </c>
      <c r="F350" s="54">
        <f>_xlfn.XLOOKUP(C350,Planilha3!A:A,Planilha3!E:E)</f>
        <v>45467.372175925928</v>
      </c>
      <c r="G350" s="54">
        <f>_xlfn.XLOOKUP(C350,Planilha3!A:A,Planilha3!F:F)</f>
        <v>45483.372175925928</v>
      </c>
      <c r="H350" s="54">
        <f>_xlfn.XLOOKUP(C350,Planilha3!A:A,Planilha3!G:G)</f>
        <v>45922</v>
      </c>
      <c r="I350" s="23">
        <f>_xlfn.XLOOKUP(K350,Grupo!F:F,Grupo!G:G)</f>
        <v>39252.620000000003</v>
      </c>
      <c r="J350" s="6">
        <f>_xlfn.XLOOKUP(D350,Grupo!B:B,Grupo!C:C)</f>
        <v>15</v>
      </c>
      <c r="K350" s="24">
        <f>_xlfn.XLOOKUP(A350,[1]COORDENADAS_GEOGRÁFICAS!$D:$D,[1]COORDENADAS_GEOGRÁFICAS!$F:$F)</f>
        <v>45</v>
      </c>
      <c r="L350" s="53"/>
      <c r="M350" s="53"/>
      <c r="N350" s="52">
        <f>_xlfn.XLOOKUP(D350,Grupo!B:B,Grupo!D:D)</f>
        <v>-6.3256343760279616</v>
      </c>
      <c r="O350" s="52">
        <f>_xlfn.XLOOKUP(D350,Grupo!B:B,Grupo!E:E)</f>
        <v>-47.427412928692668</v>
      </c>
      <c r="P350" s="52">
        <f>_xlfn.XLOOKUP(A350,[1]COORDENADAS_GEOGRÁFICAS!$D:$D,[1]COORDENADAS_GEOGRÁFICAS!$G:$G)</f>
        <v>-6.2375429999999996</v>
      </c>
      <c r="Q350" s="52">
        <f>_xlfn.XLOOKUP(A350,[1]COORDENADAS_GEOGRÁFICAS!$D:$D,[1]COORDENADAS_GEOGRÁFICAS!$H:$H)</f>
        <v>-47.540368000000001</v>
      </c>
      <c r="R350" s="20">
        <f t="shared" si="5"/>
        <v>15.868646616951938</v>
      </c>
    </row>
    <row r="351" spans="1:18" x14ac:dyDescent="0.3">
      <c r="A351" s="24">
        <v>3468202</v>
      </c>
      <c r="B351" s="24" t="s">
        <v>765</v>
      </c>
      <c r="C351" s="24">
        <v>652400096</v>
      </c>
      <c r="D351" s="24" t="str">
        <f>_xlfn.XLOOKUP(C351,Planilha3!A:A,Planilha3!C:C)</f>
        <v>TOCANTINÓPOLIS</v>
      </c>
      <c r="E351" s="24">
        <v>1</v>
      </c>
      <c r="F351" s="54">
        <f>_xlfn.XLOOKUP(C351,Planilha3!A:A,Planilha3!E:E)</f>
        <v>45471.722650462965</v>
      </c>
      <c r="G351" s="54">
        <f>_xlfn.XLOOKUP(C351,Planilha3!A:A,Planilha3!F:F)</f>
        <v>45482.722650462965</v>
      </c>
      <c r="H351" s="54">
        <f>_xlfn.XLOOKUP(C351,Planilha3!A:A,Planilha3!G:G)</f>
        <v>45922</v>
      </c>
      <c r="I351" s="23">
        <f>_xlfn.XLOOKUP(K351,Grupo!F:F,Grupo!G:G)</f>
        <v>39252.620000000003</v>
      </c>
      <c r="J351" s="6">
        <f>_xlfn.XLOOKUP(D351,Grupo!B:B,Grupo!C:C)</f>
        <v>15</v>
      </c>
      <c r="K351" s="24">
        <f>_xlfn.XLOOKUP(A351,[1]COORDENADAS_GEOGRÁFICAS!$D:$D,[1]COORDENADAS_GEOGRÁFICAS!$F:$F)</f>
        <v>45</v>
      </c>
      <c r="L351" s="53"/>
      <c r="M351" s="53"/>
      <c r="N351" s="52">
        <f>_xlfn.XLOOKUP(D351,Grupo!B:B,Grupo!D:D)</f>
        <v>-6.3256343760279616</v>
      </c>
      <c r="O351" s="52">
        <f>_xlfn.XLOOKUP(D351,Grupo!B:B,Grupo!E:E)</f>
        <v>-47.427412928692668</v>
      </c>
      <c r="P351" s="52">
        <f>_xlfn.XLOOKUP(A351,[1]COORDENADAS_GEOGRÁFICAS!$D:$D,[1]COORDENADAS_GEOGRÁFICAS!$G:$G)</f>
        <v>-6.1071049999999998</v>
      </c>
      <c r="Q351" s="52">
        <f>_xlfn.XLOOKUP(A351,[1]COORDENADAS_GEOGRÁFICAS!$D:$D,[1]COORDENADAS_GEOGRÁFICAS!$H:$H)</f>
        <v>-47.536087000000002</v>
      </c>
      <c r="R351" s="20">
        <f t="shared" si="5"/>
        <v>27.106634543183052</v>
      </c>
    </row>
    <row r="352" spans="1:18" x14ac:dyDescent="0.3">
      <c r="A352" s="24">
        <v>3468319</v>
      </c>
      <c r="B352" s="24" t="s">
        <v>765</v>
      </c>
      <c r="C352" s="24">
        <v>652400095</v>
      </c>
      <c r="D352" s="24" t="str">
        <f>_xlfn.XLOOKUP(C352,Planilha3!A:A,Planilha3!C:C)</f>
        <v>TOCANTINÓPOLIS</v>
      </c>
      <c r="E352" s="24">
        <v>1</v>
      </c>
      <c r="F352" s="54">
        <f>_xlfn.XLOOKUP(C352,Planilha3!A:A,Planilha3!E:E)</f>
        <v>45470.716087962966</v>
      </c>
      <c r="G352" s="54">
        <f>_xlfn.XLOOKUP(C352,Planilha3!A:A,Planilha3!F:F)</f>
        <v>45482.716087962966</v>
      </c>
      <c r="H352" s="54">
        <f>_xlfn.XLOOKUP(C352,Planilha3!A:A,Planilha3!G:G)</f>
        <v>45922</v>
      </c>
      <c r="I352" s="23">
        <f>_xlfn.XLOOKUP(K352,Grupo!F:F,Grupo!G:G)</f>
        <v>39252.620000000003</v>
      </c>
      <c r="J352" s="6">
        <f>_xlfn.XLOOKUP(D352,Grupo!B:B,Grupo!C:C)</f>
        <v>15</v>
      </c>
      <c r="K352" s="24">
        <f>_xlfn.XLOOKUP(A352,[1]COORDENADAS_GEOGRÁFICAS!$D:$D,[1]COORDENADAS_GEOGRÁFICAS!$F:$F)</f>
        <v>45</v>
      </c>
      <c r="L352" s="53"/>
      <c r="M352" s="53"/>
      <c r="N352" s="52">
        <f>_xlfn.XLOOKUP(D352,Grupo!B:B,Grupo!D:D)</f>
        <v>-6.3256343760279616</v>
      </c>
      <c r="O352" s="52">
        <f>_xlfn.XLOOKUP(D352,Grupo!B:B,Grupo!E:E)</f>
        <v>-47.427412928692668</v>
      </c>
      <c r="P352" s="52">
        <f>_xlfn.XLOOKUP(A352,[1]COORDENADAS_GEOGRÁFICAS!$D:$D,[1]COORDENADAS_GEOGRÁFICAS!$G:$G)</f>
        <v>-6.1071119999999999</v>
      </c>
      <c r="Q352" s="52">
        <f>_xlfn.XLOOKUP(A352,[1]COORDENADAS_GEOGRÁFICAS!$D:$D,[1]COORDENADAS_GEOGRÁFICAS!$H:$H)</f>
        <v>-47.536816999999999</v>
      </c>
      <c r="R352" s="20">
        <f t="shared" si="5"/>
        <v>27.14179594670868</v>
      </c>
    </row>
    <row r="353" spans="1:18" x14ac:dyDescent="0.3">
      <c r="A353" s="24">
        <v>3468201</v>
      </c>
      <c r="B353" s="24" t="s">
        <v>765</v>
      </c>
      <c r="C353" s="24">
        <v>652400097</v>
      </c>
      <c r="D353" s="24" t="str">
        <f>_xlfn.XLOOKUP(C353,Planilha3!A:A,Planilha3!C:C)</f>
        <v>TOCANTINÓPOLIS</v>
      </c>
      <c r="E353" s="24">
        <v>1</v>
      </c>
      <c r="F353" s="54">
        <f>_xlfn.XLOOKUP(C353,Planilha3!A:A,Planilha3!E:E)</f>
        <v>45469.730740740742</v>
      </c>
      <c r="G353" s="54">
        <f>_xlfn.XLOOKUP(C353,Planilha3!A:A,Planilha3!F:F)</f>
        <v>45482.730740740742</v>
      </c>
      <c r="H353" s="54">
        <f>_xlfn.XLOOKUP(C353,Planilha3!A:A,Planilha3!G:G)</f>
        <v>45922</v>
      </c>
      <c r="I353" s="23">
        <f>_xlfn.XLOOKUP(K353,Grupo!F:F,Grupo!G:G)</f>
        <v>39252.620000000003</v>
      </c>
      <c r="J353" s="6">
        <f>_xlfn.XLOOKUP(D353,Grupo!B:B,Grupo!C:C)</f>
        <v>15</v>
      </c>
      <c r="K353" s="24">
        <f>_xlfn.XLOOKUP(A353,[1]COORDENADAS_GEOGRÁFICAS!$D:$D,[1]COORDENADAS_GEOGRÁFICAS!$F:$F)</f>
        <v>45</v>
      </c>
      <c r="L353" s="53"/>
      <c r="M353" s="53"/>
      <c r="N353" s="52">
        <f>_xlfn.XLOOKUP(D353,Grupo!B:B,Grupo!D:D)</f>
        <v>-6.3256343760279616</v>
      </c>
      <c r="O353" s="52">
        <f>_xlfn.XLOOKUP(D353,Grupo!B:B,Grupo!E:E)</f>
        <v>-47.427412928692668</v>
      </c>
      <c r="P353" s="52">
        <f>_xlfn.XLOOKUP(A353,[1]COORDENADAS_GEOGRÁFICAS!$D:$D,[1]COORDENADAS_GEOGRÁFICAS!$G:$G)</f>
        <v>-6.1073029999999999</v>
      </c>
      <c r="Q353" s="52">
        <f>_xlfn.XLOOKUP(A353,[1]COORDENADAS_GEOGRÁFICAS!$D:$D,[1]COORDENADAS_GEOGRÁFICAS!$H:$H)</f>
        <v>-47.536879999999996</v>
      </c>
      <c r="R353" s="20">
        <f t="shared" si="5"/>
        <v>27.125889082382255</v>
      </c>
    </row>
    <row r="354" spans="1:18" x14ac:dyDescent="0.3">
      <c r="A354" s="24">
        <v>3468196</v>
      </c>
      <c r="B354" s="24" t="s">
        <v>765</v>
      </c>
      <c r="C354" s="24">
        <v>652400098</v>
      </c>
      <c r="D354" s="24" t="str">
        <f>_xlfn.XLOOKUP(C354,Planilha3!A:A,Planilha3!C:C)</f>
        <v>TOCANTINÓPOLIS</v>
      </c>
      <c r="E354" s="24">
        <v>1</v>
      </c>
      <c r="F354" s="54">
        <f>_xlfn.XLOOKUP(C354,Planilha3!A:A,Planilha3!E:E)</f>
        <v>45467.739398148151</v>
      </c>
      <c r="G354" s="54">
        <f>_xlfn.XLOOKUP(C354,Planilha3!A:A,Planilha3!F:F)</f>
        <v>45482.739398148151</v>
      </c>
      <c r="H354" s="54">
        <f>_xlfn.XLOOKUP(C354,Planilha3!A:A,Planilha3!G:G)</f>
        <v>45922</v>
      </c>
      <c r="I354" s="23">
        <f>_xlfn.XLOOKUP(K354,Grupo!F:F,Grupo!G:G)</f>
        <v>39252.620000000003</v>
      </c>
      <c r="J354" s="6">
        <f>_xlfn.XLOOKUP(D354,Grupo!B:B,Grupo!C:C)</f>
        <v>15</v>
      </c>
      <c r="K354" s="24">
        <f>_xlfn.XLOOKUP(A354,[1]COORDENADAS_GEOGRÁFICAS!$D:$D,[1]COORDENADAS_GEOGRÁFICAS!$F:$F)</f>
        <v>45</v>
      </c>
      <c r="L354" s="53"/>
      <c r="M354" s="53"/>
      <c r="N354" s="52">
        <f>_xlfn.XLOOKUP(D354,Grupo!B:B,Grupo!D:D)</f>
        <v>-6.3256343760279616</v>
      </c>
      <c r="O354" s="52">
        <f>_xlfn.XLOOKUP(D354,Grupo!B:B,Grupo!E:E)</f>
        <v>-47.427412928692668</v>
      </c>
      <c r="P354" s="52">
        <f>_xlfn.XLOOKUP(A354,[1]COORDENADAS_GEOGRÁFICAS!$D:$D,[1]COORDENADAS_GEOGRÁFICAS!$G:$G)</f>
        <v>-6.1077180000000002</v>
      </c>
      <c r="Q354" s="52">
        <f>_xlfn.XLOOKUP(A354,[1]COORDENADAS_GEOGRÁFICAS!$D:$D,[1]COORDENADAS_GEOGRÁFICAS!$H:$H)</f>
        <v>-47.536340000000003</v>
      </c>
      <c r="R354" s="20">
        <f t="shared" si="5"/>
        <v>27.057978792037083</v>
      </c>
    </row>
    <row r="355" spans="1:18" x14ac:dyDescent="0.3">
      <c r="A355" s="24">
        <v>3468137</v>
      </c>
      <c r="B355" s="24" t="s">
        <v>765</v>
      </c>
      <c r="C355" s="24">
        <v>652400112</v>
      </c>
      <c r="D355" s="24" t="str">
        <f>_xlfn.XLOOKUP(C355,Planilha3!A:A,Planilha3!C:C)</f>
        <v>SÃO BENTO DO TOCANTINS</v>
      </c>
      <c r="E355" s="24">
        <v>1</v>
      </c>
      <c r="F355" s="54">
        <f>_xlfn.XLOOKUP(C355,Planilha3!A:A,Planilha3!E:E)</f>
        <v>45472.691759259258</v>
      </c>
      <c r="G355" s="54">
        <f>_xlfn.XLOOKUP(C355,Planilha3!A:A,Planilha3!F:F)</f>
        <v>45483.691759259258</v>
      </c>
      <c r="H355" s="54">
        <f>_xlfn.XLOOKUP(C355,Planilha3!A:A,Planilha3!G:G)</f>
        <v>45922</v>
      </c>
      <c r="I355" s="23">
        <f>_xlfn.XLOOKUP(K355,Grupo!F:F,Grupo!G:G)</f>
        <v>39252.620000000003</v>
      </c>
      <c r="J355" s="6">
        <f>_xlfn.XLOOKUP(D355,Grupo!B:B,Grupo!C:C)</f>
        <v>14</v>
      </c>
      <c r="K355" s="24">
        <f>_xlfn.XLOOKUP(A355,[1]COORDENADAS_GEOGRÁFICAS!$D:$D,[1]COORDENADAS_GEOGRÁFICAS!$F:$F)</f>
        <v>45</v>
      </c>
      <c r="L355" s="53"/>
      <c r="M355" s="53"/>
      <c r="N355" s="52">
        <f>_xlfn.XLOOKUP(D355,Grupo!B:B,Grupo!D:D)</f>
        <v>-6.0449992571923881</v>
      </c>
      <c r="O355" s="52">
        <f>_xlfn.XLOOKUP(D355,Grupo!B:B,Grupo!E:E)</f>
        <v>-47.919392287053363</v>
      </c>
      <c r="P355" s="52">
        <f>_xlfn.XLOOKUP(A355,[1]COORDENADAS_GEOGRÁFICAS!$D:$D,[1]COORDENADAS_GEOGRÁFICAS!$G:$G)</f>
        <v>-6.0105219999999999</v>
      </c>
      <c r="Q355" s="52">
        <f>_xlfn.XLOOKUP(A355,[1]COORDENADAS_GEOGRÁFICAS!$D:$D,[1]COORDENADAS_GEOGRÁFICAS!$H:$H)</f>
        <v>-47.757272</v>
      </c>
      <c r="R355" s="20">
        <f t="shared" si="5"/>
        <v>18.332614477675392</v>
      </c>
    </row>
    <row r="356" spans="1:18" x14ac:dyDescent="0.3">
      <c r="A356" s="24">
        <v>3468582</v>
      </c>
      <c r="B356" s="24" t="s">
        <v>765</v>
      </c>
      <c r="C356" s="24">
        <v>652400068</v>
      </c>
      <c r="D356" s="24" t="str">
        <f>_xlfn.XLOOKUP(C356,Planilha3!A:A,Planilha3!C:C)</f>
        <v>CACHOEIRINHA</v>
      </c>
      <c r="E356" s="24">
        <v>1</v>
      </c>
      <c r="F356" s="54">
        <f>_xlfn.XLOOKUP(C356,Planilha3!A:A,Planilha3!E:E)</f>
        <v>45466.615682870368</v>
      </c>
      <c r="G356" s="54">
        <f>_xlfn.XLOOKUP(C356,Planilha3!A:A,Planilha3!F:F)</f>
        <v>45478.615682870368</v>
      </c>
      <c r="H356" s="54">
        <f>_xlfn.XLOOKUP(C356,Planilha3!A:A,Planilha3!G:G)</f>
        <v>45922</v>
      </c>
      <c r="I356" s="23">
        <f>_xlfn.XLOOKUP(K356,Grupo!F:F,Grupo!G:G)</f>
        <v>39252.620000000003</v>
      </c>
      <c r="J356" s="6">
        <f>_xlfn.XLOOKUP(D356,Grupo!B:B,Grupo!C:C)</f>
        <v>4</v>
      </c>
      <c r="K356" s="24">
        <f>_xlfn.XLOOKUP(A356,[1]COORDENADAS_GEOGRÁFICAS!$D:$D,[1]COORDENADAS_GEOGRÁFICAS!$F:$F)</f>
        <v>45</v>
      </c>
      <c r="L356" s="53"/>
      <c r="M356" s="53"/>
      <c r="N356" s="52">
        <f>_xlfn.XLOOKUP(D356,Grupo!B:B,Grupo!D:D)</f>
        <v>-6.1132416465046608</v>
      </c>
      <c r="O356" s="52">
        <f>_xlfn.XLOOKUP(D356,Grupo!B:B,Grupo!E:E)</f>
        <v>-47.914197778558957</v>
      </c>
      <c r="P356" s="52">
        <f>_xlfn.XLOOKUP(A356,[1]COORDENADAS_GEOGRÁFICAS!$D:$D,[1]COORDENADAS_GEOGRÁFICAS!$G:$G)</f>
        <v>-6.0367980000000001</v>
      </c>
      <c r="Q356" s="52">
        <f>_xlfn.XLOOKUP(A356,[1]COORDENADAS_GEOGRÁFICAS!$D:$D,[1]COORDENADAS_GEOGRÁFICAS!$H:$H)</f>
        <v>-47.857664999999997</v>
      </c>
      <c r="R356" s="20">
        <f t="shared" si="5"/>
        <v>10.551098230512231</v>
      </c>
    </row>
    <row r="357" spans="1:18" x14ac:dyDescent="0.3">
      <c r="A357" s="24">
        <v>3468472</v>
      </c>
      <c r="B357" s="24" t="s">
        <v>765</v>
      </c>
      <c r="C357" s="24">
        <v>652400069</v>
      </c>
      <c r="D357" s="24" t="str">
        <f>_xlfn.XLOOKUP(C357,Planilha3!A:A,Planilha3!C:C)</f>
        <v>CACHOEIRINHA</v>
      </c>
      <c r="E357" s="24">
        <v>1</v>
      </c>
      <c r="F357" s="54">
        <f>_xlfn.XLOOKUP(C357,Planilha3!A:A,Planilha3!E:E)</f>
        <v>45465.624074074076</v>
      </c>
      <c r="G357" s="54">
        <f>_xlfn.XLOOKUP(C357,Planilha3!A:A,Planilha3!F:F)</f>
        <v>45478.624074074076</v>
      </c>
      <c r="H357" s="54">
        <f>_xlfn.XLOOKUP(C357,Planilha3!A:A,Planilha3!G:G)</f>
        <v>45922</v>
      </c>
      <c r="I357" s="23">
        <f>_xlfn.XLOOKUP(K357,Grupo!F:F,Grupo!G:G)</f>
        <v>39252.620000000003</v>
      </c>
      <c r="J357" s="6">
        <f>_xlfn.XLOOKUP(D357,Grupo!B:B,Grupo!C:C)</f>
        <v>4</v>
      </c>
      <c r="K357" s="24">
        <f>_xlfn.XLOOKUP(A357,[1]COORDENADAS_GEOGRÁFICAS!$D:$D,[1]COORDENADAS_GEOGRÁFICAS!$F:$F)</f>
        <v>45</v>
      </c>
      <c r="L357" s="53"/>
      <c r="M357" s="53"/>
      <c r="N357" s="52">
        <f>_xlfn.XLOOKUP(D357,Grupo!B:B,Grupo!D:D)</f>
        <v>-6.1132416465046608</v>
      </c>
      <c r="O357" s="52">
        <f>_xlfn.XLOOKUP(D357,Grupo!B:B,Grupo!E:E)</f>
        <v>-47.914197778558957</v>
      </c>
      <c r="P357" s="52">
        <f>_xlfn.XLOOKUP(A357,[1]COORDENADAS_GEOGRÁFICAS!$D:$D,[1]COORDENADAS_GEOGRÁFICAS!$G:$G)</f>
        <v>-6.0365419999999999</v>
      </c>
      <c r="Q357" s="52">
        <f>_xlfn.XLOOKUP(A357,[1]COORDENADAS_GEOGRÁFICAS!$D:$D,[1]COORDENADAS_GEOGRÁFICAS!$H:$H)</f>
        <v>-47.857967000000002</v>
      </c>
      <c r="R357" s="20">
        <f t="shared" si="5"/>
        <v>10.554339653547133</v>
      </c>
    </row>
    <row r="358" spans="1:18" x14ac:dyDescent="0.3">
      <c r="A358" s="24">
        <v>3468413</v>
      </c>
      <c r="B358" s="24" t="s">
        <v>765</v>
      </c>
      <c r="C358" s="24">
        <v>652400083</v>
      </c>
      <c r="D358" s="24" t="str">
        <f>_xlfn.XLOOKUP(C358,Planilha3!A:A,Planilha3!C:C)</f>
        <v>CACHOEIRINHA</v>
      </c>
      <c r="E358" s="24">
        <v>1</v>
      </c>
      <c r="F358" s="54">
        <f>_xlfn.XLOOKUP(C358,Planilha3!A:A,Planilha3!E:E)</f>
        <v>45466.463865740741</v>
      </c>
      <c r="G358" s="54">
        <f>_xlfn.XLOOKUP(C358,Planilha3!A:A,Planilha3!F:F)</f>
        <v>45481.463865740741</v>
      </c>
      <c r="H358" s="54">
        <f>_xlfn.XLOOKUP(C358,Planilha3!A:A,Planilha3!G:G)</f>
        <v>45922</v>
      </c>
      <c r="I358" s="23">
        <f>_xlfn.XLOOKUP(K358,Grupo!F:F,Grupo!G:G)</f>
        <v>39252.620000000003</v>
      </c>
      <c r="J358" s="6">
        <f>_xlfn.XLOOKUP(D358,Grupo!B:B,Grupo!C:C)</f>
        <v>4</v>
      </c>
      <c r="K358" s="24">
        <f>_xlfn.XLOOKUP(A358,[1]COORDENADAS_GEOGRÁFICAS!$D:$D,[1]COORDENADAS_GEOGRÁFICAS!$F:$F)</f>
        <v>45</v>
      </c>
      <c r="L358" s="53"/>
      <c r="M358" s="53"/>
      <c r="N358" s="52">
        <f>_xlfn.XLOOKUP(D358,Grupo!B:B,Grupo!D:D)</f>
        <v>-6.1132416465046608</v>
      </c>
      <c r="O358" s="52">
        <f>_xlfn.XLOOKUP(D358,Grupo!B:B,Grupo!E:E)</f>
        <v>-47.914197778558957</v>
      </c>
      <c r="P358" s="52">
        <f>_xlfn.XLOOKUP(A358,[1]COORDENADAS_GEOGRÁFICAS!$D:$D,[1]COORDENADAS_GEOGRÁFICAS!$G:$G)</f>
        <v>-6.0367800000000003</v>
      </c>
      <c r="Q358" s="52">
        <f>_xlfn.XLOOKUP(A358,[1]COORDENADAS_GEOGRÁFICAS!$D:$D,[1]COORDENADAS_GEOGRÁFICAS!$H:$H)</f>
        <v>-47.856158000000001</v>
      </c>
      <c r="R358" s="20">
        <f t="shared" si="5"/>
        <v>10.652259258330131</v>
      </c>
    </row>
    <row r="359" spans="1:18" x14ac:dyDescent="0.3">
      <c r="A359" s="24">
        <v>3468412</v>
      </c>
      <c r="B359" s="24" t="s">
        <v>765</v>
      </c>
      <c r="C359" s="24">
        <v>652400084</v>
      </c>
      <c r="D359" s="24" t="str">
        <f>_xlfn.XLOOKUP(C359,Planilha3!A:A,Planilha3!C:C)</f>
        <v>CACHOEIRINHA</v>
      </c>
      <c r="E359" s="24">
        <v>1</v>
      </c>
      <c r="F359" s="54">
        <f>_xlfn.XLOOKUP(C359,Planilha3!A:A,Planilha3!E:E)</f>
        <v>45465.643460648149</v>
      </c>
      <c r="G359" s="54">
        <f>_xlfn.XLOOKUP(C359,Planilha3!A:A,Planilha3!F:F)</f>
        <v>45481.643460648149</v>
      </c>
      <c r="H359" s="54">
        <f>_xlfn.XLOOKUP(C359,Planilha3!A:A,Planilha3!G:G)</f>
        <v>45922</v>
      </c>
      <c r="I359" s="23">
        <f>_xlfn.XLOOKUP(K359,Grupo!F:F,Grupo!G:G)</f>
        <v>39252.620000000003</v>
      </c>
      <c r="J359" s="6">
        <f>_xlfn.XLOOKUP(D359,Grupo!B:B,Grupo!C:C)</f>
        <v>4</v>
      </c>
      <c r="K359" s="24">
        <f>_xlfn.XLOOKUP(A359,[1]COORDENADAS_GEOGRÁFICAS!$D:$D,[1]COORDENADAS_GEOGRÁFICAS!$F:$F)</f>
        <v>45</v>
      </c>
      <c r="L359" s="53"/>
      <c r="M359" s="53"/>
      <c r="N359" s="52">
        <f>_xlfn.XLOOKUP(D359,Grupo!B:B,Grupo!D:D)</f>
        <v>-6.1132416465046608</v>
      </c>
      <c r="O359" s="52">
        <f>_xlfn.XLOOKUP(D359,Grupo!B:B,Grupo!E:E)</f>
        <v>-47.914197778558957</v>
      </c>
      <c r="P359" s="52">
        <f>_xlfn.XLOOKUP(A359,[1]COORDENADAS_GEOGRÁFICAS!$D:$D,[1]COORDENADAS_GEOGRÁFICAS!$G:$G)</f>
        <v>-6.0371620000000004</v>
      </c>
      <c r="Q359" s="52">
        <f>_xlfn.XLOOKUP(A359,[1]COORDENADAS_GEOGRÁFICAS!$D:$D,[1]COORDENADAS_GEOGRÁFICAS!$H:$H)</f>
        <v>-47.856496999999997</v>
      </c>
      <c r="R359" s="20">
        <f t="shared" si="5"/>
        <v>10.595774028825819</v>
      </c>
    </row>
    <row r="360" spans="1:18" x14ac:dyDescent="0.3">
      <c r="A360" s="24">
        <v>3468414</v>
      </c>
      <c r="B360" s="24" t="s">
        <v>765</v>
      </c>
      <c r="C360" s="24">
        <v>652400082</v>
      </c>
      <c r="D360" s="24" t="str">
        <f>_xlfn.XLOOKUP(C360,Planilha3!A:A,Planilha3!C:C)</f>
        <v>CACHOEIRINHA</v>
      </c>
      <c r="E360" s="24">
        <v>1</v>
      </c>
      <c r="F360" s="54">
        <f>_xlfn.XLOOKUP(C360,Planilha3!A:A,Planilha3!E:E)</f>
        <v>45470.45108796296</v>
      </c>
      <c r="G360" s="54">
        <f>_xlfn.XLOOKUP(C360,Planilha3!A:A,Planilha3!F:F)</f>
        <v>45481.45108796296</v>
      </c>
      <c r="H360" s="54">
        <f>_xlfn.XLOOKUP(C360,Planilha3!A:A,Planilha3!G:G)</f>
        <v>45922</v>
      </c>
      <c r="I360" s="23">
        <f>_xlfn.XLOOKUP(K360,Grupo!F:F,Grupo!G:G)</f>
        <v>39252.620000000003</v>
      </c>
      <c r="J360" s="6">
        <f>_xlfn.XLOOKUP(D360,Grupo!B:B,Grupo!C:C)</f>
        <v>4</v>
      </c>
      <c r="K360" s="24">
        <f>_xlfn.XLOOKUP(A360,[1]COORDENADAS_GEOGRÁFICAS!$D:$D,[1]COORDENADAS_GEOGRÁFICAS!$F:$F)</f>
        <v>45</v>
      </c>
      <c r="L360" s="53"/>
      <c r="M360" s="53"/>
      <c r="N360" s="52">
        <f>_xlfn.XLOOKUP(D360,Grupo!B:B,Grupo!D:D)</f>
        <v>-6.1132416465046608</v>
      </c>
      <c r="O360" s="52">
        <f>_xlfn.XLOOKUP(D360,Grupo!B:B,Grupo!E:E)</f>
        <v>-47.914197778558957</v>
      </c>
      <c r="P360" s="52">
        <f>_xlfn.XLOOKUP(A360,[1]COORDENADAS_GEOGRÁFICAS!$D:$D,[1]COORDENADAS_GEOGRÁFICAS!$G:$G)</f>
        <v>-6.0362580000000001</v>
      </c>
      <c r="Q360" s="52">
        <f>_xlfn.XLOOKUP(A360,[1]COORDENADAS_GEOGRÁFICAS!$D:$D,[1]COORDENADAS_GEOGRÁFICAS!$H:$H)</f>
        <v>-47.856262999999998</v>
      </c>
      <c r="R360" s="20">
        <f t="shared" si="5"/>
        <v>10.691686078212848</v>
      </c>
    </row>
    <row r="361" spans="1:18" x14ac:dyDescent="0.3">
      <c r="A361" s="24">
        <v>3468583</v>
      </c>
      <c r="B361" s="24" t="s">
        <v>765</v>
      </c>
      <c r="C361" s="24">
        <v>652400065</v>
      </c>
      <c r="D361" s="24" t="str">
        <f>_xlfn.XLOOKUP(C361,Planilha3!A:A,Planilha3!C:C)</f>
        <v>CACHOEIRINHA</v>
      </c>
      <c r="E361" s="24">
        <v>1</v>
      </c>
      <c r="F361" s="54">
        <f>_xlfn.XLOOKUP(C361,Planilha3!A:A,Planilha3!E:E)</f>
        <v>45466.460706018515</v>
      </c>
      <c r="G361" s="54">
        <f>_xlfn.XLOOKUP(C361,Planilha3!A:A,Planilha3!F:F)</f>
        <v>45478.460706018515</v>
      </c>
      <c r="H361" s="54">
        <f>_xlfn.XLOOKUP(C361,Planilha3!A:A,Planilha3!G:G)</f>
        <v>45922</v>
      </c>
      <c r="I361" s="23">
        <f>_xlfn.XLOOKUP(K361,Grupo!F:F,Grupo!G:G)</f>
        <v>39252.620000000003</v>
      </c>
      <c r="J361" s="6">
        <f>_xlfn.XLOOKUP(D361,Grupo!B:B,Grupo!C:C)</f>
        <v>4</v>
      </c>
      <c r="K361" s="24">
        <f>_xlfn.XLOOKUP(A361,[1]COORDENADAS_GEOGRÁFICAS!$D:$D,[1]COORDENADAS_GEOGRÁFICAS!$F:$F)</f>
        <v>45</v>
      </c>
      <c r="L361" s="53"/>
      <c r="M361" s="53"/>
      <c r="N361" s="52">
        <f>_xlfn.XLOOKUP(D361,Grupo!B:B,Grupo!D:D)</f>
        <v>-6.1132416465046608</v>
      </c>
      <c r="O361" s="52">
        <f>_xlfn.XLOOKUP(D361,Grupo!B:B,Grupo!E:E)</f>
        <v>-47.914197778558957</v>
      </c>
      <c r="P361" s="52">
        <f>_xlfn.XLOOKUP(A361,[1]COORDENADAS_GEOGRÁFICAS!$D:$D,[1]COORDENADAS_GEOGRÁFICAS!$G:$G)</f>
        <v>-6.0441050000000001</v>
      </c>
      <c r="Q361" s="52">
        <f>_xlfn.XLOOKUP(A361,[1]COORDENADAS_GEOGRÁFICAS!$D:$D,[1]COORDENADAS_GEOGRÁFICAS!$H:$H)</f>
        <v>-47.767760000000003</v>
      </c>
      <c r="R361" s="20">
        <f t="shared" si="5"/>
        <v>17.923929924888075</v>
      </c>
    </row>
    <row r="362" spans="1:18" x14ac:dyDescent="0.3">
      <c r="A362" s="24">
        <v>3468642</v>
      </c>
      <c r="B362" s="24" t="s">
        <v>765</v>
      </c>
      <c r="C362" s="24">
        <v>652400066</v>
      </c>
      <c r="D362" s="24" t="str">
        <f>_xlfn.XLOOKUP(C362,Planilha3!A:A,Planilha3!C:C)</f>
        <v>CACHOEIRINHA</v>
      </c>
      <c r="E362" s="24">
        <v>1</v>
      </c>
      <c r="F362" s="54">
        <f>_xlfn.XLOOKUP(C362,Planilha3!A:A,Planilha3!E:E)</f>
        <v>45465.46875</v>
      </c>
      <c r="G362" s="54">
        <f>_xlfn.XLOOKUP(C362,Planilha3!A:A,Planilha3!F:F)</f>
        <v>45478.46875</v>
      </c>
      <c r="H362" s="54">
        <f>_xlfn.XLOOKUP(C362,Planilha3!A:A,Planilha3!G:G)</f>
        <v>45922</v>
      </c>
      <c r="I362" s="23">
        <f>_xlfn.XLOOKUP(K362,Grupo!F:F,Grupo!G:G)</f>
        <v>39252.620000000003</v>
      </c>
      <c r="J362" s="6">
        <f>_xlfn.XLOOKUP(D362,Grupo!B:B,Grupo!C:C)</f>
        <v>4</v>
      </c>
      <c r="K362" s="24">
        <f>_xlfn.XLOOKUP(A362,[1]COORDENADAS_GEOGRÁFICAS!$D:$D,[1]COORDENADAS_GEOGRÁFICAS!$F:$F)</f>
        <v>45</v>
      </c>
      <c r="L362" s="53"/>
      <c r="M362" s="53"/>
      <c r="N362" s="52">
        <f>_xlfn.XLOOKUP(D362,Grupo!B:B,Grupo!D:D)</f>
        <v>-6.1132416465046608</v>
      </c>
      <c r="O362" s="52">
        <f>_xlfn.XLOOKUP(D362,Grupo!B:B,Grupo!E:E)</f>
        <v>-47.914197778558957</v>
      </c>
      <c r="P362" s="52">
        <f>_xlfn.XLOOKUP(A362,[1]COORDENADAS_GEOGRÁFICAS!$D:$D,[1]COORDENADAS_GEOGRÁFICAS!$G:$G)</f>
        <v>-6.0439829999999999</v>
      </c>
      <c r="Q362" s="52">
        <f>_xlfn.XLOOKUP(A362,[1]COORDENADAS_GEOGRÁFICAS!$D:$D,[1]COORDENADAS_GEOGRÁFICAS!$H:$H)</f>
        <v>-47.767752000000002</v>
      </c>
      <c r="R362" s="20">
        <f t="shared" si="5"/>
        <v>17.930552994599953</v>
      </c>
    </row>
    <row r="363" spans="1:18" x14ac:dyDescent="0.3">
      <c r="A363" s="24">
        <v>3468383</v>
      </c>
      <c r="B363" s="24" t="s">
        <v>765</v>
      </c>
      <c r="C363" s="24">
        <v>652400087</v>
      </c>
      <c r="D363" s="24" t="str">
        <f>_xlfn.XLOOKUP(C363,Planilha3!A:A,Planilha3!C:C)</f>
        <v>CACHOEIRINHA</v>
      </c>
      <c r="E363" s="24">
        <v>1</v>
      </c>
      <c r="F363" s="54">
        <f>_xlfn.XLOOKUP(C363,Planilha3!A:A,Planilha3!E:E)</f>
        <v>45467.41269675926</v>
      </c>
      <c r="G363" s="54">
        <f>_xlfn.XLOOKUP(C363,Planilha3!A:A,Planilha3!F:F)</f>
        <v>45482.41269675926</v>
      </c>
      <c r="H363" s="54">
        <f>_xlfn.XLOOKUP(C363,Planilha3!A:A,Planilha3!G:G)</f>
        <v>45922</v>
      </c>
      <c r="I363" s="23">
        <f>_xlfn.XLOOKUP(K363,Grupo!F:F,Grupo!G:G)</f>
        <v>39252.620000000003</v>
      </c>
      <c r="J363" s="6">
        <f>_xlfn.XLOOKUP(D363,Grupo!B:B,Grupo!C:C)</f>
        <v>4</v>
      </c>
      <c r="K363" s="24">
        <f>_xlfn.XLOOKUP(A363,[1]COORDENADAS_GEOGRÁFICAS!$D:$D,[1]COORDENADAS_GEOGRÁFICAS!$F:$F)</f>
        <v>45</v>
      </c>
      <c r="L363" s="53"/>
      <c r="M363" s="53"/>
      <c r="N363" s="52">
        <f>_xlfn.XLOOKUP(D363,Grupo!B:B,Grupo!D:D)</f>
        <v>-6.1132416465046608</v>
      </c>
      <c r="O363" s="52">
        <f>_xlfn.XLOOKUP(D363,Grupo!B:B,Grupo!E:E)</f>
        <v>-47.914197778558957</v>
      </c>
      <c r="P363" s="52">
        <f>_xlfn.XLOOKUP(A363,[1]COORDENADAS_GEOGRÁFICAS!$D:$D,[1]COORDENADAS_GEOGRÁFICAS!$G:$G)</f>
        <v>-6.0436449999999997</v>
      </c>
      <c r="Q363" s="52">
        <f>_xlfn.XLOOKUP(A363,[1]COORDENADAS_GEOGRÁFICAS!$D:$D,[1]COORDENADAS_GEOGRÁFICAS!$H:$H)</f>
        <v>-47.768062</v>
      </c>
      <c r="R363" s="20">
        <f t="shared" si="5"/>
        <v>17.915811966530924</v>
      </c>
    </row>
    <row r="364" spans="1:18" x14ac:dyDescent="0.3">
      <c r="A364" s="24">
        <v>3468687</v>
      </c>
      <c r="B364" s="24" t="s">
        <v>765</v>
      </c>
      <c r="C364" s="24">
        <v>652400085</v>
      </c>
      <c r="D364" s="24" t="str">
        <f>_xlfn.XLOOKUP(C364,Planilha3!A:A,Planilha3!C:C)</f>
        <v>CACHOEIRINHA</v>
      </c>
      <c r="E364" s="24">
        <v>1</v>
      </c>
      <c r="F364" s="54">
        <f>_xlfn.XLOOKUP(C364,Planilha3!A:A,Planilha3!E:E)</f>
        <v>45471.401956018519</v>
      </c>
      <c r="G364" s="54">
        <f>_xlfn.XLOOKUP(C364,Planilha3!A:A,Planilha3!F:F)</f>
        <v>45482.401956018519</v>
      </c>
      <c r="H364" s="54">
        <f>_xlfn.XLOOKUP(C364,Planilha3!A:A,Planilha3!G:G)</f>
        <v>45922</v>
      </c>
      <c r="I364" s="23">
        <f>_xlfn.XLOOKUP(K364,Grupo!F:F,Grupo!G:G)</f>
        <v>39252.620000000003</v>
      </c>
      <c r="J364" s="6">
        <f>_xlfn.XLOOKUP(D364,Grupo!B:B,Grupo!C:C)</f>
        <v>4</v>
      </c>
      <c r="K364" s="24">
        <f>_xlfn.XLOOKUP(A364,[1]COORDENADAS_GEOGRÁFICAS!$D:$D,[1]COORDENADAS_GEOGRÁFICAS!$F:$F)</f>
        <v>45</v>
      </c>
      <c r="L364" s="53"/>
      <c r="M364" s="53"/>
      <c r="N364" s="52">
        <f>_xlfn.XLOOKUP(D364,Grupo!B:B,Grupo!D:D)</f>
        <v>-6.1132416465046608</v>
      </c>
      <c r="O364" s="52">
        <f>_xlfn.XLOOKUP(D364,Grupo!B:B,Grupo!E:E)</f>
        <v>-47.914197778558957</v>
      </c>
      <c r="P364" s="52">
        <f>_xlfn.XLOOKUP(A364,[1]COORDENADAS_GEOGRÁFICAS!$D:$D,[1]COORDENADAS_GEOGRÁFICAS!$G:$G)</f>
        <v>-6.0435980000000002</v>
      </c>
      <c r="Q364" s="52">
        <f>_xlfn.XLOOKUP(A364,[1]COORDENADAS_GEOGRÁFICAS!$D:$D,[1]COORDENADAS_GEOGRÁFICAS!$H:$H)</f>
        <v>-47.768237999999997</v>
      </c>
      <c r="R364" s="20">
        <f t="shared" si="5"/>
        <v>17.900523719599331</v>
      </c>
    </row>
    <row r="365" spans="1:18" x14ac:dyDescent="0.3">
      <c r="A365" s="24">
        <v>3468423</v>
      </c>
      <c r="B365" s="24" t="s">
        <v>765</v>
      </c>
      <c r="C365" s="24">
        <v>652400074</v>
      </c>
      <c r="D365" s="24" t="str">
        <f>_xlfn.XLOOKUP(C365,Planilha3!A:A,Planilha3!C:C)</f>
        <v>TOCANTINÓPOLIS</v>
      </c>
      <c r="E365" s="24">
        <v>1</v>
      </c>
      <c r="F365" s="54">
        <f>_xlfn.XLOOKUP(C365,Planilha3!A:A,Planilha3!E:E)</f>
        <v>45466.692881944444</v>
      </c>
      <c r="G365" s="54">
        <f>_xlfn.XLOOKUP(C365,Planilha3!A:A,Planilha3!F:F)</f>
        <v>45478.692881944444</v>
      </c>
      <c r="H365" s="54">
        <f>_xlfn.XLOOKUP(C365,Planilha3!A:A,Planilha3!G:G)</f>
        <v>45922</v>
      </c>
      <c r="I365" s="23">
        <f>_xlfn.XLOOKUP(K365,Grupo!F:F,Grupo!G:G)</f>
        <v>39252.620000000003</v>
      </c>
      <c r="J365" s="6">
        <f>_xlfn.XLOOKUP(D365,Grupo!B:B,Grupo!C:C)</f>
        <v>15</v>
      </c>
      <c r="K365" s="24">
        <f>_xlfn.XLOOKUP(A365,[1]COORDENADAS_GEOGRÁFICAS!$D:$D,[1]COORDENADAS_GEOGRÁFICAS!$F:$F)</f>
        <v>45</v>
      </c>
      <c r="L365" s="53"/>
      <c r="M365" s="53"/>
      <c r="N365" s="52">
        <f>_xlfn.XLOOKUP(D365,Grupo!B:B,Grupo!D:D)</f>
        <v>-6.3256343760279616</v>
      </c>
      <c r="O365" s="52">
        <f>_xlfn.XLOOKUP(D365,Grupo!B:B,Grupo!E:E)</f>
        <v>-47.427412928692668</v>
      </c>
      <c r="P365" s="52">
        <f>_xlfn.XLOOKUP(A365,[1]COORDENADAS_GEOGRÁFICAS!$D:$D,[1]COORDENADAS_GEOGRÁFICAS!$G:$G)</f>
        <v>-6.256437</v>
      </c>
      <c r="Q365" s="52">
        <f>_xlfn.XLOOKUP(A365,[1]COORDENADAS_GEOGRÁFICAS!$D:$D,[1]COORDENADAS_GEOGRÁFICAS!$H:$H)</f>
        <v>-47.580638</v>
      </c>
      <c r="R365" s="20">
        <f t="shared" si="5"/>
        <v>18.601247808524903</v>
      </c>
    </row>
    <row r="366" spans="1:18" x14ac:dyDescent="0.3">
      <c r="A366" s="24">
        <v>3468643</v>
      </c>
      <c r="B366" s="24" t="s">
        <v>765</v>
      </c>
      <c r="C366" s="24">
        <v>652400056</v>
      </c>
      <c r="D366" s="24" t="str">
        <f>_xlfn.XLOOKUP(C366,Planilha3!A:A,Planilha3!C:C)</f>
        <v>TOCANTINÓPOLIS</v>
      </c>
      <c r="E366" s="24">
        <v>1</v>
      </c>
      <c r="F366" s="54">
        <f>_xlfn.XLOOKUP(C366,Planilha3!A:A,Planilha3!E:E)</f>
        <v>45465.355694444443</v>
      </c>
      <c r="G366" s="54">
        <f>_xlfn.XLOOKUP(C366,Planilha3!A:A,Planilha3!F:F)</f>
        <v>45478.355694444443</v>
      </c>
      <c r="H366" s="54">
        <f>_xlfn.XLOOKUP(C366,Planilha3!A:A,Planilha3!G:G)</f>
        <v>45922</v>
      </c>
      <c r="I366" s="23">
        <f>_xlfn.XLOOKUP(K366,Grupo!F:F,Grupo!G:G)</f>
        <v>39252.620000000003</v>
      </c>
      <c r="J366" s="6">
        <f>_xlfn.XLOOKUP(D366,Grupo!B:B,Grupo!C:C)</f>
        <v>15</v>
      </c>
      <c r="K366" s="24">
        <f>_xlfn.XLOOKUP(A366,[1]COORDENADAS_GEOGRÁFICAS!$D:$D,[1]COORDENADAS_GEOGRÁFICAS!$F:$F)</f>
        <v>45</v>
      </c>
      <c r="L366" s="53"/>
      <c r="M366" s="53"/>
      <c r="N366" s="52">
        <f>_xlfn.XLOOKUP(D366,Grupo!B:B,Grupo!D:D)</f>
        <v>-6.3256343760279616</v>
      </c>
      <c r="O366" s="52">
        <f>_xlfn.XLOOKUP(D366,Grupo!B:B,Grupo!E:E)</f>
        <v>-47.427412928692668</v>
      </c>
      <c r="P366" s="52">
        <f>_xlfn.XLOOKUP(A366,[1]COORDENADAS_GEOGRÁFICAS!$D:$D,[1]COORDENADAS_GEOGRÁFICAS!$G:$G)</f>
        <v>-6.1074479999999998</v>
      </c>
      <c r="Q366" s="52">
        <f>_xlfn.XLOOKUP(A366,[1]COORDENADAS_GEOGRÁFICAS!$D:$D,[1]COORDENADAS_GEOGRÁFICAS!$H:$H)</f>
        <v>-47.536527</v>
      </c>
      <c r="R366" s="20">
        <f t="shared" si="5"/>
        <v>27.094065524347606</v>
      </c>
    </row>
    <row r="367" spans="1:18" x14ac:dyDescent="0.3">
      <c r="A367" s="24">
        <v>3468468</v>
      </c>
      <c r="B367" s="24" t="s">
        <v>765</v>
      </c>
      <c r="C367" s="24">
        <v>652400070</v>
      </c>
      <c r="D367" s="24" t="str">
        <f>_xlfn.XLOOKUP(C367,Planilha3!A:A,Planilha3!C:C)</f>
        <v>TOCANTINÓPOLIS</v>
      </c>
      <c r="E367" s="24">
        <v>1</v>
      </c>
      <c r="F367" s="54">
        <f>_xlfn.XLOOKUP(C367,Planilha3!A:A,Planilha3!E:E)</f>
        <v>45463.632986111108</v>
      </c>
      <c r="G367" s="54">
        <f>_xlfn.XLOOKUP(C367,Planilha3!A:A,Planilha3!F:F)</f>
        <v>45478.632986111108</v>
      </c>
      <c r="H367" s="54">
        <f>_xlfn.XLOOKUP(C367,Planilha3!A:A,Planilha3!G:G)</f>
        <v>45922</v>
      </c>
      <c r="I367" s="23">
        <f>_xlfn.XLOOKUP(K367,Grupo!F:F,Grupo!G:G)</f>
        <v>39252.620000000003</v>
      </c>
      <c r="J367" s="6">
        <f>_xlfn.XLOOKUP(D367,Grupo!B:B,Grupo!C:C)</f>
        <v>15</v>
      </c>
      <c r="K367" s="24">
        <f>_xlfn.XLOOKUP(A367,[1]COORDENADAS_GEOGRÁFICAS!$D:$D,[1]COORDENADAS_GEOGRÁFICAS!$F:$F)</f>
        <v>45</v>
      </c>
      <c r="L367" s="53"/>
      <c r="M367" s="53"/>
      <c r="N367" s="52">
        <f>_xlfn.XLOOKUP(D367,Grupo!B:B,Grupo!D:D)</f>
        <v>-6.3256343760279616</v>
      </c>
      <c r="O367" s="52">
        <f>_xlfn.XLOOKUP(D367,Grupo!B:B,Grupo!E:E)</f>
        <v>-47.427412928692668</v>
      </c>
      <c r="P367" s="52">
        <f>_xlfn.XLOOKUP(A367,[1]COORDENADAS_GEOGRÁFICAS!$D:$D,[1]COORDENADAS_GEOGRÁFICAS!$G:$G)</f>
        <v>-6.2580879999999999</v>
      </c>
      <c r="Q367" s="52">
        <f>_xlfn.XLOOKUP(A367,[1]COORDENADAS_GEOGRÁFICAS!$D:$D,[1]COORDENADAS_GEOGRÁFICAS!$H:$H)</f>
        <v>-47.571857999999999</v>
      </c>
      <c r="R367" s="20">
        <f t="shared" si="5"/>
        <v>17.643342897933689</v>
      </c>
    </row>
    <row r="368" spans="1:18" x14ac:dyDescent="0.3">
      <c r="A368" s="24">
        <v>3468407</v>
      </c>
      <c r="B368" s="24" t="s">
        <v>765</v>
      </c>
      <c r="C368" s="24">
        <v>652400078</v>
      </c>
      <c r="D368" s="24" t="str">
        <f>_xlfn.XLOOKUP(C368,Planilha3!A:A,Planilha3!C:C)</f>
        <v>TOCANTINÓPOLIS</v>
      </c>
      <c r="E368" s="24">
        <v>1</v>
      </c>
      <c r="F368" s="54">
        <f>_xlfn.XLOOKUP(C368,Planilha3!A:A,Planilha3!E:E)</f>
        <v>45465.725266203706</v>
      </c>
      <c r="G368" s="54">
        <f>_xlfn.XLOOKUP(C368,Planilha3!A:A,Planilha3!F:F)</f>
        <v>45481.725266203706</v>
      </c>
      <c r="H368" s="54">
        <f>_xlfn.XLOOKUP(C368,Planilha3!A:A,Planilha3!G:G)</f>
        <v>45922</v>
      </c>
      <c r="I368" s="23">
        <f>_xlfn.XLOOKUP(K368,Grupo!F:F,Grupo!G:G)</f>
        <v>39252.620000000003</v>
      </c>
      <c r="J368" s="6">
        <f>_xlfn.XLOOKUP(D368,Grupo!B:B,Grupo!C:C)</f>
        <v>15</v>
      </c>
      <c r="K368" s="24">
        <f>_xlfn.XLOOKUP(A368,[1]COORDENADAS_GEOGRÁFICAS!$D:$D,[1]COORDENADAS_GEOGRÁFICAS!$F:$F)</f>
        <v>45</v>
      </c>
      <c r="L368" s="53"/>
      <c r="M368" s="53"/>
      <c r="N368" s="52">
        <f>_xlfn.XLOOKUP(D368,Grupo!B:B,Grupo!D:D)</f>
        <v>-6.3256343760279616</v>
      </c>
      <c r="O368" s="52">
        <f>_xlfn.XLOOKUP(D368,Grupo!B:B,Grupo!E:E)</f>
        <v>-47.427412928692668</v>
      </c>
      <c r="P368" s="52">
        <f>_xlfn.XLOOKUP(A368,[1]COORDENADAS_GEOGRÁFICAS!$D:$D,[1]COORDENADAS_GEOGRÁFICAS!$G:$G)</f>
        <v>-6.1672479999999998</v>
      </c>
      <c r="Q368" s="52">
        <f>_xlfn.XLOOKUP(A368,[1]COORDENADAS_GEOGRÁFICAS!$D:$D,[1]COORDENADAS_GEOGRÁFICAS!$H:$H)</f>
        <v>-47.506433000000001</v>
      </c>
      <c r="R368" s="20">
        <f t="shared" si="5"/>
        <v>19.658712620430411</v>
      </c>
    </row>
    <row r="369" spans="1:18" x14ac:dyDescent="0.3">
      <c r="A369" s="24">
        <v>3468627</v>
      </c>
      <c r="B369" s="24" t="s">
        <v>765</v>
      </c>
      <c r="C369" s="24">
        <v>652400080</v>
      </c>
      <c r="D369" s="24" t="str">
        <f>_xlfn.XLOOKUP(C369,Planilha3!A:A,Planilha3!C:C)</f>
        <v>TOCANTINÓPOLIS</v>
      </c>
      <c r="E369" s="24">
        <v>1</v>
      </c>
      <c r="F369" s="54">
        <f>_xlfn.XLOOKUP(C369,Planilha3!A:A,Planilha3!E:E)</f>
        <v>45470.739629629628</v>
      </c>
      <c r="G369" s="54">
        <f>_xlfn.XLOOKUP(C369,Planilha3!A:A,Planilha3!F:F)</f>
        <v>45481.739629629628</v>
      </c>
      <c r="H369" s="54">
        <f>_xlfn.XLOOKUP(C369,Planilha3!A:A,Planilha3!G:G)</f>
        <v>45922</v>
      </c>
      <c r="I369" s="23">
        <f>_xlfn.XLOOKUP(K369,Grupo!F:F,Grupo!G:G)</f>
        <v>39252.620000000003</v>
      </c>
      <c r="J369" s="6">
        <f>_xlfn.XLOOKUP(D369,Grupo!B:B,Grupo!C:C)</f>
        <v>15</v>
      </c>
      <c r="K369" s="24">
        <f>_xlfn.XLOOKUP(A369,[1]COORDENADAS_GEOGRÁFICAS!$D:$D,[1]COORDENADAS_GEOGRÁFICAS!$F:$F)</f>
        <v>45</v>
      </c>
      <c r="L369" s="53"/>
      <c r="M369" s="53"/>
      <c r="N369" s="52">
        <f>_xlfn.XLOOKUP(D369,Grupo!B:B,Grupo!D:D)</f>
        <v>-6.3256343760279616</v>
      </c>
      <c r="O369" s="52">
        <f>_xlfn.XLOOKUP(D369,Grupo!B:B,Grupo!E:E)</f>
        <v>-47.427412928692668</v>
      </c>
      <c r="P369" s="52">
        <f>_xlfn.XLOOKUP(A369,[1]COORDENADAS_GEOGRÁFICAS!$D:$D,[1]COORDENADAS_GEOGRÁFICAS!$G:$G)</f>
        <v>-6.1672750000000001</v>
      </c>
      <c r="Q369" s="52">
        <f>_xlfn.XLOOKUP(A369,[1]COORDENADAS_GEOGRÁFICAS!$D:$D,[1]COORDENADAS_GEOGRÁFICAS!$H:$H)</f>
        <v>-47.507210000000001</v>
      </c>
      <c r="R369" s="20">
        <f t="shared" si="5"/>
        <v>19.694337769778997</v>
      </c>
    </row>
    <row r="370" spans="1:18" x14ac:dyDescent="0.3">
      <c r="A370" s="24">
        <v>3468408</v>
      </c>
      <c r="B370" s="24" t="s">
        <v>765</v>
      </c>
      <c r="C370" s="24">
        <v>652400077</v>
      </c>
      <c r="D370" s="24" t="str">
        <f>_xlfn.XLOOKUP(C370,Planilha3!A:A,Planilha3!C:C)</f>
        <v>TOCANTINÓPOLIS</v>
      </c>
      <c r="E370" s="24">
        <v>1</v>
      </c>
      <c r="F370" s="54">
        <f>_xlfn.XLOOKUP(C370,Planilha3!A:A,Planilha3!E:E)</f>
        <v>45469.715127314812</v>
      </c>
      <c r="G370" s="54">
        <f>_xlfn.XLOOKUP(C370,Planilha3!A:A,Planilha3!F:F)</f>
        <v>45481.715127314812</v>
      </c>
      <c r="H370" s="54">
        <f>_xlfn.XLOOKUP(C370,Planilha3!A:A,Planilha3!G:G)</f>
        <v>45922</v>
      </c>
      <c r="I370" s="23">
        <f>_xlfn.XLOOKUP(K370,Grupo!F:F,Grupo!G:G)</f>
        <v>39252.620000000003</v>
      </c>
      <c r="J370" s="6">
        <f>_xlfn.XLOOKUP(D370,Grupo!B:B,Grupo!C:C)</f>
        <v>15</v>
      </c>
      <c r="K370" s="24">
        <f>_xlfn.XLOOKUP(A370,[1]COORDENADAS_GEOGRÁFICAS!$D:$D,[1]COORDENADAS_GEOGRÁFICAS!$F:$F)</f>
        <v>45</v>
      </c>
      <c r="L370" s="53"/>
      <c r="M370" s="53"/>
      <c r="N370" s="52">
        <f>_xlfn.XLOOKUP(D370,Grupo!B:B,Grupo!D:D)</f>
        <v>-6.3256343760279616</v>
      </c>
      <c r="O370" s="52">
        <f>_xlfn.XLOOKUP(D370,Grupo!B:B,Grupo!E:E)</f>
        <v>-47.427412928692668</v>
      </c>
      <c r="P370" s="52">
        <f>_xlfn.XLOOKUP(A370,[1]COORDENADAS_GEOGRÁFICAS!$D:$D,[1]COORDENADAS_GEOGRÁFICAS!$G:$G)</f>
        <v>-6.2384370000000002</v>
      </c>
      <c r="Q370" s="52">
        <f>_xlfn.XLOOKUP(A370,[1]COORDENADAS_GEOGRÁFICAS!$D:$D,[1]COORDENADAS_GEOGRÁFICAS!$H:$H)</f>
        <v>-47.541082000000003</v>
      </c>
      <c r="R370" s="20">
        <f t="shared" si="5"/>
        <v>15.869870819319353</v>
      </c>
    </row>
    <row r="371" spans="1:18" x14ac:dyDescent="0.3">
      <c r="A371" s="24">
        <v>3468410</v>
      </c>
      <c r="B371" s="24" t="s">
        <v>765</v>
      </c>
      <c r="C371" s="24">
        <v>652400076</v>
      </c>
      <c r="D371" s="24" t="str">
        <f>_xlfn.XLOOKUP(C371,Planilha3!A:A,Planilha3!C:C)</f>
        <v>TOCANTINÓPOLIS</v>
      </c>
      <c r="E371" s="24">
        <v>1</v>
      </c>
      <c r="F371" s="54">
        <f>_xlfn.XLOOKUP(C371,Planilha3!A:A,Planilha3!E:E)</f>
        <v>45468.693252314813</v>
      </c>
      <c r="G371" s="54">
        <f>_xlfn.XLOOKUP(C371,Planilha3!A:A,Planilha3!F:F)</f>
        <v>45481.693252314813</v>
      </c>
      <c r="H371" s="54">
        <f>_xlfn.XLOOKUP(C371,Planilha3!A:A,Planilha3!G:G)</f>
        <v>45922</v>
      </c>
      <c r="I371" s="23">
        <f>_xlfn.XLOOKUP(K371,Grupo!F:F,Grupo!G:G)</f>
        <v>39252.620000000003</v>
      </c>
      <c r="J371" s="6">
        <f>_xlfn.XLOOKUP(D371,Grupo!B:B,Grupo!C:C)</f>
        <v>15</v>
      </c>
      <c r="K371" s="24">
        <f>_xlfn.XLOOKUP(A371,[1]COORDENADAS_GEOGRÁFICAS!$D:$D,[1]COORDENADAS_GEOGRÁFICAS!$F:$F)</f>
        <v>45</v>
      </c>
      <c r="L371" s="53"/>
      <c r="M371" s="53"/>
      <c r="N371" s="52">
        <f>_xlfn.XLOOKUP(D371,Grupo!B:B,Grupo!D:D)</f>
        <v>-6.3256343760279616</v>
      </c>
      <c r="O371" s="52">
        <f>_xlfn.XLOOKUP(D371,Grupo!B:B,Grupo!E:E)</f>
        <v>-47.427412928692668</v>
      </c>
      <c r="P371" s="52">
        <f>_xlfn.XLOOKUP(A371,[1]COORDENADAS_GEOGRÁFICAS!$D:$D,[1]COORDENADAS_GEOGRÁFICAS!$G:$G)</f>
        <v>-6.2387280000000001</v>
      </c>
      <c r="Q371" s="52">
        <f>_xlfn.XLOOKUP(A371,[1]COORDENADAS_GEOGRÁFICAS!$D:$D,[1]COORDENADAS_GEOGRÁFICAS!$H:$H)</f>
        <v>-47.540855000000001</v>
      </c>
      <c r="R371" s="20">
        <f t="shared" si="5"/>
        <v>15.830239544124366</v>
      </c>
    </row>
    <row r="372" spans="1:18" x14ac:dyDescent="0.3">
      <c r="A372" s="24">
        <v>3468379</v>
      </c>
      <c r="B372" s="24" t="s">
        <v>765</v>
      </c>
      <c r="C372" s="24">
        <v>652400100</v>
      </c>
      <c r="D372" s="24" t="str">
        <f>_xlfn.XLOOKUP(C372,Planilha3!A:A,Planilha3!C:C)</f>
        <v>TOCANTINÓPOLIS</v>
      </c>
      <c r="E372" s="24">
        <v>1</v>
      </c>
      <c r="F372" s="54">
        <f>_xlfn.XLOOKUP(C372,Planilha3!A:A,Planilha3!E:E)</f>
        <v>45467.441759259258</v>
      </c>
      <c r="G372" s="54">
        <f>_xlfn.XLOOKUP(C372,Planilha3!A:A,Planilha3!F:F)</f>
        <v>45482.441759259258</v>
      </c>
      <c r="H372" s="54">
        <f>_xlfn.XLOOKUP(C372,Planilha3!A:A,Planilha3!G:G)</f>
        <v>45922</v>
      </c>
      <c r="I372" s="23">
        <f>_xlfn.XLOOKUP(K372,Grupo!F:F,Grupo!G:G)</f>
        <v>39252.620000000003</v>
      </c>
      <c r="J372" s="6">
        <f>_xlfn.XLOOKUP(D372,Grupo!B:B,Grupo!C:C)</f>
        <v>15</v>
      </c>
      <c r="K372" s="24">
        <f>_xlfn.XLOOKUP(A372,[1]COORDENADAS_GEOGRÁFICAS!$D:$D,[1]COORDENADAS_GEOGRÁFICAS!$F:$F)</f>
        <v>45</v>
      </c>
      <c r="L372" s="53"/>
      <c r="M372" s="53"/>
      <c r="N372" s="52">
        <f>_xlfn.XLOOKUP(D372,Grupo!B:B,Grupo!D:D)</f>
        <v>-6.3256343760279616</v>
      </c>
      <c r="O372" s="52">
        <f>_xlfn.XLOOKUP(D372,Grupo!B:B,Grupo!E:E)</f>
        <v>-47.427412928692668</v>
      </c>
      <c r="P372" s="52">
        <f>_xlfn.XLOOKUP(A372,[1]COORDENADAS_GEOGRÁFICAS!$D:$D,[1]COORDENADAS_GEOGRÁFICAS!$G:$G)</f>
        <v>-6.1663500000000004</v>
      </c>
      <c r="Q372" s="52">
        <f>_xlfn.XLOOKUP(A372,[1]COORDENADAS_GEOGRÁFICAS!$D:$D,[1]COORDENADAS_GEOGRÁFICAS!$H:$H)</f>
        <v>-47.507202999999997</v>
      </c>
      <c r="R372" s="20">
        <f t="shared" si="5"/>
        <v>19.786013144642169</v>
      </c>
    </row>
    <row r="373" spans="1:18" x14ac:dyDescent="0.3">
      <c r="A373" s="24">
        <v>3468191</v>
      </c>
      <c r="B373" s="24" t="s">
        <v>765</v>
      </c>
      <c r="C373" s="24">
        <v>652400122</v>
      </c>
      <c r="D373" s="24" t="str">
        <f>_xlfn.XLOOKUP(C373,Planilha3!A:A,Planilha3!C:C)</f>
        <v>TOCANTINÓPOLIS</v>
      </c>
      <c r="E373" s="24">
        <v>1</v>
      </c>
      <c r="F373" s="54">
        <f>_xlfn.XLOOKUP(C373,Planilha3!A:A,Planilha3!E:E)</f>
        <v>45472.37804398148</v>
      </c>
      <c r="G373" s="54">
        <f>_xlfn.XLOOKUP(C373,Planilha3!A:A,Planilha3!F:F)</f>
        <v>45483.37804398148</v>
      </c>
      <c r="H373" s="54">
        <f>_xlfn.XLOOKUP(C373,Planilha3!A:A,Planilha3!G:G)</f>
        <v>45922</v>
      </c>
      <c r="I373" s="23">
        <f>_xlfn.XLOOKUP(K373,Grupo!F:F,Grupo!G:G)</f>
        <v>39252.620000000003</v>
      </c>
      <c r="J373" s="6">
        <f>_xlfn.XLOOKUP(D373,Grupo!B:B,Grupo!C:C)</f>
        <v>15</v>
      </c>
      <c r="K373" s="24">
        <f>_xlfn.XLOOKUP(A373,[1]COORDENADAS_GEOGRÁFICAS!$D:$D,[1]COORDENADAS_GEOGRÁFICAS!$F:$F)</f>
        <v>45</v>
      </c>
      <c r="L373" s="53"/>
      <c r="M373" s="53"/>
      <c r="N373" s="52">
        <f>_xlfn.XLOOKUP(D373,Grupo!B:B,Grupo!D:D)</f>
        <v>-6.3256343760279616</v>
      </c>
      <c r="O373" s="52">
        <f>_xlfn.XLOOKUP(D373,Grupo!B:B,Grupo!E:E)</f>
        <v>-47.427412928692668</v>
      </c>
      <c r="P373" s="52">
        <f>_xlfn.XLOOKUP(A373,[1]COORDENADAS_GEOGRÁFICAS!$D:$D,[1]COORDENADAS_GEOGRÁFICAS!$G:$G)</f>
        <v>-6.237838</v>
      </c>
      <c r="Q373" s="52">
        <f>_xlfn.XLOOKUP(A373,[1]COORDENADAS_GEOGRÁFICAS!$D:$D,[1]COORDENADAS_GEOGRÁFICAS!$H:$H)</f>
        <v>-47.539808000000001</v>
      </c>
      <c r="R373" s="20">
        <f t="shared" si="5"/>
        <v>15.799704581556849</v>
      </c>
    </row>
    <row r="374" spans="1:18" x14ac:dyDescent="0.3">
      <c r="A374" s="24">
        <v>3468639</v>
      </c>
      <c r="B374" s="24" t="s">
        <v>765</v>
      </c>
      <c r="C374" s="24">
        <v>652400057</v>
      </c>
      <c r="D374" s="24" t="str">
        <f>_xlfn.XLOOKUP(C374,Planilha3!A:A,Planilha3!C:C)</f>
        <v>TOCANTINÓPOLIS</v>
      </c>
      <c r="E374" s="24">
        <v>1</v>
      </c>
      <c r="F374" s="54">
        <f>_xlfn.XLOOKUP(C374,Planilha3!A:A,Planilha3!E:E)</f>
        <v>45466.363263888888</v>
      </c>
      <c r="G374" s="54">
        <f>_xlfn.XLOOKUP(C374,Planilha3!A:A,Planilha3!F:F)</f>
        <v>45478.363263888888</v>
      </c>
      <c r="H374" s="54">
        <f>_xlfn.XLOOKUP(C374,Planilha3!A:A,Planilha3!G:G)</f>
        <v>45922</v>
      </c>
      <c r="I374" s="23">
        <f>_xlfn.XLOOKUP(K374,Grupo!F:F,Grupo!G:G)</f>
        <v>39252.620000000003</v>
      </c>
      <c r="J374" s="6">
        <f>_xlfn.XLOOKUP(D374,Grupo!B:B,Grupo!C:C)</f>
        <v>15</v>
      </c>
      <c r="K374" s="24">
        <f>_xlfn.XLOOKUP(A374,[1]COORDENADAS_GEOGRÁFICAS!$D:$D,[1]COORDENADAS_GEOGRÁFICAS!$F:$F)</f>
        <v>45</v>
      </c>
      <c r="L374" s="53"/>
      <c r="M374" s="53"/>
      <c r="N374" s="52">
        <f>_xlfn.XLOOKUP(D374,Grupo!B:B,Grupo!D:D)</f>
        <v>-6.3256343760279616</v>
      </c>
      <c r="O374" s="52">
        <f>_xlfn.XLOOKUP(D374,Grupo!B:B,Grupo!E:E)</f>
        <v>-47.427412928692668</v>
      </c>
      <c r="P374" s="52">
        <f>_xlfn.XLOOKUP(A374,[1]COORDENADAS_GEOGRÁFICAS!$D:$D,[1]COORDENADAS_GEOGRÁFICAS!$G:$G)</f>
        <v>-6.1067220000000004</v>
      </c>
      <c r="Q374" s="52">
        <f>_xlfn.XLOOKUP(A374,[1]COORDENADAS_GEOGRÁFICAS!$D:$D,[1]COORDENADAS_GEOGRÁFICAS!$H:$H)</f>
        <v>-47.536473000000001</v>
      </c>
      <c r="R374" s="20">
        <f t="shared" si="5"/>
        <v>27.163730193950443</v>
      </c>
    </row>
    <row r="375" spans="1:18" x14ac:dyDescent="0.3">
      <c r="A375" s="24">
        <v>3468637</v>
      </c>
      <c r="B375" s="24" t="s">
        <v>765</v>
      </c>
      <c r="C375" s="24">
        <v>652400058</v>
      </c>
      <c r="D375" s="24" t="str">
        <f>_xlfn.XLOOKUP(C375,Planilha3!A:A,Planilha3!C:C)</f>
        <v>TOCANTINÓPOLIS</v>
      </c>
      <c r="E375" s="24">
        <v>1</v>
      </c>
      <c r="F375" s="54">
        <f>_xlfn.XLOOKUP(C375,Planilha3!A:A,Planilha3!E:E)</f>
        <v>45465.374108796299</v>
      </c>
      <c r="G375" s="54">
        <f>_xlfn.XLOOKUP(C375,Planilha3!A:A,Planilha3!F:F)</f>
        <v>45478.374108796299</v>
      </c>
      <c r="H375" s="54">
        <f>_xlfn.XLOOKUP(C375,Planilha3!A:A,Planilha3!G:G)</f>
        <v>45922</v>
      </c>
      <c r="I375" s="23">
        <f>_xlfn.XLOOKUP(K375,Grupo!F:F,Grupo!G:G)</f>
        <v>39252.620000000003</v>
      </c>
      <c r="J375" s="6">
        <f>_xlfn.XLOOKUP(D375,Grupo!B:B,Grupo!C:C)</f>
        <v>15</v>
      </c>
      <c r="K375" s="24">
        <f>_xlfn.XLOOKUP(A375,[1]COORDENADAS_GEOGRÁFICAS!$D:$D,[1]COORDENADAS_GEOGRÁFICAS!$F:$F)</f>
        <v>45</v>
      </c>
      <c r="L375" s="53"/>
      <c r="M375" s="53"/>
      <c r="N375" s="52">
        <f>_xlfn.XLOOKUP(D375,Grupo!B:B,Grupo!D:D)</f>
        <v>-6.3256343760279616</v>
      </c>
      <c r="O375" s="52">
        <f>_xlfn.XLOOKUP(D375,Grupo!B:B,Grupo!E:E)</f>
        <v>-47.427412928692668</v>
      </c>
      <c r="P375" s="52">
        <f>_xlfn.XLOOKUP(A375,[1]COORDENADAS_GEOGRÁFICAS!$D:$D,[1]COORDENADAS_GEOGRÁFICAS!$G:$G)</f>
        <v>-6.1069750000000003</v>
      </c>
      <c r="Q375" s="52">
        <f>_xlfn.XLOOKUP(A375,[1]COORDENADAS_GEOGRÁFICAS!$D:$D,[1]COORDENADAS_GEOGRÁFICAS!$H:$H)</f>
        <v>-47.536681999999999</v>
      </c>
      <c r="R375" s="20">
        <f t="shared" si="5"/>
        <v>27.148792731828003</v>
      </c>
    </row>
    <row r="376" spans="1:18" x14ac:dyDescent="0.3">
      <c r="A376" s="24">
        <v>3468424</v>
      </c>
      <c r="B376" s="24" t="s">
        <v>765</v>
      </c>
      <c r="C376" s="24">
        <v>652400073</v>
      </c>
      <c r="D376" s="24" t="str">
        <f>_xlfn.XLOOKUP(C376,Planilha3!A:A,Planilha3!C:C)</f>
        <v>TOCANTINÓPOLIS</v>
      </c>
      <c r="E376" s="24">
        <v>1</v>
      </c>
      <c r="F376" s="54">
        <f>_xlfn.XLOOKUP(C376,Planilha3!A:A,Planilha3!E:E)</f>
        <v>45463.685787037037</v>
      </c>
      <c r="G376" s="54">
        <f>_xlfn.XLOOKUP(C376,Planilha3!A:A,Planilha3!F:F)</f>
        <v>45478.685787037037</v>
      </c>
      <c r="H376" s="54">
        <f>_xlfn.XLOOKUP(C376,Planilha3!A:A,Planilha3!G:G)</f>
        <v>45922</v>
      </c>
      <c r="I376" s="23">
        <f>_xlfn.XLOOKUP(K376,Grupo!F:F,Grupo!G:G)</f>
        <v>39252.620000000003</v>
      </c>
      <c r="J376" s="6">
        <f>_xlfn.XLOOKUP(D376,Grupo!B:B,Grupo!C:C)</f>
        <v>15</v>
      </c>
      <c r="K376" s="24">
        <f>_xlfn.XLOOKUP(A376,[1]COORDENADAS_GEOGRÁFICAS!$D:$D,[1]COORDENADAS_GEOGRÁFICAS!$F:$F)</f>
        <v>45</v>
      </c>
      <c r="L376" s="53"/>
      <c r="M376" s="53"/>
      <c r="N376" s="52">
        <f>_xlfn.XLOOKUP(D376,Grupo!B:B,Grupo!D:D)</f>
        <v>-6.3256343760279616</v>
      </c>
      <c r="O376" s="52">
        <f>_xlfn.XLOOKUP(D376,Grupo!B:B,Grupo!E:E)</f>
        <v>-47.427412928692668</v>
      </c>
      <c r="P376" s="52">
        <f>_xlfn.XLOOKUP(A376,[1]COORDENADAS_GEOGRÁFICAS!$D:$D,[1]COORDENADAS_GEOGRÁFICAS!$G:$G)</f>
        <v>-6.2554220000000003</v>
      </c>
      <c r="Q376" s="52">
        <f>_xlfn.XLOOKUP(A376,[1]COORDENADAS_GEOGRÁFICAS!$D:$D,[1]COORDENADAS_GEOGRÁFICAS!$H:$H)</f>
        <v>-47.581057000000001</v>
      </c>
      <c r="R376" s="20">
        <f t="shared" si="5"/>
        <v>18.69029786808364</v>
      </c>
    </row>
    <row r="377" spans="1:18" x14ac:dyDescent="0.3">
      <c r="A377" s="24">
        <v>3468081</v>
      </c>
      <c r="B377" s="24" t="s">
        <v>765</v>
      </c>
      <c r="C377" s="24">
        <v>652400116</v>
      </c>
      <c r="D377" s="24" t="str">
        <f>_xlfn.XLOOKUP(C377,Planilha3!A:A,Planilha3!C:C)</f>
        <v>TOCANTINÓPOLIS</v>
      </c>
      <c r="E377" s="24">
        <v>1</v>
      </c>
      <c r="F377" s="54">
        <f>_xlfn.XLOOKUP(C377,Planilha3!A:A,Planilha3!E:E)</f>
        <v>45467.721319444441</v>
      </c>
      <c r="G377" s="54">
        <f>_xlfn.XLOOKUP(C377,Planilha3!A:A,Planilha3!F:F)</f>
        <v>45483.721319444441</v>
      </c>
      <c r="H377" s="54">
        <f>_xlfn.XLOOKUP(C377,Planilha3!A:A,Planilha3!G:G)</f>
        <v>45922</v>
      </c>
      <c r="I377" s="23">
        <f>_xlfn.XLOOKUP(K377,Grupo!F:F,Grupo!G:G)</f>
        <v>39252.620000000003</v>
      </c>
      <c r="J377" s="6">
        <f>_xlfn.XLOOKUP(D377,Grupo!B:B,Grupo!C:C)</f>
        <v>15</v>
      </c>
      <c r="K377" s="24">
        <f>_xlfn.XLOOKUP(A377,[1]COORDENADAS_GEOGRÁFICAS!$D:$D,[1]COORDENADAS_GEOGRÁFICAS!$F:$F)</f>
        <v>45</v>
      </c>
      <c r="L377" s="53"/>
      <c r="M377" s="53"/>
      <c r="N377" s="52">
        <f>_xlfn.XLOOKUP(D377,Grupo!B:B,Grupo!D:D)</f>
        <v>-6.3256343760279616</v>
      </c>
      <c r="O377" s="52">
        <f>_xlfn.XLOOKUP(D377,Grupo!B:B,Grupo!E:E)</f>
        <v>-47.427412928692668</v>
      </c>
      <c r="P377" s="52">
        <f>_xlfn.XLOOKUP(A377,[1]COORDENADAS_GEOGRÁFICAS!$D:$D,[1]COORDENADAS_GEOGRÁFICAS!$G:$G)</f>
        <v>-6.2568849999999996</v>
      </c>
      <c r="Q377" s="52">
        <f>_xlfn.XLOOKUP(A377,[1]COORDENADAS_GEOGRÁFICAS!$D:$D,[1]COORDENADAS_GEOGRÁFICAS!$H:$H)</f>
        <v>-47.571032000000002</v>
      </c>
      <c r="R377" s="20">
        <f t="shared" si="5"/>
        <v>17.618421869783255</v>
      </c>
    </row>
    <row r="378" spans="1:18" x14ac:dyDescent="0.3">
      <c r="A378" s="24">
        <v>3468375</v>
      </c>
      <c r="B378" s="24" t="s">
        <v>765</v>
      </c>
      <c r="C378" s="24">
        <v>652400102</v>
      </c>
      <c r="D378" s="24" t="str">
        <f>_xlfn.XLOOKUP(C378,Planilha3!A:A,Planilha3!C:C)</f>
        <v>TOCANTINÓPOLIS</v>
      </c>
      <c r="E378" s="24">
        <v>1</v>
      </c>
      <c r="F378" s="54">
        <f>_xlfn.XLOOKUP(C378,Planilha3!A:A,Planilha3!E:E)</f>
        <v>45471.452881944446</v>
      </c>
      <c r="G378" s="54">
        <f>_xlfn.XLOOKUP(C378,Planilha3!A:A,Planilha3!F:F)</f>
        <v>45482.452881944446</v>
      </c>
      <c r="H378" s="54">
        <f>_xlfn.XLOOKUP(C378,Planilha3!A:A,Planilha3!G:G)</f>
        <v>45922</v>
      </c>
      <c r="I378" s="23">
        <f>_xlfn.XLOOKUP(K378,Grupo!F:F,Grupo!G:G)</f>
        <v>39252.620000000003</v>
      </c>
      <c r="J378" s="6">
        <f>_xlfn.XLOOKUP(D378,Grupo!B:B,Grupo!C:C)</f>
        <v>15</v>
      </c>
      <c r="K378" s="24">
        <f>_xlfn.XLOOKUP(A378,[1]COORDENADAS_GEOGRÁFICAS!$D:$D,[1]COORDENADAS_GEOGRÁFICAS!$F:$F)</f>
        <v>45</v>
      </c>
      <c r="L378" s="53"/>
      <c r="M378" s="53"/>
      <c r="N378" s="52">
        <f>_xlfn.XLOOKUP(D378,Grupo!B:B,Grupo!D:D)</f>
        <v>-6.3256343760279616</v>
      </c>
      <c r="O378" s="52">
        <f>_xlfn.XLOOKUP(D378,Grupo!B:B,Grupo!E:E)</f>
        <v>-47.427412928692668</v>
      </c>
      <c r="P378" s="52">
        <f>_xlfn.XLOOKUP(A378,[1]COORDENADAS_GEOGRÁFICAS!$D:$D,[1]COORDENADAS_GEOGRÁFICAS!$G:$G)</f>
        <v>-6.221088</v>
      </c>
      <c r="Q378" s="52">
        <f>_xlfn.XLOOKUP(A378,[1]COORDENADAS_GEOGRÁFICAS!$D:$D,[1]COORDENADAS_GEOGRÁFICAS!$H:$H)</f>
        <v>-47.675114999999998</v>
      </c>
      <c r="R378" s="20">
        <f t="shared" si="5"/>
        <v>29.744096851396023</v>
      </c>
    </row>
    <row r="379" spans="1:18" x14ac:dyDescent="0.3">
      <c r="A379" s="24">
        <v>3468135</v>
      </c>
      <c r="B379" s="24" t="s">
        <v>765</v>
      </c>
      <c r="C379" s="24">
        <v>652400114</v>
      </c>
      <c r="D379" s="24" t="str">
        <f>_xlfn.XLOOKUP(C379,Planilha3!A:A,Planilha3!C:C)</f>
        <v>TOCANTINÓPOLIS</v>
      </c>
      <c r="E379" s="24">
        <v>1</v>
      </c>
      <c r="F379" s="54">
        <f>_xlfn.XLOOKUP(C379,Planilha3!A:A,Planilha3!E:E)</f>
        <v>45471.708703703705</v>
      </c>
      <c r="G379" s="54">
        <f>_xlfn.XLOOKUP(C379,Planilha3!A:A,Planilha3!F:F)</f>
        <v>45483.708703703705</v>
      </c>
      <c r="H379" s="54">
        <f>_xlfn.XLOOKUP(C379,Planilha3!A:A,Planilha3!G:G)</f>
        <v>45922</v>
      </c>
      <c r="I379" s="23">
        <f>_xlfn.XLOOKUP(K379,Grupo!F:F,Grupo!G:G)</f>
        <v>39252.620000000003</v>
      </c>
      <c r="J379" s="6">
        <f>_xlfn.XLOOKUP(D379,Grupo!B:B,Grupo!C:C)</f>
        <v>15</v>
      </c>
      <c r="K379" s="24">
        <f>_xlfn.XLOOKUP(A379,[1]COORDENADAS_GEOGRÁFICAS!$D:$D,[1]COORDENADAS_GEOGRÁFICAS!$F:$F)</f>
        <v>45</v>
      </c>
      <c r="L379" s="53"/>
      <c r="M379" s="53"/>
      <c r="N379" s="52">
        <f>_xlfn.XLOOKUP(D379,Grupo!B:B,Grupo!D:D)</f>
        <v>-6.3256343760279616</v>
      </c>
      <c r="O379" s="52">
        <f>_xlfn.XLOOKUP(D379,Grupo!B:B,Grupo!E:E)</f>
        <v>-47.427412928692668</v>
      </c>
      <c r="P379" s="52">
        <f>_xlfn.XLOOKUP(A379,[1]COORDENADAS_GEOGRÁFICAS!$D:$D,[1]COORDENADAS_GEOGRÁFICAS!$G:$G)</f>
        <v>-6.2574730000000001</v>
      </c>
      <c r="Q379" s="52">
        <f>_xlfn.XLOOKUP(A379,[1]COORDENADAS_GEOGRÁFICAS!$D:$D,[1]COORDENADAS_GEOGRÁFICAS!$H:$H)</f>
        <v>-47.570746999999997</v>
      </c>
      <c r="R379" s="20">
        <f t="shared" si="5"/>
        <v>17.561722695112692</v>
      </c>
    </row>
    <row r="380" spans="1:18" x14ac:dyDescent="0.3">
      <c r="A380" s="24">
        <v>3468377</v>
      </c>
      <c r="B380" s="24" t="s">
        <v>765</v>
      </c>
      <c r="C380" s="24">
        <v>652400101</v>
      </c>
      <c r="D380" s="24" t="str">
        <f>_xlfn.XLOOKUP(C380,Planilha3!A:A,Planilha3!C:C)</f>
        <v>TOCANTINÓPOLIS</v>
      </c>
      <c r="E380" s="24">
        <v>1</v>
      </c>
      <c r="F380" s="54">
        <f>_xlfn.XLOOKUP(C380,Planilha3!A:A,Planilha3!E:E)</f>
        <v>45469.447199074071</v>
      </c>
      <c r="G380" s="54">
        <f>_xlfn.XLOOKUP(C380,Planilha3!A:A,Planilha3!F:F)</f>
        <v>45482.447199074071</v>
      </c>
      <c r="H380" s="54">
        <f>_xlfn.XLOOKUP(C380,Planilha3!A:A,Planilha3!G:G)</f>
        <v>45922</v>
      </c>
      <c r="I380" s="23">
        <f>_xlfn.XLOOKUP(K380,Grupo!F:F,Grupo!G:G)</f>
        <v>39252.620000000003</v>
      </c>
      <c r="J380" s="6">
        <f>_xlfn.XLOOKUP(D380,Grupo!B:B,Grupo!C:C)</f>
        <v>15</v>
      </c>
      <c r="K380" s="24">
        <f>_xlfn.XLOOKUP(A380,[1]COORDENADAS_GEOGRÁFICAS!$D:$D,[1]COORDENADAS_GEOGRÁFICAS!$F:$F)</f>
        <v>45</v>
      </c>
      <c r="L380" s="53"/>
      <c r="M380" s="53"/>
      <c r="N380" s="52">
        <f>_xlfn.XLOOKUP(D380,Grupo!B:B,Grupo!D:D)</f>
        <v>-6.3256343760279616</v>
      </c>
      <c r="O380" s="52">
        <f>_xlfn.XLOOKUP(D380,Grupo!B:B,Grupo!E:E)</f>
        <v>-47.427412928692668</v>
      </c>
      <c r="P380" s="52">
        <f>_xlfn.XLOOKUP(A380,[1]COORDENADAS_GEOGRÁFICAS!$D:$D,[1]COORDENADAS_GEOGRÁFICAS!$G:$G)</f>
        <v>-6.2207780000000001</v>
      </c>
      <c r="Q380" s="52">
        <f>_xlfn.XLOOKUP(A380,[1]COORDENADAS_GEOGRÁFICAS!$D:$D,[1]COORDENADAS_GEOGRÁFICAS!$H:$H)</f>
        <v>-47.675936999999998</v>
      </c>
      <c r="R380" s="20">
        <f t="shared" si="5"/>
        <v>29.841205195867943</v>
      </c>
    </row>
    <row r="381" spans="1:18" x14ac:dyDescent="0.3">
      <c r="A381" s="24">
        <v>3468195</v>
      </c>
      <c r="B381" s="24" t="s">
        <v>765</v>
      </c>
      <c r="C381" s="24">
        <v>652400120</v>
      </c>
      <c r="D381" s="24" t="str">
        <f>_xlfn.XLOOKUP(C381,Planilha3!A:A,Planilha3!C:C)</f>
        <v>TOCANTINÓPOLIS</v>
      </c>
      <c r="E381" s="24">
        <v>1</v>
      </c>
      <c r="F381" s="54">
        <f>_xlfn.XLOOKUP(C381,Planilha3!A:A,Planilha3!E:E)</f>
        <v>45468.362071759257</v>
      </c>
      <c r="G381" s="54">
        <f>_xlfn.XLOOKUP(C381,Planilha3!A:A,Planilha3!F:F)</f>
        <v>45483.362071759257</v>
      </c>
      <c r="H381" s="54">
        <f>_xlfn.XLOOKUP(C381,Planilha3!A:A,Planilha3!G:G)</f>
        <v>45922</v>
      </c>
      <c r="I381" s="23">
        <f>_xlfn.XLOOKUP(K381,Grupo!F:F,Grupo!G:G)</f>
        <v>39252.620000000003</v>
      </c>
      <c r="J381" s="6">
        <f>_xlfn.XLOOKUP(D381,Grupo!B:B,Grupo!C:C)</f>
        <v>15</v>
      </c>
      <c r="K381" s="24">
        <f>_xlfn.XLOOKUP(A381,[1]COORDENADAS_GEOGRÁFICAS!$D:$D,[1]COORDENADAS_GEOGRÁFICAS!$F:$F)</f>
        <v>45</v>
      </c>
      <c r="L381" s="53"/>
      <c r="M381" s="53"/>
      <c r="N381" s="52">
        <f>_xlfn.XLOOKUP(D381,Grupo!B:B,Grupo!D:D)</f>
        <v>-6.3256343760279616</v>
      </c>
      <c r="O381" s="52">
        <f>_xlfn.XLOOKUP(D381,Grupo!B:B,Grupo!E:E)</f>
        <v>-47.427412928692668</v>
      </c>
      <c r="P381" s="52">
        <f>_xlfn.XLOOKUP(A381,[1]COORDENADAS_GEOGRÁFICAS!$D:$D,[1]COORDENADAS_GEOGRÁFICAS!$G:$G)</f>
        <v>-6.2385419999999998</v>
      </c>
      <c r="Q381" s="52">
        <f>_xlfn.XLOOKUP(A381,[1]COORDENADAS_GEOGRÁFICAS!$D:$D,[1]COORDENADAS_GEOGRÁFICAS!$H:$H)</f>
        <v>-47.539591999999999</v>
      </c>
      <c r="R381" s="20">
        <f t="shared" si="5"/>
        <v>15.732627085818592</v>
      </c>
    </row>
    <row r="382" spans="1:18" x14ac:dyDescent="0.3">
      <c r="A382" s="24">
        <v>3468134</v>
      </c>
      <c r="B382" s="24" t="s">
        <v>765</v>
      </c>
      <c r="C382" s="24">
        <v>652400113</v>
      </c>
      <c r="D382" s="24" t="str">
        <f>_xlfn.XLOOKUP(C382,Planilha3!A:A,Planilha3!C:C)</f>
        <v>TOCANTINÓPOLIS</v>
      </c>
      <c r="E382" s="24">
        <v>1</v>
      </c>
      <c r="F382" s="54">
        <f>_xlfn.XLOOKUP(C382,Planilha3!A:A,Planilha3!E:E)</f>
        <v>45472.697083333333</v>
      </c>
      <c r="G382" s="54">
        <f>_xlfn.XLOOKUP(C382,Planilha3!A:A,Planilha3!F:F)</f>
        <v>45483.697083333333</v>
      </c>
      <c r="H382" s="54">
        <f>_xlfn.XLOOKUP(C382,Planilha3!A:A,Planilha3!G:G)</f>
        <v>45922</v>
      </c>
      <c r="I382" s="23">
        <f>_xlfn.XLOOKUP(K382,Grupo!F:F,Grupo!G:G)</f>
        <v>39252.620000000003</v>
      </c>
      <c r="J382" s="6">
        <f>_xlfn.XLOOKUP(D382,Grupo!B:B,Grupo!C:C)</f>
        <v>15</v>
      </c>
      <c r="K382" s="24">
        <f>_xlfn.XLOOKUP(A382,[1]COORDENADAS_GEOGRÁFICAS!$D:$D,[1]COORDENADAS_GEOGRÁFICAS!$F:$F)</f>
        <v>45</v>
      </c>
      <c r="L382" s="53"/>
      <c r="M382" s="53"/>
      <c r="N382" s="52">
        <f>_xlfn.XLOOKUP(D382,Grupo!B:B,Grupo!D:D)</f>
        <v>-6.3256343760279616</v>
      </c>
      <c r="O382" s="52">
        <f>_xlfn.XLOOKUP(D382,Grupo!B:B,Grupo!E:E)</f>
        <v>-47.427412928692668</v>
      </c>
      <c r="P382" s="52">
        <f>_xlfn.XLOOKUP(A382,[1]COORDENADAS_GEOGRÁFICAS!$D:$D,[1]COORDENADAS_GEOGRÁFICAS!$G:$G)</f>
        <v>-6.2213219999999998</v>
      </c>
      <c r="Q382" s="52">
        <f>_xlfn.XLOOKUP(A382,[1]COORDENADAS_GEOGRÁFICAS!$D:$D,[1]COORDENADAS_GEOGRÁFICAS!$H:$H)</f>
        <v>-47.675542999999998</v>
      </c>
      <c r="R382" s="20">
        <f t="shared" si="5"/>
        <v>29.777495794269932</v>
      </c>
    </row>
    <row r="383" spans="1:18" x14ac:dyDescent="0.3">
      <c r="A383" s="24">
        <v>3468634</v>
      </c>
      <c r="B383" s="24" t="s">
        <v>765</v>
      </c>
      <c r="C383" s="24">
        <v>652400059</v>
      </c>
      <c r="D383" s="24" t="str">
        <f>_xlfn.XLOOKUP(C383,Planilha3!A:A,Planilha3!C:C)</f>
        <v>SÃO BENTO DO TOCANTINS</v>
      </c>
      <c r="E383" s="24">
        <v>1</v>
      </c>
      <c r="F383" s="54">
        <f>_xlfn.XLOOKUP(C383,Planilha3!A:A,Planilha3!E:E)</f>
        <v>45466.386481481481</v>
      </c>
      <c r="G383" s="54">
        <f>_xlfn.XLOOKUP(C383,Planilha3!A:A,Planilha3!F:F)</f>
        <v>45478.386481481481</v>
      </c>
      <c r="H383" s="54">
        <f>_xlfn.XLOOKUP(C383,Planilha3!A:A,Planilha3!G:G)</f>
        <v>45922</v>
      </c>
      <c r="I383" s="23">
        <f>_xlfn.XLOOKUP(K383,Grupo!F:F,Grupo!G:G)</f>
        <v>39252.620000000003</v>
      </c>
      <c r="J383" s="6">
        <f>_xlfn.XLOOKUP(D383,Grupo!B:B,Grupo!C:C)</f>
        <v>14</v>
      </c>
      <c r="K383" s="24">
        <f>_xlfn.XLOOKUP(A383,[1]COORDENADAS_GEOGRÁFICAS!$D:$D,[1]COORDENADAS_GEOGRÁFICAS!$F:$F)</f>
        <v>45</v>
      </c>
      <c r="L383" s="53"/>
      <c r="M383" s="53"/>
      <c r="N383" s="52">
        <f>_xlfn.XLOOKUP(D383,Grupo!B:B,Grupo!D:D)</f>
        <v>-6.0449992571923881</v>
      </c>
      <c r="O383" s="52">
        <f>_xlfn.XLOOKUP(D383,Grupo!B:B,Grupo!E:E)</f>
        <v>-47.919392287053363</v>
      </c>
      <c r="P383" s="52">
        <f>_xlfn.XLOOKUP(A383,[1]COORDENADAS_GEOGRÁFICAS!$D:$D,[1]COORDENADAS_GEOGRÁFICAS!$G:$G)</f>
        <v>-6.0100680000000004</v>
      </c>
      <c r="Q383" s="52">
        <f>_xlfn.XLOOKUP(A383,[1]COORDENADAS_GEOGRÁFICAS!$D:$D,[1]COORDENADAS_GEOGRÁFICAS!$H:$H)</f>
        <v>-47.757559999999998</v>
      </c>
      <c r="R383" s="20">
        <f t="shared" si="5"/>
        <v>18.312121388291921</v>
      </c>
    </row>
    <row r="384" spans="1:18" x14ac:dyDescent="0.3">
      <c r="A384" s="24">
        <v>3468144</v>
      </c>
      <c r="B384" s="24" t="s">
        <v>765</v>
      </c>
      <c r="C384" s="24">
        <v>652400110</v>
      </c>
      <c r="D384" s="24" t="str">
        <f>_xlfn.XLOOKUP(C384,Planilha3!A:A,Planilha3!C:C)</f>
        <v>TOCANTINÓPOLIS</v>
      </c>
      <c r="E384" s="24">
        <v>1</v>
      </c>
      <c r="F384" s="54">
        <f>_xlfn.XLOOKUP(C384,Planilha3!A:A,Planilha3!E:E)</f>
        <v>45470.659166666665</v>
      </c>
      <c r="G384" s="54">
        <f>_xlfn.XLOOKUP(C384,Planilha3!A:A,Planilha3!F:F)</f>
        <v>45483.659166666665</v>
      </c>
      <c r="H384" s="54">
        <f>_xlfn.XLOOKUP(C384,Planilha3!A:A,Planilha3!G:G)</f>
        <v>45922</v>
      </c>
      <c r="I384" s="23">
        <f>_xlfn.XLOOKUP(K384,Grupo!F:F,Grupo!G:G)</f>
        <v>39252.620000000003</v>
      </c>
      <c r="J384" s="6">
        <f>_xlfn.XLOOKUP(D384,Grupo!B:B,Grupo!C:C)</f>
        <v>15</v>
      </c>
      <c r="K384" s="24">
        <f>_xlfn.XLOOKUP(A384,[1]COORDENADAS_GEOGRÁFICAS!$D:$D,[1]COORDENADAS_GEOGRÁFICAS!$F:$F)</f>
        <v>45</v>
      </c>
      <c r="L384" s="53"/>
      <c r="M384" s="53"/>
      <c r="N384" s="52">
        <f>_xlfn.XLOOKUP(D384,Grupo!B:B,Grupo!D:D)</f>
        <v>-6.3256343760279616</v>
      </c>
      <c r="O384" s="52">
        <f>_xlfn.XLOOKUP(D384,Grupo!B:B,Grupo!E:E)</f>
        <v>-47.427412928692668</v>
      </c>
      <c r="P384" s="52">
        <f>_xlfn.XLOOKUP(A384,[1]COORDENADAS_GEOGRÁFICAS!$D:$D,[1]COORDENADAS_GEOGRÁFICAS!$G:$G)</f>
        <v>-6.107907</v>
      </c>
      <c r="Q384" s="52">
        <f>_xlfn.XLOOKUP(A384,[1]COORDENADAS_GEOGRÁFICAS!$D:$D,[1]COORDENADAS_GEOGRÁFICAS!$H:$H)</f>
        <v>-47.536057</v>
      </c>
      <c r="R384" s="20">
        <f t="shared" si="5"/>
        <v>27.025242897524677</v>
      </c>
    </row>
    <row r="385" spans="1:18" x14ac:dyDescent="0.3">
      <c r="A385" s="24">
        <v>3468419</v>
      </c>
      <c r="B385" s="24" t="s">
        <v>765</v>
      </c>
      <c r="C385" s="24">
        <v>652400075</v>
      </c>
      <c r="D385" s="24" t="str">
        <f>_xlfn.XLOOKUP(C385,Planilha3!A:A,Planilha3!C:C)</f>
        <v>TOCANTINÓPOLIS</v>
      </c>
      <c r="E385" s="24">
        <v>1</v>
      </c>
      <c r="F385" s="54">
        <f>_xlfn.XLOOKUP(C385,Planilha3!A:A,Planilha3!E:E)</f>
        <v>45463.707326388889</v>
      </c>
      <c r="G385" s="54">
        <f>_xlfn.XLOOKUP(C385,Planilha3!A:A,Planilha3!F:F)</f>
        <v>45478.707326388889</v>
      </c>
      <c r="H385" s="54">
        <f>_xlfn.XLOOKUP(C385,Planilha3!A:A,Planilha3!G:G)</f>
        <v>45922</v>
      </c>
      <c r="I385" s="23">
        <f>_xlfn.XLOOKUP(K385,Grupo!F:F,Grupo!G:G)</f>
        <v>39252.620000000003</v>
      </c>
      <c r="J385" s="6">
        <f>_xlfn.XLOOKUP(D385,Grupo!B:B,Grupo!C:C)</f>
        <v>15</v>
      </c>
      <c r="K385" s="24">
        <f>_xlfn.XLOOKUP(A385,[1]COORDENADAS_GEOGRÁFICAS!$D:$D,[1]COORDENADAS_GEOGRÁFICAS!$F:$F)</f>
        <v>45</v>
      </c>
      <c r="L385" s="53"/>
      <c r="M385" s="53"/>
      <c r="N385" s="52">
        <f>_xlfn.XLOOKUP(D385,Grupo!B:B,Grupo!D:D)</f>
        <v>-6.3256343760279616</v>
      </c>
      <c r="O385" s="52">
        <f>_xlfn.XLOOKUP(D385,Grupo!B:B,Grupo!E:E)</f>
        <v>-47.427412928692668</v>
      </c>
      <c r="P385" s="52">
        <f>_xlfn.XLOOKUP(A385,[1]COORDENADAS_GEOGRÁFICAS!$D:$D,[1]COORDENADAS_GEOGRÁFICAS!$G:$G)</f>
        <v>-6.2565030000000004</v>
      </c>
      <c r="Q385" s="52">
        <f>_xlfn.XLOOKUP(A385,[1]COORDENADAS_GEOGRÁFICAS!$D:$D,[1]COORDENADAS_GEOGRÁFICAS!$H:$H)</f>
        <v>-47.581620000000001</v>
      </c>
      <c r="R385" s="20">
        <f t="shared" si="5"/>
        <v>18.697097222146532</v>
      </c>
    </row>
    <row r="386" spans="1:18" x14ac:dyDescent="0.3">
      <c r="A386" s="24">
        <v>3468629</v>
      </c>
      <c r="B386" s="24" t="s">
        <v>765</v>
      </c>
      <c r="C386" s="24">
        <v>652400064</v>
      </c>
      <c r="D386" s="24" t="str">
        <f>_xlfn.XLOOKUP(C386,Planilha3!A:A,Planilha3!C:C)</f>
        <v>TOCANTINÓPOLIS</v>
      </c>
      <c r="E386" s="24">
        <v>1</v>
      </c>
      <c r="F386" s="54">
        <f>_xlfn.XLOOKUP(C386,Planilha3!A:A,Planilha3!E:E)</f>
        <v>45462.440208333333</v>
      </c>
      <c r="G386" s="54">
        <f>_xlfn.XLOOKUP(C386,Planilha3!A:A,Planilha3!F:F)</f>
        <v>45478.440208333333</v>
      </c>
      <c r="H386" s="54">
        <f>_xlfn.XLOOKUP(C386,Planilha3!A:A,Planilha3!G:G)</f>
        <v>45922</v>
      </c>
      <c r="I386" s="23">
        <f>_xlfn.XLOOKUP(K386,Grupo!F:F,Grupo!G:G)</f>
        <v>39252.620000000003</v>
      </c>
      <c r="J386" s="6">
        <f>_xlfn.XLOOKUP(D386,Grupo!B:B,Grupo!C:C)</f>
        <v>15</v>
      </c>
      <c r="K386" s="24">
        <f>_xlfn.XLOOKUP(A386,[1]COORDENADAS_GEOGRÁFICAS!$D:$D,[1]COORDENADAS_GEOGRÁFICAS!$F:$F)</f>
        <v>45</v>
      </c>
      <c r="L386" s="53"/>
      <c r="M386" s="53"/>
      <c r="N386" s="52">
        <f>_xlfn.XLOOKUP(D386,Grupo!B:B,Grupo!D:D)</f>
        <v>-6.3256343760279616</v>
      </c>
      <c r="O386" s="52">
        <f>_xlfn.XLOOKUP(D386,Grupo!B:B,Grupo!E:E)</f>
        <v>-47.427412928692668</v>
      </c>
      <c r="P386" s="52">
        <f>_xlfn.XLOOKUP(A386,[1]COORDENADAS_GEOGRÁFICAS!$D:$D,[1]COORDENADAS_GEOGRÁFICAS!$G:$G)</f>
        <v>-6.2204129999999997</v>
      </c>
      <c r="Q386" s="52">
        <f>_xlfn.XLOOKUP(A386,[1]COORDENADAS_GEOGRÁFICAS!$D:$D,[1]COORDENADAS_GEOGRÁFICAS!$H:$H)</f>
        <v>-47.675362</v>
      </c>
      <c r="R386" s="20">
        <f t="shared" si="5"/>
        <v>29.798634307321546</v>
      </c>
    </row>
    <row r="387" spans="1:18" x14ac:dyDescent="0.3">
      <c r="A387" s="24">
        <v>3468140</v>
      </c>
      <c r="B387" s="24" t="s">
        <v>765</v>
      </c>
      <c r="C387" s="24">
        <v>652400111</v>
      </c>
      <c r="D387" s="24" t="str">
        <f>_xlfn.XLOOKUP(C387,Planilha3!A:A,Planilha3!C:C)</f>
        <v>TOCANTINÓPOLIS</v>
      </c>
      <c r="E387" s="24">
        <v>1</v>
      </c>
      <c r="F387" s="54">
        <f>_xlfn.XLOOKUP(C387,Planilha3!A:A,Planilha3!E:E)</f>
        <v>45472.681527777779</v>
      </c>
      <c r="G387" s="54">
        <f>_xlfn.XLOOKUP(C387,Planilha3!A:A,Planilha3!F:F)</f>
        <v>45483.681527777779</v>
      </c>
      <c r="H387" s="54">
        <f>_xlfn.XLOOKUP(C387,Planilha3!A:A,Planilha3!G:G)</f>
        <v>45922</v>
      </c>
      <c r="I387" s="23">
        <f>_xlfn.XLOOKUP(K387,Grupo!F:F,Grupo!G:G)</f>
        <v>39252.620000000003</v>
      </c>
      <c r="J387" s="6">
        <f>_xlfn.XLOOKUP(D387,Grupo!B:B,Grupo!C:C)</f>
        <v>15</v>
      </c>
      <c r="K387" s="24">
        <f>_xlfn.XLOOKUP(A387,[1]COORDENADAS_GEOGRÁFICAS!$D:$D,[1]COORDENADAS_GEOGRÁFICAS!$F:$F)</f>
        <v>45</v>
      </c>
      <c r="L387" s="53"/>
      <c r="M387" s="53"/>
      <c r="N387" s="52">
        <f>_xlfn.XLOOKUP(D387,Grupo!B:B,Grupo!D:D)</f>
        <v>-6.3256343760279616</v>
      </c>
      <c r="O387" s="52">
        <f>_xlfn.XLOOKUP(D387,Grupo!B:B,Grupo!E:E)</f>
        <v>-47.427412928692668</v>
      </c>
      <c r="P387" s="52">
        <f>_xlfn.XLOOKUP(A387,[1]COORDENADAS_GEOGRÁFICAS!$D:$D,[1]COORDENADAS_GEOGRÁFICAS!$G:$G)</f>
        <v>-6.1074479999999998</v>
      </c>
      <c r="Q387" s="52">
        <f>_xlfn.XLOOKUP(A387,[1]COORDENADAS_GEOGRÁFICAS!$D:$D,[1]COORDENADAS_GEOGRÁFICAS!$H:$H)</f>
        <v>-47.536225000000002</v>
      </c>
      <c r="R387" s="20">
        <f t="shared" si="5"/>
        <v>27.079220603336328</v>
      </c>
    </row>
    <row r="388" spans="1:18" x14ac:dyDescent="0.3">
      <c r="A388" s="24">
        <v>3468188</v>
      </c>
      <c r="B388" s="24" t="s">
        <v>765</v>
      </c>
      <c r="C388" s="24">
        <v>652400107</v>
      </c>
      <c r="D388" s="24" t="str">
        <f>_xlfn.XLOOKUP(C388,Planilha3!A:A,Planilha3!C:C)</f>
        <v>TOCANTINÓPOLIS</v>
      </c>
      <c r="E388" s="24">
        <v>1</v>
      </c>
      <c r="F388" s="54">
        <f>_xlfn.XLOOKUP(C388,Planilha3!A:A,Planilha3!E:E)</f>
        <v>45471.626504629632</v>
      </c>
      <c r="G388" s="54">
        <f>_xlfn.XLOOKUP(C388,Planilha3!A:A,Planilha3!F:F)</f>
        <v>45483.626504629632</v>
      </c>
      <c r="H388" s="54">
        <f>_xlfn.XLOOKUP(C388,Planilha3!A:A,Planilha3!G:G)</f>
        <v>45922</v>
      </c>
      <c r="I388" s="23">
        <f>_xlfn.XLOOKUP(K388,Grupo!F:F,Grupo!G:G)</f>
        <v>39252.620000000003</v>
      </c>
      <c r="J388" s="6">
        <f>_xlfn.XLOOKUP(D388,Grupo!B:B,Grupo!C:C)</f>
        <v>15</v>
      </c>
      <c r="K388" s="24">
        <f>_xlfn.XLOOKUP(A388,[1]COORDENADAS_GEOGRÁFICAS!$D:$D,[1]COORDENADAS_GEOGRÁFICAS!$F:$F)</f>
        <v>45</v>
      </c>
      <c r="L388" s="53"/>
      <c r="M388" s="53"/>
      <c r="N388" s="52">
        <f>_xlfn.XLOOKUP(D388,Grupo!B:B,Grupo!D:D)</f>
        <v>-6.3256343760279616</v>
      </c>
      <c r="O388" s="52">
        <f>_xlfn.XLOOKUP(D388,Grupo!B:B,Grupo!E:E)</f>
        <v>-47.427412928692668</v>
      </c>
      <c r="P388" s="52">
        <f>_xlfn.XLOOKUP(A388,[1]COORDENADAS_GEOGRÁFICAS!$D:$D,[1]COORDENADAS_GEOGRÁFICAS!$G:$G)</f>
        <v>-6.2554530000000002</v>
      </c>
      <c r="Q388" s="52">
        <f>_xlfn.XLOOKUP(A388,[1]COORDENADAS_GEOGRÁFICAS!$D:$D,[1]COORDENADAS_GEOGRÁFICAS!$H:$H)</f>
        <v>-47.581462999999999</v>
      </c>
      <c r="R388" s="20">
        <f t="shared" si="5"/>
        <v>18.729641165076039</v>
      </c>
    </row>
    <row r="389" spans="1:18" x14ac:dyDescent="0.3">
      <c r="A389" s="24">
        <v>3468425</v>
      </c>
      <c r="B389" s="24" t="s">
        <v>765</v>
      </c>
      <c r="C389" s="24">
        <v>652400072</v>
      </c>
      <c r="D389" s="24" t="str">
        <f>_xlfn.XLOOKUP(C389,Planilha3!A:A,Planilha3!C:C)</f>
        <v>TOCANTINÓPOLIS</v>
      </c>
      <c r="E389" s="24">
        <v>1</v>
      </c>
      <c r="F389" s="54">
        <f>_xlfn.XLOOKUP(C389,Planilha3!A:A,Planilha3!E:E)</f>
        <v>45465.678472222222</v>
      </c>
      <c r="G389" s="54">
        <f>_xlfn.XLOOKUP(C389,Planilha3!A:A,Planilha3!F:F)</f>
        <v>45478.678472222222</v>
      </c>
      <c r="H389" s="54">
        <f>_xlfn.XLOOKUP(C389,Planilha3!A:A,Planilha3!G:G)</f>
        <v>45922</v>
      </c>
      <c r="I389" s="23">
        <f>_xlfn.XLOOKUP(K389,Grupo!F:F,Grupo!G:G)</f>
        <v>39252.620000000003</v>
      </c>
      <c r="J389" s="6">
        <f>_xlfn.XLOOKUP(D389,Grupo!B:B,Grupo!C:C)</f>
        <v>15</v>
      </c>
      <c r="K389" s="24">
        <f>_xlfn.XLOOKUP(A389,[1]COORDENADAS_GEOGRÁFICAS!$D:$D,[1]COORDENADAS_GEOGRÁFICAS!$F:$F)</f>
        <v>45</v>
      </c>
      <c r="L389" s="53"/>
      <c r="M389" s="53"/>
      <c r="N389" s="52">
        <f>_xlfn.XLOOKUP(D389,Grupo!B:B,Grupo!D:D)</f>
        <v>-6.3256343760279616</v>
      </c>
      <c r="O389" s="52">
        <f>_xlfn.XLOOKUP(D389,Grupo!B:B,Grupo!E:E)</f>
        <v>-47.427412928692668</v>
      </c>
      <c r="P389" s="52">
        <f>_xlfn.XLOOKUP(A389,[1]COORDENADAS_GEOGRÁFICAS!$D:$D,[1]COORDENADAS_GEOGRÁFICAS!$G:$G)</f>
        <v>-6.2582899999999997</v>
      </c>
      <c r="Q389" s="52">
        <f>_xlfn.XLOOKUP(A389,[1]COORDENADAS_GEOGRÁFICAS!$D:$D,[1]COORDENADAS_GEOGRÁFICAS!$H:$H)</f>
        <v>-47.571396</v>
      </c>
      <c r="R389" s="20">
        <f t="shared" ref="R389:R452" si="6">6371*ACOS(COS(PI()*(90-P389)/180)*COS((90-N389)*PI()/180)+SIN((90-P389)*PI()/180)*SIN((90-N389)*PI()/180)*COS((Q389-O389)*PI()/180))</f>
        <v>17.587573617408314</v>
      </c>
    </row>
    <row r="390" spans="1:18" x14ac:dyDescent="0.3">
      <c r="A390" s="24">
        <v>3468467</v>
      </c>
      <c r="B390" s="24" t="s">
        <v>765</v>
      </c>
      <c r="C390" s="24">
        <v>652400071</v>
      </c>
      <c r="D390" s="24" t="str">
        <f>_xlfn.XLOOKUP(C390,Planilha3!A:A,Planilha3!C:C)</f>
        <v>TOCANTINÓPOLIS</v>
      </c>
      <c r="E390" s="24">
        <v>1</v>
      </c>
      <c r="F390" s="54">
        <f>_xlfn.XLOOKUP(C390,Planilha3!A:A,Planilha3!E:E)</f>
        <v>45463.64162037037</v>
      </c>
      <c r="G390" s="54">
        <f>_xlfn.XLOOKUP(C390,Planilha3!A:A,Planilha3!F:F)</f>
        <v>45478.64162037037</v>
      </c>
      <c r="H390" s="54">
        <f>_xlfn.XLOOKUP(C390,Planilha3!A:A,Planilha3!G:G)</f>
        <v>45922</v>
      </c>
      <c r="I390" s="23">
        <f>_xlfn.XLOOKUP(K390,Grupo!F:F,Grupo!G:G)</f>
        <v>39252.620000000003</v>
      </c>
      <c r="J390" s="6">
        <f>_xlfn.XLOOKUP(D390,Grupo!B:B,Grupo!C:C)</f>
        <v>15</v>
      </c>
      <c r="K390" s="24">
        <f>_xlfn.XLOOKUP(A390,[1]COORDENADAS_GEOGRÁFICAS!$D:$D,[1]COORDENADAS_GEOGRÁFICAS!$F:$F)</f>
        <v>45</v>
      </c>
      <c r="L390" s="53"/>
      <c r="M390" s="53"/>
      <c r="N390" s="52">
        <f>_xlfn.XLOOKUP(D390,Grupo!B:B,Grupo!D:D)</f>
        <v>-6.3256343760279616</v>
      </c>
      <c r="O390" s="52">
        <f>_xlfn.XLOOKUP(D390,Grupo!B:B,Grupo!E:E)</f>
        <v>-47.427412928692668</v>
      </c>
      <c r="P390" s="52">
        <f>_xlfn.XLOOKUP(A390,[1]COORDENADAS_GEOGRÁFICAS!$D:$D,[1]COORDENADAS_GEOGRÁFICAS!$G:$G)</f>
        <v>-6.2574969999999999</v>
      </c>
      <c r="Q390" s="52">
        <f>_xlfn.XLOOKUP(A390,[1]COORDENADAS_GEOGRÁFICAS!$D:$D,[1]COORDENADAS_GEOGRÁFICAS!$H:$H)</f>
        <v>-47.571967999999998</v>
      </c>
      <c r="R390" s="20">
        <f t="shared" si="6"/>
        <v>17.68241109281038</v>
      </c>
    </row>
    <row r="391" spans="1:18" x14ac:dyDescent="0.3">
      <c r="A391" s="24">
        <v>3468321</v>
      </c>
      <c r="B391" s="24" t="s">
        <v>765</v>
      </c>
      <c r="C391" s="24">
        <v>652400094</v>
      </c>
      <c r="D391" s="24" t="str">
        <f>_xlfn.XLOOKUP(C391,Planilha3!A:A,Planilha3!C:C)</f>
        <v>TOCANTINÓPOLIS</v>
      </c>
      <c r="E391" s="24">
        <v>1</v>
      </c>
      <c r="F391" s="54">
        <f>_xlfn.XLOOKUP(C391,Planilha3!A:A,Planilha3!E:E)</f>
        <v>45471.707453703704</v>
      </c>
      <c r="G391" s="54">
        <f>_xlfn.XLOOKUP(C391,Planilha3!A:A,Planilha3!F:F)</f>
        <v>45482.707453703704</v>
      </c>
      <c r="H391" s="54">
        <f>_xlfn.XLOOKUP(C391,Planilha3!A:A,Planilha3!G:G)</f>
        <v>45922</v>
      </c>
      <c r="I391" s="23">
        <f>_xlfn.XLOOKUP(K391,Grupo!F:F,Grupo!G:G)</f>
        <v>39252.620000000003</v>
      </c>
      <c r="J391" s="6">
        <f>_xlfn.XLOOKUP(D391,Grupo!B:B,Grupo!C:C)</f>
        <v>15</v>
      </c>
      <c r="K391" s="24">
        <f>_xlfn.XLOOKUP(A391,[1]COORDENADAS_GEOGRÁFICAS!$D:$D,[1]COORDENADAS_GEOGRÁFICAS!$F:$F)</f>
        <v>45</v>
      </c>
      <c r="L391" s="53"/>
      <c r="M391" s="53"/>
      <c r="N391" s="52">
        <f>_xlfn.XLOOKUP(D391,Grupo!B:B,Grupo!D:D)</f>
        <v>-6.3256343760279616</v>
      </c>
      <c r="O391" s="52">
        <f>_xlfn.XLOOKUP(D391,Grupo!B:B,Grupo!E:E)</f>
        <v>-47.427412928692668</v>
      </c>
      <c r="P391" s="52">
        <f>_xlfn.XLOOKUP(A391,[1]COORDENADAS_GEOGRÁFICAS!$D:$D,[1]COORDENADAS_GEOGRÁFICAS!$G:$G)</f>
        <v>-6.1067780000000003</v>
      </c>
      <c r="Q391" s="52">
        <f>_xlfn.XLOOKUP(A391,[1]COORDENADAS_GEOGRÁFICAS!$D:$D,[1]COORDENADAS_GEOGRÁFICAS!$H:$H)</f>
        <v>-47.536233000000003</v>
      </c>
      <c r="R391" s="20">
        <f t="shared" si="6"/>
        <v>27.14638368514855</v>
      </c>
    </row>
    <row r="392" spans="1:18" x14ac:dyDescent="0.3">
      <c r="A392" s="24">
        <v>3467592</v>
      </c>
      <c r="B392" s="24" t="s">
        <v>765</v>
      </c>
      <c r="C392" s="24">
        <v>502400058</v>
      </c>
      <c r="D392" s="24" t="str">
        <f>_xlfn.XLOOKUP(C392,Planilha3!A:A,Planilha3!C:C)</f>
        <v>ALMAS</v>
      </c>
      <c r="E392" s="24">
        <v>1</v>
      </c>
      <c r="F392" s="54">
        <f>_xlfn.XLOOKUP(C392,Planilha3!A:A,Planilha3!E:E)</f>
        <v>45471.38585648148</v>
      </c>
      <c r="G392" s="54">
        <f>_xlfn.XLOOKUP(C392,Planilha3!A:A,Planilha3!F:F)</f>
        <v>45483.38585648148</v>
      </c>
      <c r="H392" s="54">
        <f>_xlfn.XLOOKUP(C392,Planilha3!A:A,Planilha3!G:G)</f>
        <v>45922</v>
      </c>
      <c r="I392" s="23">
        <f>_xlfn.XLOOKUP(K392,Grupo!F:F,Grupo!G:G)</f>
        <v>39252.620000000003</v>
      </c>
      <c r="J392" s="6">
        <f>_xlfn.XLOOKUP(D392,Grupo!B:B,Grupo!C:C)</f>
        <v>1</v>
      </c>
      <c r="K392" s="24">
        <f>_xlfn.XLOOKUP(A392,[1]COORDENADAS_GEOGRÁFICAS!$D:$D,[1]COORDENADAS_GEOGRÁFICAS!$F:$F)</f>
        <v>45</v>
      </c>
      <c r="L392" s="53"/>
      <c r="M392" s="53"/>
      <c r="N392" s="52">
        <f>_xlfn.XLOOKUP(D392,Grupo!B:B,Grupo!D:D)</f>
        <v>-11.574523469447804</v>
      </c>
      <c r="O392" s="52">
        <f>_xlfn.XLOOKUP(D392,Grupo!B:B,Grupo!E:E)</f>
        <v>-47.174171684235809</v>
      </c>
      <c r="P392" s="52">
        <f>_xlfn.XLOOKUP(A392,[1]COORDENADAS_GEOGRÁFICAS!$D:$D,[1]COORDENADAS_GEOGRÁFICAS!$G:$G)</f>
        <v>-11.449983</v>
      </c>
      <c r="Q392" s="52">
        <f>_xlfn.XLOOKUP(A392,[1]COORDENADAS_GEOGRÁFICAS!$D:$D,[1]COORDENADAS_GEOGRÁFICAS!$H:$H)</f>
        <v>-47.423087000000002</v>
      </c>
      <c r="R392" s="20">
        <f t="shared" si="6"/>
        <v>30.452236454993013</v>
      </c>
    </row>
    <row r="393" spans="1:18" x14ac:dyDescent="0.3">
      <c r="A393" s="24">
        <v>3467599</v>
      </c>
      <c r="B393" s="24" t="s">
        <v>765</v>
      </c>
      <c r="C393" s="24">
        <v>502400060</v>
      </c>
      <c r="D393" s="24" t="str">
        <f>_xlfn.XLOOKUP(C393,Planilha3!A:A,Planilha3!C:C)</f>
        <v>ALMAS</v>
      </c>
      <c r="E393" s="24">
        <v>1</v>
      </c>
      <c r="F393" s="54">
        <f>_xlfn.XLOOKUP(C393,Planilha3!A:A,Planilha3!E:E)</f>
        <v>45470.573935185188</v>
      </c>
      <c r="G393" s="54">
        <f>_xlfn.XLOOKUP(C393,Planilha3!A:A,Planilha3!F:F)</f>
        <v>45483.573935185188</v>
      </c>
      <c r="H393" s="54">
        <f>_xlfn.XLOOKUP(C393,Planilha3!A:A,Planilha3!G:G)</f>
        <v>45922</v>
      </c>
      <c r="I393" s="23">
        <f>_xlfn.XLOOKUP(K393,Grupo!F:F,Grupo!G:G)</f>
        <v>39252.620000000003</v>
      </c>
      <c r="J393" s="6">
        <f>_xlfn.XLOOKUP(D393,Grupo!B:B,Grupo!C:C)</f>
        <v>1</v>
      </c>
      <c r="K393" s="24">
        <f>_xlfn.XLOOKUP(A393,[1]COORDENADAS_GEOGRÁFICAS!$D:$D,[1]COORDENADAS_GEOGRÁFICAS!$F:$F)</f>
        <v>45</v>
      </c>
      <c r="L393" s="53"/>
      <c r="M393" s="53"/>
      <c r="N393" s="52">
        <f>_xlfn.XLOOKUP(D393,Grupo!B:B,Grupo!D:D)</f>
        <v>-11.574523469447804</v>
      </c>
      <c r="O393" s="52">
        <f>_xlfn.XLOOKUP(D393,Grupo!B:B,Grupo!E:E)</f>
        <v>-47.174171684235809</v>
      </c>
      <c r="P393" s="52">
        <f>_xlfn.XLOOKUP(A393,[1]COORDENADAS_GEOGRÁFICAS!$D:$D,[1]COORDENADAS_GEOGRÁFICAS!$G:$G)</f>
        <v>-11.455173</v>
      </c>
      <c r="Q393" s="52">
        <f>_xlfn.XLOOKUP(A393,[1]COORDENADAS_GEOGRÁFICAS!$D:$D,[1]COORDENADAS_GEOGRÁFICAS!$H:$H)</f>
        <v>-47.426907999999997</v>
      </c>
      <c r="R393" s="20">
        <f t="shared" si="6"/>
        <v>30.56844946498062</v>
      </c>
    </row>
    <row r="394" spans="1:18" x14ac:dyDescent="0.3">
      <c r="A394" s="24">
        <v>3467602</v>
      </c>
      <c r="B394" s="24" t="s">
        <v>765</v>
      </c>
      <c r="C394" s="24">
        <v>502400062</v>
      </c>
      <c r="D394" s="24" t="str">
        <f>_xlfn.XLOOKUP(C394,Planilha3!A:A,Planilha3!C:C)</f>
        <v>ALMAS</v>
      </c>
      <c r="E394" s="24">
        <v>1</v>
      </c>
      <c r="F394" s="54">
        <f>_xlfn.XLOOKUP(C394,Planilha3!A:A,Planilha3!E:E)</f>
        <v>45468.581192129626</v>
      </c>
      <c r="G394" s="54">
        <f>_xlfn.XLOOKUP(C394,Planilha3!A:A,Planilha3!F:F)</f>
        <v>45483.581192129626</v>
      </c>
      <c r="H394" s="54">
        <f>_xlfn.XLOOKUP(C394,Planilha3!A:A,Planilha3!G:G)</f>
        <v>45922</v>
      </c>
      <c r="I394" s="23">
        <f>_xlfn.XLOOKUP(K394,Grupo!F:F,Grupo!G:G)</f>
        <v>39252.620000000003</v>
      </c>
      <c r="J394" s="6">
        <f>_xlfn.XLOOKUP(D394,Grupo!B:B,Grupo!C:C)</f>
        <v>1</v>
      </c>
      <c r="K394" s="24">
        <f>_xlfn.XLOOKUP(A394,[1]COORDENADAS_GEOGRÁFICAS!$D:$D,[1]COORDENADAS_GEOGRÁFICAS!$F:$F)</f>
        <v>45</v>
      </c>
      <c r="L394" s="53"/>
      <c r="M394" s="53"/>
      <c r="N394" s="52">
        <f>_xlfn.XLOOKUP(D394,Grupo!B:B,Grupo!D:D)</f>
        <v>-11.574523469447804</v>
      </c>
      <c r="O394" s="52">
        <f>_xlfn.XLOOKUP(D394,Grupo!B:B,Grupo!E:E)</f>
        <v>-47.174171684235809</v>
      </c>
      <c r="P394" s="52">
        <f>_xlfn.XLOOKUP(A394,[1]COORDENADAS_GEOGRÁFICAS!$D:$D,[1]COORDENADAS_GEOGRÁFICAS!$G:$G)</f>
        <v>-11.472803000000001</v>
      </c>
      <c r="Q394" s="52">
        <f>_xlfn.XLOOKUP(A394,[1]COORDENADAS_GEOGRÁFICAS!$D:$D,[1]COORDENADAS_GEOGRÁFICAS!$H:$H)</f>
        <v>-47.430993000000001</v>
      </c>
      <c r="R394" s="20">
        <f t="shared" si="6"/>
        <v>30.181164154790288</v>
      </c>
    </row>
    <row r="395" spans="1:18" x14ac:dyDescent="0.3">
      <c r="A395" s="24">
        <v>3467606</v>
      </c>
      <c r="B395" s="24" t="s">
        <v>765</v>
      </c>
      <c r="C395" s="24">
        <v>502400063</v>
      </c>
      <c r="D395" s="24" t="str">
        <f>_xlfn.XLOOKUP(C395,Planilha3!A:A,Planilha3!C:C)</f>
        <v>ALMAS</v>
      </c>
      <c r="E395" s="24">
        <v>1</v>
      </c>
      <c r="F395" s="54">
        <f>_xlfn.XLOOKUP(C395,Planilha3!A:A,Planilha3!E:E)</f>
        <v>45467.589733796296</v>
      </c>
      <c r="G395" s="54">
        <f>_xlfn.XLOOKUP(C395,Planilha3!A:A,Planilha3!F:F)</f>
        <v>45483.589733796296</v>
      </c>
      <c r="H395" s="54">
        <f>_xlfn.XLOOKUP(C395,Planilha3!A:A,Planilha3!G:G)</f>
        <v>45922</v>
      </c>
      <c r="I395" s="23">
        <f>_xlfn.XLOOKUP(K395,Grupo!F:F,Grupo!G:G)</f>
        <v>39252.620000000003</v>
      </c>
      <c r="J395" s="6">
        <f>_xlfn.XLOOKUP(D395,Grupo!B:B,Grupo!C:C)</f>
        <v>1</v>
      </c>
      <c r="K395" s="24">
        <f>_xlfn.XLOOKUP(A395,[1]COORDENADAS_GEOGRÁFICAS!$D:$D,[1]COORDENADAS_GEOGRÁFICAS!$F:$F)</f>
        <v>45</v>
      </c>
      <c r="L395" s="53"/>
      <c r="M395" s="53"/>
      <c r="N395" s="52">
        <f>_xlfn.XLOOKUP(D395,Grupo!B:B,Grupo!D:D)</f>
        <v>-11.574523469447804</v>
      </c>
      <c r="O395" s="52">
        <f>_xlfn.XLOOKUP(D395,Grupo!B:B,Grupo!E:E)</f>
        <v>-47.174171684235809</v>
      </c>
      <c r="P395" s="52">
        <f>_xlfn.XLOOKUP(A395,[1]COORDENADAS_GEOGRÁFICAS!$D:$D,[1]COORDENADAS_GEOGRÁFICAS!$G:$G)</f>
        <v>-11.495846999999999</v>
      </c>
      <c r="Q395" s="52">
        <f>_xlfn.XLOOKUP(A395,[1]COORDENADAS_GEOGRÁFICAS!$D:$D,[1]COORDENADAS_GEOGRÁFICAS!$H:$H)</f>
        <v>-47.431983000000002</v>
      </c>
      <c r="R395" s="20">
        <f t="shared" si="6"/>
        <v>29.419157020396934</v>
      </c>
    </row>
    <row r="396" spans="1:18" x14ac:dyDescent="0.3">
      <c r="A396" s="24">
        <v>3467607</v>
      </c>
      <c r="B396" s="24" t="s">
        <v>765</v>
      </c>
      <c r="C396" s="24">
        <v>402400248</v>
      </c>
      <c r="D396" s="24" t="str">
        <f>_xlfn.XLOOKUP(C396,Planilha3!A:A,Planilha3!C:C)</f>
        <v>PARANÃ</v>
      </c>
      <c r="E396" s="24">
        <v>1</v>
      </c>
      <c r="F396" s="54">
        <f>_xlfn.XLOOKUP(C396,Planilha3!A:A,Planilha3!E:E)</f>
        <v>45472.623912037037</v>
      </c>
      <c r="G396" s="54">
        <f>_xlfn.XLOOKUP(C396,Planilha3!A:A,Planilha3!F:F)</f>
        <v>45483.623912037037</v>
      </c>
      <c r="H396" s="54">
        <f>_xlfn.XLOOKUP(C396,Planilha3!A:A,Planilha3!G:G)</f>
        <v>45922</v>
      </c>
      <c r="I396" s="23">
        <f>_xlfn.XLOOKUP(K396,Grupo!F:F,Grupo!G:G)</f>
        <v>39252.620000000003</v>
      </c>
      <c r="J396" s="6">
        <f>_xlfn.XLOOKUP(D396,Grupo!B:B,Grupo!C:C)</f>
        <v>10</v>
      </c>
      <c r="K396" s="24">
        <f>_xlfn.XLOOKUP(A396,[1]COORDENADAS_GEOGRÁFICAS!$D:$D,[1]COORDENADAS_GEOGRÁFICAS!$F:$F)</f>
        <v>45</v>
      </c>
      <c r="L396" s="53"/>
      <c r="M396" s="53"/>
      <c r="N396" s="52">
        <f>_xlfn.XLOOKUP(D396,Grupo!B:B,Grupo!D:D)</f>
        <v>-12.620481488718251</v>
      </c>
      <c r="O396" s="52">
        <f>_xlfn.XLOOKUP(D396,Grupo!B:B,Grupo!E:E)</f>
        <v>-47.884083728442604</v>
      </c>
      <c r="P396" s="52">
        <f>_xlfn.XLOOKUP(A396,[1]COORDENADAS_GEOGRÁFICAS!$D:$D,[1]COORDENADAS_GEOGRÁFICAS!$G:$G)</f>
        <v>-12.724577999999999</v>
      </c>
      <c r="Q396" s="52">
        <f>_xlfn.XLOOKUP(A396,[1]COORDENADAS_GEOGRÁFICAS!$D:$D,[1]COORDENADAS_GEOGRÁFICAS!$H:$H)</f>
        <v>-47.368977000000001</v>
      </c>
      <c r="R396" s="20">
        <f t="shared" si="6"/>
        <v>57.068147524973661</v>
      </c>
    </row>
    <row r="397" spans="1:18" x14ac:dyDescent="0.3">
      <c r="A397" s="24">
        <v>3467387</v>
      </c>
      <c r="B397" s="24" t="s">
        <v>765</v>
      </c>
      <c r="C397" s="24">
        <v>402400251</v>
      </c>
      <c r="D397" s="24" t="str">
        <f>_xlfn.XLOOKUP(C397,Planilha3!A:A,Planilha3!C:C)</f>
        <v>FORMOSO DO ARAGUAIA</v>
      </c>
      <c r="E397" s="24">
        <v>1</v>
      </c>
      <c r="F397" s="54">
        <f>_xlfn.XLOOKUP(C397,Planilha3!A:A,Planilha3!E:E)</f>
        <v>45443.435833333337</v>
      </c>
      <c r="G397" s="54">
        <f>_xlfn.XLOOKUP(C397,Planilha3!A:A,Planilha3!F:F)</f>
        <v>45455.435833333337</v>
      </c>
      <c r="H397" s="54">
        <f>_xlfn.XLOOKUP(C397,Planilha3!A:A,Planilha3!G:G)</f>
        <v>45922</v>
      </c>
      <c r="I397" s="23">
        <f>_xlfn.XLOOKUP(K397,Grupo!F:F,Grupo!G:G)</f>
        <v>39252.620000000003</v>
      </c>
      <c r="J397" s="6">
        <f>_xlfn.XLOOKUP(D397,Grupo!B:B,Grupo!C:C)</f>
        <v>6</v>
      </c>
      <c r="K397" s="24">
        <f>_xlfn.XLOOKUP(A397,[1]COORDENADAS_GEOGRÁFICAS!$D:$D,[1]COORDENADAS_GEOGRÁFICAS!$F:$F)</f>
        <v>45</v>
      </c>
      <c r="L397" s="53"/>
      <c r="M397" s="53"/>
      <c r="N397" s="52">
        <f>_xlfn.XLOOKUP(D397,Grupo!B:B,Grupo!D:D)</f>
        <v>-11.805141968649453</v>
      </c>
      <c r="O397" s="52">
        <f>_xlfn.XLOOKUP(D397,Grupo!B:B,Grupo!E:E)</f>
        <v>-49.52686036291248</v>
      </c>
      <c r="P397" s="52">
        <f>_xlfn.XLOOKUP(A397,[1]COORDENADAS_GEOGRÁFICAS!$D:$D,[1]COORDENADAS_GEOGRÁFICAS!$G:$G)</f>
        <v>-12.197642</v>
      </c>
      <c r="Q397" s="52">
        <f>_xlfn.XLOOKUP(A397,[1]COORDENADAS_GEOGRÁFICAS!$D:$D,[1]COORDENADAS_GEOGRÁFICAS!$H:$H)</f>
        <v>-50.094504999999998</v>
      </c>
      <c r="R397" s="20">
        <f t="shared" si="6"/>
        <v>75.607917091277841</v>
      </c>
    </row>
    <row r="398" spans="1:18" x14ac:dyDescent="0.3">
      <c r="A398" s="24">
        <v>3467392</v>
      </c>
      <c r="B398" s="24" t="s">
        <v>765</v>
      </c>
      <c r="C398" s="24">
        <v>402400253</v>
      </c>
      <c r="D398" s="24" t="str">
        <f>_xlfn.XLOOKUP(C398,Planilha3!A:A,Planilha3!C:C)</f>
        <v>FORMOSO DO ARAGUAIA</v>
      </c>
      <c r="E398" s="24">
        <v>1</v>
      </c>
      <c r="F398" s="54">
        <f>_xlfn.XLOOKUP(C398,Planilha3!A:A,Planilha3!E:E)</f>
        <v>45442.592685185184</v>
      </c>
      <c r="G398" s="54">
        <f>_xlfn.XLOOKUP(C398,Planilha3!A:A,Planilha3!F:F)</f>
        <v>45455.592685185184</v>
      </c>
      <c r="H398" s="54">
        <f>_xlfn.XLOOKUP(C398,Planilha3!A:A,Planilha3!G:G)</f>
        <v>45922</v>
      </c>
      <c r="I398" s="23">
        <f>_xlfn.XLOOKUP(K398,Grupo!F:F,Grupo!G:G)</f>
        <v>39252.620000000003</v>
      </c>
      <c r="J398" s="6">
        <f>_xlfn.XLOOKUP(D398,Grupo!B:B,Grupo!C:C)</f>
        <v>6</v>
      </c>
      <c r="K398" s="24">
        <f>_xlfn.XLOOKUP(A398,[1]COORDENADAS_GEOGRÁFICAS!$D:$D,[1]COORDENADAS_GEOGRÁFICAS!$F:$F)</f>
        <v>45</v>
      </c>
      <c r="L398" s="53"/>
      <c r="M398" s="53"/>
      <c r="N398" s="52">
        <f>_xlfn.XLOOKUP(D398,Grupo!B:B,Grupo!D:D)</f>
        <v>-11.805141968649453</v>
      </c>
      <c r="O398" s="52">
        <f>_xlfn.XLOOKUP(D398,Grupo!B:B,Grupo!E:E)</f>
        <v>-49.52686036291248</v>
      </c>
      <c r="P398" s="52">
        <f>_xlfn.XLOOKUP(A398,[1]COORDENADAS_GEOGRÁFICAS!$D:$D,[1]COORDENADAS_GEOGRÁFICAS!$G:$G)</f>
        <v>-12.197492</v>
      </c>
      <c r="Q398" s="52">
        <f>_xlfn.XLOOKUP(A398,[1]COORDENADAS_GEOGRÁFICAS!$D:$D,[1]COORDENADAS_GEOGRÁFICAS!$H:$H)</f>
        <v>-50.094987000000003</v>
      </c>
      <c r="R398" s="20">
        <f t="shared" si="6"/>
        <v>75.641124339331384</v>
      </c>
    </row>
    <row r="399" spans="1:18" x14ac:dyDescent="0.3">
      <c r="A399" s="24">
        <v>3468190</v>
      </c>
      <c r="B399" s="24" t="s">
        <v>765</v>
      </c>
      <c r="C399" s="24">
        <v>652400131</v>
      </c>
      <c r="D399" s="24" t="s">
        <v>920</v>
      </c>
      <c r="E399" s="24">
        <v>1</v>
      </c>
      <c r="F399" s="54">
        <f>_xlfn.XLOOKUP(C399,Planilha3!A:A,Planilha3!E:E)</f>
        <v>45468.631064814814</v>
      </c>
      <c r="G399" s="54">
        <f>_xlfn.XLOOKUP(C399,Planilha3!A:A,Planilha3!F:F)</f>
        <v>45483.631064814814</v>
      </c>
      <c r="H399" s="54">
        <f>_xlfn.XLOOKUP(C399,Planilha3!A:A,Planilha3!G:G)</f>
        <v>45922</v>
      </c>
      <c r="I399" s="23">
        <f>_xlfn.XLOOKUP(K399,Grupo!F:F,Grupo!G:G)</f>
        <v>39252.620000000003</v>
      </c>
      <c r="J399" s="6">
        <f>_xlfn.XLOOKUP(D399,Grupo!B:B,Grupo!C:C)</f>
        <v>15</v>
      </c>
      <c r="K399" s="24">
        <f>_xlfn.XLOOKUP(A399,[1]COORDENADAS_GEOGRÁFICAS!$D:$D,[1]COORDENADAS_GEOGRÁFICAS!$F:$F)</f>
        <v>45</v>
      </c>
      <c r="L399" s="53"/>
      <c r="M399" s="53"/>
      <c r="N399" s="52">
        <f>_xlfn.XLOOKUP(D399,Grupo!B:B,Grupo!D:D)</f>
        <v>-6.3256343760279616</v>
      </c>
      <c r="O399" s="52">
        <f>_xlfn.XLOOKUP(D399,Grupo!B:B,Grupo!E:E)</f>
        <v>-47.427412928692668</v>
      </c>
      <c r="P399" s="52">
        <f>_xlfn.XLOOKUP(A399,[1]COORDENADAS_GEOGRÁFICAS!$D:$D,[1]COORDENADAS_GEOGRÁFICAS!$G:$G)</f>
        <v>-6.1667719999999999</v>
      </c>
      <c r="Q399" s="52">
        <f>_xlfn.XLOOKUP(A399,[1]COORDENADAS_GEOGRÁFICAS!$D:$D,[1]COORDENADAS_GEOGRÁFICAS!$H:$H)</f>
        <v>-47.507677000000001</v>
      </c>
      <c r="R399" s="20">
        <f t="shared" si="6"/>
        <v>19.767477555152404</v>
      </c>
    </row>
    <row r="400" spans="1:18" x14ac:dyDescent="0.3">
      <c r="A400" s="24">
        <v>3467455</v>
      </c>
      <c r="B400" s="24" t="s">
        <v>765</v>
      </c>
      <c r="C400" s="24">
        <v>402400259</v>
      </c>
      <c r="D400" s="24" t="str">
        <f>_xlfn.XLOOKUP(C400,Planilha3!A:A,Planilha3!C:C)</f>
        <v>FORMOSO DO ARAGUAIA</v>
      </c>
      <c r="E400" s="24">
        <v>1</v>
      </c>
      <c r="F400" s="54">
        <f>_xlfn.XLOOKUP(C400,Planilha3!A:A,Planilha3!E:E)</f>
        <v>45444.684004629627</v>
      </c>
      <c r="G400" s="54">
        <f>_xlfn.XLOOKUP(C400,Planilha3!A:A,Planilha3!F:F)</f>
        <v>45455.684004629627</v>
      </c>
      <c r="H400" s="54">
        <f>_xlfn.XLOOKUP(C400,Planilha3!A:A,Planilha3!G:G)</f>
        <v>45922</v>
      </c>
      <c r="I400" s="23">
        <f>_xlfn.XLOOKUP(K400,Grupo!F:F,Grupo!G:G)</f>
        <v>39252.620000000003</v>
      </c>
      <c r="J400" s="6">
        <f>_xlfn.XLOOKUP(D400,Grupo!B:B,Grupo!C:C)</f>
        <v>6</v>
      </c>
      <c r="K400" s="24">
        <f>_xlfn.XLOOKUP(A400,[1]COORDENADAS_GEOGRÁFICAS!$D:$D,[1]COORDENADAS_GEOGRÁFICAS!$F:$F)</f>
        <v>45</v>
      </c>
      <c r="L400" s="53"/>
      <c r="M400" s="53"/>
      <c r="N400" s="52">
        <f>_xlfn.XLOOKUP(D400,Grupo!B:B,Grupo!D:D)</f>
        <v>-11.805141968649453</v>
      </c>
      <c r="O400" s="52">
        <f>_xlfn.XLOOKUP(D400,Grupo!B:B,Grupo!E:E)</f>
        <v>-49.52686036291248</v>
      </c>
      <c r="P400" s="52">
        <f>_xlfn.XLOOKUP(A400,[1]COORDENADAS_GEOGRÁFICAS!$D:$D,[1]COORDENADAS_GEOGRÁFICAS!$G:$G)</f>
        <v>-12.19647</v>
      </c>
      <c r="Q400" s="52">
        <f>_xlfn.XLOOKUP(A400,[1]COORDENADAS_GEOGRÁFICAS!$D:$D,[1]COORDENADAS_GEOGRÁFICAS!$H:$H)</f>
        <v>-50.094701999999998</v>
      </c>
      <c r="R400" s="20">
        <f t="shared" si="6"/>
        <v>75.55039091525515</v>
      </c>
    </row>
    <row r="401" spans="1:18" x14ac:dyDescent="0.3">
      <c r="A401" s="24">
        <v>3467450</v>
      </c>
      <c r="B401" s="24" t="s">
        <v>765</v>
      </c>
      <c r="C401" s="24">
        <v>402400256</v>
      </c>
      <c r="D401" s="24" t="str">
        <f>_xlfn.XLOOKUP(C401,Planilha3!A:A,Planilha3!C:C)</f>
        <v>FORMOSO DO ARAGUAIA</v>
      </c>
      <c r="E401" s="24">
        <v>1</v>
      </c>
      <c r="F401" s="54">
        <f>_xlfn.XLOOKUP(C401,Planilha3!A:A,Planilha3!E:E)</f>
        <v>45443.652037037034</v>
      </c>
      <c r="G401" s="54">
        <f>_xlfn.XLOOKUP(C401,Planilha3!A:A,Planilha3!F:F)</f>
        <v>45455.652037037034</v>
      </c>
      <c r="H401" s="54">
        <f>_xlfn.XLOOKUP(C401,Planilha3!A:A,Planilha3!G:G)</f>
        <v>45922</v>
      </c>
      <c r="I401" s="23">
        <f>_xlfn.XLOOKUP(K401,Grupo!F:F,Grupo!G:G)</f>
        <v>39252.620000000003</v>
      </c>
      <c r="J401" s="6">
        <f>_xlfn.XLOOKUP(D401,Grupo!B:B,Grupo!C:C)</f>
        <v>6</v>
      </c>
      <c r="K401" s="24">
        <f>_xlfn.XLOOKUP(A401,[1]COORDENADAS_GEOGRÁFICAS!$D:$D,[1]COORDENADAS_GEOGRÁFICAS!$F:$F)</f>
        <v>45</v>
      </c>
      <c r="L401" s="53"/>
      <c r="M401" s="53"/>
      <c r="N401" s="52">
        <f>_xlfn.XLOOKUP(D401,Grupo!B:B,Grupo!D:D)</f>
        <v>-11.805141968649453</v>
      </c>
      <c r="O401" s="52">
        <f>_xlfn.XLOOKUP(D401,Grupo!B:B,Grupo!E:E)</f>
        <v>-49.52686036291248</v>
      </c>
      <c r="P401" s="52">
        <f>_xlfn.XLOOKUP(A401,[1]COORDENADAS_GEOGRÁFICAS!$D:$D,[1]COORDENADAS_GEOGRÁFICAS!$G:$G)</f>
        <v>-12.196933</v>
      </c>
      <c r="Q401" s="52">
        <f>_xlfn.XLOOKUP(A401,[1]COORDENADAS_GEOGRÁFICAS!$D:$D,[1]COORDENADAS_GEOGRÁFICAS!$H:$H)</f>
        <v>-50.094684999999998</v>
      </c>
      <c r="R401" s="20">
        <f t="shared" si="6"/>
        <v>75.578500187110876</v>
      </c>
    </row>
    <row r="402" spans="1:18" x14ac:dyDescent="0.3">
      <c r="A402" s="24">
        <v>3467301</v>
      </c>
      <c r="B402" s="24" t="s">
        <v>765</v>
      </c>
      <c r="C402" s="24">
        <v>402400249</v>
      </c>
      <c r="D402" s="24" t="str">
        <f>_xlfn.XLOOKUP(C402,Planilha3!A:A,Planilha3!C:C)</f>
        <v>FORMOSO DO ARAGUAIA</v>
      </c>
      <c r="E402" s="24">
        <v>1</v>
      </c>
      <c r="F402" s="54">
        <f>_xlfn.XLOOKUP(C402,Planilha3!A:A,Planilha3!E:E)</f>
        <v>45441.69630787037</v>
      </c>
      <c r="G402" s="54">
        <f>_xlfn.XLOOKUP(C402,Planilha3!A:A,Planilha3!F:F)</f>
        <v>45454.69630787037</v>
      </c>
      <c r="H402" s="54">
        <f>_xlfn.XLOOKUP(C402,Planilha3!A:A,Planilha3!G:G)</f>
        <v>45922</v>
      </c>
      <c r="I402" s="23">
        <f>_xlfn.XLOOKUP(K402,Grupo!F:F,Grupo!G:G)</f>
        <v>39252.620000000003</v>
      </c>
      <c r="J402" s="6">
        <f>_xlfn.XLOOKUP(D402,Grupo!B:B,Grupo!C:C)</f>
        <v>6</v>
      </c>
      <c r="K402" s="24">
        <f>_xlfn.XLOOKUP(A402,[1]COORDENADAS_GEOGRÁFICAS!$D:$D,[1]COORDENADAS_GEOGRÁFICAS!$F:$F)</f>
        <v>45</v>
      </c>
      <c r="L402" s="53"/>
      <c r="M402" s="53"/>
      <c r="N402" s="52">
        <f>_xlfn.XLOOKUP(D402,Grupo!B:B,Grupo!D:D)</f>
        <v>-11.805141968649453</v>
      </c>
      <c r="O402" s="52">
        <f>_xlfn.XLOOKUP(D402,Grupo!B:B,Grupo!E:E)</f>
        <v>-49.52686036291248</v>
      </c>
      <c r="P402" s="52">
        <f>_xlfn.XLOOKUP(A402,[1]COORDENADAS_GEOGRÁFICAS!$D:$D,[1]COORDENADAS_GEOGRÁFICAS!$G:$G)</f>
        <v>-12.197445</v>
      </c>
      <c r="Q402" s="52">
        <f>_xlfn.XLOOKUP(A402,[1]COORDENADAS_GEOGRÁFICAS!$D:$D,[1]COORDENADAS_GEOGRÁFICAS!$H:$H)</f>
        <v>-50.095607000000001</v>
      </c>
      <c r="R402" s="20">
        <f t="shared" si="6"/>
        <v>75.693214054585283</v>
      </c>
    </row>
    <row r="403" spans="1:18" x14ac:dyDescent="0.3">
      <c r="A403" s="24">
        <v>3467303</v>
      </c>
      <c r="B403" s="24" t="s">
        <v>765</v>
      </c>
      <c r="C403" s="24">
        <v>402400250</v>
      </c>
      <c r="D403" s="24" t="str">
        <f>_xlfn.XLOOKUP(C403,Planilha3!A:A,Planilha3!C:C)</f>
        <v>FORMOSO DO ARAGUAIA</v>
      </c>
      <c r="E403" s="24">
        <v>1</v>
      </c>
      <c r="F403" s="54">
        <f>_xlfn.XLOOKUP(C403,Planilha3!A:A,Planilha3!E:E)</f>
        <v>45440.413148148145</v>
      </c>
      <c r="G403" s="54">
        <f>_xlfn.XLOOKUP(C403,Planilha3!A:A,Planilha3!F:F)</f>
        <v>45455.413148148145</v>
      </c>
      <c r="H403" s="54">
        <f>_xlfn.XLOOKUP(C403,Planilha3!A:A,Planilha3!G:G)</f>
        <v>45922</v>
      </c>
      <c r="I403" s="23">
        <f>_xlfn.XLOOKUP(K403,Grupo!F:F,Grupo!G:G)</f>
        <v>39252.620000000003</v>
      </c>
      <c r="J403" s="6">
        <f>_xlfn.XLOOKUP(D403,Grupo!B:B,Grupo!C:C)</f>
        <v>6</v>
      </c>
      <c r="K403" s="24">
        <f>_xlfn.XLOOKUP(A403,[1]COORDENADAS_GEOGRÁFICAS!$D:$D,[1]COORDENADAS_GEOGRÁFICAS!$F:$F)</f>
        <v>45</v>
      </c>
      <c r="L403" s="53"/>
      <c r="M403" s="53"/>
      <c r="N403" s="52">
        <f>_xlfn.XLOOKUP(D403,Grupo!B:B,Grupo!D:D)</f>
        <v>-11.805141968649453</v>
      </c>
      <c r="O403" s="52">
        <f>_xlfn.XLOOKUP(D403,Grupo!B:B,Grupo!E:E)</f>
        <v>-49.52686036291248</v>
      </c>
      <c r="P403" s="52">
        <f>_xlfn.XLOOKUP(A403,[1]COORDENADAS_GEOGRÁFICAS!$D:$D,[1]COORDENADAS_GEOGRÁFICAS!$G:$G)</f>
        <v>-12.197042</v>
      </c>
      <c r="Q403" s="52">
        <f>_xlfn.XLOOKUP(A403,[1]COORDENADAS_GEOGRÁFICAS!$D:$D,[1]COORDENADAS_GEOGRÁFICAS!$H:$H)</f>
        <v>-50.095292000000001</v>
      </c>
      <c r="R403" s="20">
        <f t="shared" si="6"/>
        <v>75.639429838887523</v>
      </c>
    </row>
    <row r="404" spans="1:18" x14ac:dyDescent="0.3">
      <c r="A404" s="24">
        <v>3467405</v>
      </c>
      <c r="B404" s="24" t="s">
        <v>765</v>
      </c>
      <c r="C404" s="24">
        <v>402400258</v>
      </c>
      <c r="D404" s="24" t="str">
        <f>_xlfn.XLOOKUP(C404,Planilha3!A:A,Planilha3!C:C)</f>
        <v>FORMOSO DO ARAGUAIA</v>
      </c>
      <c r="E404" s="24">
        <v>1</v>
      </c>
      <c r="F404" s="54">
        <f>_xlfn.XLOOKUP(C404,Planilha3!A:A,Planilha3!E:E)</f>
        <v>45439.667094907411</v>
      </c>
      <c r="G404" s="54">
        <f>_xlfn.XLOOKUP(C404,Planilha3!A:A,Planilha3!F:F)</f>
        <v>45455.667094907411</v>
      </c>
      <c r="H404" s="54">
        <f>_xlfn.XLOOKUP(C404,Planilha3!A:A,Planilha3!G:G)</f>
        <v>45922</v>
      </c>
      <c r="I404" s="23">
        <f>_xlfn.XLOOKUP(K404,Grupo!F:F,Grupo!G:G)</f>
        <v>39252.620000000003</v>
      </c>
      <c r="J404" s="6">
        <f>_xlfn.XLOOKUP(D404,Grupo!B:B,Grupo!C:C)</f>
        <v>6</v>
      </c>
      <c r="K404" s="24">
        <f>_xlfn.XLOOKUP(A404,[1]COORDENADAS_GEOGRÁFICAS!$D:$D,[1]COORDENADAS_GEOGRÁFICAS!$F:$F)</f>
        <v>45</v>
      </c>
      <c r="L404" s="53"/>
      <c r="M404" s="53"/>
      <c r="N404" s="52">
        <f>_xlfn.XLOOKUP(D404,Grupo!B:B,Grupo!D:D)</f>
        <v>-11.805141968649453</v>
      </c>
      <c r="O404" s="52">
        <f>_xlfn.XLOOKUP(D404,Grupo!B:B,Grupo!E:E)</f>
        <v>-49.52686036291248</v>
      </c>
      <c r="P404" s="52">
        <f>_xlfn.XLOOKUP(A404,[1]COORDENADAS_GEOGRÁFICAS!$D:$D,[1]COORDENADAS_GEOGRÁFICAS!$G:$G)</f>
        <v>-12.197815</v>
      </c>
      <c r="Q404" s="52">
        <f>_xlfn.XLOOKUP(A404,[1]COORDENADAS_GEOGRÁFICAS!$D:$D,[1]COORDENADAS_GEOGRÁFICAS!$H:$H)</f>
        <v>-50.095635000000001</v>
      </c>
      <c r="R404" s="20">
        <f t="shared" si="6"/>
        <v>75.719384933857768</v>
      </c>
    </row>
    <row r="405" spans="1:18" x14ac:dyDescent="0.3">
      <c r="A405" s="24">
        <v>3467388</v>
      </c>
      <c r="B405" s="24" t="s">
        <v>765</v>
      </c>
      <c r="C405" s="24">
        <v>402400252</v>
      </c>
      <c r="D405" s="24" t="str">
        <f>_xlfn.XLOOKUP(C405,Planilha3!A:A,Planilha3!C:C)</f>
        <v>FORMOSO DO ARAGUAIA</v>
      </c>
      <c r="E405" s="24">
        <v>1</v>
      </c>
      <c r="F405" s="54">
        <f>_xlfn.XLOOKUP(C405,Planilha3!A:A,Planilha3!E:E)</f>
        <v>45444.455914351849</v>
      </c>
      <c r="G405" s="54">
        <f>_xlfn.XLOOKUP(C405,Planilha3!A:A,Planilha3!F:F)</f>
        <v>45455.455914351849</v>
      </c>
      <c r="H405" s="54">
        <f>_xlfn.XLOOKUP(C405,Planilha3!A:A,Planilha3!G:G)</f>
        <v>45922</v>
      </c>
      <c r="I405" s="23">
        <f>_xlfn.XLOOKUP(K405,Grupo!F:F,Grupo!G:G)</f>
        <v>39252.620000000003</v>
      </c>
      <c r="J405" s="6">
        <f>_xlfn.XLOOKUP(D405,Grupo!B:B,Grupo!C:C)</f>
        <v>6</v>
      </c>
      <c r="K405" s="24">
        <f>_xlfn.XLOOKUP(A405,[1]COORDENADAS_GEOGRÁFICAS!$D:$D,[1]COORDENADAS_GEOGRÁFICAS!$F:$F)</f>
        <v>45</v>
      </c>
      <c r="L405" s="53"/>
      <c r="M405" s="53"/>
      <c r="N405" s="52">
        <f>_xlfn.XLOOKUP(D405,Grupo!B:B,Grupo!D:D)</f>
        <v>-11.805141968649453</v>
      </c>
      <c r="O405" s="52">
        <f>_xlfn.XLOOKUP(D405,Grupo!B:B,Grupo!E:E)</f>
        <v>-49.52686036291248</v>
      </c>
      <c r="P405" s="52">
        <f>_xlfn.XLOOKUP(A405,[1]COORDENADAS_GEOGRÁFICAS!$D:$D,[1]COORDENADAS_GEOGRÁFICAS!$G:$G)</f>
        <v>-12.197618</v>
      </c>
      <c r="Q405" s="52">
        <f>_xlfn.XLOOKUP(A405,[1]COORDENADAS_GEOGRÁFICAS!$D:$D,[1]COORDENADAS_GEOGRÁFICAS!$H:$H)</f>
        <v>-50.094889999999999</v>
      </c>
      <c r="R405" s="20">
        <f t="shared" si="6"/>
        <v>75.640576848155092</v>
      </c>
    </row>
    <row r="406" spans="1:18" x14ac:dyDescent="0.3">
      <c r="A406" s="24">
        <v>3467400</v>
      </c>
      <c r="B406" s="24" t="s">
        <v>765</v>
      </c>
      <c r="C406" s="24">
        <v>402400255</v>
      </c>
      <c r="D406" s="24" t="str">
        <f>_xlfn.XLOOKUP(C406,Planilha3!A:A,Planilha3!C:C)</f>
        <v>FORMOSO DO ARAGUAIA</v>
      </c>
      <c r="E406" s="24">
        <v>1</v>
      </c>
      <c r="F406" s="54">
        <f>_xlfn.XLOOKUP(C406,Planilha3!A:A,Planilha3!E:E)</f>
        <v>45443.620451388888</v>
      </c>
      <c r="G406" s="54">
        <f>_xlfn.XLOOKUP(C406,Planilha3!A:A,Planilha3!F:F)</f>
        <v>45455.620451388888</v>
      </c>
      <c r="H406" s="54">
        <f>_xlfn.XLOOKUP(C406,Planilha3!A:A,Planilha3!G:G)</f>
        <v>45922</v>
      </c>
      <c r="I406" s="23">
        <f>_xlfn.XLOOKUP(K406,Grupo!F:F,Grupo!G:G)</f>
        <v>39252.620000000003</v>
      </c>
      <c r="J406" s="6">
        <f>_xlfn.XLOOKUP(D406,Grupo!B:B,Grupo!C:C)</f>
        <v>6</v>
      </c>
      <c r="K406" s="24">
        <f>_xlfn.XLOOKUP(A406,[1]COORDENADAS_GEOGRÁFICAS!$D:$D,[1]COORDENADAS_GEOGRÁFICAS!$F:$F)</f>
        <v>45</v>
      </c>
      <c r="L406" s="53"/>
      <c r="M406" s="53"/>
      <c r="N406" s="52">
        <f>_xlfn.XLOOKUP(D406,Grupo!B:B,Grupo!D:D)</f>
        <v>-11.805141968649453</v>
      </c>
      <c r="O406" s="52">
        <f>_xlfn.XLOOKUP(D406,Grupo!B:B,Grupo!E:E)</f>
        <v>-49.52686036291248</v>
      </c>
      <c r="P406" s="52">
        <f>_xlfn.XLOOKUP(A406,[1]COORDENADAS_GEOGRÁFICAS!$D:$D,[1]COORDENADAS_GEOGRÁFICAS!$G:$G)</f>
        <v>-12.197412999999999</v>
      </c>
      <c r="Q406" s="52">
        <f>_xlfn.XLOOKUP(A406,[1]COORDENADAS_GEOGRÁFICAS!$D:$D,[1]COORDENADAS_GEOGRÁFICAS!$H:$H)</f>
        <v>-50.094515000000001</v>
      </c>
      <c r="R406" s="20">
        <f t="shared" si="6"/>
        <v>75.594131155444799</v>
      </c>
    </row>
    <row r="407" spans="1:18" x14ac:dyDescent="0.3">
      <c r="A407" s="24">
        <v>3467396</v>
      </c>
      <c r="B407" s="24" t="s">
        <v>765</v>
      </c>
      <c r="C407" s="24">
        <v>402400254</v>
      </c>
      <c r="D407" s="24" t="str">
        <f>_xlfn.XLOOKUP(C407,Planilha3!A:A,Planilha3!C:C)</f>
        <v>FORMOSO DO ARAGUAIA</v>
      </c>
      <c r="E407" s="24">
        <v>1</v>
      </c>
      <c r="F407" s="54">
        <f>_xlfn.XLOOKUP(C407,Planilha3!A:A,Planilha3!E:E)</f>
        <v>45442.609594907408</v>
      </c>
      <c r="G407" s="54">
        <f>_xlfn.XLOOKUP(C407,Planilha3!A:A,Planilha3!F:F)</f>
        <v>45455.609594907408</v>
      </c>
      <c r="H407" s="54">
        <f>_xlfn.XLOOKUP(C407,Planilha3!A:A,Planilha3!G:G)</f>
        <v>45922</v>
      </c>
      <c r="I407" s="23">
        <f>_xlfn.XLOOKUP(K407,Grupo!F:F,Grupo!G:G)</f>
        <v>39252.620000000003</v>
      </c>
      <c r="J407" s="6">
        <f>_xlfn.XLOOKUP(D407,Grupo!B:B,Grupo!C:C)</f>
        <v>6</v>
      </c>
      <c r="K407" s="24">
        <f>_xlfn.XLOOKUP(A407,[1]COORDENADAS_GEOGRÁFICAS!$D:$D,[1]COORDENADAS_GEOGRÁFICAS!$F:$F)</f>
        <v>45</v>
      </c>
      <c r="L407" s="53"/>
      <c r="M407" s="53"/>
      <c r="N407" s="52">
        <f>_xlfn.XLOOKUP(D407,Grupo!B:B,Grupo!D:D)</f>
        <v>-11.805141968649453</v>
      </c>
      <c r="O407" s="52">
        <f>_xlfn.XLOOKUP(D407,Grupo!B:B,Grupo!E:E)</f>
        <v>-49.52686036291248</v>
      </c>
      <c r="P407" s="52">
        <f>_xlfn.XLOOKUP(A407,[1]COORDENADAS_GEOGRÁFICAS!$D:$D,[1]COORDENADAS_GEOGRÁFICAS!$G:$G)</f>
        <v>-12.1976</v>
      </c>
      <c r="Q407" s="52">
        <f>_xlfn.XLOOKUP(A407,[1]COORDENADAS_GEOGRÁFICAS!$D:$D,[1]COORDENADAS_GEOGRÁFICAS!$H:$H)</f>
        <v>-50.094501999999999</v>
      </c>
      <c r="R407" s="20">
        <f t="shared" si="6"/>
        <v>75.604958863654119</v>
      </c>
    </row>
    <row r="408" spans="1:18" x14ac:dyDescent="0.3">
      <c r="A408" s="24">
        <v>3467608</v>
      </c>
      <c r="B408" s="24" t="s">
        <v>765</v>
      </c>
      <c r="C408" s="24">
        <v>402400260</v>
      </c>
      <c r="D408" s="24" t="str">
        <f>_xlfn.XLOOKUP(C408,Planilha3!A:A,Planilha3!C:C)</f>
        <v>PARANÃ</v>
      </c>
      <c r="E408" s="24">
        <v>1</v>
      </c>
      <c r="F408" s="54">
        <f>_xlfn.XLOOKUP(C408,Planilha3!A:A,Planilha3!E:E)</f>
        <v>45468.640648148146</v>
      </c>
      <c r="G408" s="54">
        <f>_xlfn.XLOOKUP(C408,Planilha3!A:A,Planilha3!F:F)</f>
        <v>45483.640648148146</v>
      </c>
      <c r="H408" s="54">
        <f>_xlfn.XLOOKUP(C408,Planilha3!A:A,Planilha3!G:G)</f>
        <v>45922</v>
      </c>
      <c r="I408" s="23">
        <f>_xlfn.XLOOKUP(K408,Grupo!F:F,Grupo!G:G)</f>
        <v>39252.620000000003</v>
      </c>
      <c r="J408" s="6">
        <f>_xlfn.XLOOKUP(D408,Grupo!B:B,Grupo!C:C)</f>
        <v>10</v>
      </c>
      <c r="K408" s="24">
        <f>_xlfn.XLOOKUP(A408,[1]COORDENADAS_GEOGRÁFICAS!$D:$D,[1]COORDENADAS_GEOGRÁFICAS!$F:$F)</f>
        <v>45</v>
      </c>
      <c r="L408" s="53"/>
      <c r="M408" s="53"/>
      <c r="N408" s="52">
        <f>_xlfn.XLOOKUP(D408,Grupo!B:B,Grupo!D:D)</f>
        <v>-12.620481488718251</v>
      </c>
      <c r="O408" s="52">
        <f>_xlfn.XLOOKUP(D408,Grupo!B:B,Grupo!E:E)</f>
        <v>-47.884083728442604</v>
      </c>
      <c r="P408" s="52">
        <f>_xlfn.XLOOKUP(A408,[1]COORDENADAS_GEOGRÁFICAS!$D:$D,[1]COORDENADAS_GEOGRÁFICAS!$G:$G)</f>
        <v>-12.423501999999999</v>
      </c>
      <c r="Q408" s="52">
        <f>_xlfn.XLOOKUP(A408,[1]COORDENADAS_GEOGRÁFICAS!$D:$D,[1]COORDENADAS_GEOGRÁFICAS!$H:$H)</f>
        <v>-47.857796999999998</v>
      </c>
      <c r="R408" s="20">
        <f t="shared" si="6"/>
        <v>22.088201962844551</v>
      </c>
    </row>
    <row r="409" spans="1:18" x14ac:dyDescent="0.3">
      <c r="A409" s="24">
        <v>3436355</v>
      </c>
      <c r="B409" s="24" t="s">
        <v>765</v>
      </c>
      <c r="C409" s="24">
        <v>402301008</v>
      </c>
      <c r="D409" s="24" t="str">
        <f>_xlfn.XLOOKUP(C409,Planilha3!A:A,Planilha3!C:C)</f>
        <v>PARANÃ</v>
      </c>
      <c r="E409" s="24">
        <v>1</v>
      </c>
      <c r="F409" s="54">
        <f>_xlfn.XLOOKUP(C409,Planilha3!A:A,Planilha3!E:E)</f>
        <v>45303</v>
      </c>
      <c r="G409" s="54">
        <f>_xlfn.XLOOKUP(C409,Planilha3!A:A,Planilha3!F:F)</f>
        <v>45314</v>
      </c>
      <c r="H409" s="54">
        <f>_xlfn.XLOOKUP(C409,Planilha3!A:A,Planilha3!G:G)</f>
        <v>45922</v>
      </c>
      <c r="I409" s="23">
        <f>_xlfn.XLOOKUP(K409,Grupo!F:F,Grupo!G:G)</f>
        <v>46440.22</v>
      </c>
      <c r="J409" s="6">
        <f>_xlfn.XLOOKUP(D409,Grupo!B:B,Grupo!C:C)</f>
        <v>10</v>
      </c>
      <c r="K409" s="24">
        <f>_xlfn.XLOOKUP(A409,[1]COORDENADAS_GEOGRÁFICAS!$D:$D,[1]COORDENADAS_GEOGRÁFICAS!$F:$F)</f>
        <v>80</v>
      </c>
      <c r="L409" s="53"/>
      <c r="M409" s="53"/>
      <c r="N409" s="52">
        <f>_xlfn.XLOOKUP(D409,Grupo!B:B,Grupo!D:D)</f>
        <v>-12.620481488718251</v>
      </c>
      <c r="O409" s="52">
        <f>_xlfn.XLOOKUP(D409,Grupo!B:B,Grupo!E:E)</f>
        <v>-47.884083728442604</v>
      </c>
      <c r="P409" s="52">
        <f>_xlfn.XLOOKUP(A409,[1]COORDENADAS_GEOGRÁFICAS!$D:$D,[1]COORDENADAS_GEOGRÁFICAS!$G:$G)</f>
        <v>-12.333500000000001</v>
      </c>
      <c r="Q409" s="52">
        <f>_xlfn.XLOOKUP(A409,[1]COORDENADAS_GEOGRÁFICAS!$D:$D,[1]COORDENADAS_GEOGRÁFICAS!$H:$H)</f>
        <v>-47.8508</v>
      </c>
      <c r="R409" s="20">
        <f t="shared" si="6"/>
        <v>32.114833216623083</v>
      </c>
    </row>
    <row r="410" spans="1:18" x14ac:dyDescent="0.3">
      <c r="A410" s="24">
        <v>3436288</v>
      </c>
      <c r="B410" s="24" t="s">
        <v>765</v>
      </c>
      <c r="C410" s="24">
        <v>402301025</v>
      </c>
      <c r="D410" s="24" t="str">
        <f>_xlfn.XLOOKUP(C410,Planilha3!A:A,Planilha3!C:C)</f>
        <v>PARANÃ</v>
      </c>
      <c r="E410" s="24">
        <v>1</v>
      </c>
      <c r="F410" s="54">
        <f>_xlfn.XLOOKUP(C410,Planilha3!A:A,Planilha3!E:E)</f>
        <v>45302</v>
      </c>
      <c r="G410" s="54">
        <f>_xlfn.XLOOKUP(C410,Planilha3!A:A,Planilha3!F:F)</f>
        <v>45314</v>
      </c>
      <c r="H410" s="54">
        <f>_xlfn.XLOOKUP(C410,Planilha3!A:A,Planilha3!G:G)</f>
        <v>45922</v>
      </c>
      <c r="I410" s="23">
        <f>_xlfn.XLOOKUP(K410,Grupo!F:F,Grupo!G:G)</f>
        <v>46440.22</v>
      </c>
      <c r="J410" s="6">
        <f>_xlfn.XLOOKUP(D410,Grupo!B:B,Grupo!C:C)</f>
        <v>10</v>
      </c>
      <c r="K410" s="24">
        <f>_xlfn.XLOOKUP(A410,[1]COORDENADAS_GEOGRÁFICAS!$D:$D,[1]COORDENADAS_GEOGRÁFICAS!$F:$F)</f>
        <v>80</v>
      </c>
      <c r="L410" s="53"/>
      <c r="M410" s="53"/>
      <c r="N410" s="52">
        <f>_xlfn.XLOOKUP(D410,Grupo!B:B,Grupo!D:D)</f>
        <v>-12.620481488718251</v>
      </c>
      <c r="O410" s="52">
        <f>_xlfn.XLOOKUP(D410,Grupo!B:B,Grupo!E:E)</f>
        <v>-47.884083728442604</v>
      </c>
      <c r="P410" s="52">
        <f>_xlfn.XLOOKUP(A410,[1]COORDENADAS_GEOGRÁFICAS!$D:$D,[1]COORDENADAS_GEOGRÁFICAS!$G:$G)</f>
        <v>-12.325799999999999</v>
      </c>
      <c r="Q410" s="52">
        <f>_xlfn.XLOOKUP(A410,[1]COORDENADAS_GEOGRÁFICAS!$D:$D,[1]COORDENADAS_GEOGRÁFICAS!$H:$H)</f>
        <v>-47.848199999999999</v>
      </c>
      <c r="R410" s="20">
        <f t="shared" si="6"/>
        <v>32.99787948595862</v>
      </c>
    </row>
    <row r="411" spans="1:18" x14ac:dyDescent="0.3">
      <c r="A411" s="24">
        <v>3464077</v>
      </c>
      <c r="B411" s="24" t="s">
        <v>765</v>
      </c>
      <c r="C411" s="24">
        <v>402301042</v>
      </c>
      <c r="D411" s="24" t="str">
        <f>_xlfn.XLOOKUP(C411,Planilha3!A:A,Planilha3!C:C)</f>
        <v>PARANÃ</v>
      </c>
      <c r="E411" s="24">
        <v>1</v>
      </c>
      <c r="F411" s="54">
        <f>_xlfn.XLOOKUP(C411,Planilha3!A:A,Planilha3!E:E)</f>
        <v>45428</v>
      </c>
      <c r="G411" s="54">
        <f>_xlfn.XLOOKUP(C411,Planilha3!A:A,Planilha3!F:F)</f>
        <v>45441</v>
      </c>
      <c r="H411" s="54">
        <f>_xlfn.XLOOKUP(C411,Planilha3!A:A,Planilha3!G:G)</f>
        <v>45922</v>
      </c>
      <c r="I411" s="23">
        <f>_xlfn.XLOOKUP(K411,Grupo!F:F,Grupo!G:G)</f>
        <v>46440.22</v>
      </c>
      <c r="J411" s="6">
        <f>_xlfn.XLOOKUP(D411,Grupo!B:B,Grupo!C:C)</f>
        <v>10</v>
      </c>
      <c r="K411" s="24">
        <f>_xlfn.XLOOKUP(A411,[1]COORDENADAS_GEOGRÁFICAS!$D:$D,[1]COORDENADAS_GEOGRÁFICAS!$F:$F)</f>
        <v>80</v>
      </c>
      <c r="L411" s="53"/>
      <c r="M411" s="53"/>
      <c r="N411" s="52">
        <f>_xlfn.XLOOKUP(D411,Grupo!B:B,Grupo!D:D)</f>
        <v>-12.620481488718251</v>
      </c>
      <c r="O411" s="52">
        <f>_xlfn.XLOOKUP(D411,Grupo!B:B,Grupo!E:E)</f>
        <v>-47.884083728442604</v>
      </c>
      <c r="P411" s="52">
        <f>_xlfn.XLOOKUP(A411,[1]COORDENADAS_GEOGRÁFICAS!$D:$D,[1]COORDENADAS_GEOGRÁFICAS!$G:$G)</f>
        <v>-12.955157</v>
      </c>
      <c r="Q411" s="52">
        <f>_xlfn.XLOOKUP(A411,[1]COORDENADAS_GEOGRÁFICAS!$D:$D,[1]COORDENADAS_GEOGRÁFICAS!$H:$H)</f>
        <v>-47.630921999999998</v>
      </c>
      <c r="R411" s="20">
        <f t="shared" si="6"/>
        <v>46.244046221112555</v>
      </c>
    </row>
    <row r="412" spans="1:18" x14ac:dyDescent="0.3">
      <c r="A412" s="24">
        <v>3436172</v>
      </c>
      <c r="B412" s="24" t="s">
        <v>765</v>
      </c>
      <c r="C412" s="24">
        <v>402301027</v>
      </c>
      <c r="D412" s="24" t="str">
        <f>_xlfn.XLOOKUP(C412,Planilha3!A:A,Planilha3!C:C)</f>
        <v>PARANÃ</v>
      </c>
      <c r="E412" s="24">
        <v>1</v>
      </c>
      <c r="F412" s="54">
        <f>_xlfn.XLOOKUP(C412,Planilha3!A:A,Planilha3!E:E)</f>
        <v>45299</v>
      </c>
      <c r="G412" s="54">
        <f>_xlfn.XLOOKUP(C412,Planilha3!A:A,Planilha3!F:F)</f>
        <v>45314</v>
      </c>
      <c r="H412" s="54">
        <f>_xlfn.XLOOKUP(C412,Planilha3!A:A,Planilha3!G:G)</f>
        <v>45922</v>
      </c>
      <c r="I412" s="23">
        <f>_xlfn.XLOOKUP(K412,Grupo!F:F,Grupo!G:G)</f>
        <v>46440.22</v>
      </c>
      <c r="J412" s="6">
        <f>_xlfn.XLOOKUP(D412,Grupo!B:B,Grupo!C:C)</f>
        <v>10</v>
      </c>
      <c r="K412" s="24">
        <f>_xlfn.XLOOKUP(A412,[1]COORDENADAS_GEOGRÁFICAS!$D:$D,[1]COORDENADAS_GEOGRÁFICAS!$F:$F)</f>
        <v>80</v>
      </c>
      <c r="L412" s="53"/>
      <c r="M412" s="53"/>
      <c r="N412" s="52">
        <f>_xlfn.XLOOKUP(D412,Grupo!B:B,Grupo!D:D)</f>
        <v>-12.620481488718251</v>
      </c>
      <c r="O412" s="52">
        <f>_xlfn.XLOOKUP(D412,Grupo!B:B,Grupo!E:E)</f>
        <v>-47.884083728442604</v>
      </c>
      <c r="P412" s="52">
        <f>_xlfn.XLOOKUP(A412,[1]COORDENADAS_GEOGRÁFICAS!$D:$D,[1]COORDENADAS_GEOGRÁFICAS!$G:$G)</f>
        <v>-12.926428</v>
      </c>
      <c r="Q412" s="52">
        <f>_xlfn.XLOOKUP(A412,[1]COORDENADAS_GEOGRÁFICAS!$D:$D,[1]COORDENADAS_GEOGRÁFICAS!$H:$H)</f>
        <v>-47.596561999999999</v>
      </c>
      <c r="R412" s="20">
        <f t="shared" si="6"/>
        <v>46.146648887666281</v>
      </c>
    </row>
    <row r="413" spans="1:18" x14ac:dyDescent="0.3">
      <c r="A413" s="24">
        <v>3438200</v>
      </c>
      <c r="B413" s="24" t="s">
        <v>765</v>
      </c>
      <c r="C413" s="24">
        <v>402301026</v>
      </c>
      <c r="D413" s="24" t="str">
        <f>_xlfn.XLOOKUP(C413,Planilha3!A:A,Planilha3!C:C)</f>
        <v>PARANÃ</v>
      </c>
      <c r="E413" s="24">
        <v>1</v>
      </c>
      <c r="F413" s="54">
        <f>_xlfn.XLOOKUP(C413,Planilha3!A:A,Planilha3!E:E)</f>
        <v>45298</v>
      </c>
      <c r="G413" s="54">
        <f>_xlfn.XLOOKUP(C413,Planilha3!A:A,Planilha3!F:F)</f>
        <v>45314</v>
      </c>
      <c r="H413" s="54">
        <f>_xlfn.XLOOKUP(C413,Planilha3!A:A,Planilha3!G:G)</f>
        <v>45922</v>
      </c>
      <c r="I413" s="23">
        <f>_xlfn.XLOOKUP(K413,Grupo!F:F,Grupo!G:G)</f>
        <v>46440.22</v>
      </c>
      <c r="J413" s="6">
        <f>_xlfn.XLOOKUP(D413,Grupo!B:B,Grupo!C:C)</f>
        <v>10</v>
      </c>
      <c r="K413" s="24">
        <f>_xlfn.XLOOKUP(A413,[1]COORDENADAS_GEOGRÁFICAS!$D:$D,[1]COORDENADAS_GEOGRÁFICAS!$F:$F)</f>
        <v>80</v>
      </c>
      <c r="L413" s="53"/>
      <c r="M413" s="53"/>
      <c r="N413" s="52">
        <f>_xlfn.XLOOKUP(D413,Grupo!B:B,Grupo!D:D)</f>
        <v>-12.620481488718251</v>
      </c>
      <c r="O413" s="52">
        <f>_xlfn.XLOOKUP(D413,Grupo!B:B,Grupo!E:E)</f>
        <v>-47.884083728442604</v>
      </c>
      <c r="P413" s="52">
        <f>_xlfn.XLOOKUP(A413,[1]COORDENADAS_GEOGRÁFICAS!$D:$D,[1]COORDENADAS_GEOGRÁFICAS!$G:$G)</f>
        <v>-12.922685</v>
      </c>
      <c r="Q413" s="52">
        <f>_xlfn.XLOOKUP(A413,[1]COORDENADAS_GEOGRÁFICAS!$D:$D,[1]COORDENADAS_GEOGRÁFICAS!$H:$H)</f>
        <v>-47.596122000000001</v>
      </c>
      <c r="R413" s="20">
        <f t="shared" si="6"/>
        <v>45.873309295801882</v>
      </c>
    </row>
    <row r="414" spans="1:18" x14ac:dyDescent="0.3">
      <c r="A414" s="24">
        <v>3436141</v>
      </c>
      <c r="B414" s="24" t="s">
        <v>765</v>
      </c>
      <c r="C414" s="24">
        <v>402301028</v>
      </c>
      <c r="D414" s="24" t="str">
        <f>_xlfn.XLOOKUP(C414,Planilha3!A:A,Planilha3!C:C)</f>
        <v>PARANÃ</v>
      </c>
      <c r="E414" s="24">
        <v>1</v>
      </c>
      <c r="F414" s="54">
        <f>_xlfn.XLOOKUP(C414,Planilha3!A:A,Planilha3!E:E)</f>
        <v>45303</v>
      </c>
      <c r="G414" s="54">
        <f>_xlfn.XLOOKUP(C414,Planilha3!A:A,Planilha3!F:F)</f>
        <v>45314</v>
      </c>
      <c r="H414" s="54">
        <f>_xlfn.XLOOKUP(C414,Planilha3!A:A,Planilha3!G:G)</f>
        <v>45922</v>
      </c>
      <c r="I414" s="23">
        <f>_xlfn.XLOOKUP(K414,Grupo!F:F,Grupo!G:G)</f>
        <v>46440.22</v>
      </c>
      <c r="J414" s="6">
        <f>_xlfn.XLOOKUP(D414,Grupo!B:B,Grupo!C:C)</f>
        <v>10</v>
      </c>
      <c r="K414" s="24">
        <f>_xlfn.XLOOKUP(A414,[1]COORDENADAS_GEOGRÁFICAS!$D:$D,[1]COORDENADAS_GEOGRÁFICAS!$F:$F)</f>
        <v>80</v>
      </c>
      <c r="L414" s="53"/>
      <c r="M414" s="53"/>
      <c r="N414" s="52">
        <f>_xlfn.XLOOKUP(D414,Grupo!B:B,Grupo!D:D)</f>
        <v>-12.620481488718251</v>
      </c>
      <c r="O414" s="52">
        <f>_xlfn.XLOOKUP(D414,Grupo!B:B,Grupo!E:E)</f>
        <v>-47.884083728442604</v>
      </c>
      <c r="P414" s="52">
        <f>_xlfn.XLOOKUP(A414,[1]COORDENADAS_GEOGRÁFICAS!$D:$D,[1]COORDENADAS_GEOGRÁFICAS!$G:$G)</f>
        <v>-12.805738</v>
      </c>
      <c r="Q414" s="52">
        <f>_xlfn.XLOOKUP(A414,[1]COORDENADAS_GEOGRÁFICAS!$D:$D,[1]COORDENADAS_GEOGRÁFICAS!$H:$H)</f>
        <v>-47.566172000000002</v>
      </c>
      <c r="R414" s="20">
        <f t="shared" si="6"/>
        <v>40.167843534225412</v>
      </c>
    </row>
    <row r="415" spans="1:18" x14ac:dyDescent="0.3">
      <c r="A415" s="24">
        <v>3434736</v>
      </c>
      <c r="B415" s="24" t="s">
        <v>765</v>
      </c>
      <c r="C415" s="24">
        <v>402301030</v>
      </c>
      <c r="D415" s="24" t="str">
        <f>_xlfn.XLOOKUP(C415,Planilha3!A:A,Planilha3!C:C)</f>
        <v>PARANÃ</v>
      </c>
      <c r="E415" s="24">
        <v>1</v>
      </c>
      <c r="F415" s="54">
        <f>_xlfn.XLOOKUP(C415,Planilha3!A:A,Planilha3!E:E)</f>
        <v>45302</v>
      </c>
      <c r="G415" s="54">
        <f>_xlfn.XLOOKUP(C415,Planilha3!A:A,Planilha3!F:F)</f>
        <v>45314</v>
      </c>
      <c r="H415" s="54">
        <f>_xlfn.XLOOKUP(C415,Planilha3!A:A,Planilha3!G:G)</f>
        <v>45922</v>
      </c>
      <c r="I415" s="23">
        <f>_xlfn.XLOOKUP(K415,Grupo!F:F,Grupo!G:G)</f>
        <v>46440.22</v>
      </c>
      <c r="J415" s="6">
        <f>_xlfn.XLOOKUP(D415,Grupo!B:B,Grupo!C:C)</f>
        <v>10</v>
      </c>
      <c r="K415" s="24">
        <f>_xlfn.XLOOKUP(A415,[1]COORDENADAS_GEOGRÁFICAS!$D:$D,[1]COORDENADAS_GEOGRÁFICAS!$F:$F)</f>
        <v>80</v>
      </c>
      <c r="L415" s="53"/>
      <c r="M415" s="53"/>
      <c r="N415" s="52">
        <f>_xlfn.XLOOKUP(D415,Grupo!B:B,Grupo!D:D)</f>
        <v>-12.620481488718251</v>
      </c>
      <c r="O415" s="52">
        <f>_xlfn.XLOOKUP(D415,Grupo!B:B,Grupo!E:E)</f>
        <v>-47.884083728442604</v>
      </c>
      <c r="P415" s="52">
        <f>_xlfn.XLOOKUP(A415,[1]COORDENADAS_GEOGRÁFICAS!$D:$D,[1]COORDENADAS_GEOGRÁFICAS!$G:$G)</f>
        <v>-12.81193</v>
      </c>
      <c r="Q415" s="52">
        <f>_xlfn.XLOOKUP(A415,[1]COORDENADAS_GEOGRÁFICAS!$D:$D,[1]COORDENADAS_GEOGRÁFICAS!$H:$H)</f>
        <v>-47.566298000000003</v>
      </c>
      <c r="R415" s="20">
        <f t="shared" si="6"/>
        <v>40.513265464753722</v>
      </c>
    </row>
    <row r="416" spans="1:18" x14ac:dyDescent="0.3">
      <c r="A416" s="24">
        <v>3463056</v>
      </c>
      <c r="B416" s="24" t="s">
        <v>765</v>
      </c>
      <c r="C416" s="24">
        <v>402301041</v>
      </c>
      <c r="D416" s="24" t="str">
        <f>_xlfn.XLOOKUP(C416,Planilha3!A:A,Planilha3!C:C)</f>
        <v>PARANÃ</v>
      </c>
      <c r="E416" s="24">
        <v>1</v>
      </c>
      <c r="F416" s="54">
        <f>_xlfn.XLOOKUP(C416,Planilha3!A:A,Planilha3!E:E)</f>
        <v>45428</v>
      </c>
      <c r="G416" s="54">
        <f>_xlfn.XLOOKUP(C416,Planilha3!A:A,Planilha3!F:F)</f>
        <v>45441</v>
      </c>
      <c r="H416" s="54">
        <f>_xlfn.XLOOKUP(C416,Planilha3!A:A,Planilha3!G:G)</f>
        <v>45922</v>
      </c>
      <c r="I416" s="23">
        <f>_xlfn.XLOOKUP(K416,Grupo!F:F,Grupo!G:G)</f>
        <v>46440.22</v>
      </c>
      <c r="J416" s="6">
        <f>_xlfn.XLOOKUP(D416,Grupo!B:B,Grupo!C:C)</f>
        <v>10</v>
      </c>
      <c r="K416" s="24">
        <f>_xlfn.XLOOKUP(A416,[1]COORDENADAS_GEOGRÁFICAS!$D:$D,[1]COORDENADAS_GEOGRÁFICAS!$F:$F)</f>
        <v>80</v>
      </c>
      <c r="L416" s="53"/>
      <c r="M416" s="53"/>
      <c r="N416" s="52">
        <f>_xlfn.XLOOKUP(D416,Grupo!B:B,Grupo!D:D)</f>
        <v>-12.620481488718251</v>
      </c>
      <c r="O416" s="52">
        <f>_xlfn.XLOOKUP(D416,Grupo!B:B,Grupo!E:E)</f>
        <v>-47.884083728442604</v>
      </c>
      <c r="P416" s="52">
        <f>_xlfn.XLOOKUP(A416,[1]COORDENADAS_GEOGRÁFICAS!$D:$D,[1]COORDENADAS_GEOGRÁFICAS!$G:$G)</f>
        <v>-12.810357</v>
      </c>
      <c r="Q416" s="52">
        <f>_xlfn.XLOOKUP(A416,[1]COORDENADAS_GEOGRÁFICAS!$D:$D,[1]COORDENADAS_GEOGRÁFICAS!$H:$H)</f>
        <v>-47.520453000000003</v>
      </c>
      <c r="R416" s="20">
        <f t="shared" si="6"/>
        <v>44.73764977633607</v>
      </c>
    </row>
    <row r="417" spans="1:18" x14ac:dyDescent="0.3">
      <c r="A417" s="24">
        <v>3435863</v>
      </c>
      <c r="B417" s="24" t="s">
        <v>765</v>
      </c>
      <c r="C417" s="24">
        <v>402301031</v>
      </c>
      <c r="D417" s="24" t="str">
        <f>_xlfn.XLOOKUP(C417,Planilha3!A:A,Planilha3!C:C)</f>
        <v>PARANÃ</v>
      </c>
      <c r="E417" s="24">
        <v>1</v>
      </c>
      <c r="F417" s="54">
        <f>_xlfn.XLOOKUP(C417,Planilha3!A:A,Planilha3!E:E)</f>
        <v>45301</v>
      </c>
      <c r="G417" s="54">
        <f>_xlfn.XLOOKUP(C417,Planilha3!A:A,Planilha3!F:F)</f>
        <v>45316</v>
      </c>
      <c r="H417" s="54">
        <f>_xlfn.XLOOKUP(C417,Planilha3!A:A,Planilha3!G:G)</f>
        <v>45922</v>
      </c>
      <c r="I417" s="23">
        <f>_xlfn.XLOOKUP(K417,Grupo!F:F,Grupo!G:G)</f>
        <v>46440.22</v>
      </c>
      <c r="J417" s="6">
        <f>_xlfn.XLOOKUP(D417,Grupo!B:B,Grupo!C:C)</f>
        <v>10</v>
      </c>
      <c r="K417" s="24">
        <f>_xlfn.XLOOKUP(A417,[1]COORDENADAS_GEOGRÁFICAS!$D:$D,[1]COORDENADAS_GEOGRÁFICAS!$F:$F)</f>
        <v>80</v>
      </c>
      <c r="L417" s="53"/>
      <c r="M417" s="53"/>
      <c r="N417" s="52">
        <f>_xlfn.XLOOKUP(D417,Grupo!B:B,Grupo!D:D)</f>
        <v>-12.620481488718251</v>
      </c>
      <c r="O417" s="52">
        <f>_xlfn.XLOOKUP(D417,Grupo!B:B,Grupo!E:E)</f>
        <v>-47.884083728442604</v>
      </c>
      <c r="P417" s="52">
        <f>_xlfn.XLOOKUP(A417,[1]COORDENADAS_GEOGRÁFICAS!$D:$D,[1]COORDENADAS_GEOGRÁFICAS!$G:$G)</f>
        <v>-12.747832000000001</v>
      </c>
      <c r="Q417" s="52">
        <f>_xlfn.XLOOKUP(A417,[1]COORDENADAS_GEOGRÁFICAS!$D:$D,[1]COORDENADAS_GEOGRÁFICAS!$H:$H)</f>
        <v>-47.690358000000003</v>
      </c>
      <c r="R417" s="20">
        <f t="shared" si="6"/>
        <v>25.341307688523472</v>
      </c>
    </row>
    <row r="418" spans="1:18" x14ac:dyDescent="0.3">
      <c r="A418" s="24">
        <v>3463054</v>
      </c>
      <c r="B418" s="24" t="s">
        <v>765</v>
      </c>
      <c r="C418" s="24">
        <v>402301105</v>
      </c>
      <c r="D418" s="24" t="str">
        <f>_xlfn.XLOOKUP(C418,Planilha3!A:A,Planilha3!C:C)</f>
        <v>PARANÃ</v>
      </c>
      <c r="E418" s="24">
        <v>1</v>
      </c>
      <c r="F418" s="54">
        <f>_xlfn.XLOOKUP(C418,Planilha3!A:A,Planilha3!E:E)</f>
        <v>45429</v>
      </c>
      <c r="G418" s="54">
        <f>_xlfn.XLOOKUP(C418,Planilha3!A:A,Planilha3!F:F)</f>
        <v>45440</v>
      </c>
      <c r="H418" s="54">
        <f>_xlfn.XLOOKUP(C418,Planilha3!A:A,Planilha3!G:G)</f>
        <v>45922</v>
      </c>
      <c r="I418" s="23">
        <f>_xlfn.XLOOKUP(K418,Grupo!F:F,Grupo!G:G)</f>
        <v>46440.22</v>
      </c>
      <c r="J418" s="6">
        <f>_xlfn.XLOOKUP(D418,Grupo!B:B,Grupo!C:C)</f>
        <v>10</v>
      </c>
      <c r="K418" s="24">
        <f>_xlfn.XLOOKUP(A418,[1]COORDENADAS_GEOGRÁFICAS!$D:$D,[1]COORDENADAS_GEOGRÁFICAS!$F:$F)</f>
        <v>80</v>
      </c>
      <c r="L418" s="53"/>
      <c r="M418" s="53"/>
      <c r="N418" s="52">
        <f>_xlfn.XLOOKUP(D418,Grupo!B:B,Grupo!D:D)</f>
        <v>-12.620481488718251</v>
      </c>
      <c r="O418" s="52">
        <f>_xlfn.XLOOKUP(D418,Grupo!B:B,Grupo!E:E)</f>
        <v>-47.884083728442604</v>
      </c>
      <c r="P418" s="52">
        <f>_xlfn.XLOOKUP(A418,[1]COORDENADAS_GEOGRÁFICAS!$D:$D,[1]COORDENADAS_GEOGRÁFICAS!$G:$G)</f>
        <v>-12.837142999999999</v>
      </c>
      <c r="Q418" s="52">
        <f>_xlfn.XLOOKUP(A418,[1]COORDENADAS_GEOGRÁFICAS!$D:$D,[1]COORDENADAS_GEOGRÁFICAS!$H:$H)</f>
        <v>-47.583865000000003</v>
      </c>
      <c r="R418" s="20">
        <f t="shared" si="6"/>
        <v>40.505741540345987</v>
      </c>
    </row>
    <row r="419" spans="1:18" x14ac:dyDescent="0.3">
      <c r="A419" s="24">
        <v>3434554</v>
      </c>
      <c r="B419" s="24" t="s">
        <v>765</v>
      </c>
      <c r="C419" s="24">
        <v>402301029</v>
      </c>
      <c r="D419" s="24" t="str">
        <f>_xlfn.XLOOKUP(C419,Planilha3!A:A,Planilha3!C:C)</f>
        <v>PARANÃ</v>
      </c>
      <c r="E419" s="24">
        <v>1</v>
      </c>
      <c r="F419" s="54">
        <f>_xlfn.XLOOKUP(C419,Planilha3!A:A,Planilha3!E:E)</f>
        <v>45302</v>
      </c>
      <c r="G419" s="54">
        <f>_xlfn.XLOOKUP(C419,Planilha3!A:A,Planilha3!F:F)</f>
        <v>45314</v>
      </c>
      <c r="H419" s="54">
        <f>_xlfn.XLOOKUP(C419,Planilha3!A:A,Planilha3!G:G)</f>
        <v>45922</v>
      </c>
      <c r="I419" s="23">
        <f>_xlfn.XLOOKUP(K419,Grupo!F:F,Grupo!G:G)</f>
        <v>46440.22</v>
      </c>
      <c r="J419" s="6">
        <f>_xlfn.XLOOKUP(D419,Grupo!B:B,Grupo!C:C)</f>
        <v>10</v>
      </c>
      <c r="K419" s="24">
        <f>_xlfn.XLOOKUP(A419,[1]COORDENADAS_GEOGRÁFICAS!$D:$D,[1]COORDENADAS_GEOGRÁFICAS!$F:$F)</f>
        <v>80</v>
      </c>
      <c r="L419" s="53"/>
      <c r="M419" s="53"/>
      <c r="N419" s="52">
        <f>_xlfn.XLOOKUP(D419,Grupo!B:B,Grupo!D:D)</f>
        <v>-12.620481488718251</v>
      </c>
      <c r="O419" s="52">
        <f>_xlfn.XLOOKUP(D419,Grupo!B:B,Grupo!E:E)</f>
        <v>-47.884083728442604</v>
      </c>
      <c r="P419" s="52">
        <f>_xlfn.XLOOKUP(A419,[1]COORDENADAS_GEOGRÁFICAS!$D:$D,[1]COORDENADAS_GEOGRÁFICAS!$G:$G)</f>
        <v>-12.406777999999999</v>
      </c>
      <c r="Q419" s="52">
        <f>_xlfn.XLOOKUP(A419,[1]COORDENADAS_GEOGRÁFICAS!$D:$D,[1]COORDENADAS_GEOGRÁFICAS!$H:$H)</f>
        <v>-47.867162</v>
      </c>
      <c r="R419" s="20">
        <f t="shared" si="6"/>
        <v>23.833636543083159</v>
      </c>
    </row>
    <row r="420" spans="1:18" x14ac:dyDescent="0.3">
      <c r="A420" s="24">
        <v>3435691</v>
      </c>
      <c r="B420" s="24" t="s">
        <v>765</v>
      </c>
      <c r="C420" s="24">
        <v>402301033</v>
      </c>
      <c r="D420" s="24" t="str">
        <f>_xlfn.XLOOKUP(C420,Planilha3!A:A,Planilha3!C:C)</f>
        <v>PARANÃ</v>
      </c>
      <c r="E420" s="24">
        <v>1</v>
      </c>
      <c r="F420" s="54">
        <f>_xlfn.XLOOKUP(C420,Planilha3!A:A,Planilha3!E:E)</f>
        <v>45303</v>
      </c>
      <c r="G420" s="54">
        <f>_xlfn.XLOOKUP(C420,Planilha3!A:A,Planilha3!F:F)</f>
        <v>45316</v>
      </c>
      <c r="H420" s="54">
        <f>_xlfn.XLOOKUP(C420,Planilha3!A:A,Planilha3!G:G)</f>
        <v>45922</v>
      </c>
      <c r="I420" s="23">
        <f>_xlfn.XLOOKUP(K420,Grupo!F:F,Grupo!G:G)</f>
        <v>46440.22</v>
      </c>
      <c r="J420" s="6">
        <f>_xlfn.XLOOKUP(D420,Grupo!B:B,Grupo!C:C)</f>
        <v>10</v>
      </c>
      <c r="K420" s="24">
        <f>_xlfn.XLOOKUP(A420,[1]COORDENADAS_GEOGRÁFICAS!$D:$D,[1]COORDENADAS_GEOGRÁFICAS!$F:$F)</f>
        <v>80</v>
      </c>
      <c r="L420" s="53"/>
      <c r="M420" s="53"/>
      <c r="N420" s="52">
        <f>_xlfn.XLOOKUP(D420,Grupo!B:B,Grupo!D:D)</f>
        <v>-12.620481488718251</v>
      </c>
      <c r="O420" s="52">
        <f>_xlfn.XLOOKUP(D420,Grupo!B:B,Grupo!E:E)</f>
        <v>-47.884083728442604</v>
      </c>
      <c r="P420" s="52">
        <f>_xlfn.XLOOKUP(A420,[1]COORDENADAS_GEOGRÁFICAS!$D:$D,[1]COORDENADAS_GEOGRÁFICAS!$G:$G)</f>
        <v>-12.661765000000001</v>
      </c>
      <c r="Q420" s="52">
        <f>_xlfn.XLOOKUP(A420,[1]COORDENADAS_GEOGRÁFICAS!$D:$D,[1]COORDENADAS_GEOGRÁFICAS!$H:$H)</f>
        <v>-47.402709999999999</v>
      </c>
      <c r="R420" s="20">
        <f t="shared" si="6"/>
        <v>52.430174388554626</v>
      </c>
    </row>
    <row r="421" spans="1:18" x14ac:dyDescent="0.3">
      <c r="A421" s="24">
        <v>3435664</v>
      </c>
      <c r="B421" s="24" t="s">
        <v>765</v>
      </c>
      <c r="C421" s="24">
        <v>402301032</v>
      </c>
      <c r="D421" s="24" t="str">
        <f>_xlfn.XLOOKUP(C421,Planilha3!A:A,Planilha3!C:C)</f>
        <v>PARANÃ</v>
      </c>
      <c r="E421" s="24">
        <v>1</v>
      </c>
      <c r="F421" s="54">
        <f>_xlfn.XLOOKUP(C421,Planilha3!A:A,Planilha3!E:E)</f>
        <v>45301</v>
      </c>
      <c r="G421" s="54">
        <f>_xlfn.XLOOKUP(C421,Planilha3!A:A,Planilha3!F:F)</f>
        <v>45316</v>
      </c>
      <c r="H421" s="54">
        <f>_xlfn.XLOOKUP(C421,Planilha3!A:A,Planilha3!G:G)</f>
        <v>45922</v>
      </c>
      <c r="I421" s="23">
        <f>_xlfn.XLOOKUP(K421,Grupo!F:F,Grupo!G:G)</f>
        <v>46440.22</v>
      </c>
      <c r="J421" s="6">
        <f>_xlfn.XLOOKUP(D421,Grupo!B:B,Grupo!C:C)</f>
        <v>10</v>
      </c>
      <c r="K421" s="24">
        <f>_xlfn.XLOOKUP(A421,[1]COORDENADAS_GEOGRÁFICAS!$D:$D,[1]COORDENADAS_GEOGRÁFICAS!$F:$F)</f>
        <v>80</v>
      </c>
      <c r="L421" s="53"/>
      <c r="M421" s="53"/>
      <c r="N421" s="52">
        <f>_xlfn.XLOOKUP(D421,Grupo!B:B,Grupo!D:D)</f>
        <v>-12.620481488718251</v>
      </c>
      <c r="O421" s="52">
        <f>_xlfn.XLOOKUP(D421,Grupo!B:B,Grupo!E:E)</f>
        <v>-47.884083728442604</v>
      </c>
      <c r="P421" s="52">
        <f>_xlfn.XLOOKUP(A421,[1]COORDENADAS_GEOGRÁFICAS!$D:$D,[1]COORDENADAS_GEOGRÁFICAS!$G:$G)</f>
        <v>-12.658329999999999</v>
      </c>
      <c r="Q421" s="52">
        <f>_xlfn.XLOOKUP(A421,[1]COORDENADAS_GEOGRÁFICAS!$D:$D,[1]COORDENADAS_GEOGRÁFICAS!$H:$H)</f>
        <v>-47.510680000000001</v>
      </c>
      <c r="R421" s="20">
        <f t="shared" si="6"/>
        <v>40.732408850393234</v>
      </c>
    </row>
    <row r="422" spans="1:18" x14ac:dyDescent="0.3">
      <c r="A422" s="24">
        <v>3442849</v>
      </c>
      <c r="B422" s="24" t="s">
        <v>765</v>
      </c>
      <c r="C422" s="24">
        <v>402301037</v>
      </c>
      <c r="D422" s="24" t="str">
        <f>_xlfn.XLOOKUP(C422,Planilha3!A:A,Planilha3!C:C)</f>
        <v>PARANÃ</v>
      </c>
      <c r="E422" s="24">
        <v>1</v>
      </c>
      <c r="F422" s="54">
        <f>_xlfn.XLOOKUP(C422,Planilha3!A:A,Planilha3!E:E)</f>
        <v>45383</v>
      </c>
      <c r="G422" s="54">
        <f>_xlfn.XLOOKUP(C422,Planilha3!A:A,Planilha3!F:F)</f>
        <v>45399</v>
      </c>
      <c r="H422" s="54">
        <f>_xlfn.XLOOKUP(C422,Planilha3!A:A,Planilha3!G:G)</f>
        <v>45922</v>
      </c>
      <c r="I422" s="23">
        <f>_xlfn.XLOOKUP(K422,Grupo!F:F,Grupo!G:G)</f>
        <v>46440.22</v>
      </c>
      <c r="J422" s="6">
        <f>_xlfn.XLOOKUP(D422,Grupo!B:B,Grupo!C:C)</f>
        <v>10</v>
      </c>
      <c r="K422" s="24">
        <f>_xlfn.XLOOKUP(A422,[1]COORDENADAS_GEOGRÁFICAS!$D:$D,[1]COORDENADAS_GEOGRÁFICAS!$F:$F)</f>
        <v>80</v>
      </c>
      <c r="L422" s="53"/>
      <c r="M422" s="53"/>
      <c r="N422" s="52">
        <f>_xlfn.XLOOKUP(D422,Grupo!B:B,Grupo!D:D)</f>
        <v>-12.620481488718251</v>
      </c>
      <c r="O422" s="52">
        <f>_xlfn.XLOOKUP(D422,Grupo!B:B,Grupo!E:E)</f>
        <v>-47.884083728442604</v>
      </c>
      <c r="P422" s="52">
        <f>_xlfn.XLOOKUP(A422,[1]COORDENADAS_GEOGRÁFICAS!$D:$D,[1]COORDENADAS_GEOGRÁFICAS!$G:$G)</f>
        <v>-12.363905000000001</v>
      </c>
      <c r="Q422" s="52">
        <f>_xlfn.XLOOKUP(A422,[1]COORDENADAS_GEOGRÁFICAS!$D:$D,[1]COORDENADAS_GEOGRÁFICAS!$H:$H)</f>
        <v>-47.882938000000003</v>
      </c>
      <c r="R422" s="20">
        <f t="shared" si="6"/>
        <v>28.53027497815981</v>
      </c>
    </row>
    <row r="423" spans="1:18" x14ac:dyDescent="0.3">
      <c r="A423" s="24">
        <v>3459501</v>
      </c>
      <c r="B423" s="24" t="s">
        <v>765</v>
      </c>
      <c r="C423" s="24">
        <v>402301038</v>
      </c>
      <c r="D423" s="24" t="str">
        <f>_xlfn.XLOOKUP(C423,Planilha3!A:A,Planilha3!C:C)</f>
        <v>PARANÃ</v>
      </c>
      <c r="E423" s="24">
        <v>1</v>
      </c>
      <c r="F423" s="54">
        <f>_xlfn.XLOOKUP(C423,Planilha3!A:A,Planilha3!E:E)</f>
        <v>45429</v>
      </c>
      <c r="G423" s="54">
        <f>_xlfn.XLOOKUP(C423,Planilha3!A:A,Planilha3!F:F)</f>
        <v>45440</v>
      </c>
      <c r="H423" s="54">
        <f>_xlfn.XLOOKUP(C423,Planilha3!A:A,Planilha3!G:G)</f>
        <v>45922</v>
      </c>
      <c r="I423" s="23">
        <f>_xlfn.XLOOKUP(K423,Grupo!F:F,Grupo!G:G)</f>
        <v>46440.22</v>
      </c>
      <c r="J423" s="6">
        <f>_xlfn.XLOOKUP(D423,Grupo!B:B,Grupo!C:C)</f>
        <v>10</v>
      </c>
      <c r="K423" s="24">
        <f>_xlfn.XLOOKUP(A423,[1]COORDENADAS_GEOGRÁFICAS!$D:$D,[1]COORDENADAS_GEOGRÁFICAS!$F:$F)</f>
        <v>80</v>
      </c>
      <c r="L423" s="53"/>
      <c r="M423" s="53"/>
      <c r="N423" s="52">
        <f>_xlfn.XLOOKUP(D423,Grupo!B:B,Grupo!D:D)</f>
        <v>-12.620481488718251</v>
      </c>
      <c r="O423" s="52">
        <f>_xlfn.XLOOKUP(D423,Grupo!B:B,Grupo!E:E)</f>
        <v>-47.884083728442604</v>
      </c>
      <c r="P423" s="52">
        <f>_xlfn.XLOOKUP(A423,[1]COORDENADAS_GEOGRÁFICAS!$D:$D,[1]COORDENADAS_GEOGRÁFICAS!$G:$G)</f>
        <v>-13.089831999999999</v>
      </c>
      <c r="Q423" s="52">
        <f>_xlfn.XLOOKUP(A423,[1]COORDENADAS_GEOGRÁFICAS!$D:$D,[1]COORDENADAS_GEOGRÁFICAS!$H:$H)</f>
        <v>-47.673453000000002</v>
      </c>
      <c r="R423" s="20">
        <f t="shared" si="6"/>
        <v>56.965978682908492</v>
      </c>
    </row>
    <row r="424" spans="1:18" x14ac:dyDescent="0.3">
      <c r="A424" s="24">
        <v>3464078</v>
      </c>
      <c r="B424" s="24" t="s">
        <v>765</v>
      </c>
      <c r="C424" s="24">
        <v>402301044</v>
      </c>
      <c r="D424" s="24" t="str">
        <f>_xlfn.XLOOKUP(C424,Planilha3!A:A,Planilha3!C:C)</f>
        <v>PARANÃ</v>
      </c>
      <c r="E424" s="24">
        <v>1</v>
      </c>
      <c r="F424" s="54">
        <f>_xlfn.XLOOKUP(C424,Planilha3!A:A,Planilha3!E:E)</f>
        <v>45429</v>
      </c>
      <c r="G424" s="54">
        <f>_xlfn.XLOOKUP(C424,Planilha3!A:A,Planilha3!F:F)</f>
        <v>45441</v>
      </c>
      <c r="H424" s="54">
        <f>_xlfn.XLOOKUP(C424,Planilha3!A:A,Planilha3!G:G)</f>
        <v>45922</v>
      </c>
      <c r="I424" s="23">
        <f>_xlfn.XLOOKUP(K424,Grupo!F:F,Grupo!G:G)</f>
        <v>46440.22</v>
      </c>
      <c r="J424" s="6">
        <f>_xlfn.XLOOKUP(D424,Grupo!B:B,Grupo!C:C)</f>
        <v>10</v>
      </c>
      <c r="K424" s="24">
        <f>_xlfn.XLOOKUP(A424,[1]COORDENADAS_GEOGRÁFICAS!$D:$D,[1]COORDENADAS_GEOGRÁFICAS!$F:$F)</f>
        <v>80</v>
      </c>
      <c r="L424" s="53"/>
      <c r="M424" s="53"/>
      <c r="N424" s="52">
        <f>_xlfn.XLOOKUP(D424,Grupo!B:B,Grupo!D:D)</f>
        <v>-12.620481488718251</v>
      </c>
      <c r="O424" s="52">
        <f>_xlfn.XLOOKUP(D424,Grupo!B:B,Grupo!E:E)</f>
        <v>-47.884083728442604</v>
      </c>
      <c r="P424" s="52">
        <f>_xlfn.XLOOKUP(A424,[1]COORDENADAS_GEOGRÁFICAS!$D:$D,[1]COORDENADAS_GEOGRÁFICAS!$G:$G)</f>
        <v>-12.851457999999999</v>
      </c>
      <c r="Q424" s="52">
        <f>_xlfn.XLOOKUP(A424,[1]COORDENADAS_GEOGRÁFICAS!$D:$D,[1]COORDENADAS_GEOGRÁFICAS!$H:$H)</f>
        <v>-47.374831999999998</v>
      </c>
      <c r="R424" s="20">
        <f t="shared" si="6"/>
        <v>60.912363335183507</v>
      </c>
    </row>
    <row r="425" spans="1:18" x14ac:dyDescent="0.3">
      <c r="A425" s="24">
        <v>3466401</v>
      </c>
      <c r="B425" s="24" t="s">
        <v>765</v>
      </c>
      <c r="C425" s="24">
        <v>502300585</v>
      </c>
      <c r="D425" s="24" t="str">
        <f>_xlfn.XLOOKUP(C425,Planilha3!A:A,Planilha3!C:C)</f>
        <v>ARRAIAS</v>
      </c>
      <c r="E425" s="24">
        <v>1</v>
      </c>
      <c r="F425" s="54">
        <f>_xlfn.XLOOKUP(C425,Planilha3!A:A,Planilha3!E:E)</f>
        <v>45434</v>
      </c>
      <c r="G425" s="54">
        <f>_xlfn.XLOOKUP(C425,Planilha3!A:A,Planilha3!F:F)</f>
        <v>45447</v>
      </c>
      <c r="H425" s="54">
        <f>_xlfn.XLOOKUP(C425,Planilha3!A:A,Planilha3!G:G)</f>
        <v>45922</v>
      </c>
      <c r="I425" s="23">
        <f>_xlfn.XLOOKUP(K425,Grupo!F:F,Grupo!G:G)</f>
        <v>46440.22</v>
      </c>
      <c r="J425" s="6">
        <f>_xlfn.XLOOKUP(D425,Grupo!B:B,Grupo!C:C)</f>
        <v>3</v>
      </c>
      <c r="K425" s="24">
        <f>_xlfn.XLOOKUP(A425,[1]COORDENADAS_GEOGRÁFICAS!$D:$D,[1]COORDENADAS_GEOGRÁFICAS!$F:$F)</f>
        <v>80</v>
      </c>
      <c r="L425" s="53"/>
      <c r="M425" s="53"/>
      <c r="N425" s="52">
        <f>_xlfn.XLOOKUP(D425,Grupo!B:B,Grupo!D:D)</f>
        <v>-12.934419859259252</v>
      </c>
      <c r="O425" s="52">
        <f>_xlfn.XLOOKUP(D425,Grupo!B:B,Grupo!E:E)</f>
        <v>-46.946107058553359</v>
      </c>
      <c r="P425" s="52">
        <f>_xlfn.XLOOKUP(A425,[1]COORDENADAS_GEOGRÁFICAS!$D:$D,[1]COORDENADAS_GEOGRÁFICAS!$G:$G)</f>
        <v>-12.809355</v>
      </c>
      <c r="Q425" s="52">
        <f>_xlfn.XLOOKUP(A425,[1]COORDENADAS_GEOGRÁFICAS!$D:$D,[1]COORDENADAS_GEOGRÁFICAS!$H:$H)</f>
        <v>-47.365519999999997</v>
      </c>
      <c r="R425" s="20">
        <f t="shared" si="6"/>
        <v>47.543929300867546</v>
      </c>
    </row>
    <row r="426" spans="1:18" x14ac:dyDescent="0.3">
      <c r="A426" s="24">
        <v>3464094</v>
      </c>
      <c r="B426" s="24" t="s">
        <v>765</v>
      </c>
      <c r="C426" s="24">
        <v>402301047</v>
      </c>
      <c r="D426" s="24" t="str">
        <f>_xlfn.XLOOKUP(C426,Planilha3!A:A,Planilha3!C:C)</f>
        <v>PARANÃ</v>
      </c>
      <c r="E426" s="24">
        <v>1</v>
      </c>
      <c r="F426" s="54">
        <f>_xlfn.XLOOKUP(C426,Planilha3!A:A,Planilha3!E:E)</f>
        <v>45432</v>
      </c>
      <c r="G426" s="54">
        <f>_xlfn.XLOOKUP(C426,Planilha3!A:A,Planilha3!F:F)</f>
        <v>45447</v>
      </c>
      <c r="H426" s="54">
        <f>_xlfn.XLOOKUP(C426,Planilha3!A:A,Planilha3!G:G)</f>
        <v>45922</v>
      </c>
      <c r="I426" s="23">
        <f>_xlfn.XLOOKUP(K426,Grupo!F:F,Grupo!G:G)</f>
        <v>46440.22</v>
      </c>
      <c r="J426" s="6">
        <f>_xlfn.XLOOKUP(D426,Grupo!B:B,Grupo!C:C)</f>
        <v>10</v>
      </c>
      <c r="K426" s="24">
        <f>_xlfn.XLOOKUP(A426,[1]COORDENADAS_GEOGRÁFICAS!$D:$D,[1]COORDENADAS_GEOGRÁFICAS!$F:$F)</f>
        <v>80</v>
      </c>
      <c r="L426" s="53"/>
      <c r="M426" s="53"/>
      <c r="N426" s="52">
        <f>_xlfn.XLOOKUP(D426,Grupo!B:B,Grupo!D:D)</f>
        <v>-12.620481488718251</v>
      </c>
      <c r="O426" s="52">
        <f>_xlfn.XLOOKUP(D426,Grupo!B:B,Grupo!E:E)</f>
        <v>-47.884083728442604</v>
      </c>
      <c r="P426" s="52">
        <f>_xlfn.XLOOKUP(A426,[1]COORDENADAS_GEOGRÁFICAS!$D:$D,[1]COORDENADAS_GEOGRÁFICAS!$G:$G)</f>
        <v>-13.089542</v>
      </c>
      <c r="Q426" s="52">
        <f>_xlfn.XLOOKUP(A426,[1]COORDENADAS_GEOGRÁFICAS!$D:$D,[1]COORDENADAS_GEOGRÁFICAS!$H:$H)</f>
        <v>-47.672871999999998</v>
      </c>
      <c r="R426" s="20">
        <f t="shared" si="6"/>
        <v>56.961731662962549</v>
      </c>
    </row>
    <row r="427" spans="1:18" x14ac:dyDescent="0.3">
      <c r="A427" s="24">
        <v>3459529</v>
      </c>
      <c r="B427" s="24" t="s">
        <v>765</v>
      </c>
      <c r="C427" s="24">
        <v>402301039</v>
      </c>
      <c r="D427" s="24" t="str">
        <f>_xlfn.XLOOKUP(C427,Planilha3!A:A,Planilha3!C:C)</f>
        <v>PARANÃ</v>
      </c>
      <c r="E427" s="24">
        <v>1</v>
      </c>
      <c r="F427" s="54">
        <f>_xlfn.XLOOKUP(C427,Planilha3!A:A,Planilha3!E:E)</f>
        <v>45429</v>
      </c>
      <c r="G427" s="54">
        <f>_xlfn.XLOOKUP(C427,Planilha3!A:A,Planilha3!F:F)</f>
        <v>45440</v>
      </c>
      <c r="H427" s="54">
        <f>_xlfn.XLOOKUP(C427,Planilha3!A:A,Planilha3!G:G)</f>
        <v>45922</v>
      </c>
      <c r="I427" s="23">
        <f>_xlfn.XLOOKUP(K427,Grupo!F:F,Grupo!G:G)</f>
        <v>46440.22</v>
      </c>
      <c r="J427" s="6">
        <f>_xlfn.XLOOKUP(D427,Grupo!B:B,Grupo!C:C)</f>
        <v>10</v>
      </c>
      <c r="K427" s="24">
        <f>_xlfn.XLOOKUP(A427,[1]COORDENADAS_GEOGRÁFICAS!$D:$D,[1]COORDENADAS_GEOGRÁFICAS!$F:$F)</f>
        <v>80</v>
      </c>
      <c r="L427" s="53"/>
      <c r="M427" s="53"/>
      <c r="N427" s="52">
        <f>_xlfn.XLOOKUP(D427,Grupo!B:B,Grupo!D:D)</f>
        <v>-12.620481488718251</v>
      </c>
      <c r="O427" s="52">
        <f>_xlfn.XLOOKUP(D427,Grupo!B:B,Grupo!E:E)</f>
        <v>-47.884083728442604</v>
      </c>
      <c r="P427" s="52">
        <f>_xlfn.XLOOKUP(A427,[1]COORDENADAS_GEOGRÁFICAS!$D:$D,[1]COORDENADAS_GEOGRÁFICAS!$G:$G)</f>
        <v>-12.878975000000001</v>
      </c>
      <c r="Q427" s="52">
        <f>_xlfn.XLOOKUP(A427,[1]COORDENADAS_GEOGRÁFICAS!$D:$D,[1]COORDENADAS_GEOGRÁFICAS!$H:$H)</f>
        <v>-47.513492999999997</v>
      </c>
      <c r="R427" s="20">
        <f t="shared" si="6"/>
        <v>49.411982686607715</v>
      </c>
    </row>
    <row r="428" spans="1:18" x14ac:dyDescent="0.3">
      <c r="A428" s="24">
        <v>3440363</v>
      </c>
      <c r="B428" s="24" t="s">
        <v>765</v>
      </c>
      <c r="C428" s="24">
        <v>402301088</v>
      </c>
      <c r="D428" s="24" t="str">
        <f>_xlfn.XLOOKUP(C428,Planilha3!A:A,Planilha3!C:C)</f>
        <v>PARANÃ</v>
      </c>
      <c r="E428" s="24">
        <v>1</v>
      </c>
      <c r="F428" s="54">
        <f>_xlfn.XLOOKUP(C428,Planilha3!A:A,Planilha3!E:E)</f>
        <v>45386</v>
      </c>
      <c r="G428" s="54">
        <f>_xlfn.XLOOKUP(C428,Planilha3!A:A,Planilha3!F:F)</f>
        <v>45398</v>
      </c>
      <c r="H428" s="54">
        <f>_xlfn.XLOOKUP(C428,Planilha3!A:A,Planilha3!G:G)</f>
        <v>45922</v>
      </c>
      <c r="I428" s="23">
        <f>_xlfn.XLOOKUP(K428,Grupo!F:F,Grupo!G:G)</f>
        <v>46440.22</v>
      </c>
      <c r="J428" s="6">
        <f>_xlfn.XLOOKUP(D428,Grupo!B:B,Grupo!C:C)</f>
        <v>10</v>
      </c>
      <c r="K428" s="24">
        <f>_xlfn.XLOOKUP(A428,[1]COORDENADAS_GEOGRÁFICAS!$D:$D,[1]COORDENADAS_GEOGRÁFICAS!$F:$F)</f>
        <v>80</v>
      </c>
      <c r="L428" s="53"/>
      <c r="M428" s="53"/>
      <c r="N428" s="52">
        <f>_xlfn.XLOOKUP(D428,Grupo!B:B,Grupo!D:D)</f>
        <v>-12.620481488718251</v>
      </c>
      <c r="O428" s="52">
        <f>_xlfn.XLOOKUP(D428,Grupo!B:B,Grupo!E:E)</f>
        <v>-47.884083728442604</v>
      </c>
      <c r="P428" s="52">
        <f>_xlfn.XLOOKUP(A428,[1]COORDENADAS_GEOGRÁFICAS!$D:$D,[1]COORDENADAS_GEOGRÁFICAS!$G:$G)</f>
        <v>-12.74658</v>
      </c>
      <c r="Q428" s="52">
        <f>_xlfn.XLOOKUP(A428,[1]COORDENADAS_GEOGRÁFICAS!$D:$D,[1]COORDENADAS_GEOGRÁFICAS!$H:$H)</f>
        <v>-47.674140000000001</v>
      </c>
      <c r="R428" s="20">
        <f t="shared" si="6"/>
        <v>26.745164974725565</v>
      </c>
    </row>
    <row r="429" spans="1:18" x14ac:dyDescent="0.3">
      <c r="A429" s="24">
        <v>3442003</v>
      </c>
      <c r="B429" s="24" t="s">
        <v>765</v>
      </c>
      <c r="C429" s="24">
        <v>402301095</v>
      </c>
      <c r="D429" s="24" t="str">
        <f>_xlfn.XLOOKUP(C429,Planilha3!A:A,Planilha3!C:C)</f>
        <v>PARANÃ</v>
      </c>
      <c r="E429" s="24">
        <v>1</v>
      </c>
      <c r="F429" s="54">
        <f>_xlfn.XLOOKUP(C429,Planilha3!A:A,Planilha3!E:E)</f>
        <v>45386</v>
      </c>
      <c r="G429" s="54">
        <f>_xlfn.XLOOKUP(C429,Planilha3!A:A,Planilha3!F:F)</f>
        <v>45399</v>
      </c>
      <c r="H429" s="54">
        <f>_xlfn.XLOOKUP(C429,Planilha3!A:A,Planilha3!G:G)</f>
        <v>45922</v>
      </c>
      <c r="I429" s="23">
        <f>_xlfn.XLOOKUP(K429,Grupo!F:F,Grupo!G:G)</f>
        <v>46440.22</v>
      </c>
      <c r="J429" s="6">
        <f>_xlfn.XLOOKUP(D429,Grupo!B:B,Grupo!C:C)</f>
        <v>10</v>
      </c>
      <c r="K429" s="24">
        <f>_xlfn.XLOOKUP(A429,[1]COORDENADAS_GEOGRÁFICAS!$D:$D,[1]COORDENADAS_GEOGRÁFICAS!$F:$F)</f>
        <v>80</v>
      </c>
      <c r="L429" s="53"/>
      <c r="M429" s="53"/>
      <c r="N429" s="52">
        <f>_xlfn.XLOOKUP(D429,Grupo!B:B,Grupo!D:D)</f>
        <v>-12.620481488718251</v>
      </c>
      <c r="O429" s="52">
        <f>_xlfn.XLOOKUP(D429,Grupo!B:B,Grupo!E:E)</f>
        <v>-47.884083728442604</v>
      </c>
      <c r="P429" s="52">
        <f>_xlfn.XLOOKUP(A429,[1]COORDENADAS_GEOGRÁFICAS!$D:$D,[1]COORDENADAS_GEOGRÁFICAS!$G:$G)</f>
        <v>-12.951898</v>
      </c>
      <c r="Q429" s="52">
        <f>_xlfn.XLOOKUP(A429,[1]COORDENADAS_GEOGRÁFICAS!$D:$D,[1]COORDENADAS_GEOGRÁFICAS!$H:$H)</f>
        <v>-47.616199999999999</v>
      </c>
      <c r="R429" s="20">
        <f t="shared" si="6"/>
        <v>46.924194248351697</v>
      </c>
    </row>
    <row r="430" spans="1:18" x14ac:dyDescent="0.3">
      <c r="A430" s="24">
        <v>3441717</v>
      </c>
      <c r="B430" s="24" t="s">
        <v>765</v>
      </c>
      <c r="C430" s="24">
        <v>402301094</v>
      </c>
      <c r="D430" s="24" t="str">
        <f>_xlfn.XLOOKUP(C430,Planilha3!A:A,Planilha3!C:C)</f>
        <v>PARANÃ</v>
      </c>
      <c r="E430" s="24">
        <v>1</v>
      </c>
      <c r="F430" s="54">
        <f>_xlfn.XLOOKUP(C430,Planilha3!A:A,Planilha3!E:E)</f>
        <v>45384</v>
      </c>
      <c r="G430" s="54">
        <f>_xlfn.XLOOKUP(C430,Planilha3!A:A,Planilha3!F:F)</f>
        <v>45399</v>
      </c>
      <c r="H430" s="54">
        <f>_xlfn.XLOOKUP(C430,Planilha3!A:A,Planilha3!G:G)</f>
        <v>45922</v>
      </c>
      <c r="I430" s="23">
        <f>_xlfn.XLOOKUP(K430,Grupo!F:F,Grupo!G:G)</f>
        <v>46440.22</v>
      </c>
      <c r="J430" s="6">
        <f>_xlfn.XLOOKUP(D430,Grupo!B:B,Grupo!C:C)</f>
        <v>10</v>
      </c>
      <c r="K430" s="24">
        <f>_xlfn.XLOOKUP(A430,[1]COORDENADAS_GEOGRÁFICAS!$D:$D,[1]COORDENADAS_GEOGRÁFICAS!$F:$F)</f>
        <v>80</v>
      </c>
      <c r="L430" s="53"/>
      <c r="M430" s="53"/>
      <c r="N430" s="52">
        <f>_xlfn.XLOOKUP(D430,Grupo!B:B,Grupo!D:D)</f>
        <v>-12.620481488718251</v>
      </c>
      <c r="O430" s="52">
        <f>_xlfn.XLOOKUP(D430,Grupo!B:B,Grupo!E:E)</f>
        <v>-47.884083728442604</v>
      </c>
      <c r="P430" s="52">
        <f>_xlfn.XLOOKUP(A430,[1]COORDENADAS_GEOGRÁFICAS!$D:$D,[1]COORDENADAS_GEOGRÁFICAS!$G:$G)</f>
        <v>-12.822153</v>
      </c>
      <c r="Q430" s="52">
        <f>_xlfn.XLOOKUP(A430,[1]COORDENADAS_GEOGRÁFICAS!$D:$D,[1]COORDENADAS_GEOGRÁFICAS!$H:$H)</f>
        <v>-47.428212000000002</v>
      </c>
      <c r="R430" s="20">
        <f t="shared" si="6"/>
        <v>54.293713659948168</v>
      </c>
    </row>
    <row r="431" spans="1:18" x14ac:dyDescent="0.3">
      <c r="A431" s="24">
        <v>3442799</v>
      </c>
      <c r="B431" s="24" t="s">
        <v>765</v>
      </c>
      <c r="C431" s="24">
        <v>402301100</v>
      </c>
      <c r="D431" s="24" t="str">
        <f>_xlfn.XLOOKUP(C431,Planilha3!A:A,Planilha3!C:C)</f>
        <v>PARANÃ</v>
      </c>
      <c r="E431" s="24">
        <v>1</v>
      </c>
      <c r="F431" s="54">
        <f>_xlfn.XLOOKUP(C431,Planilha3!A:A,Planilha3!E:E)</f>
        <v>45383</v>
      </c>
      <c r="G431" s="54">
        <f>_xlfn.XLOOKUP(C431,Planilha3!A:A,Planilha3!F:F)</f>
        <v>45399</v>
      </c>
      <c r="H431" s="54">
        <f>_xlfn.XLOOKUP(C431,Planilha3!A:A,Planilha3!G:G)</f>
        <v>45922</v>
      </c>
      <c r="I431" s="23">
        <f>_xlfn.XLOOKUP(K431,Grupo!F:F,Grupo!G:G)</f>
        <v>46440.22</v>
      </c>
      <c r="J431" s="6">
        <f>_xlfn.XLOOKUP(D431,Grupo!B:B,Grupo!C:C)</f>
        <v>10</v>
      </c>
      <c r="K431" s="24">
        <f>_xlfn.XLOOKUP(A431,[1]COORDENADAS_GEOGRÁFICAS!$D:$D,[1]COORDENADAS_GEOGRÁFICAS!$F:$F)</f>
        <v>80</v>
      </c>
      <c r="L431" s="53"/>
      <c r="M431" s="53"/>
      <c r="N431" s="52">
        <f>_xlfn.XLOOKUP(D431,Grupo!B:B,Grupo!D:D)</f>
        <v>-12.620481488718251</v>
      </c>
      <c r="O431" s="52">
        <f>_xlfn.XLOOKUP(D431,Grupo!B:B,Grupo!E:E)</f>
        <v>-47.884083728442604</v>
      </c>
      <c r="P431" s="52">
        <f>_xlfn.XLOOKUP(A431,[1]COORDENADAS_GEOGRÁFICAS!$D:$D,[1]COORDENADAS_GEOGRÁFICAS!$G:$G)</f>
        <v>-12.347481999999999</v>
      </c>
      <c r="Q431" s="52">
        <f>_xlfn.XLOOKUP(A431,[1]COORDENADAS_GEOGRÁFICAS!$D:$D,[1]COORDENADAS_GEOGRÁFICAS!$H:$H)</f>
        <v>-47.861693000000002</v>
      </c>
      <c r="R431" s="20">
        <f t="shared" si="6"/>
        <v>30.453332307701</v>
      </c>
    </row>
    <row r="432" spans="1:18" x14ac:dyDescent="0.3">
      <c r="A432" s="24">
        <v>3442757</v>
      </c>
      <c r="B432" s="24" t="s">
        <v>765</v>
      </c>
      <c r="C432" s="24">
        <v>502300594</v>
      </c>
      <c r="D432" s="24" t="str">
        <f>_xlfn.XLOOKUP(C432,Planilha3!A:A,Planilha3!C:C)</f>
        <v>ARRAIAS</v>
      </c>
      <c r="E432" s="24">
        <v>1</v>
      </c>
      <c r="F432" s="54">
        <f>_xlfn.XLOOKUP(C432,Planilha3!A:A,Planilha3!E:E)</f>
        <v>45388</v>
      </c>
      <c r="G432" s="54">
        <f>_xlfn.XLOOKUP(C432,Planilha3!A:A,Planilha3!F:F)</f>
        <v>45399</v>
      </c>
      <c r="H432" s="54">
        <f>_xlfn.XLOOKUP(C432,Planilha3!A:A,Planilha3!G:G)</f>
        <v>45922</v>
      </c>
      <c r="I432" s="23">
        <f>_xlfn.XLOOKUP(K432,Grupo!F:F,Grupo!G:G)</f>
        <v>46440.22</v>
      </c>
      <c r="J432" s="6">
        <f>_xlfn.XLOOKUP(D432,Grupo!B:B,Grupo!C:C)</f>
        <v>3</v>
      </c>
      <c r="K432" s="24">
        <f>_xlfn.XLOOKUP(A432,[1]COORDENADAS_GEOGRÁFICAS!$D:$D,[1]COORDENADAS_GEOGRÁFICAS!$F:$F)</f>
        <v>80</v>
      </c>
      <c r="L432" s="53"/>
      <c r="M432" s="53"/>
      <c r="N432" s="52">
        <f>_xlfn.XLOOKUP(D432,Grupo!B:B,Grupo!D:D)</f>
        <v>-12.934419859259252</v>
      </c>
      <c r="O432" s="52">
        <f>_xlfn.XLOOKUP(D432,Grupo!B:B,Grupo!E:E)</f>
        <v>-46.946107058553359</v>
      </c>
      <c r="P432" s="52">
        <f>_xlfn.XLOOKUP(A432,[1]COORDENADAS_GEOGRÁFICAS!$D:$D,[1]COORDENADAS_GEOGRÁFICAS!$G:$G)</f>
        <v>-12.740418</v>
      </c>
      <c r="Q432" s="52">
        <f>_xlfn.XLOOKUP(A432,[1]COORDENADAS_GEOGRÁFICAS!$D:$D,[1]COORDENADAS_GEOGRÁFICAS!$H:$H)</f>
        <v>-47.374369999999999</v>
      </c>
      <c r="R432" s="20">
        <f t="shared" si="6"/>
        <v>51.196950964832183</v>
      </c>
    </row>
    <row r="433" spans="1:18" x14ac:dyDescent="0.3">
      <c r="A433" s="24">
        <v>3441416</v>
      </c>
      <c r="B433" s="24" t="s">
        <v>765</v>
      </c>
      <c r="C433" s="24">
        <v>402301093</v>
      </c>
      <c r="D433" s="24" t="str">
        <f>_xlfn.XLOOKUP(C433,Planilha3!A:A,Planilha3!C:C)</f>
        <v>PARANÃ</v>
      </c>
      <c r="E433" s="24">
        <v>1</v>
      </c>
      <c r="F433" s="54">
        <f>_xlfn.XLOOKUP(C433,Planilha3!A:A,Planilha3!E:E)</f>
        <v>45387</v>
      </c>
      <c r="G433" s="54">
        <f>_xlfn.XLOOKUP(C433,Planilha3!A:A,Planilha3!F:F)</f>
        <v>45399</v>
      </c>
      <c r="H433" s="54">
        <f>_xlfn.XLOOKUP(C433,Planilha3!A:A,Planilha3!G:G)</f>
        <v>45922</v>
      </c>
      <c r="I433" s="23">
        <f>_xlfn.XLOOKUP(K433,Grupo!F:F,Grupo!G:G)</f>
        <v>46440.22</v>
      </c>
      <c r="J433" s="6">
        <f>_xlfn.XLOOKUP(D433,Grupo!B:B,Grupo!C:C)</f>
        <v>10</v>
      </c>
      <c r="K433" s="24">
        <f>_xlfn.XLOOKUP(A433,[1]COORDENADAS_GEOGRÁFICAS!$D:$D,[1]COORDENADAS_GEOGRÁFICAS!$F:$F)</f>
        <v>80</v>
      </c>
      <c r="L433" s="53"/>
      <c r="M433" s="53"/>
      <c r="N433" s="52">
        <f>_xlfn.XLOOKUP(D433,Grupo!B:B,Grupo!D:D)</f>
        <v>-12.620481488718251</v>
      </c>
      <c r="O433" s="52">
        <f>_xlfn.XLOOKUP(D433,Grupo!B:B,Grupo!E:E)</f>
        <v>-47.884083728442604</v>
      </c>
      <c r="P433" s="52">
        <f>_xlfn.XLOOKUP(A433,[1]COORDENADAS_GEOGRÁFICAS!$D:$D,[1]COORDENADAS_GEOGRÁFICAS!$G:$G)</f>
        <v>-12.352792000000001</v>
      </c>
      <c r="Q433" s="52">
        <f>_xlfn.XLOOKUP(A433,[1]COORDENADAS_GEOGRÁFICAS!$D:$D,[1]COORDENADAS_GEOGRÁFICAS!$H:$H)</f>
        <v>-47.890115000000002</v>
      </c>
      <c r="R433" s="20">
        <f t="shared" si="6"/>
        <v>29.772914112914943</v>
      </c>
    </row>
    <row r="434" spans="1:18" x14ac:dyDescent="0.3">
      <c r="A434" s="24">
        <v>3459495</v>
      </c>
      <c r="B434" s="24" t="s">
        <v>765</v>
      </c>
      <c r="C434" s="24">
        <v>402301103</v>
      </c>
      <c r="D434" s="24" t="str">
        <f>_xlfn.XLOOKUP(C434,Planilha3!A:A,Planilha3!C:C)</f>
        <v>PARANÃ</v>
      </c>
      <c r="E434" s="24">
        <v>1</v>
      </c>
      <c r="F434" s="51">
        <f>_xlfn.XLOOKUP(C434,Planilha3!A:A,Planilha3!E:E)</f>
        <v>45392</v>
      </c>
      <c r="G434" s="51">
        <f>_xlfn.XLOOKUP(C434,Planilha3!A:A,Planilha3!F:F)</f>
        <v>45405</v>
      </c>
      <c r="H434" s="51">
        <f>_xlfn.XLOOKUP(C434,Planilha3!A:A,Planilha3!G:G)</f>
        <v>45922</v>
      </c>
      <c r="I434" s="23">
        <f>_xlfn.XLOOKUP(K434,Grupo!F:F,Grupo!G:G)</f>
        <v>46440.22</v>
      </c>
      <c r="J434" s="6">
        <f>_xlfn.XLOOKUP(D434,Grupo!B:B,Grupo!C:C)</f>
        <v>10</v>
      </c>
      <c r="K434" s="24">
        <f>_xlfn.XLOOKUP(A434,[1]COORDENADAS_GEOGRÁFICAS!$D:$D,[1]COORDENADAS_GEOGRÁFICAS!$F:$F)</f>
        <v>80</v>
      </c>
      <c r="N434" s="52">
        <f>_xlfn.XLOOKUP(D434,Grupo!B:B,Grupo!D:D)</f>
        <v>-12.620481488718251</v>
      </c>
      <c r="O434" s="52">
        <f>_xlfn.XLOOKUP(D434,Grupo!B:B,Grupo!E:E)</f>
        <v>-47.884083728442604</v>
      </c>
      <c r="P434" s="52">
        <f>_xlfn.XLOOKUP(A434,[1]COORDENADAS_GEOGRÁFICAS!$D:$D,[1]COORDENADAS_GEOGRÁFICAS!$G:$G)</f>
        <v>-12.390495</v>
      </c>
      <c r="Q434" s="52">
        <f>_xlfn.XLOOKUP(A434,[1]COORDENADAS_GEOGRÁFICAS!$D:$D,[1]COORDENADAS_GEOGRÁFICAS!$H:$H)</f>
        <v>-47.88288</v>
      </c>
      <c r="R434" s="20">
        <f t="shared" si="6"/>
        <v>25.573664591843045</v>
      </c>
    </row>
    <row r="435" spans="1:18" x14ac:dyDescent="0.3">
      <c r="A435" s="24">
        <v>3442966</v>
      </c>
      <c r="B435" s="24" t="s">
        <v>765</v>
      </c>
      <c r="C435" s="24">
        <v>402301101</v>
      </c>
      <c r="D435" s="24" t="str">
        <f>_xlfn.XLOOKUP(C435,Planilha3!A:A,Planilha3!C:C)</f>
        <v>PARANÃ</v>
      </c>
      <c r="E435" s="24">
        <v>1</v>
      </c>
      <c r="F435" s="51">
        <f>_xlfn.XLOOKUP(C435,Planilha3!A:A,Planilha3!E:E)</f>
        <v>45384</v>
      </c>
      <c r="G435" s="51">
        <f>_xlfn.XLOOKUP(C435,Planilha3!A:A,Planilha3!F:F)</f>
        <v>45399</v>
      </c>
      <c r="H435" s="51">
        <f>_xlfn.XLOOKUP(C435,Planilha3!A:A,Planilha3!G:G)</f>
        <v>45922</v>
      </c>
      <c r="I435" s="23">
        <f>_xlfn.XLOOKUP(K435,Grupo!F:F,Grupo!G:G)</f>
        <v>46440.22</v>
      </c>
      <c r="J435" s="6">
        <f>_xlfn.XLOOKUP(D435,Grupo!B:B,Grupo!C:C)</f>
        <v>10</v>
      </c>
      <c r="K435" s="24">
        <f>_xlfn.XLOOKUP(A435,[1]COORDENADAS_GEOGRÁFICAS!$D:$D,[1]COORDENADAS_GEOGRÁFICAS!$F:$F)</f>
        <v>80</v>
      </c>
      <c r="N435" s="52">
        <f>_xlfn.XLOOKUP(D435,Grupo!B:B,Grupo!D:D)</f>
        <v>-12.620481488718251</v>
      </c>
      <c r="O435" s="52">
        <f>_xlfn.XLOOKUP(D435,Grupo!B:B,Grupo!E:E)</f>
        <v>-47.884083728442604</v>
      </c>
      <c r="P435" s="52">
        <f>_xlfn.XLOOKUP(A435,[1]COORDENADAS_GEOGRÁFICAS!$D:$D,[1]COORDENADAS_GEOGRÁFICAS!$G:$G)</f>
        <v>-12.412756999999999</v>
      </c>
      <c r="Q435" s="52">
        <f>_xlfn.XLOOKUP(A435,[1]COORDENADAS_GEOGRÁFICAS!$D:$D,[1]COORDENADAS_GEOGRÁFICAS!$H:$H)</f>
        <v>-47.867587</v>
      </c>
      <c r="R435" s="20">
        <f t="shared" si="6"/>
        <v>23.167222872598032</v>
      </c>
    </row>
    <row r="436" spans="1:18" x14ac:dyDescent="0.3">
      <c r="A436" s="24">
        <v>3463057</v>
      </c>
      <c r="B436" s="24" t="s">
        <v>765</v>
      </c>
      <c r="C436" s="24">
        <v>402301107</v>
      </c>
      <c r="D436" s="24" t="str">
        <f>_xlfn.XLOOKUP(C436,Planilha3!A:A,Planilha3!C:C)</f>
        <v>PARANÃ</v>
      </c>
      <c r="E436" s="24">
        <v>1</v>
      </c>
      <c r="F436" s="51">
        <f>_xlfn.XLOOKUP(C436,Planilha3!A:A,Planilha3!E:E)</f>
        <v>45436</v>
      </c>
      <c r="G436" s="51">
        <f>_xlfn.XLOOKUP(C436,Planilha3!A:A,Planilha3!F:F)</f>
        <v>45447</v>
      </c>
      <c r="H436" s="51">
        <f>_xlfn.XLOOKUP(C436,Planilha3!A:A,Planilha3!G:G)</f>
        <v>45922</v>
      </c>
      <c r="I436" s="23">
        <f>_xlfn.XLOOKUP(K436,Grupo!F:F,Grupo!G:G)</f>
        <v>46440.22</v>
      </c>
      <c r="J436" s="6">
        <f>_xlfn.XLOOKUP(D436,Grupo!B:B,Grupo!C:C)</f>
        <v>10</v>
      </c>
      <c r="K436" s="24">
        <f>_xlfn.XLOOKUP(A436,[1]COORDENADAS_GEOGRÁFICAS!$D:$D,[1]COORDENADAS_GEOGRÁFICAS!$F:$F)</f>
        <v>80</v>
      </c>
      <c r="N436" s="52">
        <f>_xlfn.XLOOKUP(D436,Grupo!B:B,Grupo!D:D)</f>
        <v>-12.620481488718251</v>
      </c>
      <c r="O436" s="52">
        <f>_xlfn.XLOOKUP(D436,Grupo!B:B,Grupo!E:E)</f>
        <v>-47.884083728442604</v>
      </c>
      <c r="P436" s="52">
        <f>_xlfn.XLOOKUP(A436,[1]COORDENADAS_GEOGRÁFICAS!$D:$D,[1]COORDENADAS_GEOGRÁFICAS!$G:$G)</f>
        <v>-13.087888</v>
      </c>
      <c r="Q436" s="52">
        <f>_xlfn.XLOOKUP(A436,[1]COORDENADAS_GEOGRÁFICAS!$D:$D,[1]COORDENADAS_GEOGRÁFICAS!$H:$H)</f>
        <v>-47.645552000000002</v>
      </c>
      <c r="R436" s="20">
        <f t="shared" si="6"/>
        <v>58.050764850286846</v>
      </c>
    </row>
    <row r="437" spans="1:18" x14ac:dyDescent="0.3">
      <c r="A437" s="24">
        <v>3441274</v>
      </c>
      <c r="B437" s="24" t="s">
        <v>765</v>
      </c>
      <c r="C437" s="24">
        <v>402301092</v>
      </c>
      <c r="D437" s="24" t="str">
        <f>_xlfn.XLOOKUP(C437,Planilha3!A:A,Planilha3!C:C)</f>
        <v>PARANÃ</v>
      </c>
      <c r="E437" s="24">
        <v>1</v>
      </c>
      <c r="F437" s="51">
        <f>_xlfn.XLOOKUP(C437,Planilha3!A:A,Planilha3!E:E)</f>
        <v>45387</v>
      </c>
      <c r="G437" s="51">
        <f>_xlfn.XLOOKUP(C437,Planilha3!A:A,Planilha3!F:F)</f>
        <v>45399</v>
      </c>
      <c r="H437" s="51">
        <f>_xlfn.XLOOKUP(C437,Planilha3!A:A,Planilha3!G:G)</f>
        <v>45922</v>
      </c>
      <c r="I437" s="23">
        <f>_xlfn.XLOOKUP(K437,Grupo!F:F,Grupo!G:G)</f>
        <v>46440.22</v>
      </c>
      <c r="J437" s="6">
        <f>_xlfn.XLOOKUP(D437,Grupo!B:B,Grupo!C:C)</f>
        <v>10</v>
      </c>
      <c r="K437" s="24">
        <f>_xlfn.XLOOKUP(A437,[1]COORDENADAS_GEOGRÁFICAS!$D:$D,[1]COORDENADAS_GEOGRÁFICAS!$F:$F)</f>
        <v>80</v>
      </c>
      <c r="N437" s="52">
        <f>_xlfn.XLOOKUP(D437,Grupo!B:B,Grupo!D:D)</f>
        <v>-12.620481488718251</v>
      </c>
      <c r="O437" s="52">
        <f>_xlfn.XLOOKUP(D437,Grupo!B:B,Grupo!E:E)</f>
        <v>-47.884083728442604</v>
      </c>
      <c r="P437" s="52">
        <f>_xlfn.XLOOKUP(A437,[1]COORDENADAS_GEOGRÁFICAS!$D:$D,[1]COORDENADAS_GEOGRÁFICAS!$G:$G)</f>
        <v>-12.36548</v>
      </c>
      <c r="Q437" s="52">
        <f>_xlfn.XLOOKUP(A437,[1]COORDENADAS_GEOGRÁFICAS!$D:$D,[1]COORDENADAS_GEOGRÁFICAS!$H:$H)</f>
        <v>-47.879947000000001</v>
      </c>
      <c r="R437" s="20">
        <f t="shared" si="6"/>
        <v>28.358428021297016</v>
      </c>
    </row>
    <row r="438" spans="1:18" x14ac:dyDescent="0.3">
      <c r="A438" s="24">
        <v>3438233</v>
      </c>
      <c r="B438" s="24" t="s">
        <v>765</v>
      </c>
      <c r="C438" s="24">
        <v>402301084</v>
      </c>
      <c r="D438" s="24" t="str">
        <f>_xlfn.XLOOKUP(C438,Planilha3!A:A,Planilha3!C:C)</f>
        <v>PARANÃ</v>
      </c>
      <c r="E438" s="24">
        <v>1</v>
      </c>
      <c r="F438" s="51">
        <f>_xlfn.XLOOKUP(C438,Planilha3!A:A,Planilha3!E:E)</f>
        <v>45300</v>
      </c>
      <c r="G438" s="51">
        <f>_xlfn.XLOOKUP(C438,Planilha3!A:A,Planilha3!F:F)</f>
        <v>45313</v>
      </c>
      <c r="H438" s="51">
        <f>_xlfn.XLOOKUP(C438,Planilha3!A:A,Planilha3!G:G)</f>
        <v>45922</v>
      </c>
      <c r="I438" s="23">
        <f>_xlfn.XLOOKUP(K438,Grupo!F:F,Grupo!G:G)</f>
        <v>46440.22</v>
      </c>
      <c r="J438" s="6">
        <f>_xlfn.XLOOKUP(D438,Grupo!B:B,Grupo!C:C)</f>
        <v>10</v>
      </c>
      <c r="K438" s="24">
        <f>_xlfn.XLOOKUP(A438,[1]COORDENADAS_GEOGRÁFICAS!$D:$D,[1]COORDENADAS_GEOGRÁFICAS!$F:$F)</f>
        <v>80</v>
      </c>
      <c r="N438" s="52">
        <f>_xlfn.XLOOKUP(D438,Grupo!B:B,Grupo!D:D)</f>
        <v>-12.620481488718251</v>
      </c>
      <c r="O438" s="52">
        <f>_xlfn.XLOOKUP(D438,Grupo!B:B,Grupo!E:E)</f>
        <v>-47.884083728442604</v>
      </c>
      <c r="P438" s="52">
        <f>_xlfn.XLOOKUP(A438,[1]COORDENADAS_GEOGRÁFICAS!$D:$D,[1]COORDENADAS_GEOGRÁFICAS!$G:$G)</f>
        <v>-12.841587000000001</v>
      </c>
      <c r="Q438" s="52">
        <f>_xlfn.XLOOKUP(A438,[1]COORDENADAS_GEOGRÁFICAS!$D:$D,[1]COORDENADAS_GEOGRÁFICAS!$H:$H)</f>
        <v>-47.509557999999998</v>
      </c>
      <c r="R438" s="20">
        <f t="shared" si="6"/>
        <v>47.482287207100484</v>
      </c>
    </row>
    <row r="439" spans="1:18" x14ac:dyDescent="0.3">
      <c r="A439" s="24">
        <v>3442792</v>
      </c>
      <c r="B439" s="24" t="s">
        <v>765</v>
      </c>
      <c r="C439" s="24">
        <v>402301099</v>
      </c>
      <c r="D439" s="24" t="str">
        <f>_xlfn.XLOOKUP(C439,Planilha3!A:A,Planilha3!C:C)</f>
        <v>PARANÃ</v>
      </c>
      <c r="E439" s="24">
        <v>1</v>
      </c>
      <c r="F439" s="51">
        <f>_xlfn.XLOOKUP(C439,Planilha3!A:A,Planilha3!E:E)</f>
        <v>45384</v>
      </c>
      <c r="G439" s="51">
        <f>_xlfn.XLOOKUP(C439,Planilha3!A:A,Planilha3!F:F)</f>
        <v>45399</v>
      </c>
      <c r="H439" s="51">
        <f>_xlfn.XLOOKUP(C439,Planilha3!A:A,Planilha3!G:G)</f>
        <v>45922</v>
      </c>
      <c r="I439" s="23">
        <f>_xlfn.XLOOKUP(K439,Grupo!F:F,Grupo!G:G)</f>
        <v>46440.22</v>
      </c>
      <c r="J439" s="6">
        <f>_xlfn.XLOOKUP(D439,Grupo!B:B,Grupo!C:C)</f>
        <v>10</v>
      </c>
      <c r="K439" s="24">
        <f>_xlfn.XLOOKUP(A439,[1]COORDENADAS_GEOGRÁFICAS!$D:$D,[1]COORDENADAS_GEOGRÁFICAS!$F:$F)</f>
        <v>80</v>
      </c>
      <c r="N439" s="52">
        <f>_xlfn.XLOOKUP(D439,Grupo!B:B,Grupo!D:D)</f>
        <v>-12.620481488718251</v>
      </c>
      <c r="O439" s="52">
        <f>_xlfn.XLOOKUP(D439,Grupo!B:B,Grupo!E:E)</f>
        <v>-47.884083728442604</v>
      </c>
      <c r="P439" s="52">
        <f>_xlfn.XLOOKUP(A439,[1]COORDENADAS_GEOGRÁFICAS!$D:$D,[1]COORDENADAS_GEOGRÁFICAS!$G:$G)</f>
        <v>-12.353985</v>
      </c>
      <c r="Q439" s="52">
        <f>_xlfn.XLOOKUP(A439,[1]COORDENADAS_GEOGRÁFICAS!$D:$D,[1]COORDENADAS_GEOGRÁFICAS!$H:$H)</f>
        <v>-47.542580000000001</v>
      </c>
      <c r="R439" s="20">
        <f t="shared" si="6"/>
        <v>47.462455989265479</v>
      </c>
    </row>
    <row r="440" spans="1:18" x14ac:dyDescent="0.3">
      <c r="A440" s="24">
        <v>3464089</v>
      </c>
      <c r="B440" s="24" t="s">
        <v>765</v>
      </c>
      <c r="C440" s="24">
        <v>402301106</v>
      </c>
      <c r="D440" s="24" t="str">
        <f>_xlfn.XLOOKUP(C440,Planilha3!A:A,Planilha3!C:C)</f>
        <v>PARANÃ</v>
      </c>
      <c r="E440" s="24">
        <v>1</v>
      </c>
      <c r="F440" s="51">
        <f>_xlfn.XLOOKUP(C440,Planilha3!A:A,Planilha3!E:E)</f>
        <v>45431</v>
      </c>
      <c r="G440" s="51">
        <f>_xlfn.XLOOKUP(C440,Planilha3!A:A,Planilha3!F:F)</f>
        <v>45447</v>
      </c>
      <c r="H440" s="51">
        <f>_xlfn.XLOOKUP(C440,Planilha3!A:A,Planilha3!G:G)</f>
        <v>45922</v>
      </c>
      <c r="I440" s="23">
        <f>_xlfn.XLOOKUP(K440,Grupo!F:F,Grupo!G:G)</f>
        <v>46440.22</v>
      </c>
      <c r="J440" s="6">
        <f>_xlfn.XLOOKUP(D440,Grupo!B:B,Grupo!C:C)</f>
        <v>10</v>
      </c>
      <c r="K440" s="24">
        <f>_xlfn.XLOOKUP(A440,[1]COORDENADAS_GEOGRÁFICAS!$D:$D,[1]COORDENADAS_GEOGRÁFICAS!$F:$F)</f>
        <v>80</v>
      </c>
      <c r="N440" s="52">
        <f>_xlfn.XLOOKUP(D440,Grupo!B:B,Grupo!D:D)</f>
        <v>-12.620481488718251</v>
      </c>
      <c r="O440" s="52">
        <f>_xlfn.XLOOKUP(D440,Grupo!B:B,Grupo!E:E)</f>
        <v>-47.884083728442604</v>
      </c>
      <c r="P440" s="52">
        <f>_xlfn.XLOOKUP(A440,[1]COORDENADAS_GEOGRÁFICAS!$D:$D,[1]COORDENADAS_GEOGRÁFICAS!$G:$G)</f>
        <v>-12.578110000000001</v>
      </c>
      <c r="Q440" s="52">
        <f>_xlfn.XLOOKUP(A440,[1]COORDENADAS_GEOGRÁFICAS!$D:$D,[1]COORDENADAS_GEOGRÁFICAS!$H:$H)</f>
        <v>-47.405462999999997</v>
      </c>
      <c r="R440" s="20">
        <f t="shared" si="6"/>
        <v>52.151874763307532</v>
      </c>
    </row>
    <row r="441" spans="1:18" x14ac:dyDescent="0.3">
      <c r="A441" s="24">
        <v>3459394</v>
      </c>
      <c r="B441" s="24" t="s">
        <v>765</v>
      </c>
      <c r="C441" s="24">
        <v>402301102</v>
      </c>
      <c r="D441" s="24" t="str">
        <f>_xlfn.XLOOKUP(C441,Planilha3!A:A,Planilha3!C:C)</f>
        <v>PARANÃ</v>
      </c>
      <c r="E441" s="24">
        <v>1</v>
      </c>
      <c r="F441" s="51">
        <f>_xlfn.XLOOKUP(C441,Planilha3!A:A,Planilha3!E:E)</f>
        <v>45429</v>
      </c>
      <c r="G441" s="51">
        <f>_xlfn.XLOOKUP(C441,Planilha3!A:A,Planilha3!F:F)</f>
        <v>45440</v>
      </c>
      <c r="H441" s="51">
        <f>_xlfn.XLOOKUP(C441,Planilha3!A:A,Planilha3!G:G)</f>
        <v>45922</v>
      </c>
      <c r="I441" s="23">
        <f>_xlfn.XLOOKUP(K441,Grupo!F:F,Grupo!G:G)</f>
        <v>46440.22</v>
      </c>
      <c r="J441" s="6">
        <f>_xlfn.XLOOKUP(D441,Grupo!B:B,Grupo!C:C)</f>
        <v>10</v>
      </c>
      <c r="K441" s="24">
        <f>_xlfn.XLOOKUP(A441,[1]COORDENADAS_GEOGRÁFICAS!$D:$D,[1]COORDENADAS_GEOGRÁFICAS!$F:$F)</f>
        <v>80</v>
      </c>
      <c r="N441" s="52">
        <f>_xlfn.XLOOKUP(D441,Grupo!B:B,Grupo!D:D)</f>
        <v>-12.620481488718251</v>
      </c>
      <c r="O441" s="52">
        <f>_xlfn.XLOOKUP(D441,Grupo!B:B,Grupo!E:E)</f>
        <v>-47.884083728442604</v>
      </c>
      <c r="P441" s="52">
        <f>_xlfn.XLOOKUP(A441,[1]COORDENADAS_GEOGRÁFICAS!$D:$D,[1]COORDENADAS_GEOGRÁFICAS!$G:$G)</f>
        <v>-12.76708</v>
      </c>
      <c r="Q441" s="52">
        <f>_xlfn.XLOOKUP(A441,[1]COORDENADAS_GEOGRÁFICAS!$D:$D,[1]COORDENADAS_GEOGRÁFICAS!$H:$H)</f>
        <v>-47.692427000000002</v>
      </c>
      <c r="R441" s="20">
        <f t="shared" si="6"/>
        <v>26.418976879357878</v>
      </c>
    </row>
    <row r="442" spans="1:18" x14ac:dyDescent="0.3">
      <c r="A442" s="24">
        <v>3440700</v>
      </c>
      <c r="B442" s="24" t="s">
        <v>765</v>
      </c>
      <c r="C442" s="24">
        <v>402301091</v>
      </c>
      <c r="D442" s="24" t="str">
        <f>_xlfn.XLOOKUP(C442,Planilha3!A:A,Planilha3!C:C)</f>
        <v>PARANÃ</v>
      </c>
      <c r="E442" s="24">
        <v>1</v>
      </c>
      <c r="F442" s="51">
        <f>_xlfn.XLOOKUP(C442,Planilha3!A:A,Planilha3!E:E)</f>
        <v>45386</v>
      </c>
      <c r="G442" s="51">
        <f>_xlfn.XLOOKUP(C442,Planilha3!A:A,Planilha3!F:F)</f>
        <v>45398</v>
      </c>
      <c r="H442" s="51">
        <f>_xlfn.XLOOKUP(C442,Planilha3!A:A,Planilha3!G:G)</f>
        <v>45922</v>
      </c>
      <c r="I442" s="23">
        <f>_xlfn.XLOOKUP(K442,Grupo!F:F,Grupo!G:G)</f>
        <v>46440.22</v>
      </c>
      <c r="J442" s="6">
        <f>_xlfn.XLOOKUP(D442,Grupo!B:B,Grupo!C:C)</f>
        <v>10</v>
      </c>
      <c r="K442" s="24">
        <f>_xlfn.XLOOKUP(A442,[1]COORDENADAS_GEOGRÁFICAS!$D:$D,[1]COORDENADAS_GEOGRÁFICAS!$F:$F)</f>
        <v>80</v>
      </c>
      <c r="N442" s="52">
        <f>_xlfn.XLOOKUP(D442,Grupo!B:B,Grupo!D:D)</f>
        <v>-12.620481488718251</v>
      </c>
      <c r="O442" s="52">
        <f>_xlfn.XLOOKUP(D442,Grupo!B:B,Grupo!E:E)</f>
        <v>-47.884083728442604</v>
      </c>
      <c r="P442" s="52">
        <f>_xlfn.XLOOKUP(A442,[1]COORDENADAS_GEOGRÁFICAS!$D:$D,[1]COORDENADAS_GEOGRÁFICAS!$G:$G)</f>
        <v>-12.764678</v>
      </c>
      <c r="Q442" s="52">
        <f>_xlfn.XLOOKUP(A442,[1]COORDENADAS_GEOGRÁFICAS!$D:$D,[1]COORDENADAS_GEOGRÁFICAS!$H:$H)</f>
        <v>-47.692905000000003</v>
      </c>
      <c r="R442" s="20">
        <f t="shared" si="6"/>
        <v>26.214055535185537</v>
      </c>
    </row>
    <row r="443" spans="1:18" x14ac:dyDescent="0.3">
      <c r="A443" s="24">
        <v>3440476</v>
      </c>
      <c r="B443" s="24" t="s">
        <v>765</v>
      </c>
      <c r="C443" s="24">
        <v>402301089</v>
      </c>
      <c r="D443" s="24" t="str">
        <f>_xlfn.XLOOKUP(C443,Planilha3!A:A,Planilha3!C:C)</f>
        <v>PARANÃ</v>
      </c>
      <c r="E443" s="24">
        <v>1</v>
      </c>
      <c r="F443" s="51">
        <f>_xlfn.XLOOKUP(C443,Planilha3!A:A,Planilha3!E:E)</f>
        <v>45385</v>
      </c>
      <c r="G443" s="51">
        <f>_xlfn.XLOOKUP(C443,Planilha3!A:A,Planilha3!F:F)</f>
        <v>45398</v>
      </c>
      <c r="H443" s="51">
        <f>_xlfn.XLOOKUP(C443,Planilha3!A:A,Planilha3!G:G)</f>
        <v>45922</v>
      </c>
      <c r="I443" s="23">
        <f>_xlfn.XLOOKUP(K443,Grupo!F:F,Grupo!G:G)</f>
        <v>46440.22</v>
      </c>
      <c r="J443" s="6">
        <f>_xlfn.XLOOKUP(D443,Grupo!B:B,Grupo!C:C)</f>
        <v>10</v>
      </c>
      <c r="K443" s="24">
        <f>_xlfn.XLOOKUP(A443,[1]COORDENADAS_GEOGRÁFICAS!$D:$D,[1]COORDENADAS_GEOGRÁFICAS!$F:$F)</f>
        <v>80</v>
      </c>
      <c r="N443" s="52">
        <f>_xlfn.XLOOKUP(D443,Grupo!B:B,Grupo!D:D)</f>
        <v>-12.620481488718251</v>
      </c>
      <c r="O443" s="52">
        <f>_xlfn.XLOOKUP(D443,Grupo!B:B,Grupo!E:E)</f>
        <v>-47.884083728442604</v>
      </c>
      <c r="P443" s="52">
        <f>_xlfn.XLOOKUP(A443,[1]COORDENADAS_GEOGRÁFICAS!$D:$D,[1]COORDENADAS_GEOGRÁFICAS!$G:$G)</f>
        <v>-12.883687999999999</v>
      </c>
      <c r="Q443" s="52">
        <f>_xlfn.XLOOKUP(A443,[1]COORDENADAS_GEOGRÁFICAS!$D:$D,[1]COORDENADAS_GEOGRÁFICAS!$H:$H)</f>
        <v>-47.498860000000001</v>
      </c>
      <c r="R443" s="20">
        <f t="shared" si="6"/>
        <v>51.009793644709845</v>
      </c>
    </row>
    <row r="444" spans="1:18" x14ac:dyDescent="0.3">
      <c r="A444" s="24">
        <v>3440634</v>
      </c>
      <c r="B444" s="24" t="s">
        <v>765</v>
      </c>
      <c r="C444" s="24">
        <v>402301090</v>
      </c>
      <c r="D444" s="24" t="str">
        <f>_xlfn.XLOOKUP(C444,Planilha3!A:A,Planilha3!C:C)</f>
        <v>PARANÃ</v>
      </c>
      <c r="E444" s="24">
        <v>1</v>
      </c>
      <c r="F444" s="51">
        <f>_xlfn.XLOOKUP(C444,Planilha3!A:A,Planilha3!E:E)</f>
        <v>45383</v>
      </c>
      <c r="G444" s="51">
        <f>_xlfn.XLOOKUP(C444,Planilha3!A:A,Planilha3!F:F)</f>
        <v>45398</v>
      </c>
      <c r="H444" s="51">
        <f>_xlfn.XLOOKUP(C444,Planilha3!A:A,Planilha3!G:G)</f>
        <v>45922</v>
      </c>
      <c r="I444" s="23">
        <f>_xlfn.XLOOKUP(K444,Grupo!F:F,Grupo!G:G)</f>
        <v>46440.22</v>
      </c>
      <c r="J444" s="6">
        <f>_xlfn.XLOOKUP(D444,Grupo!B:B,Grupo!C:C)</f>
        <v>10</v>
      </c>
      <c r="K444" s="24">
        <f>_xlfn.XLOOKUP(A444,[1]COORDENADAS_GEOGRÁFICAS!$D:$D,[1]COORDENADAS_GEOGRÁFICAS!$F:$F)</f>
        <v>80</v>
      </c>
      <c r="N444" s="52">
        <f>_xlfn.XLOOKUP(D444,Grupo!B:B,Grupo!D:D)</f>
        <v>-12.620481488718251</v>
      </c>
      <c r="O444" s="52">
        <f>_xlfn.XLOOKUP(D444,Grupo!B:B,Grupo!E:E)</f>
        <v>-47.884083728442604</v>
      </c>
      <c r="P444" s="52">
        <f>_xlfn.XLOOKUP(A444,[1]COORDENADAS_GEOGRÁFICAS!$D:$D,[1]COORDENADAS_GEOGRÁFICAS!$G:$G)</f>
        <v>-12.884007</v>
      </c>
      <c r="Q444" s="52">
        <f>_xlfn.XLOOKUP(A444,[1]COORDENADAS_GEOGRÁFICAS!$D:$D,[1]COORDENADAS_GEOGRÁFICAS!$H:$H)</f>
        <v>-47.498469999999998</v>
      </c>
      <c r="R444" s="20">
        <f t="shared" si="6"/>
        <v>51.064765807761603</v>
      </c>
    </row>
    <row r="445" spans="1:18" x14ac:dyDescent="0.3">
      <c r="A445" s="24">
        <v>3439528</v>
      </c>
      <c r="B445" s="24" t="s">
        <v>765</v>
      </c>
      <c r="C445" s="24">
        <v>402301087</v>
      </c>
      <c r="D445" s="24" t="str">
        <f>_xlfn.XLOOKUP(C445,Planilha3!A:A,Planilha3!C:C)</f>
        <v>PARANÃ</v>
      </c>
      <c r="E445" s="24">
        <v>1</v>
      </c>
      <c r="F445" s="51">
        <f>_xlfn.XLOOKUP(C445,Planilha3!A:A,Planilha3!E:E)</f>
        <v>45387</v>
      </c>
      <c r="G445" s="51">
        <f>_xlfn.XLOOKUP(C445,Planilha3!A:A,Planilha3!F:F)</f>
        <v>45398</v>
      </c>
      <c r="H445" s="51">
        <f>_xlfn.XLOOKUP(C445,Planilha3!A:A,Planilha3!G:G)</f>
        <v>45922</v>
      </c>
      <c r="I445" s="23">
        <f>_xlfn.XLOOKUP(K445,Grupo!F:F,Grupo!G:G)</f>
        <v>46440.22</v>
      </c>
      <c r="J445" s="6">
        <f>_xlfn.XLOOKUP(D445,Grupo!B:B,Grupo!C:C)</f>
        <v>10</v>
      </c>
      <c r="K445" s="24">
        <f>_xlfn.XLOOKUP(A445,[1]COORDENADAS_GEOGRÁFICAS!$D:$D,[1]COORDENADAS_GEOGRÁFICAS!$F:$F)</f>
        <v>80</v>
      </c>
      <c r="N445" s="52">
        <f>_xlfn.XLOOKUP(D445,Grupo!B:B,Grupo!D:D)</f>
        <v>-12.620481488718251</v>
      </c>
      <c r="O445" s="52">
        <f>_xlfn.XLOOKUP(D445,Grupo!B:B,Grupo!E:E)</f>
        <v>-47.884083728442604</v>
      </c>
      <c r="P445" s="52">
        <f>_xlfn.XLOOKUP(A445,[1]COORDENADAS_GEOGRÁFICAS!$D:$D,[1]COORDENADAS_GEOGRÁFICAS!$G:$G)</f>
        <v>-12.838188000000001</v>
      </c>
      <c r="Q445" s="52">
        <f>_xlfn.XLOOKUP(A445,[1]COORDENADAS_GEOGRÁFICAS!$D:$D,[1]COORDENADAS_GEOGRÁFICAS!$H:$H)</f>
        <v>-47.489032999999999</v>
      </c>
      <c r="R445" s="20">
        <f t="shared" si="6"/>
        <v>49.213480891800103</v>
      </c>
    </row>
    <row r="446" spans="1:18" x14ac:dyDescent="0.3">
      <c r="A446" s="24">
        <v>3442201</v>
      </c>
      <c r="B446" s="24" t="s">
        <v>765</v>
      </c>
      <c r="C446" s="24">
        <v>402301097</v>
      </c>
      <c r="D446" s="24" t="str">
        <f>_xlfn.XLOOKUP(C446,Planilha3!A:A,Planilha3!C:C)</f>
        <v>PARANÃ</v>
      </c>
      <c r="E446" s="24">
        <v>1</v>
      </c>
      <c r="F446" s="51">
        <f>_xlfn.XLOOKUP(C446,Planilha3!A:A,Planilha3!E:E)</f>
        <v>45387</v>
      </c>
      <c r="G446" s="51">
        <f>_xlfn.XLOOKUP(C446,Planilha3!A:A,Planilha3!F:F)</f>
        <v>45399</v>
      </c>
      <c r="H446" s="51">
        <f>_xlfn.XLOOKUP(C446,Planilha3!A:A,Planilha3!G:G)</f>
        <v>45922</v>
      </c>
      <c r="I446" s="23">
        <f>_xlfn.XLOOKUP(K446,Grupo!F:F,Grupo!G:G)</f>
        <v>46440.22</v>
      </c>
      <c r="J446" s="6">
        <f>_xlfn.XLOOKUP(D446,Grupo!B:B,Grupo!C:C)</f>
        <v>10</v>
      </c>
      <c r="K446" s="24">
        <f>_xlfn.XLOOKUP(A446,[1]COORDENADAS_GEOGRÁFICAS!$D:$D,[1]COORDENADAS_GEOGRÁFICAS!$F:$F)</f>
        <v>80</v>
      </c>
      <c r="N446" s="52">
        <f>_xlfn.XLOOKUP(D446,Grupo!B:B,Grupo!D:D)</f>
        <v>-12.620481488718251</v>
      </c>
      <c r="O446" s="52">
        <f>_xlfn.XLOOKUP(D446,Grupo!B:B,Grupo!E:E)</f>
        <v>-47.884083728442604</v>
      </c>
      <c r="P446" s="52">
        <f>_xlfn.XLOOKUP(A446,[1]COORDENADAS_GEOGRÁFICAS!$D:$D,[1]COORDENADAS_GEOGRÁFICAS!$G:$G)</f>
        <v>-12.741455</v>
      </c>
      <c r="Q446" s="52">
        <f>_xlfn.XLOOKUP(A446,[1]COORDENADAS_GEOGRÁFICAS!$D:$D,[1]COORDENADAS_GEOGRÁFICAS!$H:$H)</f>
        <v>-47.374828000000001</v>
      </c>
      <c r="R446" s="20">
        <f t="shared" si="6"/>
        <v>56.859452397252369</v>
      </c>
    </row>
    <row r="447" spans="1:18" x14ac:dyDescent="0.3">
      <c r="A447" s="24">
        <v>3442283</v>
      </c>
      <c r="B447" s="24" t="s">
        <v>765</v>
      </c>
      <c r="C447" s="24">
        <v>402301098</v>
      </c>
      <c r="D447" s="24" t="str">
        <f>_xlfn.XLOOKUP(C447,Planilha3!A:A,Planilha3!C:C)</f>
        <v>PARANÃ</v>
      </c>
      <c r="E447" s="24">
        <v>1</v>
      </c>
      <c r="F447" s="51">
        <f>_xlfn.XLOOKUP(C447,Planilha3!A:A,Planilha3!E:E)</f>
        <v>45386</v>
      </c>
      <c r="G447" s="51">
        <f>_xlfn.XLOOKUP(C447,Planilha3!A:A,Planilha3!F:F)</f>
        <v>45399</v>
      </c>
      <c r="H447" s="51">
        <f>_xlfn.XLOOKUP(C447,Planilha3!A:A,Planilha3!G:G)</f>
        <v>45922</v>
      </c>
      <c r="I447" s="23">
        <f>_xlfn.XLOOKUP(K447,Grupo!F:F,Grupo!G:G)</f>
        <v>46440.22</v>
      </c>
      <c r="J447" s="6">
        <f>_xlfn.XLOOKUP(D447,Grupo!B:B,Grupo!C:C)</f>
        <v>10</v>
      </c>
      <c r="K447" s="24">
        <f>_xlfn.XLOOKUP(A447,[1]COORDENADAS_GEOGRÁFICAS!$D:$D,[1]COORDENADAS_GEOGRÁFICAS!$F:$F)</f>
        <v>80</v>
      </c>
      <c r="N447" s="52">
        <f>_xlfn.XLOOKUP(D447,Grupo!B:B,Grupo!D:D)</f>
        <v>-12.620481488718251</v>
      </c>
      <c r="O447" s="52">
        <f>_xlfn.XLOOKUP(D447,Grupo!B:B,Grupo!E:E)</f>
        <v>-47.884083728442604</v>
      </c>
      <c r="P447" s="52">
        <f>_xlfn.XLOOKUP(A447,[1]COORDENADAS_GEOGRÁFICAS!$D:$D,[1]COORDENADAS_GEOGRÁFICAS!$G:$G)</f>
        <v>-12.705632</v>
      </c>
      <c r="Q447" s="52">
        <f>_xlfn.XLOOKUP(A447,[1]COORDENADAS_GEOGRÁFICAS!$D:$D,[1]COORDENADAS_GEOGRÁFICAS!$H:$H)</f>
        <v>-47.374578</v>
      </c>
      <c r="R447" s="20">
        <f t="shared" si="6"/>
        <v>56.08143162864846</v>
      </c>
    </row>
    <row r="448" spans="1:18" x14ac:dyDescent="0.3">
      <c r="A448" s="24">
        <v>3463053</v>
      </c>
      <c r="B448" s="24" t="s">
        <v>765</v>
      </c>
      <c r="C448" s="24">
        <v>402301104</v>
      </c>
      <c r="D448" s="24" t="str">
        <f>_xlfn.XLOOKUP(C448,Planilha3!A:A,Planilha3!C:C)</f>
        <v>PARANÃ</v>
      </c>
      <c r="E448" s="24">
        <v>1</v>
      </c>
      <c r="F448" s="51">
        <f>_xlfn.XLOOKUP(C448,Planilha3!A:A,Planilha3!E:E)</f>
        <v>45425</v>
      </c>
      <c r="G448" s="51">
        <f>_xlfn.XLOOKUP(C448,Planilha3!A:A,Planilha3!F:F)</f>
        <v>45440</v>
      </c>
      <c r="H448" s="51">
        <f>_xlfn.XLOOKUP(C448,Planilha3!A:A,Planilha3!G:G)</f>
        <v>45922</v>
      </c>
      <c r="I448" s="23">
        <f>_xlfn.XLOOKUP(K448,Grupo!F:F,Grupo!G:G)</f>
        <v>46440.22</v>
      </c>
      <c r="J448" s="6">
        <f>_xlfn.XLOOKUP(D448,Grupo!B:B,Grupo!C:C)</f>
        <v>10</v>
      </c>
      <c r="K448" s="24">
        <f>_xlfn.XLOOKUP(A448,[1]COORDENADAS_GEOGRÁFICAS!$D:$D,[1]COORDENADAS_GEOGRÁFICAS!$F:$F)</f>
        <v>80</v>
      </c>
      <c r="N448" s="52">
        <f>_xlfn.XLOOKUP(D448,Grupo!B:B,Grupo!D:D)</f>
        <v>-12.620481488718251</v>
      </c>
      <c r="O448" s="52">
        <f>_xlfn.XLOOKUP(D448,Grupo!B:B,Grupo!E:E)</f>
        <v>-47.884083728442604</v>
      </c>
      <c r="P448" s="52">
        <f>_xlfn.XLOOKUP(A448,[1]COORDENADAS_GEOGRÁFICAS!$D:$D,[1]COORDENADAS_GEOGRÁFICAS!$G:$G)</f>
        <v>-12.65499</v>
      </c>
      <c r="Q448" s="52">
        <f>_xlfn.XLOOKUP(A448,[1]COORDENADAS_GEOGRÁFICAS!$D:$D,[1]COORDENADAS_GEOGRÁFICAS!$H:$H)</f>
        <v>-47.396852000000003</v>
      </c>
      <c r="R448" s="20">
        <f t="shared" si="6"/>
        <v>53.004194153130264</v>
      </c>
    </row>
    <row r="449" spans="1:18" x14ac:dyDescent="0.3">
      <c r="A449" s="24">
        <v>3459540</v>
      </c>
      <c r="B449" s="24" t="s">
        <v>765</v>
      </c>
      <c r="C449" s="24">
        <v>402301123</v>
      </c>
      <c r="D449" s="24" t="str">
        <f>_xlfn.XLOOKUP(C449,Planilha3!A:A,Planilha3!C:C)</f>
        <v>PARANÃ</v>
      </c>
      <c r="E449" s="24">
        <v>1</v>
      </c>
      <c r="F449" s="51">
        <f>_xlfn.XLOOKUP(C449,Planilha3!A:A,Planilha3!E:E)</f>
        <v>45424</v>
      </c>
      <c r="G449" s="51">
        <f>_xlfn.XLOOKUP(C449,Planilha3!A:A,Planilha3!F:F)</f>
        <v>45440</v>
      </c>
      <c r="H449" s="51">
        <f>_xlfn.XLOOKUP(C449,Planilha3!A:A,Planilha3!G:G)</f>
        <v>45922</v>
      </c>
      <c r="I449" s="23">
        <f>_xlfn.XLOOKUP(K449,Grupo!F:F,Grupo!G:G)</f>
        <v>46440.22</v>
      </c>
      <c r="J449" s="6">
        <f>_xlfn.XLOOKUP(D449,Grupo!B:B,Grupo!C:C)</f>
        <v>10</v>
      </c>
      <c r="K449" s="24">
        <f>_xlfn.XLOOKUP(A449,[1]COORDENADAS_GEOGRÁFICAS!$D:$D,[1]COORDENADAS_GEOGRÁFICAS!$F:$F)</f>
        <v>80</v>
      </c>
      <c r="N449" s="52">
        <f>_xlfn.XLOOKUP(D449,Grupo!B:B,Grupo!D:D)</f>
        <v>-12.620481488718251</v>
      </c>
      <c r="O449" s="52">
        <f>_xlfn.XLOOKUP(D449,Grupo!B:B,Grupo!E:E)</f>
        <v>-47.884083728442604</v>
      </c>
      <c r="P449" s="52">
        <f>_xlfn.XLOOKUP(A449,[1]COORDENADAS_GEOGRÁFICAS!$D:$D,[1]COORDENADAS_GEOGRÁFICAS!$G:$G)</f>
        <v>-12.870118</v>
      </c>
      <c r="Q449" s="52">
        <f>_xlfn.XLOOKUP(A449,[1]COORDENADAS_GEOGRÁFICAS!$D:$D,[1]COORDENADAS_GEOGRÁFICAS!$H:$H)</f>
        <v>-47.579957</v>
      </c>
      <c r="R449" s="20">
        <f t="shared" si="6"/>
        <v>43.110010230121972</v>
      </c>
    </row>
    <row r="450" spans="1:18" x14ac:dyDescent="0.3">
      <c r="A450" s="24">
        <v>3463051</v>
      </c>
      <c r="B450" s="24" t="s">
        <v>765</v>
      </c>
      <c r="C450" s="24">
        <v>402301124</v>
      </c>
      <c r="D450" s="24" t="str">
        <f>_xlfn.XLOOKUP(C450,Planilha3!A:A,Planilha3!C:C)</f>
        <v>PARANÃ</v>
      </c>
      <c r="E450" s="24">
        <v>1</v>
      </c>
      <c r="F450" s="51">
        <f>_xlfn.XLOOKUP(C450,Planilha3!A:A,Planilha3!E:E)</f>
        <v>45429</v>
      </c>
      <c r="G450" s="51">
        <f>_xlfn.XLOOKUP(C450,Planilha3!A:A,Planilha3!F:F)</f>
        <v>45440</v>
      </c>
      <c r="H450" s="51">
        <f>_xlfn.XLOOKUP(C450,Planilha3!A:A,Planilha3!G:G)</f>
        <v>45922</v>
      </c>
      <c r="I450" s="23">
        <f>_xlfn.XLOOKUP(K450,Grupo!F:F,Grupo!G:G)</f>
        <v>46440.22</v>
      </c>
      <c r="J450" s="6">
        <f>_xlfn.XLOOKUP(D450,Grupo!B:B,Grupo!C:C)</f>
        <v>10</v>
      </c>
      <c r="K450" s="24">
        <f>_xlfn.XLOOKUP(A450,[1]COORDENADAS_GEOGRÁFICAS!$D:$D,[1]COORDENADAS_GEOGRÁFICAS!$F:$F)</f>
        <v>80</v>
      </c>
      <c r="N450" s="52">
        <f>_xlfn.XLOOKUP(D450,Grupo!B:B,Grupo!D:D)</f>
        <v>-12.620481488718251</v>
      </c>
      <c r="O450" s="52">
        <f>_xlfn.XLOOKUP(D450,Grupo!B:B,Grupo!E:E)</f>
        <v>-47.884083728442604</v>
      </c>
      <c r="P450" s="52">
        <f>_xlfn.XLOOKUP(A450,[1]COORDENADAS_GEOGRÁFICAS!$D:$D,[1]COORDENADAS_GEOGRÁFICAS!$G:$G)</f>
        <v>-12.409048</v>
      </c>
      <c r="Q450" s="52">
        <f>_xlfn.XLOOKUP(A450,[1]COORDENADAS_GEOGRÁFICAS!$D:$D,[1]COORDENADAS_GEOGRÁFICAS!$H:$H)</f>
        <v>-48.127732999999999</v>
      </c>
      <c r="R450" s="20">
        <f t="shared" si="6"/>
        <v>35.387516565846269</v>
      </c>
    </row>
    <row r="451" spans="1:18" x14ac:dyDescent="0.3">
      <c r="A451" s="24">
        <v>3464069</v>
      </c>
      <c r="B451" s="24" t="s">
        <v>765</v>
      </c>
      <c r="C451" s="24">
        <v>402301125</v>
      </c>
      <c r="D451" s="24" t="str">
        <f>_xlfn.XLOOKUP(C451,Planilha3!A:A,Planilha3!C:C)</f>
        <v>PARANÃ</v>
      </c>
      <c r="E451" s="24">
        <v>1</v>
      </c>
      <c r="F451" s="51">
        <f>_xlfn.XLOOKUP(C451,Planilha3!A:A,Planilha3!E:E)</f>
        <v>45428</v>
      </c>
      <c r="G451" s="51">
        <f>_xlfn.XLOOKUP(C451,Planilha3!A:A,Planilha3!F:F)</f>
        <v>45440</v>
      </c>
      <c r="H451" s="51">
        <f>_xlfn.XLOOKUP(C451,Planilha3!A:A,Planilha3!G:G)</f>
        <v>45922</v>
      </c>
      <c r="I451" s="23">
        <f>_xlfn.XLOOKUP(K451,Grupo!F:F,Grupo!G:G)</f>
        <v>46440.22</v>
      </c>
      <c r="J451" s="6">
        <f>_xlfn.XLOOKUP(D451,Grupo!B:B,Grupo!C:C)</f>
        <v>10</v>
      </c>
      <c r="K451" s="24">
        <f>_xlfn.XLOOKUP(A451,[1]COORDENADAS_GEOGRÁFICAS!$D:$D,[1]COORDENADAS_GEOGRÁFICAS!$F:$F)</f>
        <v>80</v>
      </c>
      <c r="N451" s="52">
        <f>_xlfn.XLOOKUP(D451,Grupo!B:B,Grupo!D:D)</f>
        <v>-12.620481488718251</v>
      </c>
      <c r="O451" s="52">
        <f>_xlfn.XLOOKUP(D451,Grupo!B:B,Grupo!E:E)</f>
        <v>-47.884083728442604</v>
      </c>
      <c r="P451" s="52">
        <f>_xlfn.XLOOKUP(A451,[1]COORDENADAS_GEOGRÁFICAS!$D:$D,[1]COORDENADAS_GEOGRÁFICAS!$G:$G)</f>
        <v>-12.657158000000001</v>
      </c>
      <c r="Q451" s="52">
        <f>_xlfn.XLOOKUP(A451,[1]COORDENADAS_GEOGRÁFICAS!$D:$D,[1]COORDENADAS_GEOGRÁFICAS!$H:$H)</f>
        <v>-47.399990000000003</v>
      </c>
      <c r="R451" s="20">
        <f t="shared" si="6"/>
        <v>52.682508207354367</v>
      </c>
    </row>
    <row r="452" spans="1:18" x14ac:dyDescent="0.3">
      <c r="A452" s="24">
        <v>3440124</v>
      </c>
      <c r="B452" s="24" t="s">
        <v>765</v>
      </c>
      <c r="C452" s="24">
        <v>402301120</v>
      </c>
      <c r="D452" s="24" t="str">
        <f>_xlfn.XLOOKUP(C452,Planilha3!A:A,Planilha3!C:C)</f>
        <v>PARANÃ</v>
      </c>
      <c r="E452" s="24">
        <v>1</v>
      </c>
      <c r="F452" s="51">
        <f>_xlfn.XLOOKUP(C452,Planilha3!A:A,Planilha3!E:E)</f>
        <v>45385</v>
      </c>
      <c r="G452" s="51">
        <f>_xlfn.XLOOKUP(C452,Planilha3!A:A,Planilha3!F:F)</f>
        <v>45398</v>
      </c>
      <c r="H452" s="51">
        <f>_xlfn.XLOOKUP(C452,Planilha3!A:A,Planilha3!G:G)</f>
        <v>45922</v>
      </c>
      <c r="I452" s="23">
        <f>_xlfn.XLOOKUP(K452,Grupo!F:F,Grupo!G:G)</f>
        <v>46440.22</v>
      </c>
      <c r="J452" s="6">
        <f>_xlfn.XLOOKUP(D452,Grupo!B:B,Grupo!C:C)</f>
        <v>10</v>
      </c>
      <c r="K452" s="24">
        <f>_xlfn.XLOOKUP(A452,[1]COORDENADAS_GEOGRÁFICAS!$D:$D,[1]COORDENADAS_GEOGRÁFICAS!$F:$F)</f>
        <v>80</v>
      </c>
      <c r="N452" s="52">
        <f>_xlfn.XLOOKUP(D452,Grupo!B:B,Grupo!D:D)</f>
        <v>-12.620481488718251</v>
      </c>
      <c r="O452" s="52">
        <f>_xlfn.XLOOKUP(D452,Grupo!B:B,Grupo!E:E)</f>
        <v>-47.884083728442604</v>
      </c>
      <c r="P452" s="52">
        <f>_xlfn.XLOOKUP(A452,[1]COORDENADAS_GEOGRÁFICAS!$D:$D,[1]COORDENADAS_GEOGRÁFICAS!$G:$G)</f>
        <v>-12.870329999999999</v>
      </c>
      <c r="Q452" s="52">
        <f>_xlfn.XLOOKUP(A452,[1]COORDENADAS_GEOGRÁFICAS!$D:$D,[1]COORDENADAS_GEOGRÁFICAS!$H:$H)</f>
        <v>-47.565942</v>
      </c>
      <c r="R452" s="20">
        <f t="shared" si="6"/>
        <v>44.298566804118543</v>
      </c>
    </row>
    <row r="453" spans="1:18" x14ac:dyDescent="0.3">
      <c r="A453" s="24">
        <v>3441258</v>
      </c>
      <c r="B453" s="24" t="s">
        <v>765</v>
      </c>
      <c r="C453" s="24">
        <v>402301121</v>
      </c>
      <c r="D453" s="24" t="str">
        <f>_xlfn.XLOOKUP(C453,Planilha3!A:A,Planilha3!C:C)</f>
        <v>PARANÃ</v>
      </c>
      <c r="E453" s="24">
        <v>1</v>
      </c>
      <c r="F453" s="51">
        <f>_xlfn.XLOOKUP(C453,Planilha3!A:A,Planilha3!E:E)</f>
        <v>45383</v>
      </c>
      <c r="G453" s="51">
        <f>_xlfn.XLOOKUP(C453,Planilha3!A:A,Planilha3!F:F)</f>
        <v>45398</v>
      </c>
      <c r="H453" s="51">
        <f>_xlfn.XLOOKUP(C453,Planilha3!A:A,Planilha3!G:G)</f>
        <v>45922</v>
      </c>
      <c r="I453" s="23">
        <f>_xlfn.XLOOKUP(K453,Grupo!F:F,Grupo!G:G)</f>
        <v>46440.22</v>
      </c>
      <c r="J453" s="6">
        <f>_xlfn.XLOOKUP(D453,Grupo!B:B,Grupo!C:C)</f>
        <v>10</v>
      </c>
      <c r="K453" s="24">
        <f>_xlfn.XLOOKUP(A453,[1]COORDENADAS_GEOGRÁFICAS!$D:$D,[1]COORDENADAS_GEOGRÁFICAS!$F:$F)</f>
        <v>80</v>
      </c>
      <c r="N453" s="52">
        <f>_xlfn.XLOOKUP(D453,Grupo!B:B,Grupo!D:D)</f>
        <v>-12.620481488718251</v>
      </c>
      <c r="O453" s="52">
        <f>_xlfn.XLOOKUP(D453,Grupo!B:B,Grupo!E:E)</f>
        <v>-47.884083728442604</v>
      </c>
      <c r="P453" s="52">
        <f>_xlfn.XLOOKUP(A453,[1]COORDENADAS_GEOGRÁFICAS!$D:$D,[1]COORDENADAS_GEOGRÁFICAS!$G:$G)</f>
        <v>-12.747966999999999</v>
      </c>
      <c r="Q453" s="52">
        <f>_xlfn.XLOOKUP(A453,[1]COORDENADAS_GEOGRÁFICAS!$D:$D,[1]COORDENADAS_GEOGRÁFICAS!$H:$H)</f>
        <v>-47.689593000000002</v>
      </c>
      <c r="R453" s="20">
        <f t="shared" ref="R453" si="7">6371*ACOS(COS(PI()*(90-P453)/180)*COS((90-N453)*PI()/180)+SIN((90-P453)*PI()/180)*SIN((90-N453)*PI()/180)*COS((Q453-O453)*PI()/180))</f>
        <v>25.418536243875188</v>
      </c>
    </row>
  </sheetData>
  <autoFilter ref="A3:R1048576" xr:uid="{00000000-0001-0000-0000-000000000000}"/>
  <phoneticPr fontId="22" type="noConversion"/>
  <conditionalFormatting sqref="A4:B4 A5:A453 B5:B1048576">
    <cfRule type="duplicateValues" dxfId="3" priority="5"/>
  </conditionalFormatting>
  <pageMargins left="0.511811024" right="0.511811024" top="0.78740157499999996" bottom="0.78740157499999996" header="0.31496062000000002" footer="0.31496062000000002"/>
  <pageSetup orientation="portrait" horizontalDpi="4294967293" r:id="rId1"/>
  <headerFooter>
    <oddFooter>&amp;C_x000D_&amp;1#&amp;"Calibri"&amp;10&amp;K0000FF Classificação: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FACF-6D49-4764-9A1D-1CADE814D0DD}">
  <dimension ref="A1:Q903"/>
  <sheetViews>
    <sheetView workbookViewId="0">
      <selection activeCell="I454" sqref="I454:I903"/>
    </sheetView>
  </sheetViews>
  <sheetFormatPr defaultColWidth="17.88671875" defaultRowHeight="14.4" x14ac:dyDescent="0.3"/>
  <cols>
    <col min="1" max="2" width="17.88671875" style="34"/>
    <col min="4" max="5" width="17.88671875" style="46"/>
    <col min="6" max="6" width="17.88671875" style="27"/>
    <col min="7" max="8" width="17.88671875" style="34"/>
  </cols>
  <sheetData>
    <row r="1" spans="1:17" x14ac:dyDescent="0.3">
      <c r="A1" s="48" t="s">
        <v>14</v>
      </c>
      <c r="D1" s="45"/>
      <c r="G1" s="47"/>
      <c r="H1" s="47"/>
      <c r="K1" s="28"/>
      <c r="L1" s="27"/>
      <c r="M1" s="27"/>
      <c r="N1" s="28"/>
      <c r="O1" s="28"/>
      <c r="P1" s="28"/>
      <c r="Q1" s="27"/>
    </row>
    <row r="2" spans="1:17" ht="15" thickBot="1" x14ac:dyDescent="0.35">
      <c r="A2" s="49" t="s">
        <v>19</v>
      </c>
      <c r="G2" s="47"/>
      <c r="H2" s="47"/>
      <c r="K2" s="28"/>
      <c r="L2" s="27"/>
      <c r="M2" s="27"/>
      <c r="N2" s="28"/>
      <c r="O2" s="28"/>
      <c r="P2" s="28"/>
      <c r="Q2" s="27"/>
    </row>
    <row r="3" spans="1:17" ht="27" thickTop="1" x14ac:dyDescent="0.3">
      <c r="A3" s="29" t="s">
        <v>142</v>
      </c>
      <c r="B3" s="29" t="s">
        <v>120</v>
      </c>
      <c r="C3" s="29" t="s">
        <v>143</v>
      </c>
      <c r="D3" s="30" t="s">
        <v>3</v>
      </c>
      <c r="E3" s="30" t="s">
        <v>4</v>
      </c>
      <c r="F3" s="31" t="s">
        <v>144</v>
      </c>
      <c r="G3" s="32" t="s">
        <v>145</v>
      </c>
      <c r="H3" s="32" t="s">
        <v>146</v>
      </c>
      <c r="I3" s="29" t="s">
        <v>147</v>
      </c>
      <c r="J3" s="29" t="s">
        <v>6</v>
      </c>
      <c r="K3" s="32" t="s">
        <v>148</v>
      </c>
      <c r="L3" s="33" t="s">
        <v>149</v>
      </c>
      <c r="M3" s="33" t="s">
        <v>150</v>
      </c>
      <c r="N3" s="32" t="s">
        <v>151</v>
      </c>
      <c r="O3" s="32" t="s">
        <v>152</v>
      </c>
      <c r="P3" s="32" t="s">
        <v>153</v>
      </c>
      <c r="Q3" s="31" t="s">
        <v>154</v>
      </c>
    </row>
    <row r="4" spans="1:17" x14ac:dyDescent="0.3">
      <c r="A4" s="34">
        <f>CALCULO_VR!A4</f>
        <v>3464081</v>
      </c>
      <c r="B4" s="34" t="str">
        <f>CALCULO_VR!B4</f>
        <v>MLPA</v>
      </c>
      <c r="C4" t="s">
        <v>1427</v>
      </c>
      <c r="D4" s="46">
        <f>CALCULO_VR!F4</f>
        <v>45436.387141203704</v>
      </c>
      <c r="E4" s="46">
        <f>CALCULO_VR!G4</f>
        <v>45447.387141203704</v>
      </c>
      <c r="F4" s="27">
        <f>CALCULO_VR!I4</f>
        <v>46440.22</v>
      </c>
      <c r="G4" s="34">
        <f>CALCULO_VR!E4</f>
        <v>1</v>
      </c>
      <c r="H4" s="34">
        <f>G4</f>
        <v>1</v>
      </c>
      <c r="I4" t="s">
        <v>6587</v>
      </c>
      <c r="J4" s="63">
        <f>CALCULO_VR!J4</f>
        <v>10</v>
      </c>
      <c r="Q4" s="44">
        <f>CALCULO_VR!R4</f>
        <v>29.965319390751425</v>
      </c>
    </row>
    <row r="5" spans="1:17" x14ac:dyDescent="0.3">
      <c r="A5" s="34">
        <f>CALCULO_VR!A5</f>
        <v>3459335</v>
      </c>
      <c r="B5" s="34" t="str">
        <f>CALCULO_VR!B5</f>
        <v>MLPA</v>
      </c>
      <c r="C5" t="s">
        <v>1427</v>
      </c>
      <c r="D5" s="46">
        <f>CALCULO_VR!F5</f>
        <v>45445.697465277779</v>
      </c>
      <c r="E5" s="46">
        <f>CALCULO_VR!G5</f>
        <v>45457.697465277779</v>
      </c>
      <c r="F5" s="27">
        <f>CALCULO_VR!I5</f>
        <v>46440.22</v>
      </c>
      <c r="G5" s="34">
        <f>CALCULO_VR!E5</f>
        <v>1</v>
      </c>
      <c r="H5" s="34">
        <f t="shared" ref="H5:H68" si="0">G5</f>
        <v>1</v>
      </c>
      <c r="I5" t="s">
        <v>6587</v>
      </c>
      <c r="J5" s="63">
        <f>CALCULO_VR!J5</f>
        <v>10</v>
      </c>
      <c r="Q5" s="44">
        <f>CALCULO_VR!R5</f>
        <v>53.480407998911765</v>
      </c>
    </row>
    <row r="6" spans="1:17" x14ac:dyDescent="0.3">
      <c r="A6" s="34">
        <f>CALCULO_VR!A6</f>
        <v>3467062</v>
      </c>
      <c r="B6" s="34" t="str">
        <f>CALCULO_VR!B6</f>
        <v>MLPA</v>
      </c>
      <c r="C6" t="s">
        <v>1427</v>
      </c>
      <c r="D6" s="46">
        <f>CALCULO_VR!F6</f>
        <v>45447.662604166668</v>
      </c>
      <c r="E6" s="46">
        <f>CALCULO_VR!G6</f>
        <v>45460.662604166668</v>
      </c>
      <c r="F6" s="27">
        <f>CALCULO_VR!I6</f>
        <v>46440.22</v>
      </c>
      <c r="G6" s="34">
        <f>CALCULO_VR!E6</f>
        <v>1</v>
      </c>
      <c r="H6" s="34">
        <f t="shared" si="0"/>
        <v>1</v>
      </c>
      <c r="I6" t="s">
        <v>6587</v>
      </c>
      <c r="J6" s="63">
        <f>CALCULO_VR!J6</f>
        <v>10</v>
      </c>
      <c r="Q6" s="44">
        <f>CALCULO_VR!R6</f>
        <v>54.494131154217385</v>
      </c>
    </row>
    <row r="7" spans="1:17" x14ac:dyDescent="0.3">
      <c r="A7" s="34">
        <f>CALCULO_VR!A7</f>
        <v>3430975</v>
      </c>
      <c r="B7" s="34" t="str">
        <f>CALCULO_VR!B7</f>
        <v>MLPA</v>
      </c>
      <c r="C7" t="s">
        <v>1427</v>
      </c>
      <c r="D7" s="46">
        <f>CALCULO_VR!F7</f>
        <v>45299.633703703701</v>
      </c>
      <c r="E7" s="46">
        <f>CALCULO_VR!G7</f>
        <v>45314.633703703701</v>
      </c>
      <c r="F7" s="27">
        <f>CALCULO_VR!I7</f>
        <v>46440.22</v>
      </c>
      <c r="G7" s="34">
        <f>CALCULO_VR!E7</f>
        <v>1</v>
      </c>
      <c r="H7" s="34">
        <f t="shared" si="0"/>
        <v>1</v>
      </c>
      <c r="I7" t="s">
        <v>6587</v>
      </c>
      <c r="J7" s="63">
        <f>CALCULO_VR!J7</f>
        <v>10</v>
      </c>
      <c r="Q7" s="44">
        <f>CALCULO_VR!R7</f>
        <v>49.623560144363218</v>
      </c>
    </row>
    <row r="8" spans="1:17" x14ac:dyDescent="0.3">
      <c r="A8" s="34">
        <f>CALCULO_VR!A8</f>
        <v>3434827</v>
      </c>
      <c r="B8" s="34" t="str">
        <f>CALCULO_VR!B8</f>
        <v>MLPA</v>
      </c>
      <c r="C8" t="s">
        <v>1427</v>
      </c>
      <c r="D8" s="46">
        <f>CALCULO_VR!F8</f>
        <v>45298.603113425925</v>
      </c>
      <c r="E8" s="46">
        <f>CALCULO_VR!G8</f>
        <v>45314.603113425925</v>
      </c>
      <c r="F8" s="27">
        <f>CALCULO_VR!I8</f>
        <v>46440.22</v>
      </c>
      <c r="G8" s="34">
        <f>CALCULO_VR!E8</f>
        <v>1</v>
      </c>
      <c r="H8" s="34">
        <f t="shared" si="0"/>
        <v>1</v>
      </c>
      <c r="I8" t="s">
        <v>6587</v>
      </c>
      <c r="J8" s="63">
        <f>CALCULO_VR!J8</f>
        <v>10</v>
      </c>
      <c r="Q8" s="44">
        <f>CALCULO_VR!R8</f>
        <v>51.928188752427744</v>
      </c>
    </row>
    <row r="9" spans="1:17" x14ac:dyDescent="0.3">
      <c r="A9" s="34">
        <f>CALCULO_VR!A9</f>
        <v>3434698</v>
      </c>
      <c r="B9" s="34" t="str">
        <f>CALCULO_VR!B9</f>
        <v>MLPA</v>
      </c>
      <c r="C9" t="s">
        <v>1427</v>
      </c>
      <c r="D9" s="46">
        <f>CALCULO_VR!F9</f>
        <v>45303.598402777781</v>
      </c>
      <c r="E9" s="46">
        <f>CALCULO_VR!G9</f>
        <v>45314.598402777781</v>
      </c>
      <c r="F9" s="27">
        <f>CALCULO_VR!I9</f>
        <v>46440.22</v>
      </c>
      <c r="G9" s="34">
        <f>CALCULO_VR!E9</f>
        <v>1</v>
      </c>
      <c r="H9" s="34">
        <f t="shared" si="0"/>
        <v>1</v>
      </c>
      <c r="I9" t="s">
        <v>6587</v>
      </c>
      <c r="J9" s="63">
        <f>CALCULO_VR!J9</f>
        <v>10</v>
      </c>
      <c r="Q9" s="44">
        <f>CALCULO_VR!R9</f>
        <v>55.189405592787558</v>
      </c>
    </row>
    <row r="10" spans="1:17" x14ac:dyDescent="0.3">
      <c r="A10" s="34">
        <f>CALCULO_VR!A10</f>
        <v>3466701</v>
      </c>
      <c r="B10" s="34" t="str">
        <f>CALCULO_VR!B10</f>
        <v>MLPA</v>
      </c>
      <c r="C10" t="s">
        <v>1427</v>
      </c>
      <c r="D10" s="46">
        <f>CALCULO_VR!F10</f>
        <v>45445.662835648145</v>
      </c>
      <c r="E10" s="46">
        <f>CALCULO_VR!G10</f>
        <v>45457.662835648145</v>
      </c>
      <c r="F10" s="27">
        <f>CALCULO_VR!I10</f>
        <v>46440.22</v>
      </c>
      <c r="G10" s="34">
        <f>CALCULO_VR!E10</f>
        <v>1</v>
      </c>
      <c r="H10" s="34">
        <f t="shared" si="0"/>
        <v>1</v>
      </c>
      <c r="I10" t="s">
        <v>6587</v>
      </c>
      <c r="J10" s="63">
        <f>CALCULO_VR!J10</f>
        <v>10</v>
      </c>
      <c r="Q10" s="44">
        <f>CALCULO_VR!R10</f>
        <v>53.885312947294189</v>
      </c>
    </row>
    <row r="11" spans="1:17" x14ac:dyDescent="0.3">
      <c r="A11" s="34">
        <f>CALCULO_VR!A11</f>
        <v>3464244</v>
      </c>
      <c r="B11" s="34" t="str">
        <f>CALCULO_VR!B11</f>
        <v>MLPA</v>
      </c>
      <c r="C11" t="s">
        <v>1427</v>
      </c>
      <c r="D11" s="46">
        <f>CALCULO_VR!F11</f>
        <v>45443.453564814816</v>
      </c>
      <c r="E11" s="46">
        <f>CALCULO_VR!G11</f>
        <v>45456.453564814816</v>
      </c>
      <c r="F11" s="27">
        <f>CALCULO_VR!I11</f>
        <v>46440.22</v>
      </c>
      <c r="G11" s="34">
        <f>CALCULO_VR!E11</f>
        <v>1</v>
      </c>
      <c r="H11" s="34">
        <f t="shared" si="0"/>
        <v>1</v>
      </c>
      <c r="I11" t="s">
        <v>6587</v>
      </c>
      <c r="J11" s="63">
        <f>CALCULO_VR!J11</f>
        <v>10</v>
      </c>
      <c r="Q11" s="44">
        <f>CALCULO_VR!R11</f>
        <v>44.724411895693095</v>
      </c>
    </row>
    <row r="12" spans="1:17" x14ac:dyDescent="0.3">
      <c r="A12" s="34">
        <f>CALCULO_VR!A12</f>
        <v>3465687</v>
      </c>
      <c r="B12" s="34" t="str">
        <f>CALCULO_VR!B12</f>
        <v>MLPA</v>
      </c>
      <c r="C12" t="s">
        <v>1427</v>
      </c>
      <c r="D12" s="46">
        <f>CALCULO_VR!F12</f>
        <v>45442.63758101852</v>
      </c>
      <c r="E12" s="46">
        <f>CALCULO_VR!G12</f>
        <v>45457.63758101852</v>
      </c>
      <c r="F12" s="27">
        <f>CALCULO_VR!I12</f>
        <v>46440.22</v>
      </c>
      <c r="G12" s="34">
        <f>CALCULO_VR!E12</f>
        <v>1</v>
      </c>
      <c r="H12" s="34">
        <f t="shared" si="0"/>
        <v>1</v>
      </c>
      <c r="I12" t="s">
        <v>6587</v>
      </c>
      <c r="J12" s="63">
        <f>CALCULO_VR!J12</f>
        <v>10</v>
      </c>
      <c r="Q12" s="44">
        <f>CALCULO_VR!R12</f>
        <v>46.13624932160355</v>
      </c>
    </row>
    <row r="13" spans="1:17" x14ac:dyDescent="0.3">
      <c r="A13" s="34">
        <f>CALCULO_VR!A13</f>
        <v>3435800</v>
      </c>
      <c r="B13" s="34" t="str">
        <f>CALCULO_VR!B13</f>
        <v>MLPA</v>
      </c>
      <c r="C13" t="s">
        <v>1427</v>
      </c>
      <c r="D13" s="46">
        <f>CALCULO_VR!F13</f>
        <v>45305.615914351853</v>
      </c>
      <c r="E13" s="46">
        <f>CALCULO_VR!G13</f>
        <v>45316.615914351853</v>
      </c>
      <c r="F13" s="27">
        <f>CALCULO_VR!I13</f>
        <v>46440.22</v>
      </c>
      <c r="G13" s="34">
        <f>CALCULO_VR!E13</f>
        <v>1</v>
      </c>
      <c r="H13" s="34">
        <f t="shared" si="0"/>
        <v>1</v>
      </c>
      <c r="I13" t="s">
        <v>6587</v>
      </c>
      <c r="J13" s="63">
        <f>CALCULO_VR!J13</f>
        <v>10</v>
      </c>
      <c r="Q13" s="44">
        <f>CALCULO_VR!R13</f>
        <v>24.608187337934673</v>
      </c>
    </row>
    <row r="14" spans="1:17" x14ac:dyDescent="0.3">
      <c r="A14" s="34">
        <f>CALCULO_VR!A14</f>
        <v>3463633</v>
      </c>
      <c r="B14" s="34" t="str">
        <f>CALCULO_VR!B14</f>
        <v>MLPA</v>
      </c>
      <c r="C14" t="s">
        <v>1427</v>
      </c>
      <c r="D14" s="46">
        <f>CALCULO_VR!F14</f>
        <v>45436.680891203701</v>
      </c>
      <c r="E14" s="46">
        <f>CALCULO_VR!G14</f>
        <v>45448.680891203701</v>
      </c>
      <c r="F14" s="27">
        <f>CALCULO_VR!I14</f>
        <v>46440.22</v>
      </c>
      <c r="G14" s="34">
        <f>CALCULO_VR!E14</f>
        <v>1</v>
      </c>
      <c r="H14" s="34">
        <f t="shared" si="0"/>
        <v>1</v>
      </c>
      <c r="I14" t="s">
        <v>6587</v>
      </c>
      <c r="J14" s="63">
        <f>CALCULO_VR!J14</f>
        <v>10</v>
      </c>
      <c r="Q14" s="44">
        <f>CALCULO_VR!R14</f>
        <v>25.636784727334486</v>
      </c>
    </row>
    <row r="15" spans="1:17" x14ac:dyDescent="0.3">
      <c r="A15" s="34">
        <f>CALCULO_VR!A15</f>
        <v>3439684</v>
      </c>
      <c r="B15" s="34" t="str">
        <f>CALCULO_VR!B15</f>
        <v>MLPA</v>
      </c>
      <c r="C15" t="s">
        <v>1427</v>
      </c>
      <c r="D15" s="46">
        <f>CALCULO_VR!F15</f>
        <v>45303.609166666669</v>
      </c>
      <c r="E15" s="46">
        <f>CALCULO_VR!G15</f>
        <v>45316.609166666669</v>
      </c>
      <c r="F15" s="27">
        <f>CALCULO_VR!I15</f>
        <v>46440.22</v>
      </c>
      <c r="G15" s="34">
        <f>CALCULO_VR!E15</f>
        <v>1</v>
      </c>
      <c r="H15" s="34">
        <f t="shared" si="0"/>
        <v>1</v>
      </c>
      <c r="I15" t="s">
        <v>6587</v>
      </c>
      <c r="J15" s="63">
        <f>CALCULO_VR!J15</f>
        <v>10</v>
      </c>
      <c r="Q15" s="44">
        <f>CALCULO_VR!R15</f>
        <v>46.82691879041257</v>
      </c>
    </row>
    <row r="16" spans="1:17" x14ac:dyDescent="0.3">
      <c r="A16" s="34">
        <f>CALCULO_VR!A16</f>
        <v>3466189</v>
      </c>
      <c r="B16" s="34" t="str">
        <f>CALCULO_VR!B16</f>
        <v>MLPA</v>
      </c>
      <c r="C16" t="s">
        <v>1427</v>
      </c>
      <c r="D16" s="46">
        <f>CALCULO_VR!F16</f>
        <v>45445.637280092589</v>
      </c>
      <c r="E16" s="46">
        <f>CALCULO_VR!G16</f>
        <v>45460.637280092589</v>
      </c>
      <c r="F16" s="27">
        <f>CALCULO_VR!I16</f>
        <v>46440.22</v>
      </c>
      <c r="G16" s="34">
        <f>CALCULO_VR!E16</f>
        <v>1</v>
      </c>
      <c r="H16" s="34">
        <f t="shared" si="0"/>
        <v>1</v>
      </c>
      <c r="I16" t="s">
        <v>6587</v>
      </c>
      <c r="J16" s="63">
        <f>CALCULO_VR!J16</f>
        <v>10</v>
      </c>
      <c r="Q16" s="44">
        <f>CALCULO_VR!R16</f>
        <v>49.648066513570569</v>
      </c>
    </row>
    <row r="17" spans="1:17" x14ac:dyDescent="0.3">
      <c r="A17" s="34">
        <f>CALCULO_VR!A17</f>
        <v>3459487</v>
      </c>
      <c r="B17" s="34" t="str">
        <f>CALCULO_VR!B17</f>
        <v>MLPA</v>
      </c>
      <c r="C17" t="s">
        <v>1427</v>
      </c>
      <c r="D17" s="46">
        <f>CALCULO_VR!F17</f>
        <v>45444.647199074076</v>
      </c>
      <c r="E17" s="46">
        <f>CALCULO_VR!G17</f>
        <v>45460.647199074076</v>
      </c>
      <c r="F17" s="27">
        <f>CALCULO_VR!I17</f>
        <v>46440.22</v>
      </c>
      <c r="G17" s="34">
        <f>CALCULO_VR!E17</f>
        <v>1</v>
      </c>
      <c r="H17" s="34">
        <f t="shared" si="0"/>
        <v>1</v>
      </c>
      <c r="I17" t="s">
        <v>6587</v>
      </c>
      <c r="J17" s="63">
        <f>CALCULO_VR!J17</f>
        <v>10</v>
      </c>
      <c r="Q17" s="44">
        <f>CALCULO_VR!R17</f>
        <v>49.39501660606728</v>
      </c>
    </row>
    <row r="18" spans="1:17" x14ac:dyDescent="0.3">
      <c r="A18" s="34">
        <f>CALCULO_VR!A18</f>
        <v>3466458</v>
      </c>
      <c r="B18" s="34" t="str">
        <f>CALCULO_VR!B18</f>
        <v>MLPA</v>
      </c>
      <c r="C18" t="s">
        <v>1427</v>
      </c>
      <c r="D18" s="46">
        <f>CALCULO_VR!F18</f>
        <v>45446.587395833332</v>
      </c>
      <c r="E18" s="46">
        <f>CALCULO_VR!G18</f>
        <v>45457.587395833332</v>
      </c>
      <c r="F18" s="27">
        <f>CALCULO_VR!I18</f>
        <v>46440.22</v>
      </c>
      <c r="G18" s="34">
        <f>CALCULO_VR!E18</f>
        <v>1</v>
      </c>
      <c r="H18" s="34">
        <f t="shared" si="0"/>
        <v>1</v>
      </c>
      <c r="I18" t="s">
        <v>6587</v>
      </c>
      <c r="J18" s="63">
        <f>CALCULO_VR!J18</f>
        <v>10</v>
      </c>
      <c r="Q18" s="44">
        <f>CALCULO_VR!R18</f>
        <v>29.957171514712797</v>
      </c>
    </row>
    <row r="19" spans="1:17" x14ac:dyDescent="0.3">
      <c r="A19" s="34">
        <f>CALCULO_VR!A19</f>
        <v>3439267</v>
      </c>
      <c r="B19" s="34" t="str">
        <f>CALCULO_VR!B19</f>
        <v>MLPA</v>
      </c>
      <c r="C19" t="s">
        <v>1427</v>
      </c>
      <c r="D19" s="46">
        <f>CALCULO_VR!F19</f>
        <v>45304.662638888891</v>
      </c>
      <c r="E19" s="46">
        <f>CALCULO_VR!G19</f>
        <v>45316.662638888891</v>
      </c>
      <c r="F19" s="27">
        <f>CALCULO_VR!I19</f>
        <v>46440.22</v>
      </c>
      <c r="G19" s="34">
        <f>CALCULO_VR!E19</f>
        <v>1</v>
      </c>
      <c r="H19" s="34">
        <f t="shared" si="0"/>
        <v>1</v>
      </c>
      <c r="I19" t="s">
        <v>6587</v>
      </c>
      <c r="J19" s="63">
        <f>CALCULO_VR!J19</f>
        <v>10</v>
      </c>
      <c r="Q19" s="44">
        <f>CALCULO_VR!R19</f>
        <v>28.28288481718905</v>
      </c>
    </row>
    <row r="20" spans="1:17" x14ac:dyDescent="0.3">
      <c r="A20" s="34">
        <f>CALCULO_VR!A20</f>
        <v>3439403</v>
      </c>
      <c r="B20" s="34" t="str">
        <f>CALCULO_VR!B20</f>
        <v>MLPA</v>
      </c>
      <c r="C20" t="s">
        <v>1427</v>
      </c>
      <c r="D20" s="46">
        <f>CALCULO_VR!F20</f>
        <v>45385.412453703706</v>
      </c>
      <c r="E20" s="46">
        <f>CALCULO_VR!G20</f>
        <v>45398.412453703706</v>
      </c>
      <c r="F20" s="27">
        <f>CALCULO_VR!I20</f>
        <v>46440.22</v>
      </c>
      <c r="G20" s="34">
        <f>CALCULO_VR!E20</f>
        <v>1</v>
      </c>
      <c r="H20" s="34">
        <f t="shared" si="0"/>
        <v>1</v>
      </c>
      <c r="I20" t="s">
        <v>6587</v>
      </c>
      <c r="J20" s="63">
        <f>CALCULO_VR!J20</f>
        <v>10</v>
      </c>
      <c r="Q20" s="44">
        <f>CALCULO_VR!R20</f>
        <v>36.464625358308027</v>
      </c>
    </row>
    <row r="21" spans="1:17" x14ac:dyDescent="0.3">
      <c r="A21" s="34">
        <f>CALCULO_VR!A21</f>
        <v>3466640</v>
      </c>
      <c r="B21" s="34" t="str">
        <f>CALCULO_VR!B21</f>
        <v>MLPA</v>
      </c>
      <c r="C21" t="s">
        <v>1427</v>
      </c>
      <c r="D21" s="46">
        <f>CALCULO_VR!F21</f>
        <v>45442.393692129626</v>
      </c>
      <c r="E21" s="46">
        <f>CALCULO_VR!G21</f>
        <v>45457.393692129626</v>
      </c>
      <c r="F21" s="27">
        <f>CALCULO_VR!I21</f>
        <v>46440.22</v>
      </c>
      <c r="G21" s="34">
        <f>CALCULO_VR!E21</f>
        <v>1</v>
      </c>
      <c r="H21" s="34">
        <f t="shared" si="0"/>
        <v>1</v>
      </c>
      <c r="I21" t="s">
        <v>6587</v>
      </c>
      <c r="J21" s="63">
        <f>CALCULO_VR!J21</f>
        <v>10</v>
      </c>
      <c r="Q21" s="44">
        <f>CALCULO_VR!R21</f>
        <v>31.129243667266007</v>
      </c>
    </row>
    <row r="22" spans="1:17" x14ac:dyDescent="0.3">
      <c r="A22" s="34">
        <f>CALCULO_VR!A22</f>
        <v>3466448</v>
      </c>
      <c r="B22" s="34" t="str">
        <f>CALCULO_VR!B22</f>
        <v>MLPA</v>
      </c>
      <c r="C22" t="s">
        <v>1427</v>
      </c>
      <c r="D22" s="46">
        <f>CALCULO_VR!F22</f>
        <v>45446.423275462963</v>
      </c>
      <c r="E22" s="46">
        <f>CALCULO_VR!G22</f>
        <v>45457.423275462963</v>
      </c>
      <c r="F22" s="27">
        <f>CALCULO_VR!I22</f>
        <v>46440.22</v>
      </c>
      <c r="G22" s="34">
        <f>CALCULO_VR!E22</f>
        <v>1</v>
      </c>
      <c r="H22" s="34">
        <f t="shared" si="0"/>
        <v>1</v>
      </c>
      <c r="I22" t="s">
        <v>6587</v>
      </c>
      <c r="J22" s="63">
        <f>CALCULO_VR!J22</f>
        <v>10</v>
      </c>
      <c r="Q22" s="44">
        <f>CALCULO_VR!R22</f>
        <v>38.815954051050113</v>
      </c>
    </row>
    <row r="23" spans="1:17" x14ac:dyDescent="0.3">
      <c r="A23" s="34">
        <f>CALCULO_VR!A23</f>
        <v>3466727</v>
      </c>
      <c r="B23" s="34" t="str">
        <f>CALCULO_VR!B23</f>
        <v>MLPA</v>
      </c>
      <c r="C23" t="s">
        <v>1427</v>
      </c>
      <c r="D23" s="46">
        <f>CALCULO_VR!F23</f>
        <v>45428.463449074072</v>
      </c>
      <c r="E23" s="46">
        <f>CALCULO_VR!G23</f>
        <v>45440.463449074072</v>
      </c>
      <c r="F23" s="27">
        <f>CALCULO_VR!I23</f>
        <v>46440.22</v>
      </c>
      <c r="G23" s="34">
        <f>CALCULO_VR!E23</f>
        <v>1</v>
      </c>
      <c r="H23" s="34">
        <f t="shared" si="0"/>
        <v>1</v>
      </c>
      <c r="I23" t="s">
        <v>6587</v>
      </c>
      <c r="J23" s="63">
        <f>CALCULO_VR!J23</f>
        <v>10</v>
      </c>
      <c r="Q23" s="44">
        <f>CALCULO_VR!R23</f>
        <v>46.398030102117339</v>
      </c>
    </row>
    <row r="24" spans="1:17" x14ac:dyDescent="0.3">
      <c r="A24" s="34">
        <f>CALCULO_VR!A24</f>
        <v>3463647</v>
      </c>
      <c r="B24" s="34" t="str">
        <f>CALCULO_VR!B24</f>
        <v>MLPA</v>
      </c>
      <c r="C24" t="s">
        <v>1427</v>
      </c>
      <c r="D24" s="46">
        <f>CALCULO_VR!F24</f>
        <v>45435.648773148147</v>
      </c>
      <c r="E24" s="46">
        <f>CALCULO_VR!G24</f>
        <v>45448.648773148147</v>
      </c>
      <c r="F24" s="27">
        <f>CALCULO_VR!I24</f>
        <v>46440.22</v>
      </c>
      <c r="G24" s="34">
        <f>CALCULO_VR!E24</f>
        <v>1</v>
      </c>
      <c r="H24" s="34">
        <f t="shared" si="0"/>
        <v>1</v>
      </c>
      <c r="I24" t="s">
        <v>6587</v>
      </c>
      <c r="J24" s="63">
        <f>CALCULO_VR!J24</f>
        <v>10</v>
      </c>
      <c r="Q24" s="44">
        <f>CALCULO_VR!R24</f>
        <v>28.678620668123553</v>
      </c>
    </row>
    <row r="25" spans="1:17" x14ac:dyDescent="0.3">
      <c r="A25" s="34">
        <f>CALCULO_VR!A25</f>
        <v>3466162</v>
      </c>
      <c r="B25" s="34" t="str">
        <f>CALCULO_VR!B25</f>
        <v>MLPA</v>
      </c>
      <c r="C25" t="s">
        <v>1427</v>
      </c>
      <c r="D25" s="46">
        <f>CALCULO_VR!F25</f>
        <v>45442.369629629633</v>
      </c>
      <c r="E25" s="46">
        <f>CALCULO_VR!G25</f>
        <v>45457.369629629633</v>
      </c>
      <c r="F25" s="27">
        <f>CALCULO_VR!I25</f>
        <v>46440.22</v>
      </c>
      <c r="G25" s="34">
        <f>CALCULO_VR!E25</f>
        <v>1</v>
      </c>
      <c r="H25" s="34">
        <f t="shared" si="0"/>
        <v>1</v>
      </c>
      <c r="I25" t="s">
        <v>6587</v>
      </c>
      <c r="J25" s="63">
        <f>CALCULO_VR!J25</f>
        <v>10</v>
      </c>
      <c r="Q25" s="44">
        <f>CALCULO_VR!R25</f>
        <v>44.682015682448025</v>
      </c>
    </row>
    <row r="26" spans="1:17" x14ac:dyDescent="0.3">
      <c r="A26" s="34">
        <f>CALCULO_VR!A26</f>
        <v>3466948</v>
      </c>
      <c r="B26" s="34" t="str">
        <f>CALCULO_VR!B26</f>
        <v>MLPA</v>
      </c>
      <c r="C26" t="s">
        <v>1427</v>
      </c>
      <c r="D26" s="46">
        <f>CALCULO_VR!F26</f>
        <v>45441.629895833335</v>
      </c>
      <c r="E26" s="46">
        <f>CALCULO_VR!G26</f>
        <v>45457.629895833335</v>
      </c>
      <c r="F26" s="27">
        <f>CALCULO_VR!I26</f>
        <v>46440.22</v>
      </c>
      <c r="G26" s="34">
        <f>CALCULO_VR!E26</f>
        <v>1</v>
      </c>
      <c r="H26" s="34">
        <f t="shared" si="0"/>
        <v>1</v>
      </c>
      <c r="I26" t="s">
        <v>6587</v>
      </c>
      <c r="J26" s="63">
        <f>CALCULO_VR!J26</f>
        <v>10</v>
      </c>
      <c r="Q26" s="44">
        <f>CALCULO_VR!R26</f>
        <v>49.7926422577521</v>
      </c>
    </row>
    <row r="27" spans="1:17" x14ac:dyDescent="0.3">
      <c r="A27" s="34">
        <f>CALCULO_VR!A27</f>
        <v>3467077</v>
      </c>
      <c r="B27" s="34" t="str">
        <f>CALCULO_VR!B27</f>
        <v>MLPA</v>
      </c>
      <c r="C27" t="s">
        <v>1427</v>
      </c>
      <c r="D27" s="46">
        <f>CALCULO_VR!F27</f>
        <v>45445.470543981479</v>
      </c>
      <c r="E27" s="46">
        <f>CALCULO_VR!G27</f>
        <v>45456.470543981479</v>
      </c>
      <c r="F27" s="27">
        <f>CALCULO_VR!I27</f>
        <v>46440.22</v>
      </c>
      <c r="G27" s="34">
        <f>CALCULO_VR!E27</f>
        <v>1</v>
      </c>
      <c r="H27" s="34">
        <f t="shared" si="0"/>
        <v>1</v>
      </c>
      <c r="I27" t="s">
        <v>6587</v>
      </c>
      <c r="J27" s="63">
        <f>CALCULO_VR!J27</f>
        <v>10</v>
      </c>
      <c r="Q27" s="44">
        <f>CALCULO_VR!R27</f>
        <v>52.599133971084548</v>
      </c>
    </row>
    <row r="28" spans="1:17" x14ac:dyDescent="0.3">
      <c r="A28" s="34">
        <f>CALCULO_VR!A28</f>
        <v>3440353</v>
      </c>
      <c r="B28" s="34" t="str">
        <f>CALCULO_VR!B28</f>
        <v>MLPA</v>
      </c>
      <c r="C28" t="s">
        <v>1427</v>
      </c>
      <c r="D28" s="46">
        <f>CALCULO_VR!F28</f>
        <v>45385.676562499997</v>
      </c>
      <c r="E28" s="46">
        <f>CALCULO_VR!G28</f>
        <v>45397.676562499997</v>
      </c>
      <c r="F28" s="27">
        <f>CALCULO_VR!I28</f>
        <v>46440.22</v>
      </c>
      <c r="G28" s="34">
        <f>CALCULO_VR!E28</f>
        <v>1</v>
      </c>
      <c r="H28" s="34">
        <f t="shared" si="0"/>
        <v>1</v>
      </c>
      <c r="I28" t="s">
        <v>6587</v>
      </c>
      <c r="J28" s="63">
        <f>CALCULO_VR!J28</f>
        <v>10</v>
      </c>
      <c r="Q28" s="44">
        <f>CALCULO_VR!R28</f>
        <v>54.528647925176138</v>
      </c>
    </row>
    <row r="29" spans="1:17" x14ac:dyDescent="0.3">
      <c r="A29" s="34">
        <f>CALCULO_VR!A29</f>
        <v>3434916</v>
      </c>
      <c r="B29" s="34" t="str">
        <f>CALCULO_VR!B29</f>
        <v>MLPA</v>
      </c>
      <c r="C29" t="s">
        <v>1427</v>
      </c>
      <c r="D29" s="46">
        <f>CALCULO_VR!F29</f>
        <v>45301.611122685186</v>
      </c>
      <c r="E29" s="46">
        <f>CALCULO_VR!G29</f>
        <v>45314.611122685186</v>
      </c>
      <c r="F29" s="27">
        <f>CALCULO_VR!I29</f>
        <v>46440.22</v>
      </c>
      <c r="G29" s="34">
        <f>CALCULO_VR!E29</f>
        <v>1</v>
      </c>
      <c r="H29" s="34">
        <f t="shared" si="0"/>
        <v>1</v>
      </c>
      <c r="I29" t="s">
        <v>6587</v>
      </c>
      <c r="J29" s="63">
        <f>CALCULO_VR!J29</f>
        <v>10</v>
      </c>
      <c r="Q29" s="44">
        <f>CALCULO_VR!R29</f>
        <v>52.792991310641469</v>
      </c>
    </row>
    <row r="30" spans="1:17" x14ac:dyDescent="0.3">
      <c r="A30" s="34">
        <f>CALCULO_VR!A30</f>
        <v>3466164</v>
      </c>
      <c r="B30" s="34" t="str">
        <f>CALCULO_VR!B30</f>
        <v>MLPA</v>
      </c>
      <c r="C30" t="s">
        <v>1427</v>
      </c>
      <c r="D30" s="46">
        <f>CALCULO_VR!F30</f>
        <v>45442.443020833336</v>
      </c>
      <c r="E30" s="46">
        <f>CALCULO_VR!G30</f>
        <v>45457.443020833336</v>
      </c>
      <c r="F30" s="27">
        <f>CALCULO_VR!I30</f>
        <v>46440.22</v>
      </c>
      <c r="G30" s="34">
        <f>CALCULO_VR!E30</f>
        <v>1</v>
      </c>
      <c r="H30" s="34">
        <f t="shared" si="0"/>
        <v>1</v>
      </c>
      <c r="I30" t="s">
        <v>6587</v>
      </c>
      <c r="J30" s="63">
        <f>CALCULO_VR!J30</f>
        <v>10</v>
      </c>
      <c r="Q30" s="44">
        <f>CALCULO_VR!R30</f>
        <v>47.655842200110989</v>
      </c>
    </row>
    <row r="31" spans="1:17" x14ac:dyDescent="0.3">
      <c r="A31" s="34">
        <f>CALCULO_VR!A31</f>
        <v>3466404</v>
      </c>
      <c r="B31" s="34" t="str">
        <f>CALCULO_VR!B31</f>
        <v>MLPA</v>
      </c>
      <c r="C31" t="s">
        <v>1427</v>
      </c>
      <c r="D31" s="46">
        <f>CALCULO_VR!F31</f>
        <v>45446.382662037038</v>
      </c>
      <c r="E31" s="46">
        <f>CALCULO_VR!G31</f>
        <v>45457.382662037038</v>
      </c>
      <c r="F31" s="27">
        <f>CALCULO_VR!I31</f>
        <v>46440.22</v>
      </c>
      <c r="G31" s="34">
        <f>CALCULO_VR!E31</f>
        <v>1</v>
      </c>
      <c r="H31" s="34">
        <f t="shared" si="0"/>
        <v>1</v>
      </c>
      <c r="I31" t="s">
        <v>6587</v>
      </c>
      <c r="J31" s="63">
        <f>CALCULO_VR!J31</f>
        <v>10</v>
      </c>
      <c r="Q31" s="44">
        <f>CALCULO_VR!R31</f>
        <v>31.77690836112918</v>
      </c>
    </row>
    <row r="32" spans="1:17" x14ac:dyDescent="0.3">
      <c r="A32" s="34">
        <f>CALCULO_VR!A32</f>
        <v>3466593</v>
      </c>
      <c r="B32" s="34" t="str">
        <f>CALCULO_VR!B32</f>
        <v>MLPA</v>
      </c>
      <c r="C32" t="s">
        <v>1427</v>
      </c>
      <c r="D32" s="46">
        <f>CALCULO_VR!F32</f>
        <v>45445.648715277777</v>
      </c>
      <c r="E32" s="46">
        <f>CALCULO_VR!G32</f>
        <v>45457.648715277777</v>
      </c>
      <c r="F32" s="27">
        <f>CALCULO_VR!I32</f>
        <v>46440.22</v>
      </c>
      <c r="G32" s="34">
        <f>CALCULO_VR!E32</f>
        <v>1</v>
      </c>
      <c r="H32" s="34">
        <f t="shared" si="0"/>
        <v>1</v>
      </c>
      <c r="I32" t="s">
        <v>6587</v>
      </c>
      <c r="J32" s="63">
        <f>CALCULO_VR!J32</f>
        <v>10</v>
      </c>
      <c r="Q32" s="44">
        <f>CALCULO_VR!R32</f>
        <v>49.808071225138185</v>
      </c>
    </row>
    <row r="33" spans="1:17" x14ac:dyDescent="0.3">
      <c r="A33" s="34">
        <f>CALCULO_VR!A33</f>
        <v>3466186</v>
      </c>
      <c r="B33" s="34" t="str">
        <f>CALCULO_VR!B33</f>
        <v>MLPA</v>
      </c>
      <c r="C33" t="s">
        <v>1427</v>
      </c>
      <c r="D33" s="46">
        <f>CALCULO_VR!F33</f>
        <v>45444.618113425924</v>
      </c>
      <c r="E33" s="46">
        <f>CALCULO_VR!G33</f>
        <v>45457.618113425924</v>
      </c>
      <c r="F33" s="27">
        <f>CALCULO_VR!I33</f>
        <v>46440.22</v>
      </c>
      <c r="G33" s="34">
        <f>CALCULO_VR!E33</f>
        <v>1</v>
      </c>
      <c r="H33" s="34">
        <f t="shared" si="0"/>
        <v>1</v>
      </c>
      <c r="I33" t="s">
        <v>6587</v>
      </c>
      <c r="J33" s="63">
        <f>CALCULO_VR!J33</f>
        <v>10</v>
      </c>
      <c r="Q33" s="44">
        <f>CALCULO_VR!R33</f>
        <v>43.442789057858313</v>
      </c>
    </row>
    <row r="34" spans="1:17" x14ac:dyDescent="0.3">
      <c r="A34" s="34">
        <f>CALCULO_VR!A34</f>
        <v>3466405</v>
      </c>
      <c r="B34" s="34" t="str">
        <f>CALCULO_VR!B34</f>
        <v>MLPA</v>
      </c>
      <c r="C34" t="s">
        <v>1427</v>
      </c>
      <c r="D34" s="46">
        <f>CALCULO_VR!F34</f>
        <v>45442.452222222222</v>
      </c>
      <c r="E34" s="46">
        <f>CALCULO_VR!G34</f>
        <v>45457.452222222222</v>
      </c>
      <c r="F34" s="27">
        <f>CALCULO_VR!I34</f>
        <v>46440.22</v>
      </c>
      <c r="G34" s="34">
        <f>CALCULO_VR!E34</f>
        <v>1</v>
      </c>
      <c r="H34" s="34">
        <f t="shared" si="0"/>
        <v>1</v>
      </c>
      <c r="I34" t="s">
        <v>6587</v>
      </c>
      <c r="J34" s="63">
        <f>CALCULO_VR!J34</f>
        <v>10</v>
      </c>
      <c r="Q34" s="44">
        <f>CALCULO_VR!R34</f>
        <v>48.397331619518987</v>
      </c>
    </row>
    <row r="35" spans="1:17" x14ac:dyDescent="0.3">
      <c r="A35" s="34">
        <f>CALCULO_VR!A35</f>
        <v>3463640</v>
      </c>
      <c r="B35" s="34" t="str">
        <f>CALCULO_VR!B35</f>
        <v>MLPA</v>
      </c>
      <c r="C35" t="s">
        <v>1427</v>
      </c>
      <c r="D35" s="46">
        <f>CALCULO_VR!F35</f>
        <v>45432.661620370367</v>
      </c>
      <c r="E35" s="46">
        <f>CALCULO_VR!G35</f>
        <v>45448.661620370367</v>
      </c>
      <c r="F35" s="27">
        <f>CALCULO_VR!I35</f>
        <v>46440.22</v>
      </c>
      <c r="G35" s="34">
        <f>CALCULO_VR!E35</f>
        <v>1</v>
      </c>
      <c r="H35" s="34">
        <f t="shared" si="0"/>
        <v>1</v>
      </c>
      <c r="I35" t="s">
        <v>6587</v>
      </c>
      <c r="J35" s="63">
        <f>CALCULO_VR!J35</f>
        <v>10</v>
      </c>
      <c r="Q35" s="44">
        <f>CALCULO_VR!R35</f>
        <v>26.484808114585167</v>
      </c>
    </row>
    <row r="36" spans="1:17" x14ac:dyDescent="0.3">
      <c r="A36" s="34">
        <f>CALCULO_VR!A36</f>
        <v>3466479</v>
      </c>
      <c r="B36" s="34" t="str">
        <f>CALCULO_VR!B36</f>
        <v>MLPA</v>
      </c>
      <c r="C36" t="s">
        <v>1427</v>
      </c>
      <c r="D36" s="46">
        <f>CALCULO_VR!F36</f>
        <v>45446.603414351855</v>
      </c>
      <c r="E36" s="46">
        <f>CALCULO_VR!G36</f>
        <v>45457.603414351855</v>
      </c>
      <c r="F36" s="27">
        <f>CALCULO_VR!I36</f>
        <v>46440.22</v>
      </c>
      <c r="G36" s="34">
        <f>CALCULO_VR!E36</f>
        <v>1</v>
      </c>
      <c r="H36" s="34">
        <f t="shared" si="0"/>
        <v>1</v>
      </c>
      <c r="I36" t="s">
        <v>6587</v>
      </c>
      <c r="J36" s="63">
        <f>CALCULO_VR!J36</f>
        <v>10</v>
      </c>
      <c r="Q36" s="44">
        <f>CALCULO_VR!R36</f>
        <v>43.015737995309017</v>
      </c>
    </row>
    <row r="37" spans="1:17" x14ac:dyDescent="0.3">
      <c r="A37" s="34">
        <f>CALCULO_VR!A37</f>
        <v>3436168</v>
      </c>
      <c r="B37" s="34" t="str">
        <f>CALCULO_VR!B37</f>
        <v>MLPA</v>
      </c>
      <c r="C37" t="s">
        <v>1427</v>
      </c>
      <c r="D37" s="46">
        <f>CALCULO_VR!F37</f>
        <v>45302.443865740737</v>
      </c>
      <c r="E37" s="46">
        <f>CALCULO_VR!G37</f>
        <v>45314.443865740737</v>
      </c>
      <c r="F37" s="27">
        <f>CALCULO_VR!I37</f>
        <v>46440.22</v>
      </c>
      <c r="G37" s="34">
        <f>CALCULO_VR!E37</f>
        <v>1</v>
      </c>
      <c r="H37" s="34">
        <f t="shared" si="0"/>
        <v>1</v>
      </c>
      <c r="I37" t="s">
        <v>6587</v>
      </c>
      <c r="J37" s="63">
        <f>CALCULO_VR!J37</f>
        <v>10</v>
      </c>
      <c r="Q37" s="44">
        <f>CALCULO_VR!R37</f>
        <v>45.450851222662429</v>
      </c>
    </row>
    <row r="38" spans="1:17" x14ac:dyDescent="0.3">
      <c r="A38" s="34">
        <f>CALCULO_VR!A38</f>
        <v>3436237</v>
      </c>
      <c r="B38" s="34" t="str">
        <f>CALCULO_VR!B38</f>
        <v>MLPA</v>
      </c>
      <c r="C38" t="s">
        <v>1427</v>
      </c>
      <c r="D38" s="46">
        <f>CALCULO_VR!F38</f>
        <v>45301.391550925924</v>
      </c>
      <c r="E38" s="46">
        <f>CALCULO_VR!G38</f>
        <v>45314.391550925924</v>
      </c>
      <c r="F38" s="27">
        <f>CALCULO_VR!I38</f>
        <v>46440.22</v>
      </c>
      <c r="G38" s="34">
        <f>CALCULO_VR!E38</f>
        <v>1</v>
      </c>
      <c r="H38" s="34">
        <f t="shared" si="0"/>
        <v>1</v>
      </c>
      <c r="I38" t="s">
        <v>6587</v>
      </c>
      <c r="J38" s="63">
        <f>CALCULO_VR!J38</f>
        <v>10</v>
      </c>
      <c r="Q38" s="44">
        <f>CALCULO_VR!R38</f>
        <v>48.456362987920826</v>
      </c>
    </row>
    <row r="39" spans="1:17" x14ac:dyDescent="0.3">
      <c r="A39" s="34">
        <f>CALCULO_VR!A39</f>
        <v>3463060</v>
      </c>
      <c r="B39" s="34" t="str">
        <f>CALCULO_VR!B39</f>
        <v>MLPA</v>
      </c>
      <c r="C39" t="s">
        <v>1427</v>
      </c>
      <c r="D39" s="46">
        <f>CALCULO_VR!F39</f>
        <v>45433.638043981482</v>
      </c>
      <c r="E39" s="46">
        <f>CALCULO_VR!G39</f>
        <v>45448.638043981482</v>
      </c>
      <c r="F39" s="27">
        <f>CALCULO_VR!I39</f>
        <v>46440.22</v>
      </c>
      <c r="G39" s="34">
        <f>CALCULO_VR!E39</f>
        <v>1</v>
      </c>
      <c r="H39" s="34">
        <f t="shared" si="0"/>
        <v>1</v>
      </c>
      <c r="I39" t="s">
        <v>6587</v>
      </c>
      <c r="J39" s="63">
        <f>CALCULO_VR!J39</f>
        <v>10</v>
      </c>
      <c r="Q39" s="44">
        <f>CALCULO_VR!R39</f>
        <v>45.108045043558974</v>
      </c>
    </row>
    <row r="40" spans="1:17" x14ac:dyDescent="0.3">
      <c r="A40" s="34">
        <f>CALCULO_VR!A40</f>
        <v>3437340</v>
      </c>
      <c r="B40" s="34" t="str">
        <f>CALCULO_VR!B40</f>
        <v>MLPA</v>
      </c>
      <c r="C40" t="s">
        <v>1427</v>
      </c>
      <c r="D40" s="46">
        <f>CALCULO_VR!F40</f>
        <v>45302.370763888888</v>
      </c>
      <c r="E40" s="46">
        <f>CALCULO_VR!G40</f>
        <v>45313.370763888888</v>
      </c>
      <c r="F40" s="27">
        <f>CALCULO_VR!I40</f>
        <v>46440.22</v>
      </c>
      <c r="G40" s="34">
        <f>CALCULO_VR!E40</f>
        <v>1</v>
      </c>
      <c r="H40" s="34">
        <f t="shared" si="0"/>
        <v>1</v>
      </c>
      <c r="I40" t="s">
        <v>6587</v>
      </c>
      <c r="J40" s="63">
        <f>CALCULO_VR!J40</f>
        <v>10</v>
      </c>
      <c r="Q40" s="44">
        <f>CALCULO_VR!R40</f>
        <v>34.900247607380486</v>
      </c>
    </row>
    <row r="41" spans="1:17" x14ac:dyDescent="0.3">
      <c r="A41" s="34">
        <f>CALCULO_VR!A41</f>
        <v>3434689</v>
      </c>
      <c r="B41" s="34" t="str">
        <f>CALCULO_VR!B41</f>
        <v>MLPA</v>
      </c>
      <c r="C41" t="s">
        <v>1427</v>
      </c>
      <c r="D41" s="46">
        <f>CALCULO_VR!F41</f>
        <v>45302.480023148149</v>
      </c>
      <c r="E41" s="46">
        <f>CALCULO_VR!G41</f>
        <v>45314.480023148149</v>
      </c>
      <c r="F41" s="27">
        <f>CALCULO_VR!I41</f>
        <v>46440.22</v>
      </c>
      <c r="G41" s="34">
        <f>CALCULO_VR!E41</f>
        <v>1</v>
      </c>
      <c r="H41" s="34">
        <f t="shared" si="0"/>
        <v>1</v>
      </c>
      <c r="I41" t="s">
        <v>6587</v>
      </c>
      <c r="J41" s="63">
        <f>CALCULO_VR!J41</f>
        <v>10</v>
      </c>
      <c r="Q41" s="44">
        <f>CALCULO_VR!R41</f>
        <v>33.425523691046337</v>
      </c>
    </row>
    <row r="42" spans="1:17" x14ac:dyDescent="0.3">
      <c r="A42" s="34">
        <f>CALCULO_VR!A42</f>
        <v>3437486</v>
      </c>
      <c r="B42" s="34" t="str">
        <f>CALCULO_VR!B42</f>
        <v>MLPA</v>
      </c>
      <c r="C42" t="s">
        <v>1427</v>
      </c>
      <c r="D42" s="46">
        <f>CALCULO_VR!F42</f>
        <v>45300.365300925929</v>
      </c>
      <c r="E42" s="46">
        <f>CALCULO_VR!G42</f>
        <v>45313.365300925929</v>
      </c>
      <c r="F42" s="27">
        <f>CALCULO_VR!I42</f>
        <v>46440.22</v>
      </c>
      <c r="G42" s="34">
        <f>CALCULO_VR!E42</f>
        <v>1</v>
      </c>
      <c r="H42" s="34">
        <f t="shared" si="0"/>
        <v>1</v>
      </c>
      <c r="I42" t="s">
        <v>6587</v>
      </c>
      <c r="J42" s="63">
        <f>CALCULO_VR!J42</f>
        <v>10</v>
      </c>
      <c r="Q42" s="44">
        <f>CALCULO_VR!R42</f>
        <v>46.830429511998453</v>
      </c>
    </row>
    <row r="43" spans="1:17" x14ac:dyDescent="0.3">
      <c r="A43" s="34">
        <f>CALCULO_VR!A43</f>
        <v>3438400</v>
      </c>
      <c r="B43" s="34" t="str">
        <f>CALCULO_VR!B43</f>
        <v>MLPA</v>
      </c>
      <c r="C43" t="s">
        <v>1427</v>
      </c>
      <c r="D43" s="46">
        <f>CALCULO_VR!F43</f>
        <v>45301.625277777777</v>
      </c>
      <c r="E43" s="46">
        <f>CALCULO_VR!G43</f>
        <v>45316.625277777777</v>
      </c>
      <c r="F43" s="27">
        <f>CALCULO_VR!I43</f>
        <v>46440.22</v>
      </c>
      <c r="G43" s="34">
        <f>CALCULO_VR!E43</f>
        <v>1</v>
      </c>
      <c r="H43" s="34">
        <f t="shared" si="0"/>
        <v>1</v>
      </c>
      <c r="I43" t="s">
        <v>6587</v>
      </c>
      <c r="J43" s="63">
        <f>CALCULO_VR!J43</f>
        <v>10</v>
      </c>
      <c r="Q43" s="44">
        <f>CALCULO_VR!R43</f>
        <v>42.461863083006243</v>
      </c>
    </row>
    <row r="44" spans="1:17" x14ac:dyDescent="0.3">
      <c r="A44" s="34">
        <f>CALCULO_VR!A44</f>
        <v>3437300</v>
      </c>
      <c r="B44" s="34" t="str">
        <f>CALCULO_VR!B44</f>
        <v>MLPA</v>
      </c>
      <c r="C44" t="s">
        <v>1427</v>
      </c>
      <c r="D44" s="46">
        <f>CALCULO_VR!F44</f>
        <v>45297.411168981482</v>
      </c>
      <c r="E44" s="46">
        <f>CALCULO_VR!G44</f>
        <v>45313.411168981482</v>
      </c>
      <c r="F44" s="27">
        <f>CALCULO_VR!I44</f>
        <v>46440.22</v>
      </c>
      <c r="G44" s="34">
        <f>CALCULO_VR!E44</f>
        <v>1</v>
      </c>
      <c r="H44" s="34">
        <f t="shared" si="0"/>
        <v>1</v>
      </c>
      <c r="I44" t="s">
        <v>6587</v>
      </c>
      <c r="J44" s="63">
        <f>CALCULO_VR!J44</f>
        <v>10</v>
      </c>
      <c r="Q44" s="44">
        <f>CALCULO_VR!R44</f>
        <v>47.649404761622989</v>
      </c>
    </row>
    <row r="45" spans="1:17" x14ac:dyDescent="0.3">
      <c r="A45" s="34">
        <f>CALCULO_VR!A45</f>
        <v>3437292</v>
      </c>
      <c r="B45" s="34" t="str">
        <f>CALCULO_VR!B45</f>
        <v>MLPA</v>
      </c>
      <c r="C45" t="s">
        <v>1427</v>
      </c>
      <c r="D45" s="46">
        <f>CALCULO_VR!F45</f>
        <v>45302.418171296296</v>
      </c>
      <c r="E45" s="46">
        <f>CALCULO_VR!G45</f>
        <v>45313.418171296296</v>
      </c>
      <c r="F45" s="27">
        <f>CALCULO_VR!I45</f>
        <v>46440.22</v>
      </c>
      <c r="G45" s="34">
        <f>CALCULO_VR!E45</f>
        <v>1</v>
      </c>
      <c r="H45" s="34">
        <f t="shared" si="0"/>
        <v>1</v>
      </c>
      <c r="I45" t="s">
        <v>6587</v>
      </c>
      <c r="J45" s="63">
        <f>CALCULO_VR!J45</f>
        <v>10</v>
      </c>
      <c r="Q45" s="44">
        <f>CALCULO_VR!R45</f>
        <v>40.841637140927311</v>
      </c>
    </row>
    <row r="46" spans="1:17" x14ac:dyDescent="0.3">
      <c r="A46" s="34">
        <f>CALCULO_VR!A46</f>
        <v>3437100</v>
      </c>
      <c r="B46" s="34" t="str">
        <f>CALCULO_VR!B46</f>
        <v>MLPA</v>
      </c>
      <c r="C46" t="s">
        <v>1427</v>
      </c>
      <c r="D46" s="46">
        <f>CALCULO_VR!F46</f>
        <v>45301.437824074077</v>
      </c>
      <c r="E46" s="46">
        <f>CALCULO_VR!G46</f>
        <v>45313.437824074077</v>
      </c>
      <c r="F46" s="27">
        <f>CALCULO_VR!I46</f>
        <v>46440.22</v>
      </c>
      <c r="G46" s="34">
        <f>CALCULO_VR!E46</f>
        <v>1</v>
      </c>
      <c r="H46" s="34">
        <f t="shared" si="0"/>
        <v>1</v>
      </c>
      <c r="I46" t="s">
        <v>6587</v>
      </c>
      <c r="J46" s="63">
        <f>CALCULO_VR!J46</f>
        <v>10</v>
      </c>
      <c r="Q46" s="44">
        <f>CALCULO_VR!R46</f>
        <v>46.199478671695672</v>
      </c>
    </row>
    <row r="47" spans="1:17" x14ac:dyDescent="0.3">
      <c r="A47" s="34">
        <f>CALCULO_VR!A47</f>
        <v>3438286</v>
      </c>
      <c r="B47" s="34" t="str">
        <f>CALCULO_VR!B47</f>
        <v>MLPA</v>
      </c>
      <c r="C47" t="s">
        <v>1427</v>
      </c>
      <c r="D47" s="46">
        <f>CALCULO_VR!F47</f>
        <v>45300.601469907408</v>
      </c>
      <c r="E47" s="46">
        <f>CALCULO_VR!G47</f>
        <v>45313.601469907408</v>
      </c>
      <c r="F47" s="27">
        <f>CALCULO_VR!I47</f>
        <v>46440.22</v>
      </c>
      <c r="G47" s="34">
        <f>CALCULO_VR!E47</f>
        <v>1</v>
      </c>
      <c r="H47" s="34">
        <f t="shared" si="0"/>
        <v>1</v>
      </c>
      <c r="I47" t="s">
        <v>6587</v>
      </c>
      <c r="J47" s="63">
        <f>CALCULO_VR!J47</f>
        <v>10</v>
      </c>
      <c r="Q47" s="44">
        <f>CALCULO_VR!R47</f>
        <v>45.403583991130333</v>
      </c>
    </row>
    <row r="48" spans="1:17" x14ac:dyDescent="0.3">
      <c r="A48" s="34">
        <f>CALCULO_VR!A48</f>
        <v>3436982</v>
      </c>
      <c r="B48" s="34" t="str">
        <f>CALCULO_VR!B48</f>
        <v>MLPA</v>
      </c>
      <c r="C48" t="s">
        <v>1427</v>
      </c>
      <c r="D48" s="46">
        <f>CALCULO_VR!F48</f>
        <v>45298.608715277776</v>
      </c>
      <c r="E48" s="46">
        <f>CALCULO_VR!G48</f>
        <v>45313.608715277776</v>
      </c>
      <c r="F48" s="27">
        <f>CALCULO_VR!I48</f>
        <v>46440.22</v>
      </c>
      <c r="G48" s="34">
        <f>CALCULO_VR!E48</f>
        <v>1</v>
      </c>
      <c r="H48" s="34">
        <f t="shared" si="0"/>
        <v>1</v>
      </c>
      <c r="I48" t="s">
        <v>6587</v>
      </c>
      <c r="J48" s="63">
        <f>CALCULO_VR!J48</f>
        <v>10</v>
      </c>
      <c r="Q48" s="44">
        <f>CALCULO_VR!R48</f>
        <v>39.609238200348173</v>
      </c>
    </row>
    <row r="49" spans="1:17" x14ac:dyDescent="0.3">
      <c r="A49" s="34">
        <f>CALCULO_VR!A49</f>
        <v>3438303</v>
      </c>
      <c r="B49" s="34" t="str">
        <f>CALCULO_VR!B49</f>
        <v>MLPA</v>
      </c>
      <c r="C49" t="s">
        <v>1427</v>
      </c>
      <c r="D49" s="46">
        <f>CALCULO_VR!F49</f>
        <v>45300</v>
      </c>
      <c r="E49" s="46">
        <f>CALCULO_VR!G49</f>
        <v>45311</v>
      </c>
      <c r="F49" s="27">
        <f>CALCULO_VR!I49</f>
        <v>46440.22</v>
      </c>
      <c r="G49" s="34">
        <f>CALCULO_VR!E49</f>
        <v>1</v>
      </c>
      <c r="H49" s="34">
        <f t="shared" si="0"/>
        <v>1</v>
      </c>
      <c r="I49" t="s">
        <v>6587</v>
      </c>
      <c r="J49" s="63">
        <f>CALCULO_VR!J49</f>
        <v>10</v>
      </c>
      <c r="Q49" s="44">
        <f>CALCULO_VR!R49</f>
        <v>60.811085036155475</v>
      </c>
    </row>
    <row r="50" spans="1:17" x14ac:dyDescent="0.3">
      <c r="A50" s="34">
        <f>CALCULO_VR!A50</f>
        <v>3435616</v>
      </c>
      <c r="B50" s="34" t="str">
        <f>CALCULO_VR!B50</f>
        <v>MLPA</v>
      </c>
      <c r="C50" t="s">
        <v>1427</v>
      </c>
      <c r="D50" s="46">
        <f>CALCULO_VR!F50</f>
        <v>45302</v>
      </c>
      <c r="E50" s="46">
        <f>CALCULO_VR!G50</f>
        <v>45314</v>
      </c>
      <c r="F50" s="27">
        <f>CALCULO_VR!I50</f>
        <v>46440.22</v>
      </c>
      <c r="G50" s="34">
        <f>CALCULO_VR!E50</f>
        <v>1</v>
      </c>
      <c r="H50" s="34">
        <f t="shared" si="0"/>
        <v>1</v>
      </c>
      <c r="I50" t="s">
        <v>6587</v>
      </c>
      <c r="J50" s="63">
        <f>CALCULO_VR!J50</f>
        <v>10</v>
      </c>
      <c r="Q50" s="44">
        <f>CALCULO_VR!R50</f>
        <v>49.307397248018106</v>
      </c>
    </row>
    <row r="51" spans="1:17" x14ac:dyDescent="0.3">
      <c r="A51" s="34">
        <f>CALCULO_VR!A51</f>
        <v>3436817</v>
      </c>
      <c r="B51" s="34" t="str">
        <f>CALCULO_VR!B51</f>
        <v>MLPA</v>
      </c>
      <c r="C51" t="s">
        <v>803</v>
      </c>
      <c r="D51" s="46">
        <f>CALCULO_VR!F51</f>
        <v>45293</v>
      </c>
      <c r="E51" s="46">
        <f>CALCULO_VR!G51</f>
        <v>45306</v>
      </c>
      <c r="F51" s="27">
        <f>CALCULO_VR!I51</f>
        <v>46440.22</v>
      </c>
      <c r="G51" s="34">
        <f>CALCULO_VR!E51</f>
        <v>1</v>
      </c>
      <c r="H51" s="34">
        <f t="shared" si="0"/>
        <v>1</v>
      </c>
      <c r="I51" t="s">
        <v>6587</v>
      </c>
      <c r="J51" s="63">
        <f>CALCULO_VR!J51</f>
        <v>3</v>
      </c>
      <c r="Q51" s="44">
        <f>CALCULO_VR!R51</f>
        <v>51.397518765168691</v>
      </c>
    </row>
    <row r="52" spans="1:17" x14ac:dyDescent="0.3">
      <c r="A52" s="34">
        <f>CALCULO_VR!A52</f>
        <v>3435651</v>
      </c>
      <c r="B52" s="34" t="str">
        <f>CALCULO_VR!B52</f>
        <v>MLPA</v>
      </c>
      <c r="C52" t="s">
        <v>1427</v>
      </c>
      <c r="D52" s="46">
        <f>CALCULO_VR!F52</f>
        <v>45301</v>
      </c>
      <c r="E52" s="46">
        <f>CALCULO_VR!G52</f>
        <v>45316</v>
      </c>
      <c r="F52" s="27">
        <f>CALCULO_VR!I52</f>
        <v>46440.22</v>
      </c>
      <c r="G52" s="34">
        <f>CALCULO_VR!E52</f>
        <v>1</v>
      </c>
      <c r="H52" s="34">
        <f t="shared" si="0"/>
        <v>1</v>
      </c>
      <c r="I52" t="s">
        <v>6587</v>
      </c>
      <c r="J52" s="63">
        <f>CALCULO_VR!J52</f>
        <v>10</v>
      </c>
      <c r="Q52" s="44">
        <f>CALCULO_VR!R52</f>
        <v>51.293624333259295</v>
      </c>
    </row>
    <row r="53" spans="1:17" x14ac:dyDescent="0.3">
      <c r="A53" s="34">
        <f>CALCULO_VR!A53</f>
        <v>3459423</v>
      </c>
      <c r="B53" s="34" t="str">
        <f>CALCULO_VR!B53</f>
        <v>MLPA</v>
      </c>
      <c r="C53" t="s">
        <v>1427</v>
      </c>
      <c r="D53" s="46">
        <f>CALCULO_VR!F53</f>
        <v>45432</v>
      </c>
      <c r="E53" s="46">
        <f>CALCULO_VR!G53</f>
        <v>45448</v>
      </c>
      <c r="F53" s="27">
        <f>CALCULO_VR!I53</f>
        <v>46440.22</v>
      </c>
      <c r="G53" s="34">
        <f>CALCULO_VR!E53</f>
        <v>1</v>
      </c>
      <c r="H53" s="34">
        <f t="shared" si="0"/>
        <v>1</v>
      </c>
      <c r="I53" t="s">
        <v>6587</v>
      </c>
      <c r="J53" s="63">
        <f>CALCULO_VR!J53</f>
        <v>10</v>
      </c>
      <c r="Q53" s="44">
        <f>CALCULO_VR!R53</f>
        <v>58.307628276796592</v>
      </c>
    </row>
    <row r="54" spans="1:17" x14ac:dyDescent="0.3">
      <c r="A54" s="34">
        <f>CALCULO_VR!A54</f>
        <v>3464158</v>
      </c>
      <c r="B54" s="34" t="str">
        <f>CALCULO_VR!B54</f>
        <v>MLPA</v>
      </c>
      <c r="C54" t="s">
        <v>1427</v>
      </c>
      <c r="D54" s="46">
        <f>CALCULO_VR!F54</f>
        <v>45437</v>
      </c>
      <c r="E54" s="46">
        <f>CALCULO_VR!G54</f>
        <v>45448</v>
      </c>
      <c r="F54" s="27">
        <f>CALCULO_VR!I54</f>
        <v>46440.22</v>
      </c>
      <c r="G54" s="34">
        <f>CALCULO_VR!E54</f>
        <v>1</v>
      </c>
      <c r="H54" s="34">
        <f t="shared" si="0"/>
        <v>1</v>
      </c>
      <c r="I54" t="s">
        <v>6587</v>
      </c>
      <c r="J54" s="63">
        <f>CALCULO_VR!J54</f>
        <v>10</v>
      </c>
      <c r="Q54" s="44">
        <f>CALCULO_VR!R54</f>
        <v>43.519711930475694</v>
      </c>
    </row>
    <row r="55" spans="1:17" x14ac:dyDescent="0.3">
      <c r="A55" s="34">
        <f>CALCULO_VR!A55</f>
        <v>3465694</v>
      </c>
      <c r="B55" s="34" t="str">
        <f>CALCULO_VR!B55</f>
        <v>MLPA</v>
      </c>
      <c r="C55" t="s">
        <v>1427</v>
      </c>
      <c r="D55" s="46">
        <f>CALCULO_VR!F55</f>
        <v>45448</v>
      </c>
      <c r="E55" s="46">
        <f>CALCULO_VR!G55</f>
        <v>45460</v>
      </c>
      <c r="F55" s="27">
        <f>CALCULO_VR!I55</f>
        <v>46440.22</v>
      </c>
      <c r="G55" s="34">
        <f>CALCULO_VR!E55</f>
        <v>1</v>
      </c>
      <c r="H55" s="34">
        <f t="shared" si="0"/>
        <v>1</v>
      </c>
      <c r="I55" t="s">
        <v>6587</v>
      </c>
      <c r="J55" s="63">
        <f>CALCULO_VR!J55</f>
        <v>10</v>
      </c>
      <c r="Q55" s="44">
        <f>CALCULO_VR!R55</f>
        <v>52.501780361387951</v>
      </c>
    </row>
    <row r="56" spans="1:17" x14ac:dyDescent="0.3">
      <c r="A56" s="34">
        <f>CALCULO_VR!A56</f>
        <v>3464101</v>
      </c>
      <c r="B56" s="34" t="str">
        <f>CALCULO_VR!B56</f>
        <v>MLPA</v>
      </c>
      <c r="C56" t="s">
        <v>1427</v>
      </c>
      <c r="D56" s="46">
        <f>CALCULO_VR!F56</f>
        <v>45435</v>
      </c>
      <c r="E56" s="46">
        <f>CALCULO_VR!G56</f>
        <v>45448</v>
      </c>
      <c r="F56" s="27">
        <f>CALCULO_VR!I56</f>
        <v>46440.22</v>
      </c>
      <c r="G56" s="34">
        <f>CALCULO_VR!E56</f>
        <v>1</v>
      </c>
      <c r="H56" s="34">
        <f t="shared" si="0"/>
        <v>1</v>
      </c>
      <c r="I56" t="s">
        <v>6587</v>
      </c>
      <c r="J56" s="63">
        <f>CALCULO_VR!J56</f>
        <v>10</v>
      </c>
      <c r="Q56" s="44">
        <f>CALCULO_VR!R56</f>
        <v>58.34421599269254</v>
      </c>
    </row>
    <row r="57" spans="1:17" x14ac:dyDescent="0.3">
      <c r="A57" s="34">
        <f>CALCULO_VR!A57</f>
        <v>3438296</v>
      </c>
      <c r="B57" s="34" t="str">
        <f>CALCULO_VR!B57</f>
        <v>MLPA</v>
      </c>
      <c r="C57" t="s">
        <v>1427</v>
      </c>
      <c r="D57" s="46">
        <f>CALCULO_VR!F57</f>
        <v>45298</v>
      </c>
      <c r="E57" s="46">
        <f>CALCULO_VR!G57</f>
        <v>45313</v>
      </c>
      <c r="F57" s="27">
        <f>CALCULO_VR!I57</f>
        <v>46440.22</v>
      </c>
      <c r="G57" s="34">
        <f>CALCULO_VR!E57</f>
        <v>1</v>
      </c>
      <c r="H57" s="34">
        <f t="shared" si="0"/>
        <v>1</v>
      </c>
      <c r="I57" t="s">
        <v>6587</v>
      </c>
      <c r="J57" s="63">
        <f>CALCULO_VR!J57</f>
        <v>10</v>
      </c>
      <c r="Q57" s="44">
        <f>CALCULO_VR!R57</f>
        <v>52.26192250323809</v>
      </c>
    </row>
    <row r="58" spans="1:17" x14ac:dyDescent="0.3">
      <c r="A58" s="34">
        <f>CALCULO_VR!A58</f>
        <v>3439715</v>
      </c>
      <c r="B58" s="34" t="str">
        <f>CALCULO_VR!B58</f>
        <v>MLPA</v>
      </c>
      <c r="C58" t="s">
        <v>803</v>
      </c>
      <c r="D58" s="46">
        <f>CALCULO_VR!F58</f>
        <v>45300</v>
      </c>
      <c r="E58" s="46">
        <f>CALCULO_VR!G58</f>
        <v>45311</v>
      </c>
      <c r="F58" s="27">
        <f>CALCULO_VR!I58</f>
        <v>46440.22</v>
      </c>
      <c r="G58" s="34">
        <f>CALCULO_VR!E58</f>
        <v>1</v>
      </c>
      <c r="H58" s="34">
        <f t="shared" si="0"/>
        <v>1</v>
      </c>
      <c r="I58" t="s">
        <v>6587</v>
      </c>
      <c r="J58" s="63">
        <f>CALCULO_VR!J58</f>
        <v>3</v>
      </c>
      <c r="Q58" s="44">
        <f>CALCULO_VR!R58</f>
        <v>38.433739836911457</v>
      </c>
    </row>
    <row r="59" spans="1:17" x14ac:dyDescent="0.3">
      <c r="A59" s="34">
        <f>CALCULO_VR!A59</f>
        <v>3438388</v>
      </c>
      <c r="B59" s="34" t="str">
        <f>CALCULO_VR!B59</f>
        <v>MLPA</v>
      </c>
      <c r="C59" t="s">
        <v>803</v>
      </c>
      <c r="D59" s="46">
        <f>CALCULO_VR!F59</f>
        <v>45294</v>
      </c>
      <c r="E59" s="46">
        <f>CALCULO_VR!G59</f>
        <v>45306</v>
      </c>
      <c r="F59" s="27">
        <f>CALCULO_VR!I59</f>
        <v>46440.22</v>
      </c>
      <c r="G59" s="34">
        <f>CALCULO_VR!E59</f>
        <v>1</v>
      </c>
      <c r="H59" s="34">
        <f t="shared" si="0"/>
        <v>1</v>
      </c>
      <c r="I59" t="s">
        <v>6587</v>
      </c>
      <c r="J59" s="63">
        <f>CALCULO_VR!J59</f>
        <v>3</v>
      </c>
      <c r="Q59" s="44">
        <f>CALCULO_VR!R59</f>
        <v>41.404301194437288</v>
      </c>
    </row>
    <row r="60" spans="1:17" x14ac:dyDescent="0.3">
      <c r="A60" s="34">
        <f>CALCULO_VR!A60</f>
        <v>3464098</v>
      </c>
      <c r="B60" s="34" t="str">
        <f>CALCULO_VR!B60</f>
        <v>MLPA</v>
      </c>
      <c r="C60" t="s">
        <v>803</v>
      </c>
      <c r="D60" s="46">
        <f>CALCULO_VR!F60</f>
        <v>45435</v>
      </c>
      <c r="E60" s="46">
        <f>CALCULO_VR!G60</f>
        <v>45448</v>
      </c>
      <c r="F60" s="27">
        <f>CALCULO_VR!I60</f>
        <v>46440.22</v>
      </c>
      <c r="G60" s="34">
        <f>CALCULO_VR!E60</f>
        <v>1</v>
      </c>
      <c r="H60" s="34">
        <f t="shared" si="0"/>
        <v>1</v>
      </c>
      <c r="I60" t="s">
        <v>6587</v>
      </c>
      <c r="J60" s="63">
        <f>CALCULO_VR!J60</f>
        <v>3</v>
      </c>
      <c r="Q60" s="44">
        <f>CALCULO_VR!R60</f>
        <v>51.596272889956722</v>
      </c>
    </row>
    <row r="61" spans="1:17" x14ac:dyDescent="0.3">
      <c r="A61" s="34">
        <f>CALCULO_VR!A61</f>
        <v>3434970</v>
      </c>
      <c r="B61" s="34" t="str">
        <f>CALCULO_VR!B61</f>
        <v>MLPA</v>
      </c>
      <c r="C61" t="s">
        <v>803</v>
      </c>
      <c r="D61" s="46">
        <f>CALCULO_VR!F61</f>
        <v>45299</v>
      </c>
      <c r="E61" s="46">
        <f>CALCULO_VR!G61</f>
        <v>45314</v>
      </c>
      <c r="F61" s="27">
        <f>CALCULO_VR!I61</f>
        <v>46440.22</v>
      </c>
      <c r="G61" s="34">
        <f>CALCULO_VR!E61</f>
        <v>1</v>
      </c>
      <c r="H61" s="34">
        <f t="shared" si="0"/>
        <v>1</v>
      </c>
      <c r="I61" t="s">
        <v>6587</v>
      </c>
      <c r="J61" s="63">
        <f>CALCULO_VR!J61</f>
        <v>3</v>
      </c>
      <c r="Q61" s="44">
        <f>CALCULO_VR!R61</f>
        <v>49.774052561144103</v>
      </c>
    </row>
    <row r="62" spans="1:17" x14ac:dyDescent="0.3">
      <c r="A62" s="34">
        <f>CALCULO_VR!A62</f>
        <v>3439401</v>
      </c>
      <c r="B62" s="34" t="str">
        <f>CALCULO_VR!B62</f>
        <v>MLPA</v>
      </c>
      <c r="C62" t="s">
        <v>1427</v>
      </c>
      <c r="D62" s="46">
        <f>CALCULO_VR!F62</f>
        <v>45382</v>
      </c>
      <c r="E62" s="46">
        <f>CALCULO_VR!G62</f>
        <v>45398</v>
      </c>
      <c r="F62" s="27">
        <f>CALCULO_VR!I62</f>
        <v>46440.22</v>
      </c>
      <c r="G62" s="34">
        <f>CALCULO_VR!E62</f>
        <v>1</v>
      </c>
      <c r="H62" s="34">
        <f t="shared" si="0"/>
        <v>1</v>
      </c>
      <c r="I62" t="s">
        <v>6587</v>
      </c>
      <c r="J62" s="63">
        <f>CALCULO_VR!J62</f>
        <v>10</v>
      </c>
      <c r="Q62" s="44">
        <f>CALCULO_VR!R62</f>
        <v>70.977145311538948</v>
      </c>
    </row>
    <row r="63" spans="1:17" x14ac:dyDescent="0.3">
      <c r="A63" s="34">
        <f>CALCULO_VR!A63</f>
        <v>3442507</v>
      </c>
      <c r="B63" s="34" t="str">
        <f>CALCULO_VR!B63</f>
        <v>MLPA</v>
      </c>
      <c r="C63" t="s">
        <v>803</v>
      </c>
      <c r="D63" s="46">
        <f>CALCULO_VR!F63</f>
        <v>45388</v>
      </c>
      <c r="E63" s="46">
        <f>CALCULO_VR!G63</f>
        <v>45399</v>
      </c>
      <c r="F63" s="27">
        <f>CALCULO_VR!I63</f>
        <v>46440.22</v>
      </c>
      <c r="G63" s="34">
        <f>CALCULO_VR!E63</f>
        <v>1</v>
      </c>
      <c r="H63" s="34">
        <f t="shared" si="0"/>
        <v>1</v>
      </c>
      <c r="I63" t="s">
        <v>6587</v>
      </c>
      <c r="J63" s="63">
        <f>CALCULO_VR!J63</f>
        <v>3</v>
      </c>
      <c r="Q63" s="44">
        <f>CALCULO_VR!R63</f>
        <v>39.642994114989122</v>
      </c>
    </row>
    <row r="64" spans="1:17" x14ac:dyDescent="0.3">
      <c r="A64" s="34">
        <f>CALCULO_VR!A64</f>
        <v>3442753</v>
      </c>
      <c r="B64" s="34" t="str">
        <f>CALCULO_VR!B64</f>
        <v>MLPA</v>
      </c>
      <c r="C64" t="s">
        <v>803</v>
      </c>
      <c r="D64" s="46">
        <f>CALCULO_VR!F64</f>
        <v>45387</v>
      </c>
      <c r="E64" s="46">
        <f>CALCULO_VR!G64</f>
        <v>45399</v>
      </c>
      <c r="F64" s="27">
        <f>CALCULO_VR!I64</f>
        <v>46440.22</v>
      </c>
      <c r="G64" s="34">
        <f>CALCULO_VR!E64</f>
        <v>1</v>
      </c>
      <c r="H64" s="34">
        <f t="shared" si="0"/>
        <v>1</v>
      </c>
      <c r="I64" t="s">
        <v>6587</v>
      </c>
      <c r="J64" s="63">
        <f>CALCULO_VR!J64</f>
        <v>3</v>
      </c>
      <c r="Q64" s="44">
        <f>CALCULO_VR!R64</f>
        <v>37.798084174638376</v>
      </c>
    </row>
    <row r="65" spans="1:17" x14ac:dyDescent="0.3">
      <c r="A65" s="34">
        <f>CALCULO_VR!A65</f>
        <v>3466402</v>
      </c>
      <c r="B65" s="34" t="str">
        <f>CALCULO_VR!B65</f>
        <v>MLPA</v>
      </c>
      <c r="C65" t="s">
        <v>803</v>
      </c>
      <c r="D65" s="46">
        <f>CALCULO_VR!F65</f>
        <v>45434</v>
      </c>
      <c r="E65" s="46">
        <f>CALCULO_VR!G65</f>
        <v>45447</v>
      </c>
      <c r="F65" s="27">
        <f>CALCULO_VR!I65</f>
        <v>46440.22</v>
      </c>
      <c r="G65" s="34">
        <f>CALCULO_VR!E65</f>
        <v>1</v>
      </c>
      <c r="H65" s="34">
        <f t="shared" si="0"/>
        <v>1</v>
      </c>
      <c r="I65" t="s">
        <v>6587</v>
      </c>
      <c r="J65" s="63">
        <f>CALCULO_VR!J65</f>
        <v>3</v>
      </c>
      <c r="Q65" s="44">
        <f>CALCULO_VR!R65</f>
        <v>37.816996823549779</v>
      </c>
    </row>
    <row r="66" spans="1:17" x14ac:dyDescent="0.3">
      <c r="A66" s="34">
        <f>CALCULO_VR!A66</f>
        <v>3464096</v>
      </c>
      <c r="B66" s="34" t="str">
        <f>CALCULO_VR!B66</f>
        <v>MLPA</v>
      </c>
      <c r="C66" t="s">
        <v>1427</v>
      </c>
      <c r="D66" s="46">
        <f>CALCULO_VR!F66</f>
        <v>45432</v>
      </c>
      <c r="E66" s="46">
        <f>CALCULO_VR!G66</f>
        <v>45447</v>
      </c>
      <c r="F66" s="27">
        <f>CALCULO_VR!I66</f>
        <v>46440.22</v>
      </c>
      <c r="G66" s="34">
        <f>CALCULO_VR!E66</f>
        <v>1</v>
      </c>
      <c r="H66" s="34">
        <f t="shared" si="0"/>
        <v>1</v>
      </c>
      <c r="I66" t="s">
        <v>6587</v>
      </c>
      <c r="J66" s="63">
        <f>CALCULO_VR!J66</f>
        <v>10</v>
      </c>
      <c r="Q66" s="44">
        <f>CALCULO_VR!R66</f>
        <v>53.678064971487927</v>
      </c>
    </row>
    <row r="67" spans="1:17" x14ac:dyDescent="0.3">
      <c r="A67" s="34">
        <f>CALCULO_VR!A67</f>
        <v>3438387</v>
      </c>
      <c r="B67" s="34" t="str">
        <f>CALCULO_VR!B67</f>
        <v>MLPA</v>
      </c>
      <c r="C67" t="s">
        <v>803</v>
      </c>
      <c r="D67" s="46">
        <f>CALCULO_VR!F67</f>
        <v>45300</v>
      </c>
      <c r="E67" s="46">
        <f>CALCULO_VR!G67</f>
        <v>45311</v>
      </c>
      <c r="F67" s="27">
        <f>CALCULO_VR!I67</f>
        <v>46440.22</v>
      </c>
      <c r="G67" s="34">
        <f>CALCULO_VR!E67</f>
        <v>1</v>
      </c>
      <c r="H67" s="34">
        <f t="shared" si="0"/>
        <v>1</v>
      </c>
      <c r="I67" t="s">
        <v>6587</v>
      </c>
      <c r="J67" s="63">
        <f>CALCULO_VR!J67</f>
        <v>3</v>
      </c>
      <c r="Q67" s="44">
        <f>CALCULO_VR!R67</f>
        <v>50.662798961782372</v>
      </c>
    </row>
    <row r="68" spans="1:17" x14ac:dyDescent="0.3">
      <c r="A68" s="34">
        <f>CALCULO_VR!A68</f>
        <v>3437334</v>
      </c>
      <c r="B68" s="34" t="str">
        <f>CALCULO_VR!B68</f>
        <v>MLPA</v>
      </c>
      <c r="C68" t="s">
        <v>1427</v>
      </c>
      <c r="D68" s="46">
        <f>CALCULO_VR!F68</f>
        <v>45301</v>
      </c>
      <c r="E68" s="46">
        <f>CALCULO_VR!G68</f>
        <v>45313</v>
      </c>
      <c r="F68" s="27">
        <f>CALCULO_VR!I68</f>
        <v>46440.22</v>
      </c>
      <c r="G68" s="34">
        <f>CALCULO_VR!E68</f>
        <v>1</v>
      </c>
      <c r="H68" s="34">
        <f t="shared" si="0"/>
        <v>1</v>
      </c>
      <c r="I68" t="s">
        <v>6587</v>
      </c>
      <c r="J68" s="63">
        <f>CALCULO_VR!J68</f>
        <v>10</v>
      </c>
      <c r="Q68" s="44">
        <f>CALCULO_VR!R68</f>
        <v>49.004752331595732</v>
      </c>
    </row>
    <row r="69" spans="1:17" x14ac:dyDescent="0.3">
      <c r="A69" s="34">
        <f>CALCULO_VR!A69</f>
        <v>3436137</v>
      </c>
      <c r="B69" s="34" t="str">
        <f>CALCULO_VR!B69</f>
        <v>MLPA</v>
      </c>
      <c r="C69" t="s">
        <v>1427</v>
      </c>
      <c r="D69" s="46">
        <f>CALCULO_VR!F69</f>
        <v>45301</v>
      </c>
      <c r="E69" s="46">
        <f>CALCULO_VR!G69</f>
        <v>45314</v>
      </c>
      <c r="F69" s="27">
        <f>CALCULO_VR!I69</f>
        <v>46440.22</v>
      </c>
      <c r="G69" s="34">
        <f>CALCULO_VR!E69</f>
        <v>1</v>
      </c>
      <c r="H69" s="34">
        <f t="shared" ref="H69:H132" si="1">G69</f>
        <v>1</v>
      </c>
      <c r="I69" t="s">
        <v>6587</v>
      </c>
      <c r="J69" s="63">
        <f>CALCULO_VR!J69</f>
        <v>10</v>
      </c>
      <c r="Q69" s="44">
        <f>CALCULO_VR!R69</f>
        <v>46.538461296974546</v>
      </c>
    </row>
    <row r="70" spans="1:17" x14ac:dyDescent="0.3">
      <c r="A70" s="34">
        <f>CALCULO_VR!A70</f>
        <v>3441679</v>
      </c>
      <c r="B70" s="34" t="str">
        <f>CALCULO_VR!B70</f>
        <v>MLPA</v>
      </c>
      <c r="C70" t="s">
        <v>1427</v>
      </c>
      <c r="D70" s="46">
        <f>CALCULO_VR!F70</f>
        <v>45384</v>
      </c>
      <c r="E70" s="46">
        <f>CALCULO_VR!G70</f>
        <v>45399</v>
      </c>
      <c r="F70" s="27">
        <f>CALCULO_VR!I70</f>
        <v>46440.22</v>
      </c>
      <c r="G70" s="34">
        <f>CALCULO_VR!E70</f>
        <v>1</v>
      </c>
      <c r="H70" s="34">
        <f t="shared" si="1"/>
        <v>1</v>
      </c>
      <c r="I70" t="s">
        <v>6587</v>
      </c>
      <c r="J70" s="63">
        <f>CALCULO_VR!J70</f>
        <v>10</v>
      </c>
      <c r="Q70" s="44">
        <f>CALCULO_VR!R70</f>
        <v>25.198568140033359</v>
      </c>
    </row>
    <row r="71" spans="1:17" x14ac:dyDescent="0.3">
      <c r="A71" s="34">
        <f>CALCULO_VR!A71</f>
        <v>3435661</v>
      </c>
      <c r="B71" s="34" t="str">
        <f>CALCULO_VR!B71</f>
        <v>MLPA</v>
      </c>
      <c r="C71" t="s">
        <v>1427</v>
      </c>
      <c r="D71" s="46">
        <f>CALCULO_VR!F71</f>
        <v>45300</v>
      </c>
      <c r="E71" s="46">
        <f>CALCULO_VR!G71</f>
        <v>45316</v>
      </c>
      <c r="F71" s="27">
        <f>CALCULO_VR!I71</f>
        <v>46440.22</v>
      </c>
      <c r="G71" s="34">
        <f>CALCULO_VR!E71</f>
        <v>1</v>
      </c>
      <c r="H71" s="34">
        <f t="shared" si="1"/>
        <v>1</v>
      </c>
      <c r="I71" t="s">
        <v>6587</v>
      </c>
      <c r="J71" s="63">
        <f>CALCULO_VR!J71</f>
        <v>10</v>
      </c>
      <c r="Q71" s="44">
        <f>CALCULO_VR!R71</f>
        <v>42.352865550776144</v>
      </c>
    </row>
    <row r="72" spans="1:17" x14ac:dyDescent="0.3">
      <c r="A72" s="34">
        <f>CALCULO_VR!A72</f>
        <v>3437161</v>
      </c>
      <c r="B72" s="34" t="str">
        <f>CALCULO_VR!B72</f>
        <v>MLPA</v>
      </c>
      <c r="C72" t="s">
        <v>1427</v>
      </c>
      <c r="D72" s="46">
        <f>CALCULO_VR!F72</f>
        <v>45302</v>
      </c>
      <c r="E72" s="46">
        <f>CALCULO_VR!G72</f>
        <v>45313</v>
      </c>
      <c r="F72" s="27">
        <f>CALCULO_VR!I72</f>
        <v>46440.22</v>
      </c>
      <c r="G72" s="34">
        <f>CALCULO_VR!E72</f>
        <v>1</v>
      </c>
      <c r="H72" s="34">
        <f t="shared" si="1"/>
        <v>1</v>
      </c>
      <c r="I72" t="s">
        <v>6587</v>
      </c>
      <c r="J72" s="63">
        <f>CALCULO_VR!J72</f>
        <v>10</v>
      </c>
      <c r="Q72" s="44">
        <f>CALCULO_VR!R72</f>
        <v>59.504027787602944</v>
      </c>
    </row>
    <row r="73" spans="1:17" x14ac:dyDescent="0.3">
      <c r="A73" s="34">
        <f>CALCULO_VR!A73</f>
        <v>3463147</v>
      </c>
      <c r="B73" s="34" t="str">
        <f>CALCULO_VR!B73</f>
        <v>MLPA</v>
      </c>
      <c r="C73" t="s">
        <v>803</v>
      </c>
      <c r="D73" s="46">
        <f>CALCULO_VR!F73</f>
        <v>45437</v>
      </c>
      <c r="E73" s="46">
        <f>CALCULO_VR!G73</f>
        <v>45449</v>
      </c>
      <c r="F73" s="27">
        <f>CALCULO_VR!I73</f>
        <v>46440.22</v>
      </c>
      <c r="G73" s="34">
        <f>CALCULO_VR!E73</f>
        <v>1</v>
      </c>
      <c r="H73" s="34">
        <f t="shared" si="1"/>
        <v>1</v>
      </c>
      <c r="I73" t="s">
        <v>6587</v>
      </c>
      <c r="J73" s="63">
        <f>CALCULO_VR!J73</f>
        <v>3</v>
      </c>
      <c r="Q73" s="44">
        <f>CALCULO_VR!R73</f>
        <v>66.616667030667614</v>
      </c>
    </row>
    <row r="74" spans="1:17" x14ac:dyDescent="0.3">
      <c r="A74" s="34">
        <f>CALCULO_VR!A74</f>
        <v>3463150</v>
      </c>
      <c r="B74" s="34" t="str">
        <f>CALCULO_VR!B74</f>
        <v>MLPA</v>
      </c>
      <c r="C74" t="s">
        <v>1427</v>
      </c>
      <c r="D74" s="46">
        <f>CALCULO_VR!F74</f>
        <v>45436</v>
      </c>
      <c r="E74" s="46">
        <f>CALCULO_VR!G74</f>
        <v>45449</v>
      </c>
      <c r="F74" s="27">
        <f>CALCULO_VR!I74</f>
        <v>46440.22</v>
      </c>
      <c r="G74" s="34">
        <f>CALCULO_VR!E74</f>
        <v>1</v>
      </c>
      <c r="H74" s="34">
        <f t="shared" si="1"/>
        <v>1</v>
      </c>
      <c r="I74" t="s">
        <v>6587</v>
      </c>
      <c r="J74" s="63">
        <f>CALCULO_VR!J74</f>
        <v>10</v>
      </c>
      <c r="Q74" s="44">
        <f>CALCULO_VR!R74</f>
        <v>43.583729578634966</v>
      </c>
    </row>
    <row r="75" spans="1:17" x14ac:dyDescent="0.3">
      <c r="A75" s="34">
        <f>CALCULO_VR!A75</f>
        <v>3442186</v>
      </c>
      <c r="B75" s="34" t="str">
        <f>CALCULO_VR!B75</f>
        <v>MLPA</v>
      </c>
      <c r="C75" t="s">
        <v>1427</v>
      </c>
      <c r="D75" s="46">
        <f>CALCULO_VR!F75</f>
        <v>45384</v>
      </c>
      <c r="E75" s="46">
        <f>CALCULO_VR!G75</f>
        <v>45399</v>
      </c>
      <c r="F75" s="27">
        <f>CALCULO_VR!I75</f>
        <v>46440.22</v>
      </c>
      <c r="G75" s="34">
        <f>CALCULO_VR!E75</f>
        <v>1</v>
      </c>
      <c r="H75" s="34">
        <f t="shared" si="1"/>
        <v>1</v>
      </c>
      <c r="I75" t="s">
        <v>6587</v>
      </c>
      <c r="J75" s="63">
        <f>CALCULO_VR!J75</f>
        <v>10</v>
      </c>
      <c r="Q75" s="44">
        <f>CALCULO_VR!R75</f>
        <v>46.982751595116156</v>
      </c>
    </row>
    <row r="76" spans="1:17" x14ac:dyDescent="0.3">
      <c r="A76" s="34">
        <f>CALCULO_VR!A76</f>
        <v>3437395</v>
      </c>
      <c r="B76" s="34" t="str">
        <f>CALCULO_VR!B76</f>
        <v>MLPA</v>
      </c>
      <c r="C76" t="s">
        <v>1427</v>
      </c>
      <c r="D76" s="46">
        <f>CALCULO_VR!F76</f>
        <v>45302</v>
      </c>
      <c r="E76" s="46">
        <f>CALCULO_VR!G76</f>
        <v>45313</v>
      </c>
      <c r="F76" s="27">
        <f>CALCULO_VR!I76</f>
        <v>46440.22</v>
      </c>
      <c r="G76" s="34">
        <f>CALCULO_VR!E76</f>
        <v>1</v>
      </c>
      <c r="H76" s="34">
        <f t="shared" si="1"/>
        <v>1</v>
      </c>
      <c r="I76" t="s">
        <v>6587</v>
      </c>
      <c r="J76" s="63">
        <f>CALCULO_VR!J76</f>
        <v>10</v>
      </c>
      <c r="Q76" s="44">
        <f>CALCULO_VR!R76</f>
        <v>62.024153630928872</v>
      </c>
    </row>
    <row r="77" spans="1:17" x14ac:dyDescent="0.3">
      <c r="A77" s="34">
        <f>CALCULO_VR!A77</f>
        <v>3463146</v>
      </c>
      <c r="B77" s="34" t="str">
        <f>CALCULO_VR!B77</f>
        <v>MLPA</v>
      </c>
      <c r="C77" t="s">
        <v>1427</v>
      </c>
      <c r="D77" s="46">
        <f>CALCULO_VR!F77</f>
        <v>45437</v>
      </c>
      <c r="E77" s="46">
        <f>CALCULO_VR!G77</f>
        <v>45449</v>
      </c>
      <c r="F77" s="27">
        <f>CALCULO_VR!I77</f>
        <v>46440.22</v>
      </c>
      <c r="G77" s="34">
        <f>CALCULO_VR!E77</f>
        <v>1</v>
      </c>
      <c r="H77" s="34">
        <f t="shared" si="1"/>
        <v>1</v>
      </c>
      <c r="I77" t="s">
        <v>6587</v>
      </c>
      <c r="J77" s="63">
        <f>CALCULO_VR!J77</f>
        <v>10</v>
      </c>
      <c r="Q77" s="44">
        <f>CALCULO_VR!R77</f>
        <v>61.362441583212942</v>
      </c>
    </row>
    <row r="78" spans="1:17" x14ac:dyDescent="0.3">
      <c r="A78" s="34">
        <f>CALCULO_VR!A78</f>
        <v>3438342</v>
      </c>
      <c r="B78" s="34" t="str">
        <f>CALCULO_VR!B78</f>
        <v>MLPA</v>
      </c>
      <c r="C78" t="s">
        <v>1427</v>
      </c>
      <c r="D78" s="46">
        <f>CALCULO_VR!F78</f>
        <v>45298</v>
      </c>
      <c r="E78" s="46">
        <f>CALCULO_VR!G78</f>
        <v>45311</v>
      </c>
      <c r="F78" s="27">
        <f>CALCULO_VR!I78</f>
        <v>46440.22</v>
      </c>
      <c r="G78" s="34">
        <f>CALCULO_VR!E78</f>
        <v>1</v>
      </c>
      <c r="H78" s="34">
        <f t="shared" si="1"/>
        <v>1</v>
      </c>
      <c r="I78" t="s">
        <v>6587</v>
      </c>
      <c r="J78" s="63">
        <f>CALCULO_VR!J78</f>
        <v>10</v>
      </c>
      <c r="Q78" s="44">
        <f>CALCULO_VR!R78</f>
        <v>61.02486253856857</v>
      </c>
    </row>
    <row r="79" spans="1:17" x14ac:dyDescent="0.3">
      <c r="A79" s="34">
        <f>CALCULO_VR!A79</f>
        <v>3434980</v>
      </c>
      <c r="B79" s="34" t="str">
        <f>CALCULO_VR!B79</f>
        <v>MLPA</v>
      </c>
      <c r="C79" t="s">
        <v>1427</v>
      </c>
      <c r="D79" s="46">
        <f>CALCULO_VR!F79</f>
        <v>45299</v>
      </c>
      <c r="E79" s="46">
        <f>CALCULO_VR!G79</f>
        <v>45314</v>
      </c>
      <c r="F79" s="27">
        <f>CALCULO_VR!I79</f>
        <v>46440.22</v>
      </c>
      <c r="G79" s="34">
        <f>CALCULO_VR!E79</f>
        <v>1</v>
      </c>
      <c r="H79" s="34">
        <f t="shared" si="1"/>
        <v>1</v>
      </c>
      <c r="I79" t="s">
        <v>6587</v>
      </c>
      <c r="J79" s="63">
        <f>CALCULO_VR!J79</f>
        <v>10</v>
      </c>
      <c r="Q79" s="44">
        <f>CALCULO_VR!R79</f>
        <v>62.662371024874297</v>
      </c>
    </row>
    <row r="80" spans="1:17" x14ac:dyDescent="0.3">
      <c r="A80" s="34">
        <f>CALCULO_VR!A80</f>
        <v>3436977</v>
      </c>
      <c r="B80" s="34" t="str">
        <f>CALCULO_VR!B80</f>
        <v>MLPA</v>
      </c>
      <c r="C80" t="s">
        <v>1427</v>
      </c>
      <c r="D80" s="46">
        <f>CALCULO_VR!F80</f>
        <v>45298</v>
      </c>
      <c r="E80" s="46">
        <f>CALCULO_VR!G80</f>
        <v>45314</v>
      </c>
      <c r="F80" s="27">
        <f>CALCULO_VR!I80</f>
        <v>46440.22</v>
      </c>
      <c r="G80" s="34">
        <f>CALCULO_VR!E80</f>
        <v>1</v>
      </c>
      <c r="H80" s="34">
        <f t="shared" si="1"/>
        <v>1</v>
      </c>
      <c r="I80" t="s">
        <v>6587</v>
      </c>
      <c r="J80" s="63">
        <f>CALCULO_VR!J80</f>
        <v>10</v>
      </c>
      <c r="Q80" s="44">
        <f>CALCULO_VR!R80</f>
        <v>24.834159693715986</v>
      </c>
    </row>
    <row r="81" spans="1:17" x14ac:dyDescent="0.3">
      <c r="A81" s="34">
        <f>CALCULO_VR!A81</f>
        <v>3442974</v>
      </c>
      <c r="B81" s="34" t="str">
        <f>CALCULO_VR!B81</f>
        <v>MLPA</v>
      </c>
      <c r="C81" t="s">
        <v>1427</v>
      </c>
      <c r="D81" s="46">
        <f>CALCULO_VR!F81</f>
        <v>45388</v>
      </c>
      <c r="E81" s="46">
        <f>CALCULO_VR!G81</f>
        <v>45399</v>
      </c>
      <c r="F81" s="27">
        <f>CALCULO_VR!I81</f>
        <v>46440.22</v>
      </c>
      <c r="G81" s="34">
        <f>CALCULO_VR!E81</f>
        <v>1</v>
      </c>
      <c r="H81" s="34">
        <f t="shared" si="1"/>
        <v>1</v>
      </c>
      <c r="I81" t="s">
        <v>6587</v>
      </c>
      <c r="J81" s="63">
        <f>CALCULO_VR!J81</f>
        <v>10</v>
      </c>
      <c r="Q81" s="44">
        <f>CALCULO_VR!R81</f>
        <v>48.328029310562776</v>
      </c>
    </row>
    <row r="82" spans="1:17" x14ac:dyDescent="0.3">
      <c r="A82" s="34">
        <f>CALCULO_VR!A82</f>
        <v>3437948</v>
      </c>
      <c r="B82" s="34" t="str">
        <f>CALCULO_VR!B82</f>
        <v>MLPA</v>
      </c>
      <c r="C82" t="s">
        <v>803</v>
      </c>
      <c r="D82" s="46">
        <f>CALCULO_VR!F82</f>
        <v>45299</v>
      </c>
      <c r="E82" s="46">
        <f>CALCULO_VR!G82</f>
        <v>45311</v>
      </c>
      <c r="F82" s="27">
        <f>CALCULO_VR!I82</f>
        <v>46440.22</v>
      </c>
      <c r="G82" s="34">
        <f>CALCULO_VR!E82</f>
        <v>1</v>
      </c>
      <c r="H82" s="34">
        <f t="shared" si="1"/>
        <v>1</v>
      </c>
      <c r="I82" t="s">
        <v>6587</v>
      </c>
      <c r="J82" s="63">
        <f>CALCULO_VR!J82</f>
        <v>3</v>
      </c>
      <c r="Q82" s="44">
        <f>CALCULO_VR!R82</f>
        <v>40.381252962293964</v>
      </c>
    </row>
    <row r="83" spans="1:17" x14ac:dyDescent="0.3">
      <c r="A83" s="34">
        <f>CALCULO_VR!A83</f>
        <v>3462412</v>
      </c>
      <c r="B83" s="34" t="str">
        <f>CALCULO_VR!B83</f>
        <v>MLPA</v>
      </c>
      <c r="C83" t="s">
        <v>1427</v>
      </c>
      <c r="D83" s="46">
        <f>CALCULO_VR!F83</f>
        <v>45448</v>
      </c>
      <c r="E83" s="46">
        <f>CALCULO_VR!G83</f>
        <v>45461</v>
      </c>
      <c r="F83" s="27">
        <f>CALCULO_VR!I83</f>
        <v>46440.22</v>
      </c>
      <c r="G83" s="34">
        <f>CALCULO_VR!E83</f>
        <v>1</v>
      </c>
      <c r="H83" s="34">
        <f t="shared" si="1"/>
        <v>1</v>
      </c>
      <c r="I83" t="s">
        <v>6587</v>
      </c>
      <c r="J83" s="63">
        <f>CALCULO_VR!J83</f>
        <v>10</v>
      </c>
      <c r="Q83" s="44">
        <f>CALCULO_VR!R83</f>
        <v>47.139919102580969</v>
      </c>
    </row>
    <row r="84" spans="1:17" x14ac:dyDescent="0.3">
      <c r="A84" s="34">
        <f>CALCULO_VR!A84</f>
        <v>3465696</v>
      </c>
      <c r="B84" s="34" t="str">
        <f>CALCULO_VR!B84</f>
        <v>MLPA</v>
      </c>
      <c r="C84" t="s">
        <v>1427</v>
      </c>
      <c r="D84" s="46">
        <f>CALCULO_VR!F84</f>
        <v>45448</v>
      </c>
      <c r="E84" s="46">
        <f>CALCULO_VR!G84</f>
        <v>45463</v>
      </c>
      <c r="F84" s="27">
        <f>CALCULO_VR!I84</f>
        <v>46440.22</v>
      </c>
      <c r="G84" s="34">
        <f>CALCULO_VR!E84</f>
        <v>1</v>
      </c>
      <c r="H84" s="34">
        <f t="shared" si="1"/>
        <v>1</v>
      </c>
      <c r="I84" t="s">
        <v>6587</v>
      </c>
      <c r="J84" s="63">
        <f>CALCULO_VR!J84</f>
        <v>10</v>
      </c>
      <c r="Q84" s="44">
        <f>CALCULO_VR!R84</f>
        <v>47.205918837825351</v>
      </c>
    </row>
    <row r="85" spans="1:17" x14ac:dyDescent="0.3">
      <c r="A85" s="34">
        <f>CALCULO_VR!A85</f>
        <v>3459926</v>
      </c>
      <c r="B85" s="34" t="str">
        <f>CALCULO_VR!B85</f>
        <v>MLPA</v>
      </c>
      <c r="C85" t="s">
        <v>1427</v>
      </c>
      <c r="D85" s="46">
        <f>CALCULO_VR!F85</f>
        <v>45450</v>
      </c>
      <c r="E85" s="46">
        <f>CALCULO_VR!G85</f>
        <v>45461</v>
      </c>
      <c r="F85" s="27">
        <f>CALCULO_VR!I85</f>
        <v>46440.22</v>
      </c>
      <c r="G85" s="34">
        <f>CALCULO_VR!E85</f>
        <v>1</v>
      </c>
      <c r="H85" s="34">
        <f t="shared" si="1"/>
        <v>1</v>
      </c>
      <c r="I85" t="s">
        <v>6587</v>
      </c>
      <c r="J85" s="63">
        <f>CALCULO_VR!J85</f>
        <v>10</v>
      </c>
      <c r="Q85" s="44">
        <f>CALCULO_VR!R85</f>
        <v>46.803249714781664</v>
      </c>
    </row>
    <row r="86" spans="1:17" x14ac:dyDescent="0.3">
      <c r="A86" s="34">
        <f>CALCULO_VR!A86</f>
        <v>3463643</v>
      </c>
      <c r="B86" s="34" t="str">
        <f>CALCULO_VR!B86</f>
        <v>MLPA</v>
      </c>
      <c r="C86" t="s">
        <v>1427</v>
      </c>
      <c r="D86" s="46">
        <f>CALCULO_VR!F86</f>
        <v>45451</v>
      </c>
      <c r="E86" s="46">
        <f>CALCULO_VR!G86</f>
        <v>45463</v>
      </c>
      <c r="F86" s="27">
        <f>CALCULO_VR!I86</f>
        <v>46440.22</v>
      </c>
      <c r="G86" s="34">
        <f>CALCULO_VR!E86</f>
        <v>1</v>
      </c>
      <c r="H86" s="34">
        <f t="shared" si="1"/>
        <v>1</v>
      </c>
      <c r="I86" t="s">
        <v>6587</v>
      </c>
      <c r="J86" s="63">
        <f>CALCULO_VR!J86</f>
        <v>10</v>
      </c>
      <c r="Q86" s="44">
        <f>CALCULO_VR!R86</f>
        <v>26.462783694434819</v>
      </c>
    </row>
    <row r="87" spans="1:17" x14ac:dyDescent="0.3">
      <c r="A87" s="34">
        <f>CALCULO_VR!A87</f>
        <v>3462419</v>
      </c>
      <c r="B87" s="34" t="str">
        <f>CALCULO_VR!B87</f>
        <v>MLPA</v>
      </c>
      <c r="C87" t="s">
        <v>1427</v>
      </c>
      <c r="D87" s="46">
        <f>CALCULO_VR!F87</f>
        <v>45448</v>
      </c>
      <c r="E87" s="46">
        <f>CALCULO_VR!G87</f>
        <v>45461</v>
      </c>
      <c r="F87" s="27">
        <f>CALCULO_VR!I87</f>
        <v>46440.22</v>
      </c>
      <c r="G87" s="34">
        <f>CALCULO_VR!E87</f>
        <v>1</v>
      </c>
      <c r="H87" s="34">
        <f t="shared" si="1"/>
        <v>1</v>
      </c>
      <c r="I87" t="s">
        <v>6587</v>
      </c>
      <c r="J87" s="63">
        <f>CALCULO_VR!J87</f>
        <v>10</v>
      </c>
      <c r="Q87" s="44">
        <f>CALCULO_VR!R87</f>
        <v>32.894405384317331</v>
      </c>
    </row>
    <row r="88" spans="1:17" x14ac:dyDescent="0.3">
      <c r="A88" s="34">
        <f>CALCULO_VR!A88</f>
        <v>3466494</v>
      </c>
      <c r="B88" s="34" t="str">
        <f>CALCULO_VR!B88</f>
        <v>MLPA</v>
      </c>
      <c r="C88" t="s">
        <v>1427</v>
      </c>
      <c r="D88" s="46">
        <f>CALCULO_VR!F88</f>
        <v>45447</v>
      </c>
      <c r="E88" s="46">
        <f>CALCULO_VR!G88</f>
        <v>45462</v>
      </c>
      <c r="F88" s="27">
        <f>CALCULO_VR!I88</f>
        <v>46440.22</v>
      </c>
      <c r="G88" s="34">
        <f>CALCULO_VR!E88</f>
        <v>1</v>
      </c>
      <c r="H88" s="34">
        <f t="shared" si="1"/>
        <v>1</v>
      </c>
      <c r="I88" t="s">
        <v>6587</v>
      </c>
      <c r="J88" s="63">
        <f>CALCULO_VR!J88</f>
        <v>10</v>
      </c>
      <c r="Q88" s="44">
        <f>CALCULO_VR!R88</f>
        <v>33.441926357738758</v>
      </c>
    </row>
    <row r="89" spans="1:17" x14ac:dyDescent="0.3">
      <c r="A89" s="34">
        <f>CALCULO_VR!A89</f>
        <v>3463230</v>
      </c>
      <c r="B89" s="34" t="str">
        <f>CALCULO_VR!B89</f>
        <v>MLPA</v>
      </c>
      <c r="C89" t="s">
        <v>1427</v>
      </c>
      <c r="D89" s="46">
        <f>CALCULO_VR!F89</f>
        <v>45447</v>
      </c>
      <c r="E89" s="46">
        <f>CALCULO_VR!G89</f>
        <v>45463</v>
      </c>
      <c r="F89" s="27">
        <f>CALCULO_VR!I89</f>
        <v>46440.22</v>
      </c>
      <c r="G89" s="34">
        <f>CALCULO_VR!E89</f>
        <v>1</v>
      </c>
      <c r="H89" s="34">
        <f t="shared" si="1"/>
        <v>1</v>
      </c>
      <c r="I89" t="s">
        <v>6587</v>
      </c>
      <c r="J89" s="63">
        <f>CALCULO_VR!J89</f>
        <v>10</v>
      </c>
      <c r="Q89" s="44">
        <f>CALCULO_VR!R89</f>
        <v>58.023572358053642</v>
      </c>
    </row>
    <row r="90" spans="1:17" x14ac:dyDescent="0.3">
      <c r="A90" s="34">
        <f>CALCULO_VR!A90</f>
        <v>3466981</v>
      </c>
      <c r="B90" s="34" t="str">
        <f>CALCULO_VR!B90</f>
        <v>MLPA</v>
      </c>
      <c r="C90" t="s">
        <v>1427</v>
      </c>
      <c r="D90" s="46">
        <f>CALCULO_VR!F90</f>
        <v>45451</v>
      </c>
      <c r="E90" s="46">
        <f>CALCULO_VR!G90</f>
        <v>45462</v>
      </c>
      <c r="F90" s="27">
        <f>CALCULO_VR!I90</f>
        <v>46440.22</v>
      </c>
      <c r="G90" s="34">
        <f>CALCULO_VR!E90</f>
        <v>1</v>
      </c>
      <c r="H90" s="34">
        <f t="shared" si="1"/>
        <v>1</v>
      </c>
      <c r="I90" t="s">
        <v>6587</v>
      </c>
      <c r="J90" s="63">
        <f>CALCULO_VR!J90</f>
        <v>10</v>
      </c>
      <c r="Q90" s="44">
        <f>CALCULO_VR!R90</f>
        <v>28.690314933199517</v>
      </c>
    </row>
    <row r="91" spans="1:17" x14ac:dyDescent="0.3">
      <c r="A91" s="34">
        <f>CALCULO_VR!A91</f>
        <v>3466644</v>
      </c>
      <c r="B91" s="34" t="str">
        <f>CALCULO_VR!B91</f>
        <v>MLPA</v>
      </c>
      <c r="C91" t="s">
        <v>1427</v>
      </c>
      <c r="D91" s="46">
        <f>CALCULO_VR!F91</f>
        <v>45448</v>
      </c>
      <c r="E91" s="46">
        <f>CALCULO_VR!G91</f>
        <v>45460</v>
      </c>
      <c r="F91" s="27">
        <f>CALCULO_VR!I91</f>
        <v>46440.22</v>
      </c>
      <c r="G91" s="34">
        <f>CALCULO_VR!E91</f>
        <v>1</v>
      </c>
      <c r="H91" s="34">
        <f t="shared" si="1"/>
        <v>1</v>
      </c>
      <c r="I91" t="s">
        <v>6587</v>
      </c>
      <c r="J91" s="63">
        <f>CALCULO_VR!J91</f>
        <v>10</v>
      </c>
      <c r="Q91" s="44">
        <f>CALCULO_VR!R91</f>
        <v>23.199065946550952</v>
      </c>
    </row>
    <row r="92" spans="1:17" x14ac:dyDescent="0.3">
      <c r="A92" s="34">
        <f>CALCULO_VR!A92</f>
        <v>3466744</v>
      </c>
      <c r="B92" s="34" t="str">
        <f>CALCULO_VR!B92</f>
        <v>MLPA</v>
      </c>
      <c r="C92" t="s">
        <v>1427</v>
      </c>
      <c r="D92" s="46">
        <f>CALCULO_VR!F92</f>
        <v>45450</v>
      </c>
      <c r="E92" s="46">
        <f>CALCULO_VR!G92</f>
        <v>45463</v>
      </c>
      <c r="F92" s="27">
        <f>CALCULO_VR!I92</f>
        <v>46440.22</v>
      </c>
      <c r="G92" s="34">
        <f>CALCULO_VR!E92</f>
        <v>1</v>
      </c>
      <c r="H92" s="34">
        <f t="shared" si="1"/>
        <v>1</v>
      </c>
      <c r="I92" t="s">
        <v>6587</v>
      </c>
      <c r="J92" s="63">
        <f>CALCULO_VR!J92</f>
        <v>10</v>
      </c>
      <c r="Q92" s="44">
        <f>CALCULO_VR!R92</f>
        <v>45.507130690953559</v>
      </c>
    </row>
    <row r="93" spans="1:17" x14ac:dyDescent="0.3">
      <c r="A93" s="34">
        <f>CALCULO_VR!A93</f>
        <v>3466627</v>
      </c>
      <c r="B93" s="34" t="str">
        <f>CALCULO_VR!B93</f>
        <v>MLPA</v>
      </c>
      <c r="C93" t="s">
        <v>1427</v>
      </c>
      <c r="D93" s="46">
        <f>CALCULO_VR!F93</f>
        <v>45446</v>
      </c>
      <c r="E93" s="46">
        <f>CALCULO_VR!G93</f>
        <v>45461</v>
      </c>
      <c r="F93" s="27">
        <f>CALCULO_VR!I93</f>
        <v>46440.22</v>
      </c>
      <c r="G93" s="34">
        <f>CALCULO_VR!E93</f>
        <v>1</v>
      </c>
      <c r="H93" s="34">
        <f t="shared" si="1"/>
        <v>1</v>
      </c>
      <c r="I93" t="s">
        <v>6587</v>
      </c>
      <c r="J93" s="63">
        <f>CALCULO_VR!J93</f>
        <v>10</v>
      </c>
      <c r="Q93" s="44">
        <f>CALCULO_VR!R93</f>
        <v>32.195908305691027</v>
      </c>
    </row>
    <row r="94" spans="1:17" x14ac:dyDescent="0.3">
      <c r="A94" s="34">
        <f>CALCULO_VR!A94</f>
        <v>3466160</v>
      </c>
      <c r="B94" s="34" t="str">
        <f>CALCULO_VR!B94</f>
        <v>MLPA</v>
      </c>
      <c r="C94" t="s">
        <v>1427</v>
      </c>
      <c r="D94" s="46">
        <f>CALCULO_VR!F94</f>
        <v>45443</v>
      </c>
      <c r="E94" s="46">
        <f>CALCULO_VR!G94</f>
        <v>45454</v>
      </c>
      <c r="F94" s="27">
        <f>CALCULO_VR!I94</f>
        <v>46440.22</v>
      </c>
      <c r="G94" s="34">
        <f>CALCULO_VR!E94</f>
        <v>1</v>
      </c>
      <c r="H94" s="34">
        <f t="shared" si="1"/>
        <v>1</v>
      </c>
      <c r="I94" t="s">
        <v>6587</v>
      </c>
      <c r="J94" s="63">
        <f>CALCULO_VR!J94</f>
        <v>10</v>
      </c>
      <c r="Q94" s="44">
        <f>CALCULO_VR!R94</f>
        <v>60.705346887477909</v>
      </c>
    </row>
    <row r="95" spans="1:17" x14ac:dyDescent="0.3">
      <c r="A95" s="34">
        <f>CALCULO_VR!A95</f>
        <v>3466424</v>
      </c>
      <c r="B95" s="34" t="str">
        <f>CALCULO_VR!B95</f>
        <v>MLPA</v>
      </c>
      <c r="C95" t="s">
        <v>1427</v>
      </c>
      <c r="D95" s="46">
        <f>CALCULO_VR!F95</f>
        <v>45442</v>
      </c>
      <c r="E95" s="46">
        <f>CALCULO_VR!G95</f>
        <v>45454</v>
      </c>
      <c r="F95" s="27">
        <f>CALCULO_VR!I95</f>
        <v>46440.22</v>
      </c>
      <c r="G95" s="34">
        <f>CALCULO_VR!E95</f>
        <v>1</v>
      </c>
      <c r="H95" s="34">
        <f t="shared" si="1"/>
        <v>1</v>
      </c>
      <c r="I95" t="s">
        <v>6587</v>
      </c>
      <c r="J95" s="63">
        <f>CALCULO_VR!J95</f>
        <v>10</v>
      </c>
      <c r="Q95" s="44">
        <f>CALCULO_VR!R95</f>
        <v>66.188733550813069</v>
      </c>
    </row>
    <row r="96" spans="1:17" x14ac:dyDescent="0.3">
      <c r="A96" s="34">
        <f>CALCULO_VR!A96</f>
        <v>3463791</v>
      </c>
      <c r="B96" s="34" t="str">
        <f>CALCULO_VR!B96</f>
        <v>MLPA</v>
      </c>
      <c r="C96" t="s">
        <v>1427</v>
      </c>
      <c r="D96" s="46">
        <f>CALCULO_VR!F96</f>
        <v>45441</v>
      </c>
      <c r="E96" s="46">
        <f>CALCULO_VR!G96</f>
        <v>45454</v>
      </c>
      <c r="F96" s="27">
        <f>CALCULO_VR!I96</f>
        <v>46440.22</v>
      </c>
      <c r="G96" s="34">
        <f>CALCULO_VR!E96</f>
        <v>1</v>
      </c>
      <c r="H96" s="34">
        <f t="shared" si="1"/>
        <v>1</v>
      </c>
      <c r="I96" t="s">
        <v>6587</v>
      </c>
      <c r="J96" s="63">
        <f>CALCULO_VR!J96</f>
        <v>10</v>
      </c>
      <c r="Q96" s="44">
        <f>CALCULO_VR!R96</f>
        <v>59.975548205930757</v>
      </c>
    </row>
    <row r="97" spans="1:17" x14ac:dyDescent="0.3">
      <c r="A97" s="34">
        <f>CALCULO_VR!A97</f>
        <v>3463790</v>
      </c>
      <c r="B97" s="34" t="str">
        <f>CALCULO_VR!B97</f>
        <v>MLPA</v>
      </c>
      <c r="C97" t="s">
        <v>1427</v>
      </c>
      <c r="D97" s="46">
        <f>CALCULO_VR!F97</f>
        <v>45439</v>
      </c>
      <c r="E97" s="46">
        <f>CALCULO_VR!G97</f>
        <v>45454</v>
      </c>
      <c r="F97" s="27">
        <f>CALCULO_VR!I97</f>
        <v>46440.22</v>
      </c>
      <c r="G97" s="34">
        <f>CALCULO_VR!E97</f>
        <v>1</v>
      </c>
      <c r="H97" s="34">
        <f t="shared" si="1"/>
        <v>1</v>
      </c>
      <c r="I97" t="s">
        <v>6587</v>
      </c>
      <c r="J97" s="63">
        <f>CALCULO_VR!J97</f>
        <v>10</v>
      </c>
      <c r="Q97" s="44">
        <f>CALCULO_VR!R97</f>
        <v>59.832189417870275</v>
      </c>
    </row>
    <row r="98" spans="1:17" x14ac:dyDescent="0.3">
      <c r="A98" s="34">
        <f>CALCULO_VR!A98</f>
        <v>3464190</v>
      </c>
      <c r="B98" s="34" t="str">
        <f>CALCULO_VR!B98</f>
        <v>MLPA</v>
      </c>
      <c r="C98" t="s">
        <v>1427</v>
      </c>
      <c r="D98" s="46">
        <f>CALCULO_VR!F98</f>
        <v>45434</v>
      </c>
      <c r="E98" s="46">
        <f>CALCULO_VR!G98</f>
        <v>45450</v>
      </c>
      <c r="F98" s="27">
        <f>CALCULO_VR!I98</f>
        <v>46440.22</v>
      </c>
      <c r="G98" s="34">
        <f>CALCULO_VR!E98</f>
        <v>1</v>
      </c>
      <c r="H98" s="34">
        <f t="shared" si="1"/>
        <v>1</v>
      </c>
      <c r="I98" t="s">
        <v>6587</v>
      </c>
      <c r="J98" s="63">
        <f>CALCULO_VR!J98</f>
        <v>10</v>
      </c>
      <c r="Q98" s="44">
        <f>CALCULO_VR!R98</f>
        <v>60.87023818945071</v>
      </c>
    </row>
    <row r="99" spans="1:17" x14ac:dyDescent="0.3">
      <c r="A99" s="34">
        <f>CALCULO_VR!A99</f>
        <v>3464228</v>
      </c>
      <c r="B99" s="34" t="str">
        <f>CALCULO_VR!B99</f>
        <v>MLPA</v>
      </c>
      <c r="C99" t="s">
        <v>1427</v>
      </c>
      <c r="D99" s="46">
        <f>CALCULO_VR!F99</f>
        <v>45442</v>
      </c>
      <c r="E99" s="46">
        <f>CALCULO_VR!G99</f>
        <v>45453</v>
      </c>
      <c r="F99" s="27">
        <f>CALCULO_VR!I99</f>
        <v>46440.22</v>
      </c>
      <c r="G99" s="34">
        <f>CALCULO_VR!E99</f>
        <v>1</v>
      </c>
      <c r="H99" s="34">
        <f t="shared" si="1"/>
        <v>1</v>
      </c>
      <c r="I99" t="s">
        <v>6587</v>
      </c>
      <c r="J99" s="63">
        <f>CALCULO_VR!J99</f>
        <v>10</v>
      </c>
      <c r="Q99" s="44">
        <f>CALCULO_VR!R99</f>
        <v>69.479806576943759</v>
      </c>
    </row>
    <row r="100" spans="1:17" x14ac:dyDescent="0.3">
      <c r="A100" s="34">
        <f>CALCULO_VR!A100</f>
        <v>3463772</v>
      </c>
      <c r="B100" s="34" t="str">
        <f>CALCULO_VR!B100</f>
        <v>MLPA</v>
      </c>
      <c r="C100" t="s">
        <v>1427</v>
      </c>
      <c r="D100" s="46">
        <f>CALCULO_VR!F100</f>
        <v>45441</v>
      </c>
      <c r="E100" s="46">
        <f>CALCULO_VR!G100</f>
        <v>45453</v>
      </c>
      <c r="F100" s="27">
        <f>CALCULO_VR!I100</f>
        <v>46440.22</v>
      </c>
      <c r="G100" s="34">
        <f>CALCULO_VR!E100</f>
        <v>1</v>
      </c>
      <c r="H100" s="34">
        <f t="shared" si="1"/>
        <v>1</v>
      </c>
      <c r="I100" t="s">
        <v>6587</v>
      </c>
      <c r="J100" s="63">
        <f>CALCULO_VR!J100</f>
        <v>10</v>
      </c>
      <c r="Q100" s="44">
        <f>CALCULO_VR!R100</f>
        <v>76.79228857279891</v>
      </c>
    </row>
    <row r="101" spans="1:17" x14ac:dyDescent="0.3">
      <c r="A101" s="34">
        <f>CALCULO_VR!A101</f>
        <v>3465689</v>
      </c>
      <c r="B101" s="34" t="str">
        <f>CALCULO_VR!B101</f>
        <v>MLPA</v>
      </c>
      <c r="C101" t="s">
        <v>1427</v>
      </c>
      <c r="D101" s="46">
        <f>CALCULO_VR!F101</f>
        <v>45441</v>
      </c>
      <c r="E101" s="46">
        <f>CALCULO_VR!G101</f>
        <v>45454</v>
      </c>
      <c r="F101" s="27">
        <f>CALCULO_VR!I101</f>
        <v>46440.22</v>
      </c>
      <c r="G101" s="34">
        <f>CALCULO_VR!E101</f>
        <v>1</v>
      </c>
      <c r="H101" s="34">
        <f t="shared" si="1"/>
        <v>1</v>
      </c>
      <c r="I101" t="s">
        <v>6587</v>
      </c>
      <c r="J101" s="63">
        <f>CALCULO_VR!J101</f>
        <v>10</v>
      </c>
      <c r="Q101" s="44">
        <f>CALCULO_VR!R101</f>
        <v>64.57506914111093</v>
      </c>
    </row>
    <row r="102" spans="1:17" x14ac:dyDescent="0.3">
      <c r="A102" s="34">
        <f>CALCULO_VR!A102</f>
        <v>3466454</v>
      </c>
      <c r="B102" s="34" t="str">
        <f>CALCULO_VR!B102</f>
        <v>MLPA</v>
      </c>
      <c r="C102" t="s">
        <v>1427</v>
      </c>
      <c r="D102" s="46">
        <f>CALCULO_VR!F102</f>
        <v>45439</v>
      </c>
      <c r="E102" s="46">
        <f>CALCULO_VR!G102</f>
        <v>45454</v>
      </c>
      <c r="F102" s="27">
        <f>CALCULO_VR!I102</f>
        <v>46440.22</v>
      </c>
      <c r="G102" s="34">
        <f>CALCULO_VR!E102</f>
        <v>1</v>
      </c>
      <c r="H102" s="34">
        <f t="shared" si="1"/>
        <v>1</v>
      </c>
      <c r="I102" t="s">
        <v>6587</v>
      </c>
      <c r="J102" s="63">
        <f>CALCULO_VR!J102</f>
        <v>10</v>
      </c>
      <c r="Q102" s="44">
        <f>CALCULO_VR!R102</f>
        <v>61.122752252524322</v>
      </c>
    </row>
    <row r="103" spans="1:17" x14ac:dyDescent="0.3">
      <c r="A103" s="34">
        <f>CALCULO_VR!A103</f>
        <v>3466485</v>
      </c>
      <c r="B103" s="34" t="str">
        <f>CALCULO_VR!B103</f>
        <v>MLPA</v>
      </c>
      <c r="C103" t="s">
        <v>1427</v>
      </c>
      <c r="D103" s="46">
        <f>CALCULO_VR!F103</f>
        <v>45450</v>
      </c>
      <c r="E103" s="46">
        <f>CALCULO_VR!G103</f>
        <v>45461</v>
      </c>
      <c r="F103" s="27">
        <f>CALCULO_VR!I103</f>
        <v>46440.22</v>
      </c>
      <c r="G103" s="34">
        <f>CALCULO_VR!E103</f>
        <v>1</v>
      </c>
      <c r="H103" s="34">
        <f t="shared" si="1"/>
        <v>1</v>
      </c>
      <c r="I103" t="s">
        <v>6587</v>
      </c>
      <c r="J103" s="63">
        <f>CALCULO_VR!J103</f>
        <v>10</v>
      </c>
      <c r="Q103" s="44">
        <f>CALCULO_VR!R103</f>
        <v>74.050207965498558</v>
      </c>
    </row>
    <row r="104" spans="1:17" x14ac:dyDescent="0.3">
      <c r="A104" s="34">
        <f>CALCULO_VR!A104</f>
        <v>3466159</v>
      </c>
      <c r="B104" s="34" t="str">
        <f>CALCULO_VR!B104</f>
        <v>MLPA</v>
      </c>
      <c r="C104" t="s">
        <v>1427</v>
      </c>
      <c r="D104" s="46">
        <f>CALCULO_VR!F104</f>
        <v>45442</v>
      </c>
      <c r="E104" s="46">
        <f>CALCULO_VR!G104</f>
        <v>45454</v>
      </c>
      <c r="F104" s="27">
        <f>CALCULO_VR!I104</f>
        <v>46440.22</v>
      </c>
      <c r="G104" s="34">
        <f>CALCULO_VR!E104</f>
        <v>1</v>
      </c>
      <c r="H104" s="34">
        <f t="shared" si="1"/>
        <v>1</v>
      </c>
      <c r="I104" t="s">
        <v>6587</v>
      </c>
      <c r="J104" s="63">
        <f>CALCULO_VR!J104</f>
        <v>10</v>
      </c>
      <c r="Q104" s="44">
        <f>CALCULO_VR!R104</f>
        <v>60.931988303221907</v>
      </c>
    </row>
    <row r="105" spans="1:17" x14ac:dyDescent="0.3">
      <c r="A105" s="34">
        <f>CALCULO_VR!A105</f>
        <v>3459827</v>
      </c>
      <c r="B105" s="34" t="str">
        <f>CALCULO_VR!B105</f>
        <v>MLPA</v>
      </c>
      <c r="C105" t="s">
        <v>1427</v>
      </c>
      <c r="D105" s="46">
        <f>CALCULO_VR!F105</f>
        <v>45447</v>
      </c>
      <c r="E105" s="46">
        <f>CALCULO_VR!G105</f>
        <v>45460</v>
      </c>
      <c r="F105" s="27">
        <f>CALCULO_VR!I105</f>
        <v>46440.22</v>
      </c>
      <c r="G105" s="34">
        <f>CALCULO_VR!E105</f>
        <v>1</v>
      </c>
      <c r="H105" s="34">
        <f t="shared" si="1"/>
        <v>1</v>
      </c>
      <c r="I105" t="s">
        <v>6587</v>
      </c>
      <c r="J105" s="63">
        <f>CALCULO_VR!J105</f>
        <v>10</v>
      </c>
      <c r="Q105" s="44">
        <f>CALCULO_VR!R105</f>
        <v>64.181399667352679</v>
      </c>
    </row>
    <row r="106" spans="1:17" x14ac:dyDescent="0.3">
      <c r="A106" s="34">
        <f>CALCULO_VR!A106</f>
        <v>3465690</v>
      </c>
      <c r="B106" s="34" t="str">
        <f>CALCULO_VR!B106</f>
        <v>MLPA</v>
      </c>
      <c r="C106" t="s">
        <v>1427</v>
      </c>
      <c r="D106" s="46">
        <f>CALCULO_VR!F106</f>
        <v>45439</v>
      </c>
      <c r="E106" s="46">
        <f>CALCULO_VR!G106</f>
        <v>45454</v>
      </c>
      <c r="F106" s="27">
        <f>CALCULO_VR!I106</f>
        <v>46440.22</v>
      </c>
      <c r="G106" s="34">
        <f>CALCULO_VR!E106</f>
        <v>1</v>
      </c>
      <c r="H106" s="34">
        <f t="shared" si="1"/>
        <v>1</v>
      </c>
      <c r="I106" t="s">
        <v>6587</v>
      </c>
      <c r="J106" s="63">
        <f>CALCULO_VR!J106</f>
        <v>10</v>
      </c>
      <c r="Q106" s="44">
        <f>CALCULO_VR!R106</f>
        <v>62.045325722828515</v>
      </c>
    </row>
    <row r="107" spans="1:17" x14ac:dyDescent="0.3">
      <c r="A107" s="34">
        <f>CALCULO_VR!A107</f>
        <v>3464086</v>
      </c>
      <c r="B107" s="34" t="str">
        <f>CALCULO_VR!B107</f>
        <v>MLPA</v>
      </c>
      <c r="C107" t="s">
        <v>1427</v>
      </c>
      <c r="D107" s="46">
        <f>CALCULO_VR!F107</f>
        <v>45430</v>
      </c>
      <c r="E107" s="46">
        <f>CALCULO_VR!G107</f>
        <v>45446</v>
      </c>
      <c r="F107" s="27">
        <f>CALCULO_VR!I107</f>
        <v>46440.22</v>
      </c>
      <c r="G107" s="34">
        <f>CALCULO_VR!E107</f>
        <v>1</v>
      </c>
      <c r="H107" s="34">
        <f t="shared" si="1"/>
        <v>1</v>
      </c>
      <c r="I107" t="s">
        <v>6587</v>
      </c>
      <c r="J107" s="63">
        <f>CALCULO_VR!J107</f>
        <v>10</v>
      </c>
      <c r="Q107" s="44">
        <f>CALCULO_VR!R107</f>
        <v>61.100540462209011</v>
      </c>
    </row>
    <row r="108" spans="1:17" x14ac:dyDescent="0.3">
      <c r="A108" s="34">
        <f>CALCULO_VR!A108</f>
        <v>3464241</v>
      </c>
      <c r="B108" s="34" t="str">
        <f>CALCULO_VR!B108</f>
        <v>MLPA</v>
      </c>
      <c r="C108" t="s">
        <v>1427</v>
      </c>
      <c r="D108" s="46">
        <f>CALCULO_VR!F108</f>
        <v>45445</v>
      </c>
      <c r="E108" s="46">
        <f>CALCULO_VR!G108</f>
        <v>45456</v>
      </c>
      <c r="F108" s="27">
        <f>CALCULO_VR!I108</f>
        <v>46440.22</v>
      </c>
      <c r="G108" s="34">
        <f>CALCULO_VR!E108</f>
        <v>1</v>
      </c>
      <c r="H108" s="34">
        <f t="shared" si="1"/>
        <v>1</v>
      </c>
      <c r="I108" t="s">
        <v>6587</v>
      </c>
      <c r="J108" s="63">
        <f>CALCULO_VR!J108</f>
        <v>10</v>
      </c>
      <c r="Q108" s="44">
        <f>CALCULO_VR!R108</f>
        <v>65.024558986505539</v>
      </c>
    </row>
    <row r="109" spans="1:17" x14ac:dyDescent="0.3">
      <c r="A109" s="34">
        <f>CALCULO_VR!A109</f>
        <v>3459757</v>
      </c>
      <c r="B109" s="34" t="str">
        <f>CALCULO_VR!B109</f>
        <v>MLPA</v>
      </c>
      <c r="C109" t="s">
        <v>1427</v>
      </c>
      <c r="D109" s="46">
        <f>CALCULO_VR!F109</f>
        <v>45448</v>
      </c>
      <c r="E109" s="46">
        <f>CALCULO_VR!G109</f>
        <v>45460</v>
      </c>
      <c r="F109" s="27">
        <f>CALCULO_VR!I109</f>
        <v>46440.22</v>
      </c>
      <c r="G109" s="34">
        <f>CALCULO_VR!E109</f>
        <v>1</v>
      </c>
      <c r="H109" s="34">
        <f t="shared" si="1"/>
        <v>1</v>
      </c>
      <c r="I109" t="s">
        <v>6587</v>
      </c>
      <c r="J109" s="63">
        <f>CALCULO_VR!J109</f>
        <v>10</v>
      </c>
      <c r="Q109" s="44">
        <f>CALCULO_VR!R109</f>
        <v>62.58951149313129</v>
      </c>
    </row>
    <row r="110" spans="1:17" x14ac:dyDescent="0.3">
      <c r="A110" s="34">
        <f>CALCULO_VR!A110</f>
        <v>3459758</v>
      </c>
      <c r="B110" s="34" t="str">
        <f>CALCULO_VR!B110</f>
        <v>MLPA</v>
      </c>
      <c r="C110" t="s">
        <v>1427</v>
      </c>
      <c r="D110" s="46">
        <f>CALCULO_VR!F110</f>
        <v>45447</v>
      </c>
      <c r="E110" s="46">
        <f>CALCULO_VR!G110</f>
        <v>45460</v>
      </c>
      <c r="F110" s="27">
        <f>CALCULO_VR!I110</f>
        <v>46440.22</v>
      </c>
      <c r="G110" s="34">
        <f>CALCULO_VR!E110</f>
        <v>1</v>
      </c>
      <c r="H110" s="34">
        <f t="shared" si="1"/>
        <v>1</v>
      </c>
      <c r="I110" t="s">
        <v>6587</v>
      </c>
      <c r="J110" s="63">
        <f>CALCULO_VR!J110</f>
        <v>10</v>
      </c>
      <c r="Q110" s="44">
        <f>CALCULO_VR!R110</f>
        <v>59.609761287574919</v>
      </c>
    </row>
    <row r="111" spans="1:17" x14ac:dyDescent="0.3">
      <c r="A111" s="34">
        <f>CALCULO_VR!A111</f>
        <v>3463151</v>
      </c>
      <c r="B111" s="34" t="str">
        <f>CALCULO_VR!B111</f>
        <v>MLPA</v>
      </c>
      <c r="C111" t="s">
        <v>1427</v>
      </c>
      <c r="D111" s="46">
        <f>CALCULO_VR!F111</f>
        <v>45435</v>
      </c>
      <c r="E111" s="46">
        <f>CALCULO_VR!G111</f>
        <v>45450</v>
      </c>
      <c r="F111" s="27">
        <f>CALCULO_VR!I111</f>
        <v>46440.22</v>
      </c>
      <c r="G111" s="34">
        <f>CALCULO_VR!E111</f>
        <v>1</v>
      </c>
      <c r="H111" s="34">
        <f t="shared" si="1"/>
        <v>1</v>
      </c>
      <c r="I111" t="s">
        <v>6587</v>
      </c>
      <c r="J111" s="63">
        <f>CALCULO_VR!J111</f>
        <v>10</v>
      </c>
      <c r="Q111" s="44">
        <f>CALCULO_VR!R111</f>
        <v>58.438606086919847</v>
      </c>
    </row>
    <row r="112" spans="1:17" x14ac:dyDescent="0.3">
      <c r="A112" s="34">
        <f>CALCULO_VR!A112</f>
        <v>3466922</v>
      </c>
      <c r="B112" s="34" t="str">
        <f>CALCULO_VR!B112</f>
        <v>MLPA</v>
      </c>
      <c r="C112" t="s">
        <v>1427</v>
      </c>
      <c r="D112" s="46">
        <f>CALCULO_VR!F112</f>
        <v>45454</v>
      </c>
      <c r="E112" s="46">
        <f>CALCULO_VR!G112</f>
        <v>45465</v>
      </c>
      <c r="F112" s="27">
        <f>CALCULO_VR!I112</f>
        <v>46440.22</v>
      </c>
      <c r="G112" s="34">
        <f>CALCULO_VR!E112</f>
        <v>1</v>
      </c>
      <c r="H112" s="34">
        <f t="shared" si="1"/>
        <v>1</v>
      </c>
      <c r="I112" t="s">
        <v>6587</v>
      </c>
      <c r="J112" s="63">
        <f>CALCULO_VR!J112</f>
        <v>10</v>
      </c>
      <c r="Q112" s="44">
        <f>CALCULO_VR!R112</f>
        <v>73.594760131239411</v>
      </c>
    </row>
    <row r="113" spans="1:17" x14ac:dyDescent="0.3">
      <c r="A113" s="34">
        <f>CALCULO_VR!A113</f>
        <v>3466798</v>
      </c>
      <c r="B113" s="34" t="str">
        <f>CALCULO_VR!B113</f>
        <v>MLPA</v>
      </c>
      <c r="C113" t="s">
        <v>1427</v>
      </c>
      <c r="D113" s="46">
        <f>CALCULO_VR!F113</f>
        <v>45452</v>
      </c>
      <c r="E113" s="46">
        <f>CALCULO_VR!G113</f>
        <v>45464</v>
      </c>
      <c r="F113" s="27">
        <f>CALCULO_VR!I113</f>
        <v>46440.22</v>
      </c>
      <c r="G113" s="34">
        <f>CALCULO_VR!E113</f>
        <v>1</v>
      </c>
      <c r="H113" s="34">
        <f t="shared" si="1"/>
        <v>1</v>
      </c>
      <c r="I113" t="s">
        <v>6587</v>
      </c>
      <c r="J113" s="63">
        <f>CALCULO_VR!J113</f>
        <v>10</v>
      </c>
      <c r="Q113" s="44">
        <f>CALCULO_VR!R113</f>
        <v>60.033145606014571</v>
      </c>
    </row>
    <row r="114" spans="1:17" x14ac:dyDescent="0.3">
      <c r="A114" s="34">
        <f>CALCULO_VR!A114</f>
        <v>3463228</v>
      </c>
      <c r="B114" s="34" t="str">
        <f>CALCULO_VR!B114</f>
        <v>MLPA</v>
      </c>
      <c r="C114" t="s">
        <v>1427</v>
      </c>
      <c r="D114" s="46">
        <f>CALCULO_VR!F114</f>
        <v>45450</v>
      </c>
      <c r="E114" s="46">
        <f>CALCULO_VR!G114</f>
        <v>45463</v>
      </c>
      <c r="F114" s="27">
        <f>CALCULO_VR!I114</f>
        <v>46440.22</v>
      </c>
      <c r="G114" s="34">
        <f>CALCULO_VR!E114</f>
        <v>1</v>
      </c>
      <c r="H114" s="34">
        <f t="shared" si="1"/>
        <v>1</v>
      </c>
      <c r="I114" t="s">
        <v>6587</v>
      </c>
      <c r="J114" s="63">
        <f>CALCULO_VR!J114</f>
        <v>10</v>
      </c>
      <c r="Q114" s="44">
        <f>CALCULO_VR!R114</f>
        <v>51.056232542123361</v>
      </c>
    </row>
    <row r="115" spans="1:17" x14ac:dyDescent="0.3">
      <c r="A115" s="34">
        <f>CALCULO_VR!A115</f>
        <v>3466800</v>
      </c>
      <c r="B115" s="34" t="str">
        <f>CALCULO_VR!B115</f>
        <v>MLPA</v>
      </c>
      <c r="C115" t="s">
        <v>1427</v>
      </c>
      <c r="D115" s="46">
        <f>CALCULO_VR!F115</f>
        <v>45449</v>
      </c>
      <c r="E115" s="46">
        <f>CALCULO_VR!G115</f>
        <v>45464</v>
      </c>
      <c r="F115" s="27">
        <f>CALCULO_VR!I115</f>
        <v>46440.22</v>
      </c>
      <c r="G115" s="34">
        <f>CALCULO_VR!E115</f>
        <v>1</v>
      </c>
      <c r="H115" s="34">
        <f t="shared" si="1"/>
        <v>1</v>
      </c>
      <c r="I115" t="s">
        <v>6587</v>
      </c>
      <c r="J115" s="63">
        <f>CALCULO_VR!J115</f>
        <v>10</v>
      </c>
      <c r="Q115" s="44">
        <f>CALCULO_VR!R115</f>
        <v>58.811877275194604</v>
      </c>
    </row>
    <row r="116" spans="1:17" x14ac:dyDescent="0.3">
      <c r="A116" s="34">
        <f>CALCULO_VR!A116</f>
        <v>3466911</v>
      </c>
      <c r="B116" s="34" t="str">
        <f>CALCULO_VR!B116</f>
        <v>MLPA</v>
      </c>
      <c r="C116" t="s">
        <v>1427</v>
      </c>
      <c r="D116" s="46">
        <f>CALCULO_VR!F116</f>
        <v>45448</v>
      </c>
      <c r="E116" s="46">
        <f>CALCULO_VR!G116</f>
        <v>45464</v>
      </c>
      <c r="F116" s="27">
        <f>CALCULO_VR!I116</f>
        <v>46440.22</v>
      </c>
      <c r="G116" s="34">
        <f>CALCULO_VR!E116</f>
        <v>1</v>
      </c>
      <c r="H116" s="34">
        <f t="shared" si="1"/>
        <v>1</v>
      </c>
      <c r="I116" t="s">
        <v>6587</v>
      </c>
      <c r="J116" s="63">
        <f>CALCULO_VR!J116</f>
        <v>10</v>
      </c>
      <c r="Q116" s="44">
        <f>CALCULO_VR!R116</f>
        <v>73.40788059883387</v>
      </c>
    </row>
    <row r="117" spans="1:17" x14ac:dyDescent="0.3">
      <c r="A117" s="34">
        <f>CALCULO_VR!A117</f>
        <v>3466828</v>
      </c>
      <c r="B117" s="34" t="str">
        <f>CALCULO_VR!B117</f>
        <v>MLPA</v>
      </c>
      <c r="C117" t="s">
        <v>1427</v>
      </c>
      <c r="D117" s="46">
        <f>CALCULO_VR!F117</f>
        <v>45453</v>
      </c>
      <c r="E117" s="46">
        <f>CALCULO_VR!G117</f>
        <v>45464</v>
      </c>
      <c r="F117" s="27">
        <f>CALCULO_VR!I117</f>
        <v>46440.22</v>
      </c>
      <c r="G117" s="34">
        <f>CALCULO_VR!E117</f>
        <v>1</v>
      </c>
      <c r="H117" s="34">
        <f t="shared" si="1"/>
        <v>1</v>
      </c>
      <c r="I117" t="s">
        <v>6587</v>
      </c>
      <c r="J117" s="63">
        <f>CALCULO_VR!J117</f>
        <v>10</v>
      </c>
      <c r="Q117" s="44">
        <f>CALCULO_VR!R117</f>
        <v>63.901696649006489</v>
      </c>
    </row>
    <row r="118" spans="1:17" x14ac:dyDescent="0.3">
      <c r="A118" s="34">
        <f>CALCULO_VR!A118</f>
        <v>3463158</v>
      </c>
      <c r="B118" s="34" t="str">
        <f>CALCULO_VR!B118</f>
        <v>MLPA</v>
      </c>
      <c r="C118" t="s">
        <v>1427</v>
      </c>
      <c r="D118" s="46">
        <f>CALCULO_VR!F118</f>
        <v>45453</v>
      </c>
      <c r="E118" s="46">
        <f>CALCULO_VR!G118</f>
        <v>45465</v>
      </c>
      <c r="F118" s="27">
        <f>CALCULO_VR!I118</f>
        <v>46440.22</v>
      </c>
      <c r="G118" s="34">
        <f>CALCULO_VR!E118</f>
        <v>1</v>
      </c>
      <c r="H118" s="34">
        <f t="shared" si="1"/>
        <v>1</v>
      </c>
      <c r="I118" t="s">
        <v>6587</v>
      </c>
      <c r="J118" s="63">
        <f>CALCULO_VR!J118</f>
        <v>10</v>
      </c>
      <c r="Q118" s="44">
        <f>CALCULO_VR!R118</f>
        <v>72.060291787897015</v>
      </c>
    </row>
    <row r="119" spans="1:17" x14ac:dyDescent="0.3">
      <c r="A119" s="34">
        <f>CALCULO_VR!A119</f>
        <v>3466920</v>
      </c>
      <c r="B119" s="34" t="str">
        <f>CALCULO_VR!B119</f>
        <v>MLPA</v>
      </c>
      <c r="C119" t="s">
        <v>1427</v>
      </c>
      <c r="D119" s="46">
        <f>CALCULO_VR!F119</f>
        <v>45452</v>
      </c>
      <c r="E119" s="46">
        <f>CALCULO_VR!G119</f>
        <v>45465</v>
      </c>
      <c r="F119" s="27">
        <f>CALCULO_VR!I119</f>
        <v>46440.22</v>
      </c>
      <c r="G119" s="34">
        <f>CALCULO_VR!E119</f>
        <v>1</v>
      </c>
      <c r="H119" s="34">
        <f t="shared" si="1"/>
        <v>1</v>
      </c>
      <c r="I119" t="s">
        <v>6587</v>
      </c>
      <c r="J119" s="63">
        <f>CALCULO_VR!J119</f>
        <v>10</v>
      </c>
      <c r="Q119" s="44">
        <f>CALCULO_VR!R119</f>
        <v>70.134175999897138</v>
      </c>
    </row>
    <row r="120" spans="1:17" x14ac:dyDescent="0.3">
      <c r="A120" s="34">
        <f>CALCULO_VR!A120</f>
        <v>3463198</v>
      </c>
      <c r="B120" s="34" t="str">
        <f>CALCULO_VR!B120</f>
        <v>MLPA</v>
      </c>
      <c r="C120" t="s">
        <v>1427</v>
      </c>
      <c r="D120" s="46">
        <f>CALCULO_VR!F120</f>
        <v>45450</v>
      </c>
      <c r="E120" s="46">
        <f>CALCULO_VR!G120</f>
        <v>45465</v>
      </c>
      <c r="F120" s="27">
        <f>CALCULO_VR!I120</f>
        <v>46440.22</v>
      </c>
      <c r="G120" s="34">
        <f>CALCULO_VR!E120</f>
        <v>1</v>
      </c>
      <c r="H120" s="34">
        <f t="shared" si="1"/>
        <v>1</v>
      </c>
      <c r="I120" t="s">
        <v>6587</v>
      </c>
      <c r="J120" s="63">
        <f>CALCULO_VR!J120</f>
        <v>10</v>
      </c>
      <c r="Q120" s="44">
        <f>CALCULO_VR!R120</f>
        <v>76.66646306435365</v>
      </c>
    </row>
    <row r="121" spans="1:17" x14ac:dyDescent="0.3">
      <c r="A121" s="34">
        <f>CALCULO_VR!A121</f>
        <v>3467106</v>
      </c>
      <c r="B121" s="34" t="str">
        <f>CALCULO_VR!B121</f>
        <v>MLPA</v>
      </c>
      <c r="C121" t="s">
        <v>1427</v>
      </c>
      <c r="D121" s="46">
        <f>CALCULO_VR!F121</f>
        <v>45454</v>
      </c>
      <c r="E121" s="46">
        <f>CALCULO_VR!G121</f>
        <v>45465</v>
      </c>
      <c r="F121" s="27">
        <f>CALCULO_VR!I121</f>
        <v>46440.22</v>
      </c>
      <c r="G121" s="34">
        <f>CALCULO_VR!E121</f>
        <v>1</v>
      </c>
      <c r="H121" s="34">
        <f t="shared" si="1"/>
        <v>1</v>
      </c>
      <c r="I121" t="s">
        <v>6587</v>
      </c>
      <c r="J121" s="63">
        <f>CALCULO_VR!J121</f>
        <v>10</v>
      </c>
      <c r="Q121" s="44">
        <f>CALCULO_VR!R121</f>
        <v>75.60262812324828</v>
      </c>
    </row>
    <row r="122" spans="1:17" x14ac:dyDescent="0.3">
      <c r="A122" s="34">
        <f>CALCULO_VR!A122</f>
        <v>3464197</v>
      </c>
      <c r="B122" s="34" t="str">
        <f>CALCULO_VR!B122</f>
        <v>MLPA</v>
      </c>
      <c r="C122" t="s">
        <v>1427</v>
      </c>
      <c r="D122" s="46">
        <f>CALCULO_VR!F122</f>
        <v>45441</v>
      </c>
      <c r="E122" s="46">
        <f>CALCULO_VR!G122</f>
        <v>45453</v>
      </c>
      <c r="F122" s="27">
        <f>CALCULO_VR!I122</f>
        <v>46440.22</v>
      </c>
      <c r="G122" s="34">
        <f>CALCULO_VR!E122</f>
        <v>1</v>
      </c>
      <c r="H122" s="34">
        <f t="shared" si="1"/>
        <v>1</v>
      </c>
      <c r="I122" t="s">
        <v>6587</v>
      </c>
      <c r="J122" s="63">
        <f>CALCULO_VR!J122</f>
        <v>10</v>
      </c>
      <c r="Q122" s="44">
        <f>CALCULO_VR!R122</f>
        <v>43.622897394158791</v>
      </c>
    </row>
    <row r="123" spans="1:17" x14ac:dyDescent="0.3">
      <c r="A123" s="34">
        <f>CALCULO_VR!A123</f>
        <v>3467083</v>
      </c>
      <c r="B123" s="34" t="str">
        <f>CALCULO_VR!B123</f>
        <v>MLPA</v>
      </c>
      <c r="C123" t="s">
        <v>1427</v>
      </c>
      <c r="D123" s="46">
        <f>CALCULO_VR!F123</f>
        <v>45450</v>
      </c>
      <c r="E123" s="46">
        <f>CALCULO_VR!G123</f>
        <v>45463</v>
      </c>
      <c r="F123" s="27">
        <f>CALCULO_VR!I123</f>
        <v>46440.22</v>
      </c>
      <c r="G123" s="34">
        <f>CALCULO_VR!E123</f>
        <v>1</v>
      </c>
      <c r="H123" s="34">
        <f t="shared" si="1"/>
        <v>1</v>
      </c>
      <c r="I123" t="s">
        <v>6587</v>
      </c>
      <c r="J123" s="63">
        <f>CALCULO_VR!J123</f>
        <v>10</v>
      </c>
      <c r="Q123" s="44">
        <f>CALCULO_VR!R123</f>
        <v>47.014282972139107</v>
      </c>
    </row>
    <row r="124" spans="1:17" x14ac:dyDescent="0.3">
      <c r="A124" s="34">
        <f>CALCULO_VR!A124</f>
        <v>3463232</v>
      </c>
      <c r="B124" s="34" t="str">
        <f>CALCULO_VR!B124</f>
        <v>MLPA</v>
      </c>
      <c r="C124" t="s">
        <v>1427</v>
      </c>
      <c r="D124" s="46">
        <f>CALCULO_VR!F124</f>
        <v>45447</v>
      </c>
      <c r="E124" s="46">
        <f>CALCULO_VR!G124</f>
        <v>45462</v>
      </c>
      <c r="F124" s="27">
        <f>CALCULO_VR!I124</f>
        <v>46440.22</v>
      </c>
      <c r="G124" s="34">
        <f>CALCULO_VR!E124</f>
        <v>1</v>
      </c>
      <c r="H124" s="34">
        <f t="shared" si="1"/>
        <v>1</v>
      </c>
      <c r="I124" t="s">
        <v>6587</v>
      </c>
      <c r="J124" s="63">
        <f>CALCULO_VR!J124</f>
        <v>10</v>
      </c>
      <c r="Q124" s="44">
        <f>CALCULO_VR!R124</f>
        <v>28.710891722489396</v>
      </c>
    </row>
    <row r="125" spans="1:17" x14ac:dyDescent="0.3">
      <c r="A125" s="34">
        <f>CALCULO_VR!A125</f>
        <v>3462372</v>
      </c>
      <c r="B125" s="34" t="str">
        <f>CALCULO_VR!B125</f>
        <v>MLPA</v>
      </c>
      <c r="C125" t="s">
        <v>1427</v>
      </c>
      <c r="D125" s="46">
        <f>CALCULO_VR!F125</f>
        <v>45445</v>
      </c>
      <c r="E125" s="46">
        <f>CALCULO_VR!G125</f>
        <v>45461</v>
      </c>
      <c r="F125" s="27">
        <f>CALCULO_VR!I125</f>
        <v>46440.22</v>
      </c>
      <c r="G125" s="34">
        <f>CALCULO_VR!E125</f>
        <v>1</v>
      </c>
      <c r="H125" s="34">
        <f t="shared" si="1"/>
        <v>1</v>
      </c>
      <c r="I125" t="s">
        <v>6587</v>
      </c>
      <c r="J125" s="63">
        <f>CALCULO_VR!J125</f>
        <v>10</v>
      </c>
      <c r="Q125" s="44">
        <f>CALCULO_VR!R125</f>
        <v>46.22260894604873</v>
      </c>
    </row>
    <row r="126" spans="1:17" x14ac:dyDescent="0.3">
      <c r="A126" s="34">
        <f>CALCULO_VR!A126</f>
        <v>3466805</v>
      </c>
      <c r="B126" s="34" t="str">
        <f>CALCULO_VR!B126</f>
        <v>MLPA</v>
      </c>
      <c r="C126" t="s">
        <v>1427</v>
      </c>
      <c r="D126" s="46">
        <f>CALCULO_VR!F126</f>
        <v>45453</v>
      </c>
      <c r="E126" s="46">
        <f>CALCULO_VR!G126</f>
        <v>45464</v>
      </c>
      <c r="F126" s="27">
        <f>CALCULO_VR!I126</f>
        <v>46440.22</v>
      </c>
      <c r="G126" s="34">
        <f>CALCULO_VR!E126</f>
        <v>1</v>
      </c>
      <c r="H126" s="34">
        <f t="shared" si="1"/>
        <v>1</v>
      </c>
      <c r="I126" t="s">
        <v>6587</v>
      </c>
      <c r="J126" s="63">
        <f>CALCULO_VR!J126</f>
        <v>10</v>
      </c>
      <c r="Q126" s="44">
        <f>CALCULO_VR!R126</f>
        <v>58.615476043547702</v>
      </c>
    </row>
    <row r="127" spans="1:17" x14ac:dyDescent="0.3">
      <c r="A127" s="34">
        <f>CALCULO_VR!A127</f>
        <v>3463161</v>
      </c>
      <c r="B127" s="34" t="str">
        <f>CALCULO_VR!B127</f>
        <v>MLPA</v>
      </c>
      <c r="C127" t="s">
        <v>1427</v>
      </c>
      <c r="D127" s="46">
        <f>CALCULO_VR!F127</f>
        <v>45453</v>
      </c>
      <c r="E127" s="46">
        <f>CALCULO_VR!G127</f>
        <v>45465</v>
      </c>
      <c r="F127" s="27">
        <f>CALCULO_VR!I127</f>
        <v>46440.22</v>
      </c>
      <c r="G127" s="34">
        <f>CALCULO_VR!E127</f>
        <v>1</v>
      </c>
      <c r="H127" s="34">
        <f t="shared" si="1"/>
        <v>1</v>
      </c>
      <c r="I127" t="s">
        <v>6587</v>
      </c>
      <c r="J127" s="63">
        <f>CALCULO_VR!J127</f>
        <v>10</v>
      </c>
      <c r="Q127" s="44">
        <f>CALCULO_VR!R127</f>
        <v>73.940018131448213</v>
      </c>
    </row>
    <row r="128" spans="1:17" x14ac:dyDescent="0.3">
      <c r="A128" s="34">
        <f>CALCULO_VR!A128</f>
        <v>3463573</v>
      </c>
      <c r="B128" s="34" t="str">
        <f>CALCULO_VR!B128</f>
        <v>MLPA</v>
      </c>
      <c r="C128" t="s">
        <v>1427</v>
      </c>
      <c r="D128" s="46">
        <f>CALCULO_VR!F128</f>
        <v>45451</v>
      </c>
      <c r="E128" s="46">
        <f>CALCULO_VR!G128</f>
        <v>45464</v>
      </c>
      <c r="F128" s="27">
        <f>CALCULO_VR!I128</f>
        <v>46440.22</v>
      </c>
      <c r="G128" s="34">
        <f>CALCULO_VR!E128</f>
        <v>1</v>
      </c>
      <c r="H128" s="34">
        <f t="shared" si="1"/>
        <v>1</v>
      </c>
      <c r="I128" t="s">
        <v>6587</v>
      </c>
      <c r="J128" s="63">
        <f>CALCULO_VR!J128</f>
        <v>10</v>
      </c>
      <c r="Q128" s="44">
        <f>CALCULO_VR!R128</f>
        <v>64.773213210392655</v>
      </c>
    </row>
    <row r="129" spans="1:17" x14ac:dyDescent="0.3">
      <c r="A129" s="34">
        <f>CALCULO_VR!A129</f>
        <v>3466790</v>
      </c>
      <c r="B129" s="34" t="str">
        <f>CALCULO_VR!B129</f>
        <v>MLPA</v>
      </c>
      <c r="C129" t="s">
        <v>1427</v>
      </c>
      <c r="D129" s="46">
        <f>CALCULO_VR!F129</f>
        <v>45448</v>
      </c>
      <c r="E129" s="46">
        <f>CALCULO_VR!G129</f>
        <v>45463</v>
      </c>
      <c r="F129" s="27">
        <f>CALCULO_VR!I129</f>
        <v>46440.22</v>
      </c>
      <c r="G129" s="34">
        <f>CALCULO_VR!E129</f>
        <v>1</v>
      </c>
      <c r="H129" s="34">
        <f t="shared" si="1"/>
        <v>1</v>
      </c>
      <c r="I129" t="s">
        <v>6587</v>
      </c>
      <c r="J129" s="63">
        <f>CALCULO_VR!J129</f>
        <v>10</v>
      </c>
      <c r="Q129" s="44">
        <f>CALCULO_VR!R129</f>
        <v>51.816184809350212</v>
      </c>
    </row>
    <row r="130" spans="1:17" x14ac:dyDescent="0.3">
      <c r="A130" s="34">
        <f>CALCULO_VR!A130</f>
        <v>3466916</v>
      </c>
      <c r="B130" s="34" t="str">
        <f>CALCULO_VR!B130</f>
        <v>MLPA</v>
      </c>
      <c r="C130" t="s">
        <v>1427</v>
      </c>
      <c r="D130" s="46">
        <f>CALCULO_VR!F130</f>
        <v>45453</v>
      </c>
      <c r="E130" s="46">
        <f>CALCULO_VR!G130</f>
        <v>45464</v>
      </c>
      <c r="F130" s="27">
        <f>CALCULO_VR!I130</f>
        <v>46440.22</v>
      </c>
      <c r="G130" s="34">
        <f>CALCULO_VR!E130</f>
        <v>1</v>
      </c>
      <c r="H130" s="34">
        <f t="shared" si="1"/>
        <v>1</v>
      </c>
      <c r="I130" t="s">
        <v>6587</v>
      </c>
      <c r="J130" s="63">
        <f>CALCULO_VR!J130</f>
        <v>10</v>
      </c>
      <c r="Q130" s="44">
        <f>CALCULO_VR!R130</f>
        <v>73.2472302317192</v>
      </c>
    </row>
    <row r="131" spans="1:17" x14ac:dyDescent="0.3">
      <c r="A131" s="34">
        <f>CALCULO_VR!A131</f>
        <v>3466794</v>
      </c>
      <c r="B131" s="34" t="str">
        <f>CALCULO_VR!B131</f>
        <v>MLPA</v>
      </c>
      <c r="C131" t="s">
        <v>1427</v>
      </c>
      <c r="D131" s="46">
        <f>CALCULO_VR!F131</f>
        <v>45452</v>
      </c>
      <c r="E131" s="46">
        <f>CALCULO_VR!G131</f>
        <v>45464</v>
      </c>
      <c r="F131" s="27">
        <f>CALCULO_VR!I131</f>
        <v>46440.22</v>
      </c>
      <c r="G131" s="34">
        <f>CALCULO_VR!E131</f>
        <v>1</v>
      </c>
      <c r="H131" s="34">
        <f t="shared" si="1"/>
        <v>1</v>
      </c>
      <c r="I131" t="s">
        <v>6587</v>
      </c>
      <c r="J131" s="63">
        <f>CALCULO_VR!J131</f>
        <v>10</v>
      </c>
      <c r="Q131" s="44">
        <f>CALCULO_VR!R131</f>
        <v>62.969905414150944</v>
      </c>
    </row>
    <row r="132" spans="1:17" x14ac:dyDescent="0.3">
      <c r="A132" s="34">
        <f>CALCULO_VR!A132</f>
        <v>3466700</v>
      </c>
      <c r="B132" s="34" t="str">
        <f>CALCULO_VR!B132</f>
        <v>MLPA</v>
      </c>
      <c r="C132" t="s">
        <v>1427</v>
      </c>
      <c r="D132" s="46">
        <f>CALCULO_VR!F132</f>
        <v>45451</v>
      </c>
      <c r="E132" s="46">
        <f>CALCULO_VR!G132</f>
        <v>45464</v>
      </c>
      <c r="F132" s="27">
        <f>CALCULO_VR!I132</f>
        <v>46440.22</v>
      </c>
      <c r="G132" s="34">
        <f>CALCULO_VR!E132</f>
        <v>1</v>
      </c>
      <c r="H132" s="34">
        <f t="shared" si="1"/>
        <v>1</v>
      </c>
      <c r="I132" t="s">
        <v>6587</v>
      </c>
      <c r="J132" s="63">
        <f>CALCULO_VR!J132</f>
        <v>10</v>
      </c>
      <c r="Q132" s="44">
        <f>CALCULO_VR!R132</f>
        <v>62.837521498191755</v>
      </c>
    </row>
    <row r="133" spans="1:17" x14ac:dyDescent="0.3">
      <c r="A133" s="34">
        <f>CALCULO_VR!A133</f>
        <v>3466913</v>
      </c>
      <c r="B133" s="34" t="str">
        <f>CALCULO_VR!B133</f>
        <v>MLPA</v>
      </c>
      <c r="C133" t="s">
        <v>1427</v>
      </c>
      <c r="D133" s="46">
        <f>CALCULO_VR!F133</f>
        <v>45449</v>
      </c>
      <c r="E133" s="46">
        <f>CALCULO_VR!G133</f>
        <v>45464</v>
      </c>
      <c r="F133" s="27">
        <f>CALCULO_VR!I133</f>
        <v>46440.22</v>
      </c>
      <c r="G133" s="34">
        <f>CALCULO_VR!E133</f>
        <v>1</v>
      </c>
      <c r="H133" s="34">
        <f t="shared" ref="H133:H196" si="2">G133</f>
        <v>1</v>
      </c>
      <c r="I133" t="s">
        <v>6587</v>
      </c>
      <c r="J133" s="63">
        <f>CALCULO_VR!J133</f>
        <v>10</v>
      </c>
      <c r="Q133" s="44">
        <f>CALCULO_VR!R133</f>
        <v>60.941429850134391</v>
      </c>
    </row>
    <row r="134" spans="1:17" x14ac:dyDescent="0.3">
      <c r="A134" s="34">
        <f>CALCULO_VR!A134</f>
        <v>3466835</v>
      </c>
      <c r="B134" s="34" t="str">
        <f>CALCULO_VR!B134</f>
        <v>MLPA</v>
      </c>
      <c r="C134" t="s">
        <v>1427</v>
      </c>
      <c r="D134" s="46">
        <f>CALCULO_VR!F134</f>
        <v>45448</v>
      </c>
      <c r="E134" s="46">
        <f>CALCULO_VR!G134</f>
        <v>45464</v>
      </c>
      <c r="F134" s="27">
        <f>CALCULO_VR!I134</f>
        <v>46440.22</v>
      </c>
      <c r="G134" s="34">
        <f>CALCULO_VR!E134</f>
        <v>1</v>
      </c>
      <c r="H134" s="34">
        <f t="shared" si="2"/>
        <v>1</v>
      </c>
      <c r="I134" t="s">
        <v>6587</v>
      </c>
      <c r="J134" s="63">
        <f>CALCULO_VR!J134</f>
        <v>10</v>
      </c>
      <c r="Q134" s="44">
        <f>CALCULO_VR!R134</f>
        <v>62.711937559103347</v>
      </c>
    </row>
    <row r="135" spans="1:17" x14ac:dyDescent="0.3">
      <c r="A135" s="34">
        <f>CALCULO_VR!A135</f>
        <v>3466788</v>
      </c>
      <c r="B135" s="34" t="str">
        <f>CALCULO_VR!B135</f>
        <v>MLPA</v>
      </c>
      <c r="C135" t="s">
        <v>1427</v>
      </c>
      <c r="D135" s="46">
        <f>CALCULO_VR!F135</f>
        <v>45452</v>
      </c>
      <c r="E135" s="46">
        <f>CALCULO_VR!G135</f>
        <v>45463</v>
      </c>
      <c r="F135" s="27">
        <f>CALCULO_VR!I135</f>
        <v>46440.22</v>
      </c>
      <c r="G135" s="34">
        <f>CALCULO_VR!E135</f>
        <v>1</v>
      </c>
      <c r="H135" s="34">
        <f t="shared" si="2"/>
        <v>1</v>
      </c>
      <c r="I135" t="s">
        <v>6587</v>
      </c>
      <c r="J135" s="63">
        <f>CALCULO_VR!J135</f>
        <v>10</v>
      </c>
      <c r="Q135" s="44">
        <f>CALCULO_VR!R135</f>
        <v>54.004280438923729</v>
      </c>
    </row>
    <row r="136" spans="1:17" x14ac:dyDescent="0.3">
      <c r="A136" s="34">
        <f>CALCULO_VR!A136</f>
        <v>3466827</v>
      </c>
      <c r="B136" s="34" t="str">
        <f>CALCULO_VR!B136</f>
        <v>MLPA</v>
      </c>
      <c r="C136" t="s">
        <v>1427</v>
      </c>
      <c r="D136" s="46">
        <f>CALCULO_VR!F136</f>
        <v>45452</v>
      </c>
      <c r="E136" s="46">
        <f>CALCULO_VR!G136</f>
        <v>45464</v>
      </c>
      <c r="F136" s="27">
        <f>CALCULO_VR!I136</f>
        <v>46440.22</v>
      </c>
      <c r="G136" s="34">
        <f>CALCULO_VR!E136</f>
        <v>1</v>
      </c>
      <c r="H136" s="34">
        <f t="shared" si="2"/>
        <v>1</v>
      </c>
      <c r="I136" t="s">
        <v>6587</v>
      </c>
      <c r="J136" s="63">
        <f>CALCULO_VR!J136</f>
        <v>10</v>
      </c>
      <c r="Q136" s="44">
        <f>CALCULO_VR!R136</f>
        <v>64.410156759552024</v>
      </c>
    </row>
    <row r="137" spans="1:17" x14ac:dyDescent="0.3">
      <c r="A137" s="34">
        <f>CALCULO_VR!A137</f>
        <v>3463200</v>
      </c>
      <c r="B137" s="34" t="str">
        <f>CALCULO_VR!B137</f>
        <v>MLPA</v>
      </c>
      <c r="C137" t="s">
        <v>1427</v>
      </c>
      <c r="D137" s="46">
        <f>CALCULO_VR!F137</f>
        <v>45451</v>
      </c>
      <c r="E137" s="46">
        <f>CALCULO_VR!G137</f>
        <v>45464</v>
      </c>
      <c r="F137" s="27">
        <f>CALCULO_VR!I137</f>
        <v>46440.22</v>
      </c>
      <c r="G137" s="34">
        <f>CALCULO_VR!E137</f>
        <v>1</v>
      </c>
      <c r="H137" s="34">
        <f t="shared" si="2"/>
        <v>1</v>
      </c>
      <c r="I137" t="s">
        <v>6587</v>
      </c>
      <c r="J137" s="63">
        <f>CALCULO_VR!J137</f>
        <v>10</v>
      </c>
      <c r="Q137" s="44">
        <f>CALCULO_VR!R137</f>
        <v>64.617357729725668</v>
      </c>
    </row>
    <row r="138" spans="1:17" x14ac:dyDescent="0.3">
      <c r="A138" s="34">
        <f>CALCULO_VR!A138</f>
        <v>3466796</v>
      </c>
      <c r="B138" s="34" t="str">
        <f>CALCULO_VR!B138</f>
        <v>MLPA</v>
      </c>
      <c r="C138" t="s">
        <v>1427</v>
      </c>
      <c r="D138" s="46">
        <f>CALCULO_VR!F138</f>
        <v>45449</v>
      </c>
      <c r="E138" s="46">
        <f>CALCULO_VR!G138</f>
        <v>45464</v>
      </c>
      <c r="F138" s="27">
        <f>CALCULO_VR!I138</f>
        <v>46440.22</v>
      </c>
      <c r="G138" s="34">
        <f>CALCULO_VR!E138</f>
        <v>1</v>
      </c>
      <c r="H138" s="34">
        <f t="shared" si="2"/>
        <v>1</v>
      </c>
      <c r="I138" t="s">
        <v>6587</v>
      </c>
      <c r="J138" s="63">
        <f>CALCULO_VR!J138</f>
        <v>10</v>
      </c>
      <c r="Q138" s="44">
        <f>CALCULO_VR!R138</f>
        <v>67.083567610875718</v>
      </c>
    </row>
    <row r="139" spans="1:17" x14ac:dyDescent="0.3">
      <c r="A139" s="34">
        <f>CALCULO_VR!A139</f>
        <v>3466702</v>
      </c>
      <c r="B139" s="34" t="str">
        <f>CALCULO_VR!B139</f>
        <v>MLPA</v>
      </c>
      <c r="C139" t="s">
        <v>1427</v>
      </c>
      <c r="D139" s="46">
        <f>CALCULO_VR!F139</f>
        <v>45451.45349537037</v>
      </c>
      <c r="E139" s="46">
        <f>CALCULO_VR!G139</f>
        <v>45462.45349537037</v>
      </c>
      <c r="F139" s="27">
        <f>CALCULO_VR!I139</f>
        <v>46440.22</v>
      </c>
      <c r="G139" s="34">
        <f>CALCULO_VR!E139</f>
        <v>1</v>
      </c>
      <c r="H139" s="34">
        <f t="shared" si="2"/>
        <v>1</v>
      </c>
      <c r="I139" t="s">
        <v>6587</v>
      </c>
      <c r="J139" s="63">
        <f>CALCULO_VR!J139</f>
        <v>10</v>
      </c>
      <c r="Q139" s="44">
        <f>CALCULO_VR!R139</f>
        <v>70.196815738431766</v>
      </c>
    </row>
    <row r="140" spans="1:17" x14ac:dyDescent="0.3">
      <c r="A140" s="34">
        <f>CALCULO_VR!A140</f>
        <v>3463226</v>
      </c>
      <c r="B140" s="34" t="str">
        <f>CALCULO_VR!B140</f>
        <v>MLPA</v>
      </c>
      <c r="C140" t="s">
        <v>1427</v>
      </c>
      <c r="D140" s="46">
        <f>CALCULO_VR!F140</f>
        <v>45451.651886574073</v>
      </c>
      <c r="E140" s="46">
        <f>CALCULO_VR!G140</f>
        <v>45463.651886574073</v>
      </c>
      <c r="F140" s="27">
        <f>CALCULO_VR!I140</f>
        <v>46440.22</v>
      </c>
      <c r="G140" s="34">
        <f>CALCULO_VR!E140</f>
        <v>1</v>
      </c>
      <c r="H140" s="34">
        <f t="shared" si="2"/>
        <v>1</v>
      </c>
      <c r="I140" t="s">
        <v>6587</v>
      </c>
      <c r="J140" s="63">
        <f>CALCULO_VR!J140</f>
        <v>10</v>
      </c>
      <c r="Q140" s="44">
        <f>CALCULO_VR!R140</f>
        <v>75.416850367667351</v>
      </c>
    </row>
    <row r="141" spans="1:17" x14ac:dyDescent="0.3">
      <c r="A141" s="34">
        <f>CALCULO_VR!A141</f>
        <v>3464164</v>
      </c>
      <c r="B141" s="34" t="str">
        <f>CALCULO_VR!B141</f>
        <v>MLPA</v>
      </c>
      <c r="C141" t="s">
        <v>1427</v>
      </c>
      <c r="D141" s="46">
        <f>CALCULO_VR!F141</f>
        <v>45436.65625</v>
      </c>
      <c r="E141" s="46">
        <f>CALCULO_VR!G141</f>
        <v>45449.65625</v>
      </c>
      <c r="F141" s="27">
        <f>CALCULO_VR!I141</f>
        <v>46440.22</v>
      </c>
      <c r="G141" s="34">
        <f>CALCULO_VR!E141</f>
        <v>1</v>
      </c>
      <c r="H141" s="34">
        <f t="shared" si="2"/>
        <v>1</v>
      </c>
      <c r="I141" t="s">
        <v>6587</v>
      </c>
      <c r="J141" s="63">
        <f>CALCULO_VR!J141</f>
        <v>10</v>
      </c>
      <c r="Q141" s="44">
        <f>CALCULO_VR!R141</f>
        <v>59.165689297490033</v>
      </c>
    </row>
    <row r="142" spans="1:17" x14ac:dyDescent="0.3">
      <c r="A142" s="34">
        <f>CALCULO_VR!A142</f>
        <v>3464188</v>
      </c>
      <c r="B142" s="34" t="str">
        <f>CALCULO_VR!B142</f>
        <v>MLPA</v>
      </c>
      <c r="C142" t="s">
        <v>803</v>
      </c>
      <c r="D142" s="46">
        <f>CALCULO_VR!F142</f>
        <v>45435.587187500001</v>
      </c>
      <c r="E142" s="46">
        <f>CALCULO_VR!G142</f>
        <v>45450.587187500001</v>
      </c>
      <c r="F142" s="27">
        <f>CALCULO_VR!I142</f>
        <v>46440.22</v>
      </c>
      <c r="G142" s="34">
        <f>CALCULO_VR!E142</f>
        <v>1</v>
      </c>
      <c r="H142" s="34">
        <f t="shared" si="2"/>
        <v>1</v>
      </c>
      <c r="I142" t="s">
        <v>6587</v>
      </c>
      <c r="J142" s="63">
        <f>CALCULO_VR!J142</f>
        <v>3</v>
      </c>
      <c r="Q142" s="44">
        <f>CALCULO_VR!R142</f>
        <v>39.650226574563938</v>
      </c>
    </row>
    <row r="143" spans="1:17" x14ac:dyDescent="0.3">
      <c r="A143" s="34">
        <f>CALCULO_VR!A143</f>
        <v>3463768</v>
      </c>
      <c r="B143" s="34" t="str">
        <f>CALCULO_VR!B143</f>
        <v>MLPA</v>
      </c>
      <c r="C143" t="s">
        <v>1427</v>
      </c>
      <c r="D143" s="46">
        <f>CALCULO_VR!F143</f>
        <v>45437.665636574071</v>
      </c>
      <c r="E143" s="46">
        <f>CALCULO_VR!G143</f>
        <v>45453.665636574071</v>
      </c>
      <c r="F143" s="27">
        <f>CALCULO_VR!I143</f>
        <v>46440.22</v>
      </c>
      <c r="G143" s="34">
        <f>CALCULO_VR!E143</f>
        <v>1</v>
      </c>
      <c r="H143" s="34">
        <f t="shared" si="2"/>
        <v>1</v>
      </c>
      <c r="I143" t="s">
        <v>6587</v>
      </c>
      <c r="J143" s="63">
        <f>CALCULO_VR!J143</f>
        <v>10</v>
      </c>
      <c r="Q143" s="44">
        <f>CALCULO_VR!R143</f>
        <v>79.206589436808642</v>
      </c>
    </row>
    <row r="144" spans="1:17" x14ac:dyDescent="0.3">
      <c r="A144" s="34">
        <f>CALCULO_VR!A144</f>
        <v>3466403</v>
      </c>
      <c r="B144" s="34" t="str">
        <f>CALCULO_VR!B144</f>
        <v>MLPA</v>
      </c>
      <c r="C144" t="s">
        <v>1427</v>
      </c>
      <c r="D144" s="46">
        <f>CALCULO_VR!F144</f>
        <v>45443.377662037034</v>
      </c>
      <c r="E144" s="46">
        <f>CALCULO_VR!G144</f>
        <v>45454.377662037034</v>
      </c>
      <c r="F144" s="27">
        <f>CALCULO_VR!I144</f>
        <v>46440.22</v>
      </c>
      <c r="G144" s="34">
        <f>CALCULO_VR!E144</f>
        <v>1</v>
      </c>
      <c r="H144" s="34">
        <f t="shared" si="2"/>
        <v>1</v>
      </c>
      <c r="I144" t="s">
        <v>6587</v>
      </c>
      <c r="J144" s="63">
        <f>CALCULO_VR!J144</f>
        <v>10</v>
      </c>
      <c r="Q144" s="44">
        <f>CALCULO_VR!R144</f>
        <v>79.267299200017945</v>
      </c>
    </row>
    <row r="145" spans="1:17" x14ac:dyDescent="0.3">
      <c r="A145" s="34">
        <f>CALCULO_VR!A145</f>
        <v>3462383</v>
      </c>
      <c r="B145" s="34" t="str">
        <f>CALCULO_VR!B145</f>
        <v>MLPA</v>
      </c>
      <c r="C145" t="s">
        <v>1427</v>
      </c>
      <c r="D145" s="46">
        <f>CALCULO_VR!F145</f>
        <v>45449.620416666665</v>
      </c>
      <c r="E145" s="46">
        <f>CALCULO_VR!G145</f>
        <v>45461.620416666665</v>
      </c>
      <c r="F145" s="27">
        <f>CALCULO_VR!I145</f>
        <v>46440.22</v>
      </c>
      <c r="G145" s="34">
        <f>CALCULO_VR!E145</f>
        <v>1</v>
      </c>
      <c r="H145" s="34">
        <f t="shared" si="2"/>
        <v>1</v>
      </c>
      <c r="I145" t="s">
        <v>6587</v>
      </c>
      <c r="J145" s="63">
        <f>CALCULO_VR!J145</f>
        <v>10</v>
      </c>
      <c r="Q145" s="44">
        <f>CALCULO_VR!R145</f>
        <v>78.876969174247705</v>
      </c>
    </row>
    <row r="146" spans="1:17" x14ac:dyDescent="0.3">
      <c r="A146" s="34">
        <f>CALCULO_VR!A146</f>
        <v>3466637</v>
      </c>
      <c r="B146" s="34" t="str">
        <f>CALCULO_VR!B146</f>
        <v>MLPA</v>
      </c>
      <c r="C146" t="s">
        <v>1427</v>
      </c>
      <c r="D146" s="46">
        <f>CALCULO_VR!F146</f>
        <v>45456.421990740739</v>
      </c>
      <c r="E146" s="46">
        <f>CALCULO_VR!G146</f>
        <v>45469.421990740739</v>
      </c>
      <c r="F146" s="27">
        <f>CALCULO_VR!I146</f>
        <v>46440.22</v>
      </c>
      <c r="G146" s="34">
        <f>CALCULO_VR!E146</f>
        <v>1</v>
      </c>
      <c r="H146" s="34">
        <f t="shared" si="2"/>
        <v>1</v>
      </c>
      <c r="I146" t="s">
        <v>6587</v>
      </c>
      <c r="J146" s="63">
        <f>CALCULO_VR!J146</f>
        <v>10</v>
      </c>
      <c r="Q146" s="44">
        <f>CALCULO_VR!R146</f>
        <v>77.111238204131737</v>
      </c>
    </row>
    <row r="147" spans="1:17" x14ac:dyDescent="0.3">
      <c r="A147" s="34">
        <f>CALCULO_VR!A147</f>
        <v>3466867</v>
      </c>
      <c r="B147" s="34" t="str">
        <f>CALCULO_VR!B147</f>
        <v>MLPA</v>
      </c>
      <c r="C147" t="s">
        <v>1427</v>
      </c>
      <c r="D147" s="46">
        <f>CALCULO_VR!F147</f>
        <v>45454.605810185189</v>
      </c>
      <c r="E147" s="46">
        <f>CALCULO_VR!G147</f>
        <v>45469.605810185189</v>
      </c>
      <c r="F147" s="27">
        <f>CALCULO_VR!I147</f>
        <v>46440.22</v>
      </c>
      <c r="G147" s="34">
        <f>CALCULO_VR!E147</f>
        <v>1</v>
      </c>
      <c r="H147" s="34">
        <f t="shared" si="2"/>
        <v>1</v>
      </c>
      <c r="I147" t="s">
        <v>6587</v>
      </c>
      <c r="J147" s="63">
        <f>CALCULO_VR!J147</f>
        <v>10</v>
      </c>
      <c r="Q147" s="44">
        <f>CALCULO_VR!R147</f>
        <v>88.46483360637022</v>
      </c>
    </row>
    <row r="148" spans="1:17" x14ac:dyDescent="0.3">
      <c r="A148" s="34">
        <f>CALCULO_VR!A148</f>
        <v>3463788</v>
      </c>
      <c r="B148" s="34" t="str">
        <f>CALCULO_VR!B148</f>
        <v>MLPA</v>
      </c>
      <c r="C148" t="s">
        <v>1427</v>
      </c>
      <c r="D148" s="46">
        <f>CALCULO_VR!F148</f>
        <v>45443.354849537034</v>
      </c>
      <c r="E148" s="46">
        <f>CALCULO_VR!G148</f>
        <v>45454.354849537034</v>
      </c>
      <c r="F148" s="27">
        <f>CALCULO_VR!I148</f>
        <v>46440.22</v>
      </c>
      <c r="G148" s="34">
        <f>CALCULO_VR!E148</f>
        <v>1</v>
      </c>
      <c r="H148" s="34">
        <f t="shared" si="2"/>
        <v>1</v>
      </c>
      <c r="I148" t="s">
        <v>6587</v>
      </c>
      <c r="J148" s="63">
        <f>CALCULO_VR!J148</f>
        <v>10</v>
      </c>
      <c r="Q148" s="44">
        <f>CALCULO_VR!R148</f>
        <v>87.713521558605109</v>
      </c>
    </row>
    <row r="149" spans="1:17" x14ac:dyDescent="0.3">
      <c r="A149" s="34">
        <f>CALCULO_VR!A149</f>
        <v>3466488</v>
      </c>
      <c r="B149" s="34" t="str">
        <f>CALCULO_VR!B149</f>
        <v>MLPA</v>
      </c>
      <c r="C149" t="s">
        <v>1427</v>
      </c>
      <c r="D149" s="46">
        <f>CALCULO_VR!F149</f>
        <v>45449.667870370373</v>
      </c>
      <c r="E149" s="46">
        <f>CALCULO_VR!G149</f>
        <v>45461.667870370373</v>
      </c>
      <c r="F149" s="27">
        <f>CALCULO_VR!I149</f>
        <v>46440.22</v>
      </c>
      <c r="G149" s="34">
        <f>CALCULO_VR!E149</f>
        <v>1</v>
      </c>
      <c r="H149" s="34">
        <f t="shared" si="2"/>
        <v>1</v>
      </c>
      <c r="I149" t="s">
        <v>6587</v>
      </c>
      <c r="J149" s="63">
        <f>CALCULO_VR!J149</f>
        <v>10</v>
      </c>
      <c r="Q149" s="44">
        <f>CALCULO_VR!R149</f>
        <v>86.736229613120159</v>
      </c>
    </row>
    <row r="150" spans="1:17" x14ac:dyDescent="0.3">
      <c r="A150" s="34">
        <f>CALCULO_VR!A150</f>
        <v>3466643</v>
      </c>
      <c r="B150" s="34" t="str">
        <f>CALCULO_VR!B150</f>
        <v>MLPA</v>
      </c>
      <c r="C150" t="s">
        <v>1427</v>
      </c>
      <c r="D150" s="46">
        <f>CALCULO_VR!F150</f>
        <v>45449.437523148146</v>
      </c>
      <c r="E150" s="46">
        <f>CALCULO_VR!G150</f>
        <v>45462.437523148146</v>
      </c>
      <c r="F150" s="27">
        <f>CALCULO_VR!I150</f>
        <v>46440.22</v>
      </c>
      <c r="G150" s="34">
        <f>CALCULO_VR!E150</f>
        <v>1</v>
      </c>
      <c r="H150" s="34">
        <f t="shared" si="2"/>
        <v>1</v>
      </c>
      <c r="I150" t="s">
        <v>6587</v>
      </c>
      <c r="J150" s="63">
        <f>CALCULO_VR!J150</f>
        <v>10</v>
      </c>
      <c r="Q150" s="44">
        <f>CALCULO_VR!R150</f>
        <v>77.512300597692615</v>
      </c>
    </row>
    <row r="151" spans="1:17" x14ac:dyDescent="0.3">
      <c r="A151" s="34">
        <f>CALCULO_VR!A151</f>
        <v>3466586</v>
      </c>
      <c r="B151" s="34" t="str">
        <f>CALCULO_VR!B151</f>
        <v>MLPA</v>
      </c>
      <c r="C151" t="s">
        <v>1427</v>
      </c>
      <c r="D151" s="46">
        <f>CALCULO_VR!F151</f>
        <v>45438.465810185182</v>
      </c>
      <c r="E151" s="46">
        <f>CALCULO_VR!G151</f>
        <v>45453.465810185182</v>
      </c>
      <c r="F151" s="27">
        <f>CALCULO_VR!I151</f>
        <v>46440.22</v>
      </c>
      <c r="G151" s="34">
        <f>CALCULO_VR!E151</f>
        <v>1</v>
      </c>
      <c r="H151" s="34">
        <f t="shared" si="2"/>
        <v>1</v>
      </c>
      <c r="I151" t="s">
        <v>6587</v>
      </c>
      <c r="J151" s="63">
        <f>CALCULO_VR!J151</f>
        <v>10</v>
      </c>
      <c r="Q151" s="44">
        <f>CALCULO_VR!R151</f>
        <v>72.2853535077722</v>
      </c>
    </row>
    <row r="152" spans="1:17" x14ac:dyDescent="0.3">
      <c r="A152" s="34">
        <f>CALCULO_VR!A152</f>
        <v>3464202</v>
      </c>
      <c r="B152" s="34" t="str">
        <f>CALCULO_VR!B152</f>
        <v>MLPA</v>
      </c>
      <c r="C152" t="s">
        <v>1427</v>
      </c>
      <c r="D152" s="46">
        <f>CALCULO_VR!F152</f>
        <v>45437.655347222222</v>
      </c>
      <c r="E152" s="46">
        <f>CALCULO_VR!G152</f>
        <v>45453.655347222222</v>
      </c>
      <c r="F152" s="27">
        <f>CALCULO_VR!I152</f>
        <v>46440.22</v>
      </c>
      <c r="G152" s="34">
        <f>CALCULO_VR!E152</f>
        <v>1</v>
      </c>
      <c r="H152" s="34">
        <f t="shared" si="2"/>
        <v>1</v>
      </c>
      <c r="I152" t="s">
        <v>6587</v>
      </c>
      <c r="J152" s="63">
        <f>CALCULO_VR!J152</f>
        <v>10</v>
      </c>
      <c r="Q152" s="44">
        <f>CALCULO_VR!R152</f>
        <v>71.806851227919893</v>
      </c>
    </row>
    <row r="153" spans="1:17" x14ac:dyDescent="0.3">
      <c r="A153" s="34">
        <f>CALCULO_VR!A153</f>
        <v>3466632</v>
      </c>
      <c r="B153" s="34" t="str">
        <f>CALCULO_VR!B153</f>
        <v>MLPA</v>
      </c>
      <c r="C153" t="s">
        <v>1427</v>
      </c>
      <c r="D153" s="46">
        <f>CALCULO_VR!F153</f>
        <v>45450.400787037041</v>
      </c>
      <c r="E153" s="46">
        <f>CALCULO_VR!G153</f>
        <v>45461.400787037041</v>
      </c>
      <c r="F153" s="27">
        <f>CALCULO_VR!I153</f>
        <v>46440.22</v>
      </c>
      <c r="G153" s="34">
        <f>CALCULO_VR!E153</f>
        <v>1</v>
      </c>
      <c r="H153" s="34">
        <f t="shared" si="2"/>
        <v>1</v>
      </c>
      <c r="I153" t="s">
        <v>6587</v>
      </c>
      <c r="J153" s="63">
        <f>CALCULO_VR!J153</f>
        <v>10</v>
      </c>
      <c r="Q153" s="44">
        <f>CALCULO_VR!R153</f>
        <v>86.706003410780411</v>
      </c>
    </row>
    <row r="154" spans="1:17" x14ac:dyDescent="0.3">
      <c r="A154" s="34">
        <f>CALCULO_VR!A154</f>
        <v>3463779</v>
      </c>
      <c r="B154" s="34" t="str">
        <f>CALCULO_VR!B154</f>
        <v>MLPA</v>
      </c>
      <c r="C154" t="s">
        <v>1427</v>
      </c>
      <c r="D154" s="46">
        <f>CALCULO_VR!F154</f>
        <v>45442.350347222222</v>
      </c>
      <c r="E154" s="46">
        <f>CALCULO_VR!G154</f>
        <v>45454.350347222222</v>
      </c>
      <c r="F154" s="27">
        <f>CALCULO_VR!I154</f>
        <v>46440.22</v>
      </c>
      <c r="G154" s="34">
        <f>CALCULO_VR!E154</f>
        <v>1</v>
      </c>
      <c r="H154" s="34">
        <f t="shared" si="2"/>
        <v>1</v>
      </c>
      <c r="I154" t="s">
        <v>6587</v>
      </c>
      <c r="J154" s="63">
        <f>CALCULO_VR!J154</f>
        <v>10</v>
      </c>
      <c r="Q154" s="44">
        <f>CALCULO_VR!R154</f>
        <v>72.262124153394609</v>
      </c>
    </row>
    <row r="155" spans="1:17" x14ac:dyDescent="0.3">
      <c r="A155" s="34">
        <f>CALCULO_VR!A155</f>
        <v>3463770</v>
      </c>
      <c r="B155" s="34" t="str">
        <f>CALCULO_VR!B155</f>
        <v>MLPA</v>
      </c>
      <c r="C155" t="s">
        <v>1427</v>
      </c>
      <c r="D155" s="46">
        <f>CALCULO_VR!F155</f>
        <v>45440.720219907409</v>
      </c>
      <c r="E155" s="46">
        <f>CALCULO_VR!G155</f>
        <v>45453.720219907409</v>
      </c>
      <c r="F155" s="27">
        <f>CALCULO_VR!I155</f>
        <v>46440.22</v>
      </c>
      <c r="G155" s="34">
        <f>CALCULO_VR!E155</f>
        <v>1</v>
      </c>
      <c r="H155" s="34">
        <f t="shared" si="2"/>
        <v>1</v>
      </c>
      <c r="I155" t="s">
        <v>6587</v>
      </c>
      <c r="J155" s="63">
        <f>CALCULO_VR!J155</f>
        <v>10</v>
      </c>
      <c r="Q155" s="44">
        <f>CALCULO_VR!R155</f>
        <v>79.241641918189046</v>
      </c>
    </row>
    <row r="156" spans="1:17" x14ac:dyDescent="0.3">
      <c r="A156" s="34">
        <f>CALCULO_VR!A156</f>
        <v>3463789</v>
      </c>
      <c r="B156" s="34" t="str">
        <f>CALCULO_VR!B156</f>
        <v>MLPA</v>
      </c>
      <c r="C156" t="s">
        <v>1427</v>
      </c>
      <c r="D156" s="46">
        <f>CALCULO_VR!F156</f>
        <v>45439.358993055554</v>
      </c>
      <c r="E156" s="46">
        <f>CALCULO_VR!G156</f>
        <v>45454.358993055554</v>
      </c>
      <c r="F156" s="27">
        <f>CALCULO_VR!I156</f>
        <v>46440.22</v>
      </c>
      <c r="G156" s="34">
        <f>CALCULO_VR!E156</f>
        <v>1</v>
      </c>
      <c r="H156" s="34">
        <f t="shared" si="2"/>
        <v>1</v>
      </c>
      <c r="I156" t="s">
        <v>6587</v>
      </c>
      <c r="J156" s="63">
        <f>CALCULO_VR!J156</f>
        <v>10</v>
      </c>
      <c r="Q156" s="44">
        <f>CALCULO_VR!R156</f>
        <v>87.025133856551761</v>
      </c>
    </row>
    <row r="157" spans="1:17" x14ac:dyDescent="0.3">
      <c r="A157" s="34">
        <f>CALCULO_VR!A157</f>
        <v>3464200</v>
      </c>
      <c r="B157" s="34" t="str">
        <f>CALCULO_VR!B157</f>
        <v>MLPA</v>
      </c>
      <c r="C157" t="s">
        <v>1427</v>
      </c>
      <c r="D157" s="46">
        <f>CALCULO_VR!F157</f>
        <v>45442.424027777779</v>
      </c>
      <c r="E157" s="46">
        <f>CALCULO_VR!G157</f>
        <v>45453.424027777779</v>
      </c>
      <c r="F157" s="27">
        <f>CALCULO_VR!I157</f>
        <v>46440.22</v>
      </c>
      <c r="G157" s="34">
        <f>CALCULO_VR!E157</f>
        <v>1</v>
      </c>
      <c r="H157" s="34">
        <f t="shared" si="2"/>
        <v>1</v>
      </c>
      <c r="I157" t="s">
        <v>6587</v>
      </c>
      <c r="J157" s="63">
        <f>CALCULO_VR!J157</f>
        <v>10</v>
      </c>
      <c r="Q157" s="44">
        <f>CALCULO_VR!R157</f>
        <v>66.122646251605758</v>
      </c>
    </row>
    <row r="158" spans="1:17" x14ac:dyDescent="0.3">
      <c r="A158" s="34">
        <f>CALCULO_VR!A158</f>
        <v>3463771</v>
      </c>
      <c r="B158" s="34" t="str">
        <f>CALCULO_VR!B158</f>
        <v>MLPA</v>
      </c>
      <c r="C158" t="s">
        <v>1427</v>
      </c>
      <c r="D158" s="46">
        <f>CALCULO_VR!F158</f>
        <v>45441.724594907406</v>
      </c>
      <c r="E158" s="46">
        <f>CALCULO_VR!G158</f>
        <v>45453.724594907406</v>
      </c>
      <c r="F158" s="27">
        <f>CALCULO_VR!I158</f>
        <v>46440.22</v>
      </c>
      <c r="G158" s="34">
        <f>CALCULO_VR!E158</f>
        <v>1</v>
      </c>
      <c r="H158" s="34">
        <f t="shared" si="2"/>
        <v>1</v>
      </c>
      <c r="I158" t="s">
        <v>6587</v>
      </c>
      <c r="J158" s="63">
        <f>CALCULO_VR!J158</f>
        <v>10</v>
      </c>
      <c r="Q158" s="44">
        <f>CALCULO_VR!R158</f>
        <v>86.871547845013694</v>
      </c>
    </row>
    <row r="159" spans="1:17" x14ac:dyDescent="0.3">
      <c r="A159" s="34">
        <f>CALCULO_VR!A159</f>
        <v>3462457</v>
      </c>
      <c r="B159" s="34" t="str">
        <f>CALCULO_VR!B159</f>
        <v>MLPA</v>
      </c>
      <c r="C159" t="s">
        <v>1427</v>
      </c>
      <c r="D159" s="46">
        <f>CALCULO_VR!F159</f>
        <v>45448.438807870371</v>
      </c>
      <c r="E159" s="46">
        <f>CALCULO_VR!G159</f>
        <v>45461.438807870371</v>
      </c>
      <c r="F159" s="27">
        <f>CALCULO_VR!I159</f>
        <v>46440.22</v>
      </c>
      <c r="G159" s="34">
        <f>CALCULO_VR!E159</f>
        <v>1</v>
      </c>
      <c r="H159" s="34">
        <f t="shared" si="2"/>
        <v>1</v>
      </c>
      <c r="I159" t="s">
        <v>6587</v>
      </c>
      <c r="J159" s="63">
        <f>CALCULO_VR!J159</f>
        <v>10</v>
      </c>
      <c r="Q159" s="44">
        <f>CALCULO_VR!R159</f>
        <v>79.75505242926944</v>
      </c>
    </row>
    <row r="160" spans="1:17" x14ac:dyDescent="0.3">
      <c r="A160" s="34">
        <f>CALCULO_VR!A160</f>
        <v>3466191</v>
      </c>
      <c r="B160" s="34" t="str">
        <f>CALCULO_VR!B160</f>
        <v>MLPA</v>
      </c>
      <c r="C160" t="s">
        <v>1427</v>
      </c>
      <c r="D160" s="46">
        <f>CALCULO_VR!F160</f>
        <v>45447.431192129632</v>
      </c>
      <c r="E160" s="46">
        <f>CALCULO_VR!G160</f>
        <v>45462.431192129632</v>
      </c>
      <c r="F160" s="27">
        <f>CALCULO_VR!I160</f>
        <v>46440.22</v>
      </c>
      <c r="G160" s="34">
        <f>CALCULO_VR!E160</f>
        <v>1</v>
      </c>
      <c r="H160" s="34">
        <f t="shared" si="2"/>
        <v>1</v>
      </c>
      <c r="I160" t="s">
        <v>6587</v>
      </c>
      <c r="J160" s="63">
        <f>CALCULO_VR!J160</f>
        <v>10</v>
      </c>
      <c r="Q160" s="44">
        <f>CALCULO_VR!R160</f>
        <v>87.029485283024414</v>
      </c>
    </row>
    <row r="161" spans="1:17" x14ac:dyDescent="0.3">
      <c r="A161" s="34">
        <f>CALCULO_VR!A161</f>
        <v>3462414</v>
      </c>
      <c r="B161" s="34" t="str">
        <f>CALCULO_VR!B161</f>
        <v>MLPA</v>
      </c>
      <c r="C161" t="s">
        <v>1427</v>
      </c>
      <c r="D161" s="46">
        <f>CALCULO_VR!F161</f>
        <v>45445.471192129633</v>
      </c>
      <c r="E161" s="46">
        <f>CALCULO_VR!G161</f>
        <v>45461.471192129633</v>
      </c>
      <c r="F161" s="27">
        <f>CALCULO_VR!I161</f>
        <v>46440.22</v>
      </c>
      <c r="G161" s="34">
        <f>CALCULO_VR!E161</f>
        <v>1</v>
      </c>
      <c r="H161" s="34">
        <f t="shared" si="2"/>
        <v>1</v>
      </c>
      <c r="I161" t="s">
        <v>6587</v>
      </c>
      <c r="J161" s="63">
        <f>CALCULO_VR!J161</f>
        <v>10</v>
      </c>
      <c r="Q161" s="44">
        <f>CALCULO_VR!R161</f>
        <v>80.649074251684411</v>
      </c>
    </row>
    <row r="162" spans="1:17" x14ac:dyDescent="0.3">
      <c r="A162" s="34">
        <f>CALCULO_VR!A162</f>
        <v>3464198</v>
      </c>
      <c r="B162" s="34" t="str">
        <f>CALCULO_VR!B162</f>
        <v>MLPA</v>
      </c>
      <c r="C162" t="s">
        <v>1427</v>
      </c>
      <c r="D162" s="46">
        <f>CALCULO_VR!F162</f>
        <v>45442.413981481484</v>
      </c>
      <c r="E162" s="46">
        <f>CALCULO_VR!G162</f>
        <v>45453.413981481484</v>
      </c>
      <c r="F162" s="27">
        <f>CALCULO_VR!I162</f>
        <v>46440.22</v>
      </c>
      <c r="G162" s="34">
        <f>CALCULO_VR!E162</f>
        <v>1</v>
      </c>
      <c r="H162" s="34">
        <f t="shared" si="2"/>
        <v>1</v>
      </c>
      <c r="I162" t="s">
        <v>6587</v>
      </c>
      <c r="J162" s="63">
        <f>CALCULO_VR!J162</f>
        <v>10</v>
      </c>
      <c r="Q162" s="44">
        <f>CALCULO_VR!R162</f>
        <v>74.406691020066191</v>
      </c>
    </row>
    <row r="163" spans="1:17" x14ac:dyDescent="0.3">
      <c r="A163" s="34">
        <f>CALCULO_VR!A163</f>
        <v>3462455</v>
      </c>
      <c r="B163" s="34" t="str">
        <f>CALCULO_VR!B163</f>
        <v>MLPA</v>
      </c>
      <c r="C163" t="s">
        <v>1427</v>
      </c>
      <c r="D163" s="46">
        <f>CALCULO_VR!F163</f>
        <v>45449.462060185186</v>
      </c>
      <c r="E163" s="46">
        <f>CALCULO_VR!G163</f>
        <v>45461.462060185186</v>
      </c>
      <c r="F163" s="27">
        <f>CALCULO_VR!I163</f>
        <v>46440.22</v>
      </c>
      <c r="G163" s="34">
        <f>CALCULO_VR!E163</f>
        <v>1</v>
      </c>
      <c r="H163" s="34">
        <f t="shared" si="2"/>
        <v>1</v>
      </c>
      <c r="I163" t="s">
        <v>6587</v>
      </c>
      <c r="J163" s="63">
        <f>CALCULO_VR!J163</f>
        <v>10</v>
      </c>
      <c r="Q163" s="44">
        <f>CALCULO_VR!R163</f>
        <v>82.813973520019587</v>
      </c>
    </row>
    <row r="164" spans="1:17" x14ac:dyDescent="0.3">
      <c r="A164" s="34">
        <f>CALCULO_VR!A164</f>
        <v>3466657</v>
      </c>
      <c r="B164" s="34" t="str">
        <f>CALCULO_VR!B164</f>
        <v>MLPA</v>
      </c>
      <c r="C164" t="s">
        <v>1427</v>
      </c>
      <c r="D164" s="46">
        <f>CALCULO_VR!F164</f>
        <v>45449.446493055555</v>
      </c>
      <c r="E164" s="46">
        <f>CALCULO_VR!G164</f>
        <v>45462.446493055555</v>
      </c>
      <c r="F164" s="27">
        <f>CALCULO_VR!I164</f>
        <v>46440.22</v>
      </c>
      <c r="G164" s="34">
        <f>CALCULO_VR!E164</f>
        <v>1</v>
      </c>
      <c r="H164" s="34">
        <f t="shared" si="2"/>
        <v>1</v>
      </c>
      <c r="I164" t="s">
        <v>6587</v>
      </c>
      <c r="J164" s="63">
        <f>CALCULO_VR!J164</f>
        <v>10</v>
      </c>
      <c r="Q164" s="44">
        <f>CALCULO_VR!R164</f>
        <v>84.83715616919325</v>
      </c>
    </row>
    <row r="165" spans="1:17" x14ac:dyDescent="0.3">
      <c r="A165" s="34">
        <f>CALCULO_VR!A165</f>
        <v>3466908</v>
      </c>
      <c r="B165" s="34" t="str">
        <f>CALCULO_VR!B165</f>
        <v>MLPA</v>
      </c>
      <c r="C165" t="s">
        <v>1427</v>
      </c>
      <c r="D165" s="46">
        <f>CALCULO_VR!F165</f>
        <v>45450.663680555554</v>
      </c>
      <c r="E165" s="46">
        <f>CALCULO_VR!G165</f>
        <v>45465.663680555554</v>
      </c>
      <c r="F165" s="27">
        <f>CALCULO_VR!I165</f>
        <v>46440.22</v>
      </c>
      <c r="G165" s="34">
        <f>CALCULO_VR!E165</f>
        <v>1</v>
      </c>
      <c r="H165" s="34">
        <f t="shared" si="2"/>
        <v>1</v>
      </c>
      <c r="I165" t="s">
        <v>6587</v>
      </c>
      <c r="J165" s="63">
        <f>CALCULO_VR!J165</f>
        <v>10</v>
      </c>
      <c r="Q165" s="44">
        <f>CALCULO_VR!R165</f>
        <v>44.53320673703427</v>
      </c>
    </row>
    <row r="166" spans="1:17" x14ac:dyDescent="0.3">
      <c r="A166" s="34">
        <f>CALCULO_VR!A166</f>
        <v>3462319</v>
      </c>
      <c r="B166" s="34" t="str">
        <f>CALCULO_VR!B166</f>
        <v>MLPA</v>
      </c>
      <c r="C166" t="s">
        <v>803</v>
      </c>
      <c r="D166" s="46">
        <f>CALCULO_VR!F166</f>
        <v>45450.649687500001</v>
      </c>
      <c r="E166" s="46">
        <f>CALCULO_VR!G166</f>
        <v>45461.649687500001</v>
      </c>
      <c r="F166" s="27">
        <f>CALCULO_VR!I166</f>
        <v>46440.22</v>
      </c>
      <c r="G166" s="34">
        <f>CALCULO_VR!E166</f>
        <v>1</v>
      </c>
      <c r="H166" s="34">
        <f t="shared" si="2"/>
        <v>1</v>
      </c>
      <c r="I166" t="s">
        <v>6587</v>
      </c>
      <c r="J166" s="63">
        <f>CALCULO_VR!J166</f>
        <v>3</v>
      </c>
      <c r="Q166" s="44">
        <f>CALCULO_VR!R166</f>
        <v>66.53542531614012</v>
      </c>
    </row>
    <row r="167" spans="1:17" x14ac:dyDescent="0.3">
      <c r="A167" s="34">
        <f>CALCULO_VR!A167</f>
        <v>3464159</v>
      </c>
      <c r="B167" s="34" t="str">
        <f>CALCULO_VR!B167</f>
        <v>MLPA</v>
      </c>
      <c r="C167" t="s">
        <v>1427</v>
      </c>
      <c r="D167" s="46">
        <f>CALCULO_VR!F167</f>
        <v>45436.449259259258</v>
      </c>
      <c r="E167" s="46">
        <f>CALCULO_VR!G167</f>
        <v>45448.449259259258</v>
      </c>
      <c r="F167" s="27">
        <f>CALCULO_VR!I167</f>
        <v>46440.22</v>
      </c>
      <c r="G167" s="34">
        <f>CALCULO_VR!E167</f>
        <v>1</v>
      </c>
      <c r="H167" s="34">
        <f t="shared" si="2"/>
        <v>1</v>
      </c>
      <c r="I167" t="s">
        <v>6587</v>
      </c>
      <c r="J167" s="63">
        <f>CALCULO_VR!J167</f>
        <v>10</v>
      </c>
      <c r="Q167" s="44">
        <f>CALCULO_VR!R167</f>
        <v>57.827695632138912</v>
      </c>
    </row>
    <row r="168" spans="1:17" x14ac:dyDescent="0.3">
      <c r="A168" s="34">
        <f>CALCULO_VR!A168</f>
        <v>3466603</v>
      </c>
      <c r="B168" s="34" t="str">
        <f>CALCULO_VR!B168</f>
        <v>MLPA</v>
      </c>
      <c r="C168" t="s">
        <v>1427</v>
      </c>
      <c r="D168" s="46">
        <f>CALCULO_VR!F168</f>
        <v>45448.418865740743</v>
      </c>
      <c r="E168" s="46">
        <f>CALCULO_VR!G168</f>
        <v>45461.418865740743</v>
      </c>
      <c r="F168" s="27">
        <f>CALCULO_VR!I168</f>
        <v>46440.22</v>
      </c>
      <c r="G168" s="34">
        <f>CALCULO_VR!E168</f>
        <v>1</v>
      </c>
      <c r="H168" s="34">
        <f t="shared" si="2"/>
        <v>1</v>
      </c>
      <c r="I168" t="s">
        <v>6587</v>
      </c>
      <c r="J168" s="63">
        <f>CALCULO_VR!J168</f>
        <v>10</v>
      </c>
      <c r="Q168" s="44">
        <f>CALCULO_VR!R168</f>
        <v>54.415280125403569</v>
      </c>
    </row>
    <row r="169" spans="1:17" x14ac:dyDescent="0.3">
      <c r="A169" s="34">
        <f>CALCULO_VR!A169</f>
        <v>3467063</v>
      </c>
      <c r="B169" s="34" t="str">
        <f>CALCULO_VR!B169</f>
        <v>MLPA</v>
      </c>
      <c r="C169" t="s">
        <v>1427</v>
      </c>
      <c r="D169" s="46">
        <f>CALCULO_VR!F169</f>
        <v>45447.599374999998</v>
      </c>
      <c r="E169" s="46">
        <f>CALCULO_VR!G169</f>
        <v>45462.599374999998</v>
      </c>
      <c r="F169" s="27">
        <f>CALCULO_VR!I169</f>
        <v>46440.22</v>
      </c>
      <c r="G169" s="34">
        <f>CALCULO_VR!E169</f>
        <v>1</v>
      </c>
      <c r="H169" s="34">
        <f t="shared" si="2"/>
        <v>1</v>
      </c>
      <c r="I169" t="s">
        <v>6587</v>
      </c>
      <c r="J169" s="63">
        <f>CALCULO_VR!J169</f>
        <v>10</v>
      </c>
      <c r="Q169" s="44">
        <f>CALCULO_VR!R169</f>
        <v>50.362747888029347</v>
      </c>
    </row>
    <row r="170" spans="1:17" x14ac:dyDescent="0.3">
      <c r="A170" s="34">
        <f>CALCULO_VR!A170</f>
        <v>3464243</v>
      </c>
      <c r="B170" s="34" t="str">
        <f>CALCULO_VR!B170</f>
        <v>MLPA</v>
      </c>
      <c r="C170" t="s">
        <v>1427</v>
      </c>
      <c r="D170" s="46">
        <f>CALCULO_VR!F170</f>
        <v>45440.438078703701</v>
      </c>
      <c r="E170" s="46">
        <f>CALCULO_VR!G170</f>
        <v>45456.438078703701</v>
      </c>
      <c r="F170" s="27">
        <f>CALCULO_VR!I170</f>
        <v>46440.22</v>
      </c>
      <c r="G170" s="34">
        <f>CALCULO_VR!E170</f>
        <v>1</v>
      </c>
      <c r="H170" s="34">
        <f t="shared" si="2"/>
        <v>1</v>
      </c>
      <c r="I170" t="s">
        <v>6587</v>
      </c>
      <c r="J170" s="63">
        <f>CALCULO_VR!J170</f>
        <v>10</v>
      </c>
      <c r="Q170" s="44">
        <f>CALCULO_VR!R170</f>
        <v>64.132454507495524</v>
      </c>
    </row>
    <row r="171" spans="1:17" x14ac:dyDescent="0.3">
      <c r="A171" s="34">
        <f>CALCULO_VR!A171</f>
        <v>3465692</v>
      </c>
      <c r="B171" s="34" t="str">
        <f>CALCULO_VR!B171</f>
        <v>MLPA</v>
      </c>
      <c r="C171" t="s">
        <v>1427</v>
      </c>
      <c r="D171" s="46">
        <f>CALCULO_VR!F171</f>
        <v>45443.440428240741</v>
      </c>
      <c r="E171" s="46">
        <f>CALCULO_VR!G171</f>
        <v>45454.440428240741</v>
      </c>
      <c r="F171" s="27">
        <f>CALCULO_VR!I171</f>
        <v>46440.22</v>
      </c>
      <c r="G171" s="34">
        <f>CALCULO_VR!E171</f>
        <v>1</v>
      </c>
      <c r="H171" s="34">
        <f t="shared" si="2"/>
        <v>1</v>
      </c>
      <c r="I171" t="s">
        <v>6587</v>
      </c>
      <c r="J171" s="63">
        <f>CALCULO_VR!J171</f>
        <v>10</v>
      </c>
      <c r="Q171" s="44">
        <f>CALCULO_VR!R171</f>
        <v>61.196331703797348</v>
      </c>
    </row>
    <row r="172" spans="1:17" x14ac:dyDescent="0.3">
      <c r="A172" s="34">
        <f>CALCULO_VR!A172</f>
        <v>3466872</v>
      </c>
      <c r="B172" s="34" t="str">
        <f>CALCULO_VR!B172</f>
        <v>MLPA</v>
      </c>
      <c r="C172" t="s">
        <v>1427</v>
      </c>
      <c r="D172" s="46">
        <f>CALCULO_VR!F172</f>
        <v>45456.660740740743</v>
      </c>
      <c r="E172" s="46">
        <f>CALCULO_VR!G172</f>
        <v>45468.660740740743</v>
      </c>
      <c r="F172" s="27">
        <f>CALCULO_VR!I172</f>
        <v>46440.22</v>
      </c>
      <c r="G172" s="34">
        <f>CALCULO_VR!E172</f>
        <v>1</v>
      </c>
      <c r="H172" s="34">
        <f t="shared" si="2"/>
        <v>1</v>
      </c>
      <c r="I172" t="s">
        <v>6587</v>
      </c>
      <c r="J172" s="63">
        <f>CALCULO_VR!J172</f>
        <v>10</v>
      </c>
      <c r="Q172" s="44">
        <f>CALCULO_VR!R172</f>
        <v>64.398141878422621</v>
      </c>
    </row>
    <row r="173" spans="1:17" x14ac:dyDescent="0.3">
      <c r="A173" s="34">
        <f>CALCULO_VR!A173</f>
        <v>3467216</v>
      </c>
      <c r="B173" s="34" t="str">
        <f>CALCULO_VR!B173</f>
        <v>MLPA</v>
      </c>
      <c r="C173" t="s">
        <v>1427</v>
      </c>
      <c r="D173" s="46">
        <f>CALCULO_VR!F173</f>
        <v>45455.651041666664</v>
      </c>
      <c r="E173" s="46">
        <f>CALCULO_VR!G173</f>
        <v>45468.651041666664</v>
      </c>
      <c r="F173" s="27">
        <f>CALCULO_VR!I173</f>
        <v>46440.22</v>
      </c>
      <c r="G173" s="34">
        <f>CALCULO_VR!E173</f>
        <v>1</v>
      </c>
      <c r="H173" s="34">
        <f t="shared" si="2"/>
        <v>1</v>
      </c>
      <c r="I173" t="s">
        <v>6587</v>
      </c>
      <c r="J173" s="63">
        <f>CALCULO_VR!J173</f>
        <v>10</v>
      </c>
      <c r="Q173" s="44">
        <f>CALCULO_VR!R173</f>
        <v>61.643467768428245</v>
      </c>
    </row>
    <row r="174" spans="1:17" x14ac:dyDescent="0.3">
      <c r="A174" s="34">
        <f>CALCULO_VR!A174</f>
        <v>3466852</v>
      </c>
      <c r="B174" s="34" t="str">
        <f>CALCULO_VR!B174</f>
        <v>MLPA</v>
      </c>
      <c r="C174" t="s">
        <v>1427</v>
      </c>
      <c r="D174" s="46">
        <f>CALCULO_VR!F174</f>
        <v>45453.714930555558</v>
      </c>
      <c r="E174" s="46">
        <f>CALCULO_VR!G174</f>
        <v>45468.714930555558</v>
      </c>
      <c r="F174" s="27">
        <f>CALCULO_VR!I174</f>
        <v>46440.22</v>
      </c>
      <c r="G174" s="34">
        <f>CALCULO_VR!E174</f>
        <v>1</v>
      </c>
      <c r="H174" s="34">
        <f t="shared" si="2"/>
        <v>1</v>
      </c>
      <c r="I174" t="s">
        <v>6587</v>
      </c>
      <c r="J174" s="63">
        <f>CALCULO_VR!J174</f>
        <v>10</v>
      </c>
      <c r="Q174" s="44">
        <f>CALCULO_VR!R174</f>
        <v>59.823698688125951</v>
      </c>
    </row>
    <row r="175" spans="1:17" x14ac:dyDescent="0.3">
      <c r="A175" s="34">
        <f>CALCULO_VR!A175</f>
        <v>3466645</v>
      </c>
      <c r="B175" s="34" t="str">
        <f>CALCULO_VR!B175</f>
        <v>MLPA</v>
      </c>
      <c r="C175" t="s">
        <v>1427</v>
      </c>
      <c r="D175" s="46">
        <f>CALCULO_VR!F175</f>
        <v>45457.606585648151</v>
      </c>
      <c r="E175" s="46">
        <f>CALCULO_VR!G175</f>
        <v>45468.606585648151</v>
      </c>
      <c r="F175" s="27">
        <f>CALCULO_VR!I175</f>
        <v>46440.22</v>
      </c>
      <c r="G175" s="34">
        <f>CALCULO_VR!E175</f>
        <v>1</v>
      </c>
      <c r="H175" s="34">
        <f t="shared" si="2"/>
        <v>1</v>
      </c>
      <c r="I175" t="s">
        <v>6587</v>
      </c>
      <c r="J175" s="63">
        <f>CALCULO_VR!J175</f>
        <v>10</v>
      </c>
      <c r="Q175" s="44">
        <f>CALCULO_VR!R175</f>
        <v>60.857169216733816</v>
      </c>
    </row>
    <row r="176" spans="1:17" x14ac:dyDescent="0.3">
      <c r="A176" s="34">
        <f>CALCULO_VR!A176</f>
        <v>3467211</v>
      </c>
      <c r="B176" s="34" t="str">
        <f>CALCULO_VR!B176</f>
        <v>MLPA</v>
      </c>
      <c r="C176" t="s">
        <v>1427</v>
      </c>
      <c r="D176" s="46">
        <f>CALCULO_VR!F176</f>
        <v>45456.409050925926</v>
      </c>
      <c r="E176" s="46">
        <f>CALCULO_VR!G176</f>
        <v>45468.409050925926</v>
      </c>
      <c r="F176" s="27">
        <f>CALCULO_VR!I176</f>
        <v>46440.22</v>
      </c>
      <c r="G176" s="34">
        <f>CALCULO_VR!E176</f>
        <v>1</v>
      </c>
      <c r="H176" s="34">
        <f t="shared" si="2"/>
        <v>1</v>
      </c>
      <c r="I176" t="s">
        <v>6587</v>
      </c>
      <c r="J176" s="63">
        <f>CALCULO_VR!J176</f>
        <v>10</v>
      </c>
      <c r="Q176" s="44">
        <f>CALCULO_VR!R176</f>
        <v>76.530248917823286</v>
      </c>
    </row>
    <row r="177" spans="1:17" x14ac:dyDescent="0.3">
      <c r="A177" s="34">
        <f>CALCULO_VR!A177</f>
        <v>3467209</v>
      </c>
      <c r="B177" s="34" t="str">
        <f>CALCULO_VR!B177</f>
        <v>MLPA</v>
      </c>
      <c r="C177" t="s">
        <v>1427</v>
      </c>
      <c r="D177" s="46">
        <f>CALCULO_VR!F177</f>
        <v>45454.676932870374</v>
      </c>
      <c r="E177" s="46">
        <f>CALCULO_VR!G177</f>
        <v>45467.676932870374</v>
      </c>
      <c r="F177" s="27">
        <f>CALCULO_VR!I177</f>
        <v>46440.22</v>
      </c>
      <c r="G177" s="34">
        <f>CALCULO_VR!E177</f>
        <v>1</v>
      </c>
      <c r="H177" s="34">
        <f t="shared" si="2"/>
        <v>1</v>
      </c>
      <c r="I177" t="s">
        <v>6587</v>
      </c>
      <c r="J177" s="63">
        <f>CALCULO_VR!J177</f>
        <v>10</v>
      </c>
      <c r="Q177" s="44">
        <f>CALCULO_VR!R177</f>
        <v>73.855017673428762</v>
      </c>
    </row>
    <row r="178" spans="1:17" x14ac:dyDescent="0.3">
      <c r="A178" s="34">
        <f>CALCULO_VR!A178</f>
        <v>3466926</v>
      </c>
      <c r="B178" s="34" t="str">
        <f>CALCULO_VR!B178</f>
        <v>MLPA</v>
      </c>
      <c r="C178" t="s">
        <v>1427</v>
      </c>
      <c r="D178" s="46">
        <f>CALCULO_VR!F178</f>
        <v>45453.403379629628</v>
      </c>
      <c r="E178" s="46">
        <f>CALCULO_VR!G178</f>
        <v>45468.403379629628</v>
      </c>
      <c r="F178" s="27">
        <f>CALCULO_VR!I178</f>
        <v>46440.22</v>
      </c>
      <c r="G178" s="34">
        <f>CALCULO_VR!E178</f>
        <v>1</v>
      </c>
      <c r="H178" s="34">
        <f t="shared" si="2"/>
        <v>1</v>
      </c>
      <c r="I178" t="s">
        <v>6587</v>
      </c>
      <c r="J178" s="63">
        <f>CALCULO_VR!J178</f>
        <v>10</v>
      </c>
      <c r="Q178" s="44">
        <f>CALCULO_VR!R178</f>
        <v>73.727623793382818</v>
      </c>
    </row>
    <row r="179" spans="1:17" x14ac:dyDescent="0.3">
      <c r="A179" s="34">
        <f>CALCULO_VR!A179</f>
        <v>3463162</v>
      </c>
      <c r="B179" s="34" t="str">
        <f>CALCULO_VR!B179</f>
        <v>MLPA</v>
      </c>
      <c r="C179" t="s">
        <v>1427</v>
      </c>
      <c r="D179" s="46">
        <f>CALCULO_VR!F179</f>
        <v>45449.688217592593</v>
      </c>
      <c r="E179" s="46">
        <f>CALCULO_VR!G179</f>
        <v>45465.688217592593</v>
      </c>
      <c r="F179" s="27">
        <f>CALCULO_VR!I179</f>
        <v>46440.22</v>
      </c>
      <c r="G179" s="34">
        <f>CALCULO_VR!E179</f>
        <v>1</v>
      </c>
      <c r="H179" s="34">
        <f t="shared" si="2"/>
        <v>1</v>
      </c>
      <c r="I179" t="s">
        <v>6587</v>
      </c>
      <c r="J179" s="63">
        <f>CALCULO_VR!J179</f>
        <v>10</v>
      </c>
      <c r="Q179" s="44">
        <f>CALCULO_VR!R179</f>
        <v>78.052883319436148</v>
      </c>
    </row>
    <row r="180" spans="1:17" x14ac:dyDescent="0.3">
      <c r="A180" s="34">
        <f>CALCULO_VR!A180</f>
        <v>3463156</v>
      </c>
      <c r="B180" s="34" t="str">
        <f>CALCULO_VR!B180</f>
        <v>MLPA</v>
      </c>
      <c r="C180" t="s">
        <v>1427</v>
      </c>
      <c r="D180" s="46">
        <f>CALCULO_VR!F180</f>
        <v>45456.381840277776</v>
      </c>
      <c r="E180" s="46">
        <f>CALCULO_VR!G180</f>
        <v>45467.381840277776</v>
      </c>
      <c r="F180" s="27">
        <f>CALCULO_VR!I180</f>
        <v>46440.22</v>
      </c>
      <c r="G180" s="34">
        <f>CALCULO_VR!E180</f>
        <v>1</v>
      </c>
      <c r="H180" s="34">
        <f t="shared" si="2"/>
        <v>1</v>
      </c>
      <c r="I180" t="s">
        <v>6587</v>
      </c>
      <c r="J180" s="63">
        <f>CALCULO_VR!J180</f>
        <v>10</v>
      </c>
      <c r="Q180" s="44">
        <f>CALCULO_VR!R180</f>
        <v>86.936868585655446</v>
      </c>
    </row>
    <row r="181" spans="1:17" x14ac:dyDescent="0.3">
      <c r="A181" s="34">
        <f>CALCULO_VR!A181</f>
        <v>3466906</v>
      </c>
      <c r="B181" s="34" t="str">
        <f>CALCULO_VR!B181</f>
        <v>MLPA</v>
      </c>
      <c r="C181" t="s">
        <v>1427</v>
      </c>
      <c r="D181" s="46">
        <f>CALCULO_VR!F181</f>
        <v>45455.658518518518</v>
      </c>
      <c r="E181" s="46">
        <f>CALCULO_VR!G181</f>
        <v>45467.658518518518</v>
      </c>
      <c r="F181" s="27">
        <f>CALCULO_VR!I181</f>
        <v>46440.22</v>
      </c>
      <c r="G181" s="34">
        <f>CALCULO_VR!E181</f>
        <v>1</v>
      </c>
      <c r="H181" s="34">
        <f t="shared" si="2"/>
        <v>1</v>
      </c>
      <c r="I181" t="s">
        <v>6587</v>
      </c>
      <c r="J181" s="63">
        <f>CALCULO_VR!J181</f>
        <v>10</v>
      </c>
      <c r="Q181" s="44">
        <f>CALCULO_VR!R181</f>
        <v>72.965631063700556</v>
      </c>
    </row>
    <row r="182" spans="1:17" x14ac:dyDescent="0.3">
      <c r="A182" s="34">
        <f>CALCULO_VR!A182</f>
        <v>3463187</v>
      </c>
      <c r="B182" s="34" t="str">
        <f>CALCULO_VR!B182</f>
        <v>MLPA</v>
      </c>
      <c r="C182" t="s">
        <v>1427</v>
      </c>
      <c r="D182" s="46">
        <f>CALCULO_VR!F182</f>
        <v>45454.357893518521</v>
      </c>
      <c r="E182" s="46">
        <f>CALCULO_VR!G182</f>
        <v>45467.357893518521</v>
      </c>
      <c r="F182" s="27">
        <f>CALCULO_VR!I182</f>
        <v>46440.22</v>
      </c>
      <c r="G182" s="34">
        <f>CALCULO_VR!E182</f>
        <v>1</v>
      </c>
      <c r="H182" s="34">
        <f t="shared" si="2"/>
        <v>1</v>
      </c>
      <c r="I182" t="s">
        <v>6587</v>
      </c>
      <c r="J182" s="63">
        <f>CALCULO_VR!J182</f>
        <v>10</v>
      </c>
      <c r="Q182" s="44">
        <f>CALCULO_VR!R182</f>
        <v>78.228419909045655</v>
      </c>
    </row>
    <row r="183" spans="1:17" x14ac:dyDescent="0.3">
      <c r="A183" s="34">
        <f>CALCULO_VR!A183</f>
        <v>3467117</v>
      </c>
      <c r="B183" s="34" t="str">
        <f>CALCULO_VR!B183</f>
        <v>MLPA</v>
      </c>
      <c r="C183" t="s">
        <v>1427</v>
      </c>
      <c r="D183" s="46">
        <f>CALCULO_VR!F183</f>
        <v>45450.677314814813</v>
      </c>
      <c r="E183" s="46">
        <f>CALCULO_VR!G183</f>
        <v>45465.677314814813</v>
      </c>
      <c r="F183" s="27">
        <f>CALCULO_VR!I183</f>
        <v>46440.22</v>
      </c>
      <c r="G183" s="34">
        <f>CALCULO_VR!E183</f>
        <v>1</v>
      </c>
      <c r="H183" s="34">
        <f t="shared" si="2"/>
        <v>1</v>
      </c>
      <c r="I183" t="s">
        <v>6587</v>
      </c>
      <c r="J183" s="63">
        <f>CALCULO_VR!J183</f>
        <v>10</v>
      </c>
      <c r="Q183" s="44">
        <f>CALCULO_VR!R183</f>
        <v>56.849721352505981</v>
      </c>
    </row>
    <row r="184" spans="1:17" x14ac:dyDescent="0.3">
      <c r="A184" s="34">
        <f>CALCULO_VR!A184</f>
        <v>3467212</v>
      </c>
      <c r="B184" s="34" t="str">
        <f>CALCULO_VR!B184</f>
        <v>MLPA</v>
      </c>
      <c r="C184" t="s">
        <v>1427</v>
      </c>
      <c r="D184" s="46">
        <f>CALCULO_VR!F184</f>
        <v>45457.438159722224</v>
      </c>
      <c r="E184" s="46">
        <f>CALCULO_VR!G184</f>
        <v>45468.438159722224</v>
      </c>
      <c r="F184" s="27">
        <f>CALCULO_VR!I184</f>
        <v>46440.22</v>
      </c>
      <c r="G184" s="34">
        <f>CALCULO_VR!E184</f>
        <v>1</v>
      </c>
      <c r="H184" s="34">
        <f t="shared" si="2"/>
        <v>1</v>
      </c>
      <c r="I184" t="s">
        <v>6587</v>
      </c>
      <c r="J184" s="63">
        <f>CALCULO_VR!J184</f>
        <v>10</v>
      </c>
      <c r="Q184" s="44">
        <f>CALCULO_VR!R184</f>
        <v>73.618387761682754</v>
      </c>
    </row>
    <row r="185" spans="1:17" x14ac:dyDescent="0.3">
      <c r="A185" s="34">
        <f>CALCULO_VR!A185</f>
        <v>3463163</v>
      </c>
      <c r="B185" s="34" t="str">
        <f>CALCULO_VR!B185</f>
        <v>MLPA</v>
      </c>
      <c r="C185" t="s">
        <v>1427</v>
      </c>
      <c r="D185" s="46">
        <f>CALCULO_VR!F185</f>
        <v>45455.371481481481</v>
      </c>
      <c r="E185" s="46">
        <f>CALCULO_VR!G185</f>
        <v>45467.371481481481</v>
      </c>
      <c r="F185" s="27">
        <f>CALCULO_VR!I185</f>
        <v>46440.22</v>
      </c>
      <c r="G185" s="34">
        <f>CALCULO_VR!E185</f>
        <v>1</v>
      </c>
      <c r="H185" s="34">
        <f t="shared" si="2"/>
        <v>1</v>
      </c>
      <c r="I185" t="s">
        <v>6587</v>
      </c>
      <c r="J185" s="63">
        <f>CALCULO_VR!J185</f>
        <v>10</v>
      </c>
      <c r="Q185" s="44">
        <f>CALCULO_VR!R185</f>
        <v>78.295762832916708</v>
      </c>
    </row>
    <row r="186" spans="1:17" x14ac:dyDescent="0.3">
      <c r="A186" s="34">
        <f>CALCULO_VR!A186</f>
        <v>3466879</v>
      </c>
      <c r="B186" s="34" t="str">
        <f>CALCULO_VR!B186</f>
        <v>MLPA</v>
      </c>
      <c r="C186" t="s">
        <v>1427</v>
      </c>
      <c r="D186" s="46">
        <f>CALCULO_VR!F186</f>
        <v>45455.466145833336</v>
      </c>
      <c r="E186" s="46">
        <f>CALCULO_VR!G186</f>
        <v>45468.466145833336</v>
      </c>
      <c r="F186" s="27">
        <f>CALCULO_VR!I186</f>
        <v>46440.22</v>
      </c>
      <c r="G186" s="34">
        <f>CALCULO_VR!E186</f>
        <v>1</v>
      </c>
      <c r="H186" s="34">
        <f t="shared" si="2"/>
        <v>1</v>
      </c>
      <c r="I186" t="s">
        <v>6587</v>
      </c>
      <c r="J186" s="63">
        <f>CALCULO_VR!J186</f>
        <v>10</v>
      </c>
      <c r="Q186" s="44">
        <f>CALCULO_VR!R186</f>
        <v>79.624664229704948</v>
      </c>
    </row>
    <row r="187" spans="1:17" x14ac:dyDescent="0.3">
      <c r="A187" s="34">
        <f>CALCULO_VR!A187</f>
        <v>3466930</v>
      </c>
      <c r="B187" s="34" t="str">
        <f>CALCULO_VR!B187</f>
        <v>MLPA</v>
      </c>
      <c r="C187" t="s">
        <v>1427</v>
      </c>
      <c r="D187" s="46">
        <f>CALCULO_VR!F187</f>
        <v>45453.446770833332</v>
      </c>
      <c r="E187" s="46">
        <f>CALCULO_VR!G187</f>
        <v>45468.446770833332</v>
      </c>
      <c r="F187" s="27">
        <f>CALCULO_VR!I187</f>
        <v>46440.22</v>
      </c>
      <c r="G187" s="34">
        <f>CALCULO_VR!E187</f>
        <v>1</v>
      </c>
      <c r="H187" s="34">
        <f t="shared" si="2"/>
        <v>1</v>
      </c>
      <c r="I187" t="s">
        <v>6587</v>
      </c>
      <c r="J187" s="63">
        <f>CALCULO_VR!J187</f>
        <v>10</v>
      </c>
      <c r="Q187" s="44">
        <f>CALCULO_VR!R187</f>
        <v>78.133227043796154</v>
      </c>
    </row>
    <row r="188" spans="1:17" x14ac:dyDescent="0.3">
      <c r="A188" s="34">
        <f>CALCULO_VR!A188</f>
        <v>3467213</v>
      </c>
      <c r="B188" s="34" t="str">
        <f>CALCULO_VR!B188</f>
        <v>MLPA</v>
      </c>
      <c r="C188" t="s">
        <v>1427</v>
      </c>
      <c r="D188" s="46">
        <f>CALCULO_VR!F188</f>
        <v>45452.451840277776</v>
      </c>
      <c r="E188" s="46">
        <f>CALCULO_VR!G188</f>
        <v>45468.451840277776</v>
      </c>
      <c r="F188" s="27">
        <f>CALCULO_VR!I188</f>
        <v>46440.22</v>
      </c>
      <c r="G188" s="34">
        <f>CALCULO_VR!E188</f>
        <v>1</v>
      </c>
      <c r="H188" s="34">
        <f t="shared" si="2"/>
        <v>1</v>
      </c>
      <c r="I188" t="s">
        <v>6587</v>
      </c>
      <c r="J188" s="63">
        <f>CALCULO_VR!J188</f>
        <v>10</v>
      </c>
      <c r="Q188" s="44">
        <f>CALCULO_VR!R188</f>
        <v>80.931945635437614</v>
      </c>
    </row>
    <row r="189" spans="1:17" x14ac:dyDescent="0.3">
      <c r="A189" s="34">
        <f>CALCULO_VR!A189</f>
        <v>3466770</v>
      </c>
      <c r="B189" s="34" t="str">
        <f>CALCULO_VR!B189</f>
        <v>MLPA</v>
      </c>
      <c r="C189" t="s">
        <v>1427</v>
      </c>
      <c r="D189" s="46">
        <f>CALCULO_VR!F189</f>
        <v>45457.41479166667</v>
      </c>
      <c r="E189" s="46">
        <f>CALCULO_VR!G189</f>
        <v>45468.41479166667</v>
      </c>
      <c r="F189" s="27">
        <f>CALCULO_VR!I189</f>
        <v>46440.22</v>
      </c>
      <c r="G189" s="34">
        <f>CALCULO_VR!E189</f>
        <v>1</v>
      </c>
      <c r="H189" s="34">
        <f t="shared" si="2"/>
        <v>1</v>
      </c>
      <c r="I189" t="s">
        <v>6587</v>
      </c>
      <c r="J189" s="63">
        <f>CALCULO_VR!J189</f>
        <v>10</v>
      </c>
      <c r="Q189" s="44">
        <f>CALCULO_VR!R189</f>
        <v>59.721595144778789</v>
      </c>
    </row>
    <row r="190" spans="1:17" x14ac:dyDescent="0.3">
      <c r="A190" s="34">
        <f>CALCULO_VR!A190</f>
        <v>3466873</v>
      </c>
      <c r="B190" s="34" t="str">
        <f>CALCULO_VR!B190</f>
        <v>MLPA</v>
      </c>
      <c r="C190" t="s">
        <v>1427</v>
      </c>
      <c r="D190" s="46">
        <f>CALCULO_VR!F190</f>
        <v>45456.634502314817</v>
      </c>
      <c r="E190" s="46">
        <f>CALCULO_VR!G190</f>
        <v>45468.634502314817</v>
      </c>
      <c r="F190" s="27">
        <f>CALCULO_VR!I190</f>
        <v>46440.22</v>
      </c>
      <c r="G190" s="34">
        <f>CALCULO_VR!E190</f>
        <v>1</v>
      </c>
      <c r="H190" s="34">
        <f t="shared" si="2"/>
        <v>1</v>
      </c>
      <c r="I190" t="s">
        <v>6587</v>
      </c>
      <c r="J190" s="63">
        <f>CALCULO_VR!J190</f>
        <v>10</v>
      </c>
      <c r="Q190" s="44">
        <f>CALCULO_VR!R190</f>
        <v>61.04958993091212</v>
      </c>
    </row>
    <row r="191" spans="1:17" x14ac:dyDescent="0.3">
      <c r="A191" s="34">
        <f>CALCULO_VR!A191</f>
        <v>3466950</v>
      </c>
      <c r="B191" s="34" t="str">
        <f>CALCULO_VR!B191</f>
        <v>MLPA</v>
      </c>
      <c r="C191" t="s">
        <v>1427</v>
      </c>
      <c r="D191" s="46">
        <f>CALCULO_VR!F191</f>
        <v>45455.724004629628</v>
      </c>
      <c r="E191" s="46">
        <f>CALCULO_VR!G191</f>
        <v>45468.724004629628</v>
      </c>
      <c r="F191" s="27">
        <f>CALCULO_VR!I191</f>
        <v>46440.22</v>
      </c>
      <c r="G191" s="34">
        <f>CALCULO_VR!E191</f>
        <v>1</v>
      </c>
      <c r="H191" s="34">
        <f t="shared" si="2"/>
        <v>1</v>
      </c>
      <c r="I191" t="s">
        <v>6587</v>
      </c>
      <c r="J191" s="63">
        <f>CALCULO_VR!J191</f>
        <v>10</v>
      </c>
      <c r="Q191" s="44">
        <f>CALCULO_VR!R191</f>
        <v>61.023205398542657</v>
      </c>
    </row>
    <row r="192" spans="1:17" x14ac:dyDescent="0.3">
      <c r="A192" s="34">
        <f>CALCULO_VR!A192</f>
        <v>3466158</v>
      </c>
      <c r="B192" s="34" t="str">
        <f>CALCULO_VR!B192</f>
        <v>MLPA</v>
      </c>
      <c r="C192" t="s">
        <v>1427</v>
      </c>
      <c r="D192" s="46">
        <f>CALCULO_VR!F192</f>
        <v>45453.729791666665</v>
      </c>
      <c r="E192" s="46">
        <f>CALCULO_VR!G192</f>
        <v>45468.729791666665</v>
      </c>
      <c r="F192" s="27">
        <f>CALCULO_VR!I192</f>
        <v>46440.22</v>
      </c>
      <c r="G192" s="34">
        <f>CALCULO_VR!E192</f>
        <v>1</v>
      </c>
      <c r="H192" s="34">
        <f t="shared" si="2"/>
        <v>1</v>
      </c>
      <c r="I192" t="s">
        <v>6587</v>
      </c>
      <c r="J192" s="63">
        <f>CALCULO_VR!J192</f>
        <v>10</v>
      </c>
      <c r="Q192" s="44">
        <f>CALCULO_VR!R192</f>
        <v>68.052662127436506</v>
      </c>
    </row>
    <row r="193" spans="1:17" x14ac:dyDescent="0.3">
      <c r="A193" s="34">
        <f>CALCULO_VR!A193</f>
        <v>3467116</v>
      </c>
      <c r="B193" s="34" t="str">
        <f>CALCULO_VR!B193</f>
        <v>MLPA</v>
      </c>
      <c r="C193" t="s">
        <v>1427</v>
      </c>
      <c r="D193" s="46">
        <f>CALCULO_VR!F193</f>
        <v>45457.39340277778</v>
      </c>
      <c r="E193" s="46">
        <f>CALCULO_VR!G193</f>
        <v>45468.39340277778</v>
      </c>
      <c r="F193" s="27">
        <f>CALCULO_VR!I193</f>
        <v>46440.22</v>
      </c>
      <c r="G193" s="34">
        <f>CALCULO_VR!E193</f>
        <v>1</v>
      </c>
      <c r="H193" s="34">
        <f t="shared" si="2"/>
        <v>1</v>
      </c>
      <c r="I193" t="s">
        <v>6587</v>
      </c>
      <c r="J193" s="63">
        <f>CALCULO_VR!J193</f>
        <v>10</v>
      </c>
      <c r="Q193" s="44">
        <f>CALCULO_VR!R193</f>
        <v>70.690274105533405</v>
      </c>
    </row>
    <row r="194" spans="1:17" x14ac:dyDescent="0.3">
      <c r="A194" s="34">
        <f>CALCULO_VR!A194</f>
        <v>3466884</v>
      </c>
      <c r="B194" s="34" t="str">
        <f>CALCULO_VR!B194</f>
        <v>MLPA</v>
      </c>
      <c r="C194" t="s">
        <v>1427</v>
      </c>
      <c r="D194" s="46">
        <f>CALCULO_VR!F194</f>
        <v>45456.398530092592</v>
      </c>
      <c r="E194" s="46">
        <f>CALCULO_VR!G194</f>
        <v>45468.398530092592</v>
      </c>
      <c r="F194" s="27">
        <f>CALCULO_VR!I194</f>
        <v>46440.22</v>
      </c>
      <c r="G194" s="34">
        <f>CALCULO_VR!E194</f>
        <v>1</v>
      </c>
      <c r="H194" s="34">
        <f t="shared" si="2"/>
        <v>1</v>
      </c>
      <c r="I194" t="s">
        <v>6587</v>
      </c>
      <c r="J194" s="63">
        <f>CALCULO_VR!J194</f>
        <v>10</v>
      </c>
      <c r="Q194" s="44">
        <f>CALCULO_VR!R194</f>
        <v>71.149022697052004</v>
      </c>
    </row>
    <row r="195" spans="1:17" x14ac:dyDescent="0.3">
      <c r="A195" s="34">
        <f>CALCULO_VR!A195</f>
        <v>3466703</v>
      </c>
      <c r="B195" s="34" t="str">
        <f>CALCULO_VR!B195</f>
        <v>MLPA</v>
      </c>
      <c r="C195" t="s">
        <v>1427</v>
      </c>
      <c r="D195" s="46">
        <f>CALCULO_VR!F195</f>
        <v>45455.737928240742</v>
      </c>
      <c r="E195" s="46">
        <f>CALCULO_VR!G195</f>
        <v>45468.737928240742</v>
      </c>
      <c r="F195" s="27">
        <f>CALCULO_VR!I195</f>
        <v>46440.22</v>
      </c>
      <c r="G195" s="34">
        <f>CALCULO_VR!E195</f>
        <v>1</v>
      </c>
      <c r="H195" s="34">
        <f t="shared" si="2"/>
        <v>1</v>
      </c>
      <c r="I195" t="s">
        <v>6587</v>
      </c>
      <c r="J195" s="63">
        <f>CALCULO_VR!J195</f>
        <v>10</v>
      </c>
      <c r="Q195" s="44">
        <f>CALCULO_VR!R195</f>
        <v>71.894738438273521</v>
      </c>
    </row>
    <row r="196" spans="1:17" x14ac:dyDescent="0.3">
      <c r="A196" s="34">
        <f>CALCULO_VR!A196</f>
        <v>3466780</v>
      </c>
      <c r="B196" s="34" t="str">
        <f>CALCULO_VR!B196</f>
        <v>MLPA</v>
      </c>
      <c r="C196" t="s">
        <v>1427</v>
      </c>
      <c r="D196" s="46">
        <f>CALCULO_VR!F196</f>
        <v>45453.702627314815</v>
      </c>
      <c r="E196" s="46">
        <f>CALCULO_VR!G196</f>
        <v>45468.702627314815</v>
      </c>
      <c r="F196" s="27">
        <f>CALCULO_VR!I196</f>
        <v>46440.22</v>
      </c>
      <c r="G196" s="34">
        <f>CALCULO_VR!E196</f>
        <v>1</v>
      </c>
      <c r="H196" s="34">
        <f t="shared" si="2"/>
        <v>1</v>
      </c>
      <c r="I196" t="s">
        <v>6587</v>
      </c>
      <c r="J196" s="63">
        <f>CALCULO_VR!J196</f>
        <v>10</v>
      </c>
      <c r="Q196" s="44">
        <f>CALCULO_VR!R196</f>
        <v>72.744194781152189</v>
      </c>
    </row>
    <row r="197" spans="1:17" x14ac:dyDescent="0.3">
      <c r="A197" s="34">
        <f>CALCULO_VR!A197</f>
        <v>3463777</v>
      </c>
      <c r="B197" s="34" t="str">
        <f>CALCULO_VR!B197</f>
        <v>MLPA</v>
      </c>
      <c r="C197" t="s">
        <v>1427</v>
      </c>
      <c r="D197" s="46">
        <f>CALCULO_VR!F197</f>
        <v>45438.34107638889</v>
      </c>
      <c r="E197" s="46">
        <f>CALCULO_VR!G197</f>
        <v>45454.34107638889</v>
      </c>
      <c r="F197" s="27">
        <f>CALCULO_VR!I197</f>
        <v>46440.22</v>
      </c>
      <c r="G197" s="34">
        <f>CALCULO_VR!E197</f>
        <v>1</v>
      </c>
      <c r="H197" s="34">
        <f t="shared" ref="H197:H260" si="3">G197</f>
        <v>1</v>
      </c>
      <c r="I197" t="s">
        <v>6587</v>
      </c>
      <c r="J197" s="63">
        <f>CALCULO_VR!J197</f>
        <v>10</v>
      </c>
      <c r="Q197" s="44">
        <f>CALCULO_VR!R197</f>
        <v>70.454277561185819</v>
      </c>
    </row>
    <row r="198" spans="1:17" x14ac:dyDescent="0.3">
      <c r="A198" s="34">
        <f>CALCULO_VR!A198</f>
        <v>3466983</v>
      </c>
      <c r="B198" s="34" t="str">
        <f>CALCULO_VR!B198</f>
        <v>MLPA</v>
      </c>
      <c r="C198" t="s">
        <v>1427</v>
      </c>
      <c r="D198" s="46">
        <f>CALCULO_VR!F198</f>
        <v>45457.694895833331</v>
      </c>
      <c r="E198" s="46">
        <f>CALCULO_VR!G198</f>
        <v>45468.694895833331</v>
      </c>
      <c r="F198" s="27">
        <f>CALCULO_VR!I198</f>
        <v>46440.22</v>
      </c>
      <c r="G198" s="34">
        <f>CALCULO_VR!E198</f>
        <v>1</v>
      </c>
      <c r="H198" s="34">
        <f t="shared" si="3"/>
        <v>1</v>
      </c>
      <c r="I198" t="s">
        <v>6587</v>
      </c>
      <c r="J198" s="63">
        <f>CALCULO_VR!J198</f>
        <v>10</v>
      </c>
      <c r="Q198" s="44">
        <f>CALCULO_VR!R198</f>
        <v>63.487934518298317</v>
      </c>
    </row>
    <row r="199" spans="1:17" x14ac:dyDescent="0.3">
      <c r="A199" s="34">
        <f>CALCULO_VR!A199</f>
        <v>3467206</v>
      </c>
      <c r="B199" s="34" t="str">
        <f>CALCULO_VR!B199</f>
        <v>MLPA</v>
      </c>
      <c r="C199" t="s">
        <v>1427</v>
      </c>
      <c r="D199" s="46">
        <f>CALCULO_VR!F199</f>
        <v>45455.600960648146</v>
      </c>
      <c r="E199" s="46">
        <f>CALCULO_VR!G199</f>
        <v>45467.600960648146</v>
      </c>
      <c r="F199" s="27">
        <f>CALCULO_VR!I199</f>
        <v>46440.22</v>
      </c>
      <c r="G199" s="34">
        <f>CALCULO_VR!E199</f>
        <v>1</v>
      </c>
      <c r="H199" s="34">
        <f t="shared" si="3"/>
        <v>1</v>
      </c>
      <c r="I199" t="s">
        <v>6587</v>
      </c>
      <c r="J199" s="63">
        <f>CALCULO_VR!J199</f>
        <v>10</v>
      </c>
      <c r="Q199" s="44">
        <f>CALCULO_VR!R199</f>
        <v>77.73555080728525</v>
      </c>
    </row>
    <row r="200" spans="1:17" x14ac:dyDescent="0.3">
      <c r="A200" s="34">
        <f>CALCULO_VR!A200</f>
        <v>3463190</v>
      </c>
      <c r="B200" s="34" t="str">
        <f>CALCULO_VR!B200</f>
        <v>MLPA</v>
      </c>
      <c r="C200" t="s">
        <v>1427</v>
      </c>
      <c r="D200" s="46">
        <f>CALCULO_VR!F200</f>
        <v>45454.706157407411</v>
      </c>
      <c r="E200" s="46">
        <f>CALCULO_VR!G200</f>
        <v>45467.706157407411</v>
      </c>
      <c r="F200" s="27">
        <f>CALCULO_VR!I200</f>
        <v>46440.22</v>
      </c>
      <c r="G200" s="34">
        <f>CALCULO_VR!E200</f>
        <v>1</v>
      </c>
      <c r="H200" s="34">
        <f t="shared" si="3"/>
        <v>1</v>
      </c>
      <c r="I200" t="s">
        <v>6587</v>
      </c>
      <c r="J200" s="63">
        <f>CALCULO_VR!J200</f>
        <v>10</v>
      </c>
      <c r="Q200" s="44">
        <f>CALCULO_VR!R200</f>
        <v>65.339164130734289</v>
      </c>
    </row>
    <row r="201" spans="1:17" x14ac:dyDescent="0.3">
      <c r="A201" s="34">
        <f>CALCULO_VR!A201</f>
        <v>3463193</v>
      </c>
      <c r="B201" s="34" t="str">
        <f>CALCULO_VR!B201</f>
        <v>MLPA</v>
      </c>
      <c r="C201" t="s">
        <v>1427</v>
      </c>
      <c r="D201" s="46">
        <f>CALCULO_VR!F201</f>
        <v>45450.695486111108</v>
      </c>
      <c r="E201" s="46">
        <f>CALCULO_VR!G201</f>
        <v>45465.695486111108</v>
      </c>
      <c r="F201" s="27">
        <f>CALCULO_VR!I201</f>
        <v>46440.22</v>
      </c>
      <c r="G201" s="34">
        <f>CALCULO_VR!E201</f>
        <v>1</v>
      </c>
      <c r="H201" s="34">
        <f t="shared" si="3"/>
        <v>1</v>
      </c>
      <c r="I201" t="s">
        <v>6587</v>
      </c>
      <c r="J201" s="63">
        <f>CALCULO_VR!J201</f>
        <v>10</v>
      </c>
      <c r="Q201" s="44">
        <f>CALCULO_VR!R201</f>
        <v>78.194342822069942</v>
      </c>
    </row>
    <row r="202" spans="1:17" x14ac:dyDescent="0.3">
      <c r="A202" s="34">
        <f>CALCULO_VR!A202</f>
        <v>3467166</v>
      </c>
      <c r="B202" s="34" t="str">
        <f>CALCULO_VR!B202</f>
        <v>MLPA</v>
      </c>
      <c r="C202" t="s">
        <v>1427</v>
      </c>
      <c r="D202" s="46">
        <f>CALCULO_VR!F202</f>
        <v>45456.630150462966</v>
      </c>
      <c r="E202" s="46">
        <f>CALCULO_VR!G202</f>
        <v>45467.630150462966</v>
      </c>
      <c r="F202" s="27">
        <f>CALCULO_VR!I202</f>
        <v>46440.22</v>
      </c>
      <c r="G202" s="34">
        <f>CALCULO_VR!E202</f>
        <v>1</v>
      </c>
      <c r="H202" s="34">
        <f t="shared" si="3"/>
        <v>1</v>
      </c>
      <c r="I202" t="s">
        <v>6587</v>
      </c>
      <c r="J202" s="63">
        <f>CALCULO_VR!J202</f>
        <v>10</v>
      </c>
      <c r="Q202" s="44">
        <f>CALCULO_VR!R202</f>
        <v>71.884116111169021</v>
      </c>
    </row>
    <row r="203" spans="1:17" x14ac:dyDescent="0.3">
      <c r="A203" s="34">
        <f>CALCULO_VR!A203</f>
        <v>3466194</v>
      </c>
      <c r="B203" s="34" t="str">
        <f>CALCULO_VR!B203</f>
        <v>MLPA</v>
      </c>
      <c r="C203" t="s">
        <v>1427</v>
      </c>
      <c r="D203" s="46">
        <f>CALCULO_VR!F203</f>
        <v>45450.468263888892</v>
      </c>
      <c r="E203" s="46">
        <f>CALCULO_VR!G203</f>
        <v>45462.468263888892</v>
      </c>
      <c r="F203" s="27">
        <f>CALCULO_VR!I203</f>
        <v>46440.22</v>
      </c>
      <c r="G203" s="34">
        <f>CALCULO_VR!E203</f>
        <v>1</v>
      </c>
      <c r="H203" s="34">
        <f t="shared" si="3"/>
        <v>1</v>
      </c>
      <c r="I203" t="s">
        <v>6587</v>
      </c>
      <c r="J203" s="63">
        <f>CALCULO_VR!J203</f>
        <v>10</v>
      </c>
      <c r="Q203" s="44">
        <f>CALCULO_VR!R203</f>
        <v>41.46035580674279</v>
      </c>
    </row>
    <row r="204" spans="1:17" x14ac:dyDescent="0.3">
      <c r="A204" s="34">
        <f>CALCULO_VR!A204</f>
        <v>3466724</v>
      </c>
      <c r="B204" s="34" t="str">
        <f>CALCULO_VR!B204</f>
        <v>MLPA</v>
      </c>
      <c r="C204" t="s">
        <v>1427</v>
      </c>
      <c r="D204" s="46">
        <f>CALCULO_VR!F204</f>
        <v>45455.660462962966</v>
      </c>
      <c r="E204" s="46">
        <f>CALCULO_VR!G204</f>
        <v>45468.660462962966</v>
      </c>
      <c r="F204" s="27">
        <f>CALCULO_VR!I204</f>
        <v>46440.22</v>
      </c>
      <c r="G204" s="34">
        <f>CALCULO_VR!E204</f>
        <v>1</v>
      </c>
      <c r="H204" s="34">
        <f t="shared" si="3"/>
        <v>1</v>
      </c>
      <c r="I204" t="s">
        <v>6587</v>
      </c>
      <c r="J204" s="63">
        <f>CALCULO_VR!J204</f>
        <v>10</v>
      </c>
      <c r="Q204" s="44">
        <f>CALCULO_VR!R204</f>
        <v>24.607132354691451</v>
      </c>
    </row>
    <row r="205" spans="1:17" x14ac:dyDescent="0.3">
      <c r="A205" s="34">
        <f>CALCULO_VR!A205</f>
        <v>3481963</v>
      </c>
      <c r="B205" s="34" t="str">
        <f>CALCULO_VR!B205</f>
        <v>MLPA</v>
      </c>
      <c r="C205" t="s">
        <v>1427</v>
      </c>
      <c r="D205" s="46">
        <f>CALCULO_VR!F205</f>
        <v>45453.695717592593</v>
      </c>
      <c r="E205" s="46">
        <f>CALCULO_VR!G205</f>
        <v>45468.695717592593</v>
      </c>
      <c r="F205" s="27">
        <f>CALCULO_VR!I205</f>
        <v>46440.22</v>
      </c>
      <c r="G205" s="34">
        <f>CALCULO_VR!E205</f>
        <v>1</v>
      </c>
      <c r="H205" s="34">
        <f t="shared" si="3"/>
        <v>1</v>
      </c>
      <c r="I205" t="s">
        <v>6587</v>
      </c>
      <c r="J205" s="63">
        <f>CALCULO_VR!J205</f>
        <v>10</v>
      </c>
      <c r="Q205" s="44">
        <f>CALCULO_VR!R205</f>
        <v>67.142462899052092</v>
      </c>
    </row>
    <row r="206" spans="1:17" x14ac:dyDescent="0.3">
      <c r="A206" s="34">
        <f>CALCULO_VR!A206</f>
        <v>3466738</v>
      </c>
      <c r="B206" s="34" t="str">
        <f>CALCULO_VR!B206</f>
        <v>MLPA</v>
      </c>
      <c r="C206" t="s">
        <v>1427</v>
      </c>
      <c r="D206" s="46">
        <f>CALCULO_VR!F206</f>
        <v>45453.588391203702</v>
      </c>
      <c r="E206" s="46">
        <f>CALCULO_VR!G206</f>
        <v>45469.588391203702</v>
      </c>
      <c r="F206" s="27">
        <f>CALCULO_VR!I206</f>
        <v>46440.22</v>
      </c>
      <c r="G206" s="34">
        <f>CALCULO_VR!E206</f>
        <v>1</v>
      </c>
      <c r="H206" s="34">
        <f t="shared" si="3"/>
        <v>1</v>
      </c>
      <c r="I206" t="s">
        <v>6587</v>
      </c>
      <c r="J206" s="63">
        <f>CALCULO_VR!J206</f>
        <v>10</v>
      </c>
      <c r="Q206" s="44">
        <f>CALCULO_VR!R206</f>
        <v>45.867678622808825</v>
      </c>
    </row>
    <row r="207" spans="1:17" x14ac:dyDescent="0.3">
      <c r="A207" s="34">
        <f>CALCULO_VR!A207</f>
        <v>3467112</v>
      </c>
      <c r="B207" s="34" t="str">
        <f>CALCULO_VR!B207</f>
        <v>MLPA</v>
      </c>
      <c r="C207" t="s">
        <v>1427</v>
      </c>
      <c r="D207" s="46">
        <f>CALCULO_VR!F207</f>
        <v>45457.608784722222</v>
      </c>
      <c r="E207" s="46">
        <f>CALCULO_VR!G207</f>
        <v>45468.608784722222</v>
      </c>
      <c r="F207" s="27">
        <f>CALCULO_VR!I207</f>
        <v>46440.22</v>
      </c>
      <c r="G207" s="34">
        <f>CALCULO_VR!E207</f>
        <v>1</v>
      </c>
      <c r="H207" s="34">
        <f t="shared" si="3"/>
        <v>1</v>
      </c>
      <c r="I207" t="s">
        <v>6587</v>
      </c>
      <c r="J207" s="63">
        <f>CALCULO_VR!J207</f>
        <v>10</v>
      </c>
      <c r="Q207" s="44">
        <f>CALCULO_VR!R207</f>
        <v>45.978025454746103</v>
      </c>
    </row>
    <row r="208" spans="1:17" x14ac:dyDescent="0.3">
      <c r="A208" s="34">
        <f>CALCULO_VR!A208</f>
        <v>3466767</v>
      </c>
      <c r="B208" s="34" t="str">
        <f>CALCULO_VR!B208</f>
        <v>MLPA</v>
      </c>
      <c r="C208" t="s">
        <v>1427</v>
      </c>
      <c r="D208" s="46">
        <f>CALCULO_VR!F208</f>
        <v>45456.615960648145</v>
      </c>
      <c r="E208" s="46">
        <f>CALCULO_VR!G208</f>
        <v>45468.615960648145</v>
      </c>
      <c r="F208" s="27">
        <f>CALCULO_VR!I208</f>
        <v>46440.22</v>
      </c>
      <c r="G208" s="34">
        <f>CALCULO_VR!E208</f>
        <v>1</v>
      </c>
      <c r="H208" s="34">
        <f t="shared" si="3"/>
        <v>1</v>
      </c>
      <c r="I208" t="s">
        <v>6587</v>
      </c>
      <c r="J208" s="63">
        <f>CALCULO_VR!J208</f>
        <v>10</v>
      </c>
      <c r="Q208" s="44">
        <f>CALCULO_VR!R208</f>
        <v>38.682636325800686</v>
      </c>
    </row>
    <row r="209" spans="1:17" x14ac:dyDescent="0.3">
      <c r="A209" s="34">
        <f>CALCULO_VR!A209</f>
        <v>3464002</v>
      </c>
      <c r="B209" s="34" t="str">
        <f>CALCULO_VR!B209</f>
        <v>MLPA</v>
      </c>
      <c r="C209" t="s">
        <v>1427</v>
      </c>
      <c r="D209" s="46">
        <f>CALCULO_VR!F209</f>
        <v>45455.681168981479</v>
      </c>
      <c r="E209" s="46">
        <f>CALCULO_VR!G209</f>
        <v>45468.681168981479</v>
      </c>
      <c r="F209" s="27">
        <f>CALCULO_VR!I209</f>
        <v>46440.22</v>
      </c>
      <c r="G209" s="34">
        <f>CALCULO_VR!E209</f>
        <v>1</v>
      </c>
      <c r="H209" s="34">
        <f t="shared" si="3"/>
        <v>1</v>
      </c>
      <c r="I209" t="s">
        <v>6587</v>
      </c>
      <c r="J209" s="63">
        <f>CALCULO_VR!J209</f>
        <v>10</v>
      </c>
      <c r="Q209" s="44">
        <f>CALCULO_VR!R209</f>
        <v>38.64074332053211</v>
      </c>
    </row>
    <row r="210" spans="1:17" x14ac:dyDescent="0.3">
      <c r="A210" s="34">
        <f>CALCULO_VR!A210</f>
        <v>3467121</v>
      </c>
      <c r="B210" s="34" t="str">
        <f>CALCULO_VR!B210</f>
        <v>MLPA</v>
      </c>
      <c r="C210" t="s">
        <v>1427</v>
      </c>
      <c r="D210" s="46">
        <f>CALCULO_VR!F210</f>
        <v>45453.583692129629</v>
      </c>
      <c r="E210" s="46">
        <f>CALCULO_VR!G210</f>
        <v>45468.583692129629</v>
      </c>
      <c r="F210" s="27">
        <f>CALCULO_VR!I210</f>
        <v>46440.22</v>
      </c>
      <c r="G210" s="34">
        <f>CALCULO_VR!E210</f>
        <v>1</v>
      </c>
      <c r="H210" s="34">
        <f t="shared" si="3"/>
        <v>1</v>
      </c>
      <c r="I210" t="s">
        <v>6587</v>
      </c>
      <c r="J210" s="63">
        <f>CALCULO_VR!J210</f>
        <v>10</v>
      </c>
      <c r="Q210" s="44">
        <f>CALCULO_VR!R210</f>
        <v>34.835785084218067</v>
      </c>
    </row>
    <row r="211" spans="1:17" x14ac:dyDescent="0.3">
      <c r="A211" s="34">
        <f>CALCULO_VR!A211</f>
        <v>3466859</v>
      </c>
      <c r="B211" s="34" t="str">
        <f>CALCULO_VR!B211</f>
        <v>MLPA</v>
      </c>
      <c r="C211" t="s">
        <v>1427</v>
      </c>
      <c r="D211" s="46">
        <f>CALCULO_VR!F211</f>
        <v>45457.471064814818</v>
      </c>
      <c r="E211" s="46">
        <f>CALCULO_VR!G211</f>
        <v>45468.471064814818</v>
      </c>
      <c r="F211" s="27">
        <f>CALCULO_VR!I211</f>
        <v>46440.22</v>
      </c>
      <c r="G211" s="34">
        <f>CALCULO_VR!E211</f>
        <v>1</v>
      </c>
      <c r="H211" s="34">
        <f t="shared" si="3"/>
        <v>1</v>
      </c>
      <c r="I211" t="s">
        <v>6587</v>
      </c>
      <c r="J211" s="63">
        <f>CALCULO_VR!J211</f>
        <v>10</v>
      </c>
      <c r="Q211" s="44">
        <f>CALCULO_VR!R211</f>
        <v>30.5562062482717</v>
      </c>
    </row>
    <row r="212" spans="1:17" x14ac:dyDescent="0.3">
      <c r="A212" s="34">
        <f>CALCULO_VR!A212</f>
        <v>3466741</v>
      </c>
      <c r="B212" s="34" t="str">
        <f>CALCULO_VR!B212</f>
        <v>MLPA</v>
      </c>
      <c r="C212" t="s">
        <v>1427</v>
      </c>
      <c r="D212" s="46">
        <f>CALCULO_VR!F212</f>
        <v>45456.624965277777</v>
      </c>
      <c r="E212" s="46">
        <f>CALCULO_VR!G212</f>
        <v>45468.624965277777</v>
      </c>
      <c r="F212" s="27">
        <f>CALCULO_VR!I212</f>
        <v>46440.22</v>
      </c>
      <c r="G212" s="34">
        <f>CALCULO_VR!E212</f>
        <v>1</v>
      </c>
      <c r="H212" s="34">
        <f t="shared" si="3"/>
        <v>1</v>
      </c>
      <c r="I212" t="s">
        <v>6587</v>
      </c>
      <c r="J212" s="63">
        <f>CALCULO_VR!J212</f>
        <v>10</v>
      </c>
      <c r="Q212" s="44">
        <f>CALCULO_VR!R212</f>
        <v>32.58909996853923</v>
      </c>
    </row>
    <row r="213" spans="1:17" x14ac:dyDescent="0.3">
      <c r="A213" s="34">
        <f>CALCULO_VR!A213</f>
        <v>3466121</v>
      </c>
      <c r="B213" s="34" t="str">
        <f>CALCULO_VR!B213</f>
        <v>MLPA</v>
      </c>
      <c r="C213" t="s">
        <v>1427</v>
      </c>
      <c r="D213" s="46">
        <f>CALCULO_VR!F213</f>
        <v>45455.589803240742</v>
      </c>
      <c r="E213" s="46">
        <f>CALCULO_VR!G213</f>
        <v>45468.589803240742</v>
      </c>
      <c r="F213" s="27">
        <f>CALCULO_VR!I213</f>
        <v>46440.22</v>
      </c>
      <c r="G213" s="34">
        <f>CALCULO_VR!E213</f>
        <v>1</v>
      </c>
      <c r="H213" s="34">
        <f t="shared" si="3"/>
        <v>1</v>
      </c>
      <c r="I213" t="s">
        <v>6587</v>
      </c>
      <c r="J213" s="63">
        <f>CALCULO_VR!J213</f>
        <v>10</v>
      </c>
      <c r="Q213" s="44">
        <f>CALCULO_VR!R213</f>
        <v>25.30191922226339</v>
      </c>
    </row>
    <row r="214" spans="1:17" x14ac:dyDescent="0.3">
      <c r="A214" s="34">
        <f>CALCULO_VR!A214</f>
        <v>3466967</v>
      </c>
      <c r="B214" s="34" t="str">
        <f>CALCULO_VR!B214</f>
        <v>MLPA</v>
      </c>
      <c r="C214" t="s">
        <v>1427</v>
      </c>
      <c r="D214" s="46">
        <f>CALCULO_VR!F214</f>
        <v>45453.64770833333</v>
      </c>
      <c r="E214" s="46">
        <f>CALCULO_VR!G214</f>
        <v>45468.64770833333</v>
      </c>
      <c r="F214" s="27">
        <f>CALCULO_VR!I214</f>
        <v>46440.22</v>
      </c>
      <c r="G214" s="34">
        <f>CALCULO_VR!E214</f>
        <v>1</v>
      </c>
      <c r="H214" s="34">
        <f t="shared" si="3"/>
        <v>1</v>
      </c>
      <c r="I214" t="s">
        <v>6587</v>
      </c>
      <c r="J214" s="63">
        <f>CALCULO_VR!J214</f>
        <v>10</v>
      </c>
      <c r="Q214" s="44">
        <f>CALCULO_VR!R214</f>
        <v>24.708574241647923</v>
      </c>
    </row>
    <row r="215" spans="1:17" x14ac:dyDescent="0.3">
      <c r="A215" s="34">
        <f>CALCULO_VR!A215</f>
        <v>3466124</v>
      </c>
      <c r="B215" s="34" t="str">
        <f>CALCULO_VR!B215</f>
        <v>MLPA</v>
      </c>
      <c r="C215" t="s">
        <v>1427</v>
      </c>
      <c r="D215" s="46">
        <f>CALCULO_VR!F215</f>
        <v>45447.457129629627</v>
      </c>
      <c r="E215" s="46">
        <f>CALCULO_VR!G215</f>
        <v>45463.457129629627</v>
      </c>
      <c r="F215" s="27">
        <f>CALCULO_VR!I215</f>
        <v>46440.22</v>
      </c>
      <c r="G215" s="34">
        <f>CALCULO_VR!E215</f>
        <v>1</v>
      </c>
      <c r="H215" s="34">
        <f t="shared" si="3"/>
        <v>1</v>
      </c>
      <c r="I215" t="s">
        <v>6587</v>
      </c>
      <c r="J215" s="63">
        <f>CALCULO_VR!J215</f>
        <v>10</v>
      </c>
      <c r="Q215" s="44">
        <f>CALCULO_VR!R215</f>
        <v>53.614282820601133</v>
      </c>
    </row>
    <row r="216" spans="1:17" x14ac:dyDescent="0.3">
      <c r="A216" s="34">
        <f>CALCULO_VR!A216</f>
        <v>3462368</v>
      </c>
      <c r="B216" s="34" t="str">
        <f>CALCULO_VR!B216</f>
        <v>MLPA</v>
      </c>
      <c r="C216" t="s">
        <v>1427</v>
      </c>
      <c r="D216" s="46">
        <f>CALCULO_VR!F216</f>
        <v>45450.640277777777</v>
      </c>
      <c r="E216" s="46">
        <f>CALCULO_VR!G216</f>
        <v>45461.640277777777</v>
      </c>
      <c r="F216" s="27">
        <f>CALCULO_VR!I216</f>
        <v>46440.22</v>
      </c>
      <c r="G216" s="34">
        <f>CALCULO_VR!E216</f>
        <v>1</v>
      </c>
      <c r="H216" s="34">
        <f t="shared" si="3"/>
        <v>1</v>
      </c>
      <c r="I216" t="s">
        <v>6587</v>
      </c>
      <c r="J216" s="63">
        <f>CALCULO_VR!J216</f>
        <v>10</v>
      </c>
      <c r="Q216" s="44">
        <f>CALCULO_VR!R216</f>
        <v>45.157586541460603</v>
      </c>
    </row>
    <row r="217" spans="1:17" x14ac:dyDescent="0.3">
      <c r="A217" s="34">
        <f>CALCULO_VR!A217</f>
        <v>3465691</v>
      </c>
      <c r="B217" s="34" t="str">
        <f>CALCULO_VR!B217</f>
        <v>MLPA</v>
      </c>
      <c r="C217" t="s">
        <v>1427</v>
      </c>
      <c r="D217" s="46">
        <f>CALCULO_VR!F217</f>
        <v>45442.403032407405</v>
      </c>
      <c r="E217" s="46">
        <f>CALCULO_VR!G217</f>
        <v>45454.403032407405</v>
      </c>
      <c r="F217" s="27">
        <f>CALCULO_VR!I217</f>
        <v>46440.22</v>
      </c>
      <c r="G217" s="34">
        <f>CALCULO_VR!E217</f>
        <v>1</v>
      </c>
      <c r="H217" s="34">
        <f t="shared" si="3"/>
        <v>1</v>
      </c>
      <c r="I217" t="s">
        <v>6587</v>
      </c>
      <c r="J217" s="63">
        <f>CALCULO_VR!J217</f>
        <v>10</v>
      </c>
      <c r="Q217" s="44">
        <f>CALCULO_VR!R217</f>
        <v>54.741703377790209</v>
      </c>
    </row>
    <row r="218" spans="1:17" x14ac:dyDescent="0.3">
      <c r="A218" s="34">
        <f>CALCULO_VR!A218</f>
        <v>3464193</v>
      </c>
      <c r="B218" s="34" t="str">
        <f>CALCULO_VR!B218</f>
        <v>MLPA</v>
      </c>
      <c r="C218" t="s">
        <v>1427</v>
      </c>
      <c r="D218" s="46">
        <f>CALCULO_VR!F218</f>
        <v>45440.364722222221</v>
      </c>
      <c r="E218" s="46">
        <f>CALCULO_VR!G218</f>
        <v>45453.364722222221</v>
      </c>
      <c r="F218" s="27">
        <f>CALCULO_VR!I218</f>
        <v>46440.22</v>
      </c>
      <c r="G218" s="34">
        <f>CALCULO_VR!E218</f>
        <v>1</v>
      </c>
      <c r="H218" s="34">
        <f t="shared" si="3"/>
        <v>1</v>
      </c>
      <c r="I218" t="s">
        <v>6587</v>
      </c>
      <c r="J218" s="63">
        <f>CALCULO_VR!J218</f>
        <v>10</v>
      </c>
      <c r="Q218" s="44">
        <f>CALCULO_VR!R218</f>
        <v>29.231120477632277</v>
      </c>
    </row>
    <row r="219" spans="1:17" x14ac:dyDescent="0.3">
      <c r="A219" s="34">
        <f>CALCULO_VR!A219</f>
        <v>3468085</v>
      </c>
      <c r="B219" s="34" t="str">
        <f>CALCULO_VR!B219</f>
        <v>MLPA</v>
      </c>
      <c r="C219" t="s">
        <v>1011</v>
      </c>
      <c r="D219" s="46">
        <f>CALCULO_VR!F219</f>
        <v>45452.683900462966</v>
      </c>
      <c r="E219" s="46">
        <f>CALCULO_VR!G219</f>
        <v>45467.683900462966</v>
      </c>
      <c r="F219" s="27">
        <f>CALCULO_VR!I219</f>
        <v>79888.47</v>
      </c>
      <c r="G219" s="34">
        <f>CALCULO_VR!E219</f>
        <v>1</v>
      </c>
      <c r="H219" s="34">
        <f t="shared" si="3"/>
        <v>1</v>
      </c>
      <c r="I219" t="s">
        <v>6587</v>
      </c>
      <c r="J219" s="63">
        <f>CALCULO_VR!J219</f>
        <v>15</v>
      </c>
      <c r="Q219" s="44">
        <f>CALCULO_VR!R219</f>
        <v>17.656982282348647</v>
      </c>
    </row>
    <row r="220" spans="1:17" x14ac:dyDescent="0.3">
      <c r="A220" s="34">
        <f>CALCULO_VR!A220</f>
        <v>3467993</v>
      </c>
      <c r="B220" s="34" t="str">
        <f>CALCULO_VR!B220</f>
        <v>MLPA</v>
      </c>
      <c r="C220" t="s">
        <v>1011</v>
      </c>
      <c r="D220" s="46">
        <f>CALCULO_VR!F220</f>
        <v>45456.703206018516</v>
      </c>
      <c r="E220" s="46">
        <f>CALCULO_VR!G220</f>
        <v>45467.703206018516</v>
      </c>
      <c r="F220" s="27">
        <f>CALCULO_VR!I220</f>
        <v>79888.47</v>
      </c>
      <c r="G220" s="34">
        <f>CALCULO_VR!E220</f>
        <v>1</v>
      </c>
      <c r="H220" s="34">
        <f t="shared" si="3"/>
        <v>1</v>
      </c>
      <c r="I220" t="s">
        <v>6587</v>
      </c>
      <c r="J220" s="63">
        <f>CALCULO_VR!J220</f>
        <v>15</v>
      </c>
      <c r="Q220" s="44">
        <f>CALCULO_VR!R220</f>
        <v>57.36346906232037</v>
      </c>
    </row>
    <row r="221" spans="1:17" x14ac:dyDescent="0.3">
      <c r="A221" s="34">
        <f>CALCULO_VR!A221</f>
        <v>3468607</v>
      </c>
      <c r="B221" s="34" t="str">
        <f>CALCULO_VR!B221</f>
        <v>MLPA</v>
      </c>
      <c r="C221" t="s">
        <v>1452</v>
      </c>
      <c r="D221" s="46">
        <f>CALCULO_VR!F221</f>
        <v>45455.722719907404</v>
      </c>
      <c r="E221" s="46">
        <f>CALCULO_VR!G221</f>
        <v>45467.722719907404</v>
      </c>
      <c r="F221" s="27">
        <f>CALCULO_VR!I221</f>
        <v>79888.47</v>
      </c>
      <c r="G221" s="34">
        <f>CALCULO_VR!E221</f>
        <v>1</v>
      </c>
      <c r="H221" s="34">
        <f t="shared" si="3"/>
        <v>1</v>
      </c>
      <c r="I221" t="s">
        <v>6587</v>
      </c>
      <c r="J221" s="63">
        <f>CALCULO_VR!J221</f>
        <v>14</v>
      </c>
      <c r="Q221" s="44">
        <f>CALCULO_VR!R221</f>
        <v>12.990552749292497</v>
      </c>
    </row>
    <row r="222" spans="1:17" x14ac:dyDescent="0.3">
      <c r="A222" s="34">
        <f>CALCULO_VR!A222</f>
        <v>3467394</v>
      </c>
      <c r="B222" s="34" t="str">
        <f>CALCULO_VR!B222</f>
        <v>MLPA</v>
      </c>
      <c r="C222" t="s">
        <v>923</v>
      </c>
      <c r="D222" s="46">
        <f>CALCULO_VR!F222</f>
        <v>45441.705555555556</v>
      </c>
      <c r="E222" s="46">
        <f>CALCULO_VR!G222</f>
        <v>45454.705555555556</v>
      </c>
      <c r="F222" s="27">
        <f>CALCULO_VR!I222</f>
        <v>79888.47</v>
      </c>
      <c r="G222" s="34">
        <f>CALCULO_VR!E222</f>
        <v>1</v>
      </c>
      <c r="H222" s="34">
        <f t="shared" si="3"/>
        <v>1</v>
      </c>
      <c r="I222" t="s">
        <v>6587</v>
      </c>
      <c r="J222" s="63">
        <f>CALCULO_VR!J222</f>
        <v>6</v>
      </c>
      <c r="Q222" s="44">
        <f>CALCULO_VR!R222</f>
        <v>468.26705173524442</v>
      </c>
    </row>
    <row r="223" spans="1:17" x14ac:dyDescent="0.3">
      <c r="A223" s="34">
        <f>CALCULO_VR!A223</f>
        <v>3466549</v>
      </c>
      <c r="B223" s="34" t="str">
        <f>CALCULO_VR!B223</f>
        <v>MLPA</v>
      </c>
      <c r="C223" t="s">
        <v>1427</v>
      </c>
      <c r="D223" s="46">
        <f>CALCULO_VR!F223</f>
        <v>45454.627118055556</v>
      </c>
      <c r="E223" s="46">
        <f>CALCULO_VR!G223</f>
        <v>45469.627118055556</v>
      </c>
      <c r="F223" s="27">
        <f>CALCULO_VR!I223</f>
        <v>46440.22</v>
      </c>
      <c r="G223" s="34">
        <f>CALCULO_VR!E223</f>
        <v>1</v>
      </c>
      <c r="H223" s="34">
        <f t="shared" si="3"/>
        <v>1</v>
      </c>
      <c r="I223" t="s">
        <v>6587</v>
      </c>
      <c r="J223" s="63">
        <f>CALCULO_VR!J223</f>
        <v>10</v>
      </c>
      <c r="Q223" s="44">
        <f>CALCULO_VR!R223</f>
        <v>57.821501789390801</v>
      </c>
    </row>
    <row r="224" spans="1:17" x14ac:dyDescent="0.3">
      <c r="A224" s="34">
        <f>CALCULO_VR!A224</f>
        <v>3467610</v>
      </c>
      <c r="B224" s="34" t="str">
        <f>CALCULO_VR!B224</f>
        <v>MLPA</v>
      </c>
      <c r="C224" t="s">
        <v>925</v>
      </c>
      <c r="D224" s="46">
        <f>CALCULO_VR!F224</f>
        <v>45461.443437499998</v>
      </c>
      <c r="E224" s="46">
        <f>CALCULO_VR!G224</f>
        <v>45477.443437499998</v>
      </c>
      <c r="F224" s="27">
        <f>CALCULO_VR!I224</f>
        <v>46440.22</v>
      </c>
      <c r="G224" s="34">
        <f>CALCULO_VR!E224</f>
        <v>1</v>
      </c>
      <c r="H224" s="34">
        <f t="shared" si="3"/>
        <v>1</v>
      </c>
      <c r="I224" t="s">
        <v>6587</v>
      </c>
      <c r="J224" s="63">
        <f>CALCULO_VR!J224</f>
        <v>8</v>
      </c>
      <c r="Q224" s="44">
        <f>CALCULO_VR!R224</f>
        <v>137.85846247224984</v>
      </c>
    </row>
    <row r="225" spans="1:17" x14ac:dyDescent="0.3">
      <c r="A225" s="34">
        <f>CALCULO_VR!A225</f>
        <v>3467218</v>
      </c>
      <c r="B225" s="34" t="str">
        <f>CALCULO_VR!B225</f>
        <v>MLPA</v>
      </c>
      <c r="C225" t="s">
        <v>1427</v>
      </c>
      <c r="D225" s="46">
        <f>CALCULO_VR!F225</f>
        <v>45458.471006944441</v>
      </c>
      <c r="E225" s="46">
        <f>CALCULO_VR!G225</f>
        <v>45469.471006944441</v>
      </c>
      <c r="F225" s="27">
        <f>CALCULO_VR!I225</f>
        <v>46440.22</v>
      </c>
      <c r="G225" s="34">
        <f>CALCULO_VR!E225</f>
        <v>1</v>
      </c>
      <c r="H225" s="34">
        <f t="shared" si="3"/>
        <v>1</v>
      </c>
      <c r="I225" t="s">
        <v>6587</v>
      </c>
      <c r="J225" s="63">
        <f>CALCULO_VR!J225</f>
        <v>10</v>
      </c>
      <c r="Q225" s="44">
        <f>CALCULO_VR!R225</f>
        <v>42.492051142601824</v>
      </c>
    </row>
    <row r="226" spans="1:17" x14ac:dyDescent="0.3">
      <c r="A226" s="34">
        <f>CALCULO_VR!A226</f>
        <v>3467219</v>
      </c>
      <c r="B226" s="34" t="str">
        <f>CALCULO_VR!B226</f>
        <v>MLPA</v>
      </c>
      <c r="C226" t="s">
        <v>1427</v>
      </c>
      <c r="D226" s="46">
        <f>CALCULO_VR!F226</f>
        <v>45457.706006944441</v>
      </c>
      <c r="E226" s="46">
        <f>CALCULO_VR!G226</f>
        <v>45469.706006944441</v>
      </c>
      <c r="F226" s="27">
        <f>CALCULO_VR!I226</f>
        <v>46440.22</v>
      </c>
      <c r="G226" s="34">
        <f>CALCULO_VR!E226</f>
        <v>1</v>
      </c>
      <c r="H226" s="34">
        <f t="shared" si="3"/>
        <v>1</v>
      </c>
      <c r="I226" t="s">
        <v>6587</v>
      </c>
      <c r="J226" s="63">
        <f>CALCULO_VR!J226</f>
        <v>10</v>
      </c>
      <c r="Q226" s="44">
        <f>CALCULO_VR!R226</f>
        <v>54.345522243795038</v>
      </c>
    </row>
    <row r="227" spans="1:17" x14ac:dyDescent="0.3">
      <c r="A227" s="34">
        <f>CALCULO_VR!A227</f>
        <v>3466734</v>
      </c>
      <c r="B227" s="34" t="str">
        <f>CALCULO_VR!B227</f>
        <v>MLPA</v>
      </c>
      <c r="C227" t="s">
        <v>1427</v>
      </c>
      <c r="D227" s="46">
        <f>CALCULO_VR!F227</f>
        <v>45456.621018518519</v>
      </c>
      <c r="E227" s="46">
        <f>CALCULO_VR!G227</f>
        <v>45469.621018518519</v>
      </c>
      <c r="F227" s="27">
        <f>CALCULO_VR!I227</f>
        <v>46440.22</v>
      </c>
      <c r="G227" s="34">
        <f>CALCULO_VR!E227</f>
        <v>1</v>
      </c>
      <c r="H227" s="34">
        <f t="shared" si="3"/>
        <v>1</v>
      </c>
      <c r="I227" t="s">
        <v>6587</v>
      </c>
      <c r="J227" s="63">
        <f>CALCULO_VR!J227</f>
        <v>10</v>
      </c>
      <c r="Q227" s="44">
        <f>CALCULO_VR!R227</f>
        <v>59.823340899376696</v>
      </c>
    </row>
    <row r="228" spans="1:17" x14ac:dyDescent="0.3">
      <c r="A228" s="34">
        <f>CALCULO_VR!A228</f>
        <v>3466167</v>
      </c>
      <c r="B228" s="34" t="str">
        <f>CALCULO_VR!B228</f>
        <v>MLPA</v>
      </c>
      <c r="C228" t="s">
        <v>1427</v>
      </c>
      <c r="D228" s="46">
        <f>CALCULO_VR!F228</f>
        <v>45454.591006944444</v>
      </c>
      <c r="E228" s="46">
        <f>CALCULO_VR!G228</f>
        <v>45469.591006944444</v>
      </c>
      <c r="F228" s="27">
        <f>CALCULO_VR!I228</f>
        <v>46440.22</v>
      </c>
      <c r="G228" s="34">
        <f>CALCULO_VR!E228</f>
        <v>1</v>
      </c>
      <c r="H228" s="34">
        <f t="shared" si="3"/>
        <v>1</v>
      </c>
      <c r="I228" t="s">
        <v>6587</v>
      </c>
      <c r="J228" s="63">
        <f>CALCULO_VR!J228</f>
        <v>10</v>
      </c>
      <c r="Q228" s="44">
        <f>CALCULO_VR!R228</f>
        <v>38.5571085400681</v>
      </c>
    </row>
    <row r="229" spans="1:17" x14ac:dyDescent="0.3">
      <c r="A229" s="34">
        <f>CALCULO_VR!A229</f>
        <v>3464005</v>
      </c>
      <c r="B229" s="34" t="str">
        <f>CALCULO_VR!B229</f>
        <v>MLPA</v>
      </c>
      <c r="C229" t="s">
        <v>1427</v>
      </c>
      <c r="D229" s="46">
        <f>CALCULO_VR!F229</f>
        <v>45458.713530092595</v>
      </c>
      <c r="E229" s="46">
        <f>CALCULO_VR!G229</f>
        <v>45469.713530092595</v>
      </c>
      <c r="F229" s="27">
        <f>CALCULO_VR!I229</f>
        <v>46440.22</v>
      </c>
      <c r="G229" s="34">
        <f>CALCULO_VR!E229</f>
        <v>1</v>
      </c>
      <c r="H229" s="34">
        <f t="shared" si="3"/>
        <v>1</v>
      </c>
      <c r="I229" t="s">
        <v>6587</v>
      </c>
      <c r="J229" s="63">
        <f>CALCULO_VR!J229</f>
        <v>10</v>
      </c>
      <c r="Q229" s="44">
        <f>CALCULO_VR!R229</f>
        <v>54.781729826078305</v>
      </c>
    </row>
    <row r="230" spans="1:17" x14ac:dyDescent="0.3">
      <c r="A230" s="34">
        <f>CALCULO_VR!A230</f>
        <v>3464092</v>
      </c>
      <c r="B230" s="34" t="str">
        <f>CALCULO_VR!B230</f>
        <v>MLPA</v>
      </c>
      <c r="C230" t="s">
        <v>1427</v>
      </c>
      <c r="D230" s="46">
        <f>CALCULO_VR!F230</f>
        <v>45435.448020833333</v>
      </c>
      <c r="E230" s="46">
        <f>CALCULO_VR!G230</f>
        <v>45447.448020833333</v>
      </c>
      <c r="F230" s="27">
        <f>CALCULO_VR!I230</f>
        <v>46440.22</v>
      </c>
      <c r="G230" s="34">
        <f>CALCULO_VR!E230</f>
        <v>1</v>
      </c>
      <c r="H230" s="34">
        <f t="shared" si="3"/>
        <v>1</v>
      </c>
      <c r="I230" t="s">
        <v>6587</v>
      </c>
      <c r="J230" s="63">
        <f>CALCULO_VR!J230</f>
        <v>10</v>
      </c>
      <c r="Q230" s="44">
        <f>CALCULO_VR!R230</f>
        <v>49.26190780996847</v>
      </c>
    </row>
    <row r="231" spans="1:17" x14ac:dyDescent="0.3">
      <c r="A231" s="34">
        <f>CALCULO_VR!A231</f>
        <v>3466722</v>
      </c>
      <c r="B231" s="34" t="str">
        <f>CALCULO_VR!B231</f>
        <v>MLPA</v>
      </c>
      <c r="C231" t="s">
        <v>1427</v>
      </c>
      <c r="D231" s="46">
        <f>CALCULO_VR!F231</f>
        <v>45456.650173611109</v>
      </c>
      <c r="E231" s="46">
        <f>CALCULO_VR!G231</f>
        <v>45469.650173611109</v>
      </c>
      <c r="F231" s="27">
        <f>CALCULO_VR!I231</f>
        <v>46440.22</v>
      </c>
      <c r="G231" s="34">
        <f>CALCULO_VR!E231</f>
        <v>1</v>
      </c>
      <c r="H231" s="34">
        <f t="shared" si="3"/>
        <v>1</v>
      </c>
      <c r="I231" t="s">
        <v>6587</v>
      </c>
      <c r="J231" s="63">
        <f>CALCULO_VR!J231</f>
        <v>10</v>
      </c>
      <c r="Q231" s="44">
        <f>CALCULO_VR!R231</f>
        <v>60.832531105960001</v>
      </c>
    </row>
    <row r="232" spans="1:17" x14ac:dyDescent="0.3">
      <c r="A232" s="34">
        <f>CALCULO_VR!A232</f>
        <v>3466777</v>
      </c>
      <c r="B232" s="34" t="str">
        <f>CALCULO_VR!B232</f>
        <v>MLPA</v>
      </c>
      <c r="C232" t="s">
        <v>1427</v>
      </c>
      <c r="D232" s="46">
        <f>CALCULO_VR!F232</f>
        <v>45454.63003472222</v>
      </c>
      <c r="E232" s="46">
        <f>CALCULO_VR!G232</f>
        <v>45469.63003472222</v>
      </c>
      <c r="F232" s="27">
        <f>CALCULO_VR!I232</f>
        <v>46440.22</v>
      </c>
      <c r="G232" s="34">
        <f>CALCULO_VR!E232</f>
        <v>1</v>
      </c>
      <c r="H232" s="34">
        <f t="shared" si="3"/>
        <v>1</v>
      </c>
      <c r="I232" t="s">
        <v>6587</v>
      </c>
      <c r="J232" s="63">
        <f>CALCULO_VR!J232</f>
        <v>10</v>
      </c>
      <c r="Q232" s="44">
        <f>CALCULO_VR!R232</f>
        <v>25.348215927730095</v>
      </c>
    </row>
    <row r="233" spans="1:17" x14ac:dyDescent="0.3">
      <c r="A233" s="34">
        <f>CALCULO_VR!A233</f>
        <v>3466966</v>
      </c>
      <c r="B233" s="34" t="str">
        <f>CALCULO_VR!B233</f>
        <v>MLPA</v>
      </c>
      <c r="C233" t="s">
        <v>1427</v>
      </c>
      <c r="D233" s="46">
        <f>CALCULO_VR!F233</f>
        <v>45453.636666666665</v>
      </c>
      <c r="E233" s="46">
        <f>CALCULO_VR!G233</f>
        <v>45469.636666666665</v>
      </c>
      <c r="F233" s="27">
        <f>CALCULO_VR!I233</f>
        <v>46440.22</v>
      </c>
      <c r="G233" s="34">
        <f>CALCULO_VR!E233</f>
        <v>1</v>
      </c>
      <c r="H233" s="34">
        <f t="shared" si="3"/>
        <v>1</v>
      </c>
      <c r="I233" t="s">
        <v>6587</v>
      </c>
      <c r="J233" s="63">
        <f>CALCULO_VR!J233</f>
        <v>10</v>
      </c>
      <c r="Q233" s="44">
        <f>CALCULO_VR!R233</f>
        <v>52.475074285476325</v>
      </c>
    </row>
    <row r="234" spans="1:17" x14ac:dyDescent="0.3">
      <c r="A234" s="34">
        <f>CALCULO_VR!A234</f>
        <v>3464004</v>
      </c>
      <c r="B234" s="34" t="str">
        <f>CALCULO_VR!B234</f>
        <v>MLPA</v>
      </c>
      <c r="C234" t="s">
        <v>1427</v>
      </c>
      <c r="D234" s="46">
        <f>CALCULO_VR!F234</f>
        <v>45458.717881944445</v>
      </c>
      <c r="E234" s="46">
        <f>CALCULO_VR!G234</f>
        <v>45469.717881944445</v>
      </c>
      <c r="F234" s="27">
        <f>CALCULO_VR!I234</f>
        <v>46440.22</v>
      </c>
      <c r="G234" s="34">
        <f>CALCULO_VR!E234</f>
        <v>1</v>
      </c>
      <c r="H234" s="34">
        <f t="shared" si="3"/>
        <v>1</v>
      </c>
      <c r="I234" t="s">
        <v>6587</v>
      </c>
      <c r="J234" s="63">
        <f>CALCULO_VR!J234</f>
        <v>10</v>
      </c>
      <c r="Q234" s="44">
        <f>CALCULO_VR!R234</f>
        <v>52.429204246879713</v>
      </c>
    </row>
    <row r="235" spans="1:17" x14ac:dyDescent="0.3">
      <c r="A235" s="34">
        <f>CALCULO_VR!A235</f>
        <v>3467182</v>
      </c>
      <c r="B235" s="34" t="str">
        <f>CALCULO_VR!B235</f>
        <v>MLPA</v>
      </c>
      <c r="C235" t="s">
        <v>1427</v>
      </c>
      <c r="D235" s="46">
        <f>CALCULO_VR!F235</f>
        <v>45457.620162037034</v>
      </c>
      <c r="E235" s="46">
        <f>CALCULO_VR!G235</f>
        <v>45469.620162037034</v>
      </c>
      <c r="F235" s="27">
        <f>CALCULO_VR!I235</f>
        <v>46440.22</v>
      </c>
      <c r="G235" s="34">
        <f>CALCULO_VR!E235</f>
        <v>1</v>
      </c>
      <c r="H235" s="34">
        <f t="shared" si="3"/>
        <v>1</v>
      </c>
      <c r="I235" t="s">
        <v>6587</v>
      </c>
      <c r="J235" s="63">
        <f>CALCULO_VR!J235</f>
        <v>10</v>
      </c>
      <c r="Q235" s="44">
        <f>CALCULO_VR!R235</f>
        <v>50.586674824928764</v>
      </c>
    </row>
    <row r="236" spans="1:17" x14ac:dyDescent="0.3">
      <c r="A236" s="34">
        <f>CALCULO_VR!A236</f>
        <v>3466735</v>
      </c>
      <c r="B236" s="34" t="str">
        <f>CALCULO_VR!B236</f>
        <v>MLPA</v>
      </c>
      <c r="C236" t="s">
        <v>932</v>
      </c>
      <c r="D236" s="46">
        <f>CALCULO_VR!F236</f>
        <v>45456.603310185186</v>
      </c>
      <c r="E236" s="46">
        <f>CALCULO_VR!G236</f>
        <v>45469.603310185186</v>
      </c>
      <c r="F236" s="27">
        <f>CALCULO_VR!I236</f>
        <v>46440.22</v>
      </c>
      <c r="G236" s="34">
        <f>CALCULO_VR!E236</f>
        <v>1</v>
      </c>
      <c r="H236" s="34">
        <f t="shared" si="3"/>
        <v>1</v>
      </c>
      <c r="I236" t="s">
        <v>6587</v>
      </c>
      <c r="J236" s="63">
        <f>CALCULO_VR!J236</f>
        <v>11</v>
      </c>
      <c r="Q236" s="44">
        <f>CALCULO_VR!R236</f>
        <v>33.715179932199327</v>
      </c>
    </row>
    <row r="237" spans="1:17" x14ac:dyDescent="0.3">
      <c r="A237" s="34">
        <f>CALCULO_VR!A237</f>
        <v>3466498</v>
      </c>
      <c r="B237" s="34" t="str">
        <f>CALCULO_VR!B237</f>
        <v>MLPA</v>
      </c>
      <c r="C237" t="s">
        <v>932</v>
      </c>
      <c r="D237" s="46">
        <f>CALCULO_VR!F237</f>
        <v>45454.611087962963</v>
      </c>
      <c r="E237" s="46">
        <f>CALCULO_VR!G237</f>
        <v>45469.611087962963</v>
      </c>
      <c r="F237" s="27">
        <f>CALCULO_VR!I237</f>
        <v>46440.22</v>
      </c>
      <c r="G237" s="34">
        <f>CALCULO_VR!E237</f>
        <v>1</v>
      </c>
      <c r="H237" s="34">
        <f t="shared" si="3"/>
        <v>1</v>
      </c>
      <c r="I237" t="s">
        <v>6587</v>
      </c>
      <c r="J237" s="63">
        <f>CALCULO_VR!J237</f>
        <v>11</v>
      </c>
      <c r="Q237" s="44">
        <f>CALCULO_VR!R237</f>
        <v>22.506115237265778</v>
      </c>
    </row>
    <row r="238" spans="1:17" x14ac:dyDescent="0.3">
      <c r="A238" s="34">
        <f>CALCULO_VR!A238</f>
        <v>3464270</v>
      </c>
      <c r="B238" s="34" t="str">
        <f>CALCULO_VR!B238</f>
        <v>MLPA</v>
      </c>
      <c r="C238" t="s">
        <v>932</v>
      </c>
      <c r="D238" s="46">
        <f>CALCULO_VR!F238</f>
        <v>45458.636053240742</v>
      </c>
      <c r="E238" s="46">
        <f>CALCULO_VR!G238</f>
        <v>45469.636053240742</v>
      </c>
      <c r="F238" s="27">
        <f>CALCULO_VR!I238</f>
        <v>46440.22</v>
      </c>
      <c r="G238" s="34">
        <f>CALCULO_VR!E238</f>
        <v>1</v>
      </c>
      <c r="H238" s="34">
        <f t="shared" si="3"/>
        <v>1</v>
      </c>
      <c r="I238" t="s">
        <v>6587</v>
      </c>
      <c r="J238" s="63">
        <f>CALCULO_VR!J238</f>
        <v>11</v>
      </c>
      <c r="Q238" s="44">
        <f>CALCULO_VR!R238</f>
        <v>30.54143946077178</v>
      </c>
    </row>
    <row r="239" spans="1:17" x14ac:dyDescent="0.3">
      <c r="A239" s="34">
        <f>CALCULO_VR!A239</f>
        <v>3459762</v>
      </c>
      <c r="B239" s="34" t="str">
        <f>CALCULO_VR!B239</f>
        <v>MLPA</v>
      </c>
      <c r="C239" t="s">
        <v>935</v>
      </c>
      <c r="D239" s="46">
        <f>CALCULO_VR!F239</f>
        <v>45388.388206018521</v>
      </c>
      <c r="E239" s="46">
        <f>CALCULO_VR!G239</f>
        <v>45400.388206018521</v>
      </c>
      <c r="F239" s="27">
        <f>CALCULO_VR!I239</f>
        <v>46440.22</v>
      </c>
      <c r="G239" s="34">
        <f>CALCULO_VR!E239</f>
        <v>1</v>
      </c>
      <c r="H239" s="34">
        <f t="shared" si="3"/>
        <v>1</v>
      </c>
      <c r="I239" t="s">
        <v>6587</v>
      </c>
      <c r="J239" s="63">
        <f>CALCULO_VR!J239</f>
        <v>2</v>
      </c>
      <c r="Q239" s="44">
        <f>CALCULO_VR!R239</f>
        <v>23.315199418314673</v>
      </c>
    </row>
    <row r="240" spans="1:17" x14ac:dyDescent="0.3">
      <c r="A240" s="34">
        <f>CALCULO_VR!A240</f>
        <v>3467245</v>
      </c>
      <c r="B240" s="34" t="str">
        <f>CALCULO_VR!B240</f>
        <v>MLPA</v>
      </c>
      <c r="C240" t="s">
        <v>937</v>
      </c>
      <c r="D240" s="46">
        <f>CALCULO_VR!F240</f>
        <v>45456.675312500003</v>
      </c>
      <c r="E240" s="46">
        <f>CALCULO_VR!G240</f>
        <v>45469.675312500003</v>
      </c>
      <c r="F240" s="27">
        <f>CALCULO_VR!I240</f>
        <v>46440.22</v>
      </c>
      <c r="G240" s="34">
        <f>CALCULO_VR!E240</f>
        <v>1</v>
      </c>
      <c r="H240" s="34">
        <f t="shared" si="3"/>
        <v>1</v>
      </c>
      <c r="I240" t="s">
        <v>6587</v>
      </c>
      <c r="J240" s="63">
        <f>CALCULO_VR!J240</f>
        <v>7</v>
      </c>
      <c r="Q240" s="44">
        <f>CALCULO_VR!R240</f>
        <v>68.48998033870275</v>
      </c>
    </row>
    <row r="241" spans="1:17" x14ac:dyDescent="0.3">
      <c r="A241" s="34">
        <f>CALCULO_VR!A241</f>
        <v>3466726</v>
      </c>
      <c r="B241" s="34" t="str">
        <f>CALCULO_VR!B241</f>
        <v>MLPA</v>
      </c>
      <c r="C241" t="s">
        <v>939</v>
      </c>
      <c r="D241" s="46">
        <f>CALCULO_VR!F241</f>
        <v>45460.615104166667</v>
      </c>
      <c r="E241" s="46">
        <f>CALCULO_VR!G241</f>
        <v>45475.615104166667</v>
      </c>
      <c r="F241" s="27">
        <f>CALCULO_VR!I241</f>
        <v>46440.22</v>
      </c>
      <c r="G241" s="34">
        <f>CALCULO_VR!E241</f>
        <v>1</v>
      </c>
      <c r="H241" s="34">
        <f t="shared" si="3"/>
        <v>1</v>
      </c>
      <c r="I241" t="s">
        <v>6587</v>
      </c>
      <c r="J241" s="63">
        <f>CALCULO_VR!J241</f>
        <v>12</v>
      </c>
      <c r="Q241" s="44">
        <f>CALCULO_VR!R241</f>
        <v>22.657708096240317</v>
      </c>
    </row>
    <row r="242" spans="1:17" x14ac:dyDescent="0.3">
      <c r="A242" s="34">
        <f>CALCULO_VR!A242</f>
        <v>3466660</v>
      </c>
      <c r="B242" s="34" t="str">
        <f>CALCULO_VR!B242</f>
        <v>MLPA</v>
      </c>
      <c r="C242" t="s">
        <v>939</v>
      </c>
      <c r="D242" s="46">
        <f>CALCULO_VR!F242</f>
        <v>45459.663310185184</v>
      </c>
      <c r="E242" s="46">
        <f>CALCULO_VR!G242</f>
        <v>45475.663310185184</v>
      </c>
      <c r="F242" s="27">
        <f>CALCULO_VR!I242</f>
        <v>46440.22</v>
      </c>
      <c r="G242" s="34">
        <f>CALCULO_VR!E242</f>
        <v>1</v>
      </c>
      <c r="H242" s="34">
        <f t="shared" si="3"/>
        <v>1</v>
      </c>
      <c r="I242" t="s">
        <v>6587</v>
      </c>
      <c r="J242" s="63">
        <f>CALCULO_VR!J242</f>
        <v>12</v>
      </c>
      <c r="Q242" s="44">
        <f>CALCULO_VR!R242</f>
        <v>50.286957580761516</v>
      </c>
    </row>
    <row r="243" spans="1:17" x14ac:dyDescent="0.3">
      <c r="A243" s="34">
        <f>CALCULO_VR!A243</f>
        <v>3466551</v>
      </c>
      <c r="B243" s="34" t="str">
        <f>CALCULO_VR!B243</f>
        <v>MLPA</v>
      </c>
      <c r="C243" t="s">
        <v>935</v>
      </c>
      <c r="D243" s="46">
        <f>CALCULO_VR!F243</f>
        <v>45465.351736111108</v>
      </c>
      <c r="E243" s="46">
        <f>CALCULO_VR!G243</f>
        <v>45476.351736111108</v>
      </c>
      <c r="F243" s="27">
        <f>CALCULO_VR!I243</f>
        <v>46440.22</v>
      </c>
      <c r="G243" s="34">
        <f>CALCULO_VR!E243</f>
        <v>1</v>
      </c>
      <c r="H243" s="34">
        <f t="shared" si="3"/>
        <v>1</v>
      </c>
      <c r="I243" t="s">
        <v>6587</v>
      </c>
      <c r="J243" s="63">
        <f>CALCULO_VR!J243</f>
        <v>2</v>
      </c>
      <c r="Q243" s="44">
        <f>CALCULO_VR!R243</f>
        <v>23.578296468591549</v>
      </c>
    </row>
    <row r="244" spans="1:17" x14ac:dyDescent="0.3">
      <c r="A244" s="34">
        <f>CALCULO_VR!A244</f>
        <v>3466172</v>
      </c>
      <c r="B244" s="34" t="str">
        <f>CALCULO_VR!B244</f>
        <v>MLPA</v>
      </c>
      <c r="C244" t="s">
        <v>942</v>
      </c>
      <c r="D244" s="46">
        <f>CALCULO_VR!F244</f>
        <v>45465.392627314817</v>
      </c>
      <c r="E244" s="46">
        <f>CALCULO_VR!G244</f>
        <v>45477.392627314817</v>
      </c>
      <c r="F244" s="27">
        <f>CALCULO_VR!I244</f>
        <v>46440.22</v>
      </c>
      <c r="G244" s="34">
        <f>CALCULO_VR!E244</f>
        <v>1</v>
      </c>
      <c r="H244" s="34">
        <f t="shared" si="3"/>
        <v>1</v>
      </c>
      <c r="I244" t="s">
        <v>6587</v>
      </c>
      <c r="J244" s="63">
        <f>CALCULO_VR!J244</f>
        <v>1</v>
      </c>
      <c r="Q244" s="44">
        <f>CALCULO_VR!R244</f>
        <v>27.773782110537617</v>
      </c>
    </row>
    <row r="245" spans="1:17" x14ac:dyDescent="0.3">
      <c r="A245" s="34">
        <f>CALCULO_VR!A245</f>
        <v>3466171</v>
      </c>
      <c r="B245" s="34" t="str">
        <f>CALCULO_VR!B245</f>
        <v>MLPA</v>
      </c>
      <c r="C245" t="s">
        <v>942</v>
      </c>
      <c r="D245" s="46">
        <f>CALCULO_VR!F245</f>
        <v>45464.40084490741</v>
      </c>
      <c r="E245" s="46">
        <f>CALCULO_VR!G245</f>
        <v>45477.40084490741</v>
      </c>
      <c r="F245" s="27">
        <f>CALCULO_VR!I245</f>
        <v>46440.22</v>
      </c>
      <c r="G245" s="34">
        <f>CALCULO_VR!E245</f>
        <v>1</v>
      </c>
      <c r="H245" s="34">
        <f t="shared" si="3"/>
        <v>1</v>
      </c>
      <c r="I245" t="s">
        <v>6587</v>
      </c>
      <c r="J245" s="63">
        <f>CALCULO_VR!J245</f>
        <v>1</v>
      </c>
      <c r="Q245" s="44">
        <f>CALCULO_VR!R245</f>
        <v>30.164214864533978</v>
      </c>
    </row>
    <row r="246" spans="1:17" x14ac:dyDescent="0.3">
      <c r="A246" s="34">
        <f>CALCULO_VR!A246</f>
        <v>3467056</v>
      </c>
      <c r="B246" s="34" t="str">
        <f>CALCULO_VR!B246</f>
        <v>MLPA</v>
      </c>
      <c r="C246" t="s">
        <v>942</v>
      </c>
      <c r="D246" s="46">
        <f>CALCULO_VR!F246</f>
        <v>45454.662557870368</v>
      </c>
      <c r="E246" s="46">
        <f>CALCULO_VR!G246</f>
        <v>45469.662557870368</v>
      </c>
      <c r="F246" s="27">
        <f>CALCULO_VR!I246</f>
        <v>46440.22</v>
      </c>
      <c r="G246" s="34">
        <f>CALCULO_VR!E246</f>
        <v>1</v>
      </c>
      <c r="H246" s="34">
        <f t="shared" si="3"/>
        <v>1</v>
      </c>
      <c r="I246" t="s">
        <v>6587</v>
      </c>
      <c r="J246" s="63">
        <f>CALCULO_VR!J246</f>
        <v>1</v>
      </c>
      <c r="Q246" s="44">
        <f>CALCULO_VR!R246</f>
        <v>28.795521938240263</v>
      </c>
    </row>
    <row r="247" spans="1:17" x14ac:dyDescent="0.3">
      <c r="A247" s="34">
        <f>CALCULO_VR!A247</f>
        <v>3466848</v>
      </c>
      <c r="B247" s="34" t="str">
        <f>CALCULO_VR!B247</f>
        <v>MLPA</v>
      </c>
      <c r="C247" t="s">
        <v>1427</v>
      </c>
      <c r="D247" s="46">
        <f>CALCULO_VR!F247</f>
        <v>45458.611990740741</v>
      </c>
      <c r="E247" s="46">
        <f>CALCULO_VR!G247</f>
        <v>45469.611990740741</v>
      </c>
      <c r="F247" s="27">
        <f>CALCULO_VR!I247</f>
        <v>46440.22</v>
      </c>
      <c r="G247" s="34">
        <f>CALCULO_VR!E247</f>
        <v>1</v>
      </c>
      <c r="H247" s="34">
        <f t="shared" si="3"/>
        <v>1</v>
      </c>
      <c r="I247" t="s">
        <v>6587</v>
      </c>
      <c r="J247" s="63">
        <f>CALCULO_VR!J247</f>
        <v>10</v>
      </c>
      <c r="Q247" s="44">
        <f>CALCULO_VR!R247</f>
        <v>28.529775021515555</v>
      </c>
    </row>
    <row r="248" spans="1:17" x14ac:dyDescent="0.3">
      <c r="A248" s="34">
        <f>CALCULO_VR!A248</f>
        <v>3467108</v>
      </c>
      <c r="B248" s="34" t="str">
        <f>CALCULO_VR!B248</f>
        <v>MLPA</v>
      </c>
      <c r="C248" t="s">
        <v>925</v>
      </c>
      <c r="D248" s="46">
        <f>CALCULO_VR!F248</f>
        <v>45462.45753472222</v>
      </c>
      <c r="E248" s="46">
        <f>CALCULO_VR!G248</f>
        <v>45474.45753472222</v>
      </c>
      <c r="F248" s="27">
        <f>CALCULO_VR!I248</f>
        <v>46440.22</v>
      </c>
      <c r="G248" s="34">
        <f>CALCULO_VR!E248</f>
        <v>1</v>
      </c>
      <c r="H248" s="34">
        <f t="shared" si="3"/>
        <v>1</v>
      </c>
      <c r="I248" t="s">
        <v>6587</v>
      </c>
      <c r="J248" s="63">
        <f>CALCULO_VR!J248</f>
        <v>8</v>
      </c>
      <c r="Q248" s="44">
        <f>CALCULO_VR!R248</f>
        <v>53.302411411426007</v>
      </c>
    </row>
    <row r="249" spans="1:17" x14ac:dyDescent="0.3">
      <c r="A249" s="34">
        <f>CALCULO_VR!A249</f>
        <v>3466707</v>
      </c>
      <c r="B249" s="34" t="str">
        <f>CALCULO_VR!B249</f>
        <v>MLPA</v>
      </c>
      <c r="C249" t="s">
        <v>925</v>
      </c>
      <c r="D249" s="46">
        <f>CALCULO_VR!F249</f>
        <v>45461.439814814818</v>
      </c>
      <c r="E249" s="46">
        <f>CALCULO_VR!G249</f>
        <v>45474.439814814818</v>
      </c>
      <c r="F249" s="27">
        <f>CALCULO_VR!I249</f>
        <v>46440.22</v>
      </c>
      <c r="G249" s="34">
        <f>CALCULO_VR!E249</f>
        <v>1</v>
      </c>
      <c r="H249" s="34">
        <f t="shared" si="3"/>
        <v>1</v>
      </c>
      <c r="I249" t="s">
        <v>6587</v>
      </c>
      <c r="J249" s="63">
        <f>CALCULO_VR!J249</f>
        <v>8</v>
      </c>
      <c r="Q249" s="44">
        <f>CALCULO_VR!R249</f>
        <v>52.247568149206572</v>
      </c>
    </row>
    <row r="250" spans="1:17" x14ac:dyDescent="0.3">
      <c r="A250" s="34">
        <f>CALCULO_VR!A250</f>
        <v>3467082</v>
      </c>
      <c r="B250" s="34" t="str">
        <f>CALCULO_VR!B250</f>
        <v>MLPA</v>
      </c>
      <c r="C250" t="s">
        <v>925</v>
      </c>
      <c r="D250" s="46">
        <f>CALCULO_VR!F250</f>
        <v>45455.606782407405</v>
      </c>
      <c r="E250" s="46">
        <f>CALCULO_VR!G250</f>
        <v>45470.606782407405</v>
      </c>
      <c r="F250" s="27">
        <f>CALCULO_VR!I250</f>
        <v>46440.22</v>
      </c>
      <c r="G250" s="34">
        <f>CALCULO_VR!E250</f>
        <v>1</v>
      </c>
      <c r="H250" s="34">
        <f t="shared" si="3"/>
        <v>1</v>
      </c>
      <c r="I250" t="s">
        <v>6587</v>
      </c>
      <c r="J250" s="63">
        <f>CALCULO_VR!J250</f>
        <v>8</v>
      </c>
      <c r="Q250" s="44">
        <f>CALCULO_VR!R250</f>
        <v>30.248004305162301</v>
      </c>
    </row>
    <row r="251" spans="1:17" x14ac:dyDescent="0.3">
      <c r="A251" s="34">
        <f>CALCULO_VR!A251</f>
        <v>3466423</v>
      </c>
      <c r="B251" s="34" t="str">
        <f>CALCULO_VR!B251</f>
        <v>MLPA</v>
      </c>
      <c r="C251" t="s">
        <v>925</v>
      </c>
      <c r="D251" s="46">
        <f>CALCULO_VR!F251</f>
        <v>45460.692210648151</v>
      </c>
      <c r="E251" s="46">
        <f>CALCULO_VR!G251</f>
        <v>45476.692210648151</v>
      </c>
      <c r="F251" s="27">
        <f>CALCULO_VR!I251</f>
        <v>46440.22</v>
      </c>
      <c r="G251" s="34">
        <f>CALCULO_VR!E251</f>
        <v>1</v>
      </c>
      <c r="H251" s="34">
        <f t="shared" si="3"/>
        <v>1</v>
      </c>
      <c r="I251" t="s">
        <v>6587</v>
      </c>
      <c r="J251" s="63">
        <f>CALCULO_VR!J251</f>
        <v>8</v>
      </c>
      <c r="Q251" s="44">
        <f>CALCULO_VR!R251</f>
        <v>57.317355405516459</v>
      </c>
    </row>
    <row r="252" spans="1:17" x14ac:dyDescent="0.3">
      <c r="A252" s="34">
        <f>CALCULO_VR!A252</f>
        <v>3465683</v>
      </c>
      <c r="B252" s="34" t="str">
        <f>CALCULO_VR!B252</f>
        <v>MLPA</v>
      </c>
      <c r="C252" t="s">
        <v>925</v>
      </c>
      <c r="D252" s="46">
        <f>CALCULO_VR!F252</f>
        <v>45466.648888888885</v>
      </c>
      <c r="E252" s="46">
        <f>CALCULO_VR!G252</f>
        <v>45477.648888888885</v>
      </c>
      <c r="F252" s="27">
        <f>CALCULO_VR!I252</f>
        <v>46440.22</v>
      </c>
      <c r="G252" s="34">
        <f>CALCULO_VR!E252</f>
        <v>1</v>
      </c>
      <c r="H252" s="34">
        <f t="shared" si="3"/>
        <v>1</v>
      </c>
      <c r="I252" t="s">
        <v>6587</v>
      </c>
      <c r="J252" s="63">
        <f>CALCULO_VR!J252</f>
        <v>8</v>
      </c>
      <c r="Q252" s="44">
        <f>CALCULO_VR!R252</f>
        <v>53.336114666150152</v>
      </c>
    </row>
    <row r="253" spans="1:17" x14ac:dyDescent="0.3">
      <c r="A253" s="34">
        <f>CALCULO_VR!A253</f>
        <v>3465679</v>
      </c>
      <c r="B253" s="34" t="str">
        <f>CALCULO_VR!B253</f>
        <v>MLPA</v>
      </c>
      <c r="C253" t="s">
        <v>925</v>
      </c>
      <c r="D253" s="46">
        <f>CALCULO_VR!F253</f>
        <v>45465.660081018519</v>
      </c>
      <c r="E253" s="46">
        <f>CALCULO_VR!G253</f>
        <v>45477.660081018519</v>
      </c>
      <c r="F253" s="27">
        <f>CALCULO_VR!I253</f>
        <v>46440.22</v>
      </c>
      <c r="G253" s="34">
        <f>CALCULO_VR!E253</f>
        <v>1</v>
      </c>
      <c r="H253" s="34">
        <f t="shared" si="3"/>
        <v>1</v>
      </c>
      <c r="I253" t="s">
        <v>6587</v>
      </c>
      <c r="J253" s="63">
        <f>CALCULO_VR!J253</f>
        <v>8</v>
      </c>
      <c r="Q253" s="44">
        <f>CALCULO_VR!R253</f>
        <v>53.723202607273855</v>
      </c>
    </row>
    <row r="254" spans="1:17" x14ac:dyDescent="0.3">
      <c r="A254" s="34">
        <f>CALCULO_VR!A254</f>
        <v>3465675</v>
      </c>
      <c r="B254" s="34" t="str">
        <f>CALCULO_VR!B254</f>
        <v>MLPA</v>
      </c>
      <c r="C254" t="s">
        <v>925</v>
      </c>
      <c r="D254" s="46">
        <f>CALCULO_VR!F254</f>
        <v>45464.677719907406</v>
      </c>
      <c r="E254" s="46">
        <f>CALCULO_VR!G254</f>
        <v>45477.677719907406</v>
      </c>
      <c r="F254" s="27">
        <f>CALCULO_VR!I254</f>
        <v>46440.22</v>
      </c>
      <c r="G254" s="34">
        <f>CALCULO_VR!E254</f>
        <v>1</v>
      </c>
      <c r="H254" s="34">
        <f t="shared" si="3"/>
        <v>1</v>
      </c>
      <c r="I254" t="s">
        <v>6587</v>
      </c>
      <c r="J254" s="63">
        <f>CALCULO_VR!J254</f>
        <v>8</v>
      </c>
      <c r="Q254" s="44">
        <f>CALCULO_VR!R254</f>
        <v>53.693891862124175</v>
      </c>
    </row>
    <row r="255" spans="1:17" x14ac:dyDescent="0.3">
      <c r="A255" s="34">
        <f>CALCULO_VR!A255</f>
        <v>3467075</v>
      </c>
      <c r="B255" s="34" t="str">
        <f>CALCULO_VR!B255</f>
        <v>MLPA</v>
      </c>
      <c r="C255" t="s">
        <v>925</v>
      </c>
      <c r="D255" s="46">
        <f>CALCULO_VR!F255</f>
        <v>45461.684745370374</v>
      </c>
      <c r="E255" s="46">
        <f>CALCULO_VR!G255</f>
        <v>45476.684745370374</v>
      </c>
      <c r="F255" s="27">
        <f>CALCULO_VR!I255</f>
        <v>46440.22</v>
      </c>
      <c r="G255" s="34">
        <f>CALCULO_VR!E255</f>
        <v>1</v>
      </c>
      <c r="H255" s="34">
        <f t="shared" si="3"/>
        <v>1</v>
      </c>
      <c r="I255" t="s">
        <v>6587</v>
      </c>
      <c r="J255" s="63">
        <f>CALCULO_VR!J255</f>
        <v>8</v>
      </c>
      <c r="Q255" s="44">
        <f>CALCULO_VR!R255</f>
        <v>55.77653952622039</v>
      </c>
    </row>
    <row r="256" spans="1:17" x14ac:dyDescent="0.3">
      <c r="A256" s="34">
        <f>CALCULO_VR!A256</f>
        <v>3466173</v>
      </c>
      <c r="B256" s="34" t="str">
        <f>CALCULO_VR!B256</f>
        <v>MLPA</v>
      </c>
      <c r="C256" t="s">
        <v>925</v>
      </c>
      <c r="D256" s="46">
        <f>CALCULO_VR!F256</f>
        <v>45466.384189814817</v>
      </c>
      <c r="E256" s="46">
        <f>CALCULO_VR!G256</f>
        <v>45477.384189814817</v>
      </c>
      <c r="F256" s="27">
        <f>CALCULO_VR!I256</f>
        <v>46440.22</v>
      </c>
      <c r="G256" s="34">
        <f>CALCULO_VR!E256</f>
        <v>1</v>
      </c>
      <c r="H256" s="34">
        <f t="shared" si="3"/>
        <v>1</v>
      </c>
      <c r="I256" t="s">
        <v>6587</v>
      </c>
      <c r="J256" s="63">
        <f>CALCULO_VR!J256</f>
        <v>8</v>
      </c>
      <c r="Q256" s="44">
        <f>CALCULO_VR!R256</f>
        <v>57.364902480322641</v>
      </c>
    </row>
    <row r="257" spans="1:17" x14ac:dyDescent="0.3">
      <c r="A257" s="34">
        <f>CALCULO_VR!A257</f>
        <v>3465670</v>
      </c>
      <c r="B257" s="34" t="str">
        <f>CALCULO_VR!B257</f>
        <v>MLPA</v>
      </c>
      <c r="C257" t="s">
        <v>925</v>
      </c>
      <c r="D257" s="46">
        <f>CALCULO_VR!F257</f>
        <v>45465.694351851853</v>
      </c>
      <c r="E257" s="46">
        <f>CALCULO_VR!G257</f>
        <v>45477.694351851853</v>
      </c>
      <c r="F257" s="27">
        <f>CALCULO_VR!I257</f>
        <v>46440.22</v>
      </c>
      <c r="G257" s="34">
        <f>CALCULO_VR!E257</f>
        <v>1</v>
      </c>
      <c r="H257" s="34">
        <f t="shared" si="3"/>
        <v>1</v>
      </c>
      <c r="I257" t="s">
        <v>6587</v>
      </c>
      <c r="J257" s="63">
        <f>CALCULO_VR!J257</f>
        <v>8</v>
      </c>
      <c r="Q257" s="44">
        <f>CALCULO_VR!R257</f>
        <v>20.846826785321873</v>
      </c>
    </row>
    <row r="258" spans="1:17" x14ac:dyDescent="0.3">
      <c r="A258" s="34">
        <f>CALCULO_VR!A258</f>
        <v>3466113</v>
      </c>
      <c r="B258" s="34" t="str">
        <f>CALCULO_VR!B258</f>
        <v>MLPA</v>
      </c>
      <c r="C258" t="s">
        <v>925</v>
      </c>
      <c r="D258" s="46">
        <f>CALCULO_VR!F258</f>
        <v>45463.670370370368</v>
      </c>
      <c r="E258" s="46">
        <f>CALCULO_VR!G258</f>
        <v>45476.670370370368</v>
      </c>
      <c r="F258" s="27">
        <f>CALCULO_VR!I258</f>
        <v>46440.22</v>
      </c>
      <c r="G258" s="34">
        <f>CALCULO_VR!E258</f>
        <v>1</v>
      </c>
      <c r="H258" s="34">
        <f t="shared" si="3"/>
        <v>1</v>
      </c>
      <c r="I258" t="s">
        <v>6587</v>
      </c>
      <c r="J258" s="63">
        <f>CALCULO_VR!J258</f>
        <v>8</v>
      </c>
      <c r="Q258" s="44">
        <f>CALCULO_VR!R258</f>
        <v>39.914237222181399</v>
      </c>
    </row>
    <row r="259" spans="1:17" x14ac:dyDescent="0.3">
      <c r="A259" s="34">
        <f>CALCULO_VR!A259</f>
        <v>3465695</v>
      </c>
      <c r="B259" s="34" t="str">
        <f>CALCULO_VR!B259</f>
        <v>MLPA</v>
      </c>
      <c r="C259" t="s">
        <v>925</v>
      </c>
      <c r="D259" s="46">
        <f>CALCULO_VR!F259</f>
        <v>45448.438298611109</v>
      </c>
      <c r="E259" s="46">
        <f>CALCULO_VR!G259</f>
        <v>45463.438298611109</v>
      </c>
      <c r="F259" s="27">
        <f>CALCULO_VR!I259</f>
        <v>46440.22</v>
      </c>
      <c r="G259" s="34">
        <f>CALCULO_VR!E259</f>
        <v>1</v>
      </c>
      <c r="H259" s="34">
        <f t="shared" si="3"/>
        <v>1</v>
      </c>
      <c r="I259" t="s">
        <v>6587</v>
      </c>
      <c r="J259" s="63">
        <f>CALCULO_VR!J259</f>
        <v>8</v>
      </c>
      <c r="Q259" s="44">
        <f>CALCULO_VR!R259</f>
        <v>41.151903682772129</v>
      </c>
    </row>
    <row r="260" spans="1:17" x14ac:dyDescent="0.3">
      <c r="A260" s="34">
        <f>CALCULO_VR!A260</f>
        <v>3467078</v>
      </c>
      <c r="B260" s="34" t="str">
        <f>CALCULO_VR!B260</f>
        <v>MLPA</v>
      </c>
      <c r="C260" t="s">
        <v>925</v>
      </c>
      <c r="D260" s="46">
        <f>CALCULO_VR!F260</f>
        <v>45458.44935185185</v>
      </c>
      <c r="E260" s="46">
        <f>CALCULO_VR!G260</f>
        <v>45474.44935185185</v>
      </c>
      <c r="F260" s="27">
        <f>CALCULO_VR!I260</f>
        <v>46440.22</v>
      </c>
      <c r="G260" s="34">
        <f>CALCULO_VR!E260</f>
        <v>1</v>
      </c>
      <c r="H260" s="34">
        <f t="shared" si="3"/>
        <v>1</v>
      </c>
      <c r="I260" t="s">
        <v>6587</v>
      </c>
      <c r="J260" s="63">
        <f>CALCULO_VR!J260</f>
        <v>8</v>
      </c>
      <c r="Q260" s="44">
        <f>CALCULO_VR!R260</f>
        <v>52.420909030051853</v>
      </c>
    </row>
    <row r="261" spans="1:17" x14ac:dyDescent="0.3">
      <c r="A261" s="34">
        <f>CALCULO_VR!A261</f>
        <v>3466775</v>
      </c>
      <c r="B261" s="34" t="str">
        <f>CALCULO_VR!B261</f>
        <v>MLPA</v>
      </c>
      <c r="C261" t="s">
        <v>925</v>
      </c>
      <c r="D261" s="46">
        <f>CALCULO_VR!F261</f>
        <v>45459.678148148145</v>
      </c>
      <c r="E261" s="46">
        <f>CALCULO_VR!G261</f>
        <v>45470.678148148145</v>
      </c>
      <c r="F261" s="27">
        <f>CALCULO_VR!I261</f>
        <v>46440.22</v>
      </c>
      <c r="G261" s="34">
        <f>CALCULO_VR!E261</f>
        <v>1</v>
      </c>
      <c r="H261" s="34">
        <f t="shared" ref="H261:H324" si="4">G261</f>
        <v>1</v>
      </c>
      <c r="I261" t="s">
        <v>6587</v>
      </c>
      <c r="J261" s="63">
        <f>CALCULO_VR!J261</f>
        <v>8</v>
      </c>
      <c r="Q261" s="44">
        <f>CALCULO_VR!R261</f>
        <v>36.735808633893235</v>
      </c>
    </row>
    <row r="262" spans="1:17" x14ac:dyDescent="0.3">
      <c r="A262" s="34">
        <f>CALCULO_VR!A262</f>
        <v>3467173</v>
      </c>
      <c r="B262" s="34" t="str">
        <f>CALCULO_VR!B262</f>
        <v>MLPA</v>
      </c>
      <c r="C262" t="s">
        <v>925</v>
      </c>
      <c r="D262" s="46">
        <f>CALCULO_VR!F262</f>
        <v>45462.419907407406</v>
      </c>
      <c r="E262" s="46">
        <f>CALCULO_VR!G262</f>
        <v>45474.419907407406</v>
      </c>
      <c r="F262" s="27">
        <f>CALCULO_VR!I262</f>
        <v>46440.22</v>
      </c>
      <c r="G262" s="34">
        <f>CALCULO_VR!E262</f>
        <v>1</v>
      </c>
      <c r="H262" s="34">
        <f t="shared" si="4"/>
        <v>1</v>
      </c>
      <c r="I262" t="s">
        <v>6587</v>
      </c>
      <c r="J262" s="63">
        <f>CALCULO_VR!J262</f>
        <v>8</v>
      </c>
      <c r="Q262" s="44">
        <f>CALCULO_VR!R262</f>
        <v>50.408600245141628</v>
      </c>
    </row>
    <row r="263" spans="1:17" x14ac:dyDescent="0.3">
      <c r="A263" s="34">
        <f>CALCULO_VR!A263</f>
        <v>3466704</v>
      </c>
      <c r="B263" s="34" t="str">
        <f>CALCULO_VR!B263</f>
        <v>MLPA</v>
      </c>
      <c r="C263" t="s">
        <v>925</v>
      </c>
      <c r="D263" s="46">
        <f>CALCULO_VR!F263</f>
        <v>45463.659907407404</v>
      </c>
      <c r="E263" s="46">
        <f>CALCULO_VR!G263</f>
        <v>45476.659907407404</v>
      </c>
      <c r="F263" s="27">
        <f>CALCULO_VR!I263</f>
        <v>46440.22</v>
      </c>
      <c r="G263" s="34">
        <f>CALCULO_VR!E263</f>
        <v>1</v>
      </c>
      <c r="H263" s="34">
        <f t="shared" si="4"/>
        <v>1</v>
      </c>
      <c r="I263" t="s">
        <v>6587</v>
      </c>
      <c r="J263" s="63">
        <f>CALCULO_VR!J263</f>
        <v>8</v>
      </c>
      <c r="Q263" s="44">
        <f>CALCULO_VR!R263</f>
        <v>23.776555898649008</v>
      </c>
    </row>
    <row r="264" spans="1:17" x14ac:dyDescent="0.3">
      <c r="A264" s="34">
        <f>CALCULO_VR!A264</f>
        <v>3467248</v>
      </c>
      <c r="B264" s="34" t="str">
        <f>CALCULO_VR!B264</f>
        <v>MLPA</v>
      </c>
      <c r="C264" t="s">
        <v>925</v>
      </c>
      <c r="D264" s="46">
        <f>CALCULO_VR!F264</f>
        <v>45462.430173611108</v>
      </c>
      <c r="E264" s="46">
        <f>CALCULO_VR!G264</f>
        <v>45477.430173611108</v>
      </c>
      <c r="F264" s="27">
        <f>CALCULO_VR!I264</f>
        <v>46440.22</v>
      </c>
      <c r="G264" s="34">
        <f>CALCULO_VR!E264</f>
        <v>1</v>
      </c>
      <c r="H264" s="34">
        <f t="shared" si="4"/>
        <v>1</v>
      </c>
      <c r="I264" t="s">
        <v>6587</v>
      </c>
      <c r="J264" s="63">
        <f>CALCULO_VR!J264</f>
        <v>8</v>
      </c>
      <c r="Q264" s="44">
        <f>CALCULO_VR!R264</f>
        <v>23.593846706925831</v>
      </c>
    </row>
    <row r="265" spans="1:17" x14ac:dyDescent="0.3">
      <c r="A265" s="34">
        <f>CALCULO_VR!A265</f>
        <v>3467064</v>
      </c>
      <c r="B265" s="34" t="str">
        <f>CALCULO_VR!B265</f>
        <v>MLPA</v>
      </c>
      <c r="C265" t="s">
        <v>925</v>
      </c>
      <c r="D265" s="46">
        <f>CALCULO_VR!F265</f>
        <v>45465.677303240744</v>
      </c>
      <c r="E265" s="46">
        <f>CALCULO_VR!G265</f>
        <v>45476.677303240744</v>
      </c>
      <c r="F265" s="27">
        <f>CALCULO_VR!I265</f>
        <v>46440.22</v>
      </c>
      <c r="G265" s="34">
        <f>CALCULO_VR!E265</f>
        <v>1</v>
      </c>
      <c r="H265" s="34">
        <f t="shared" si="4"/>
        <v>1</v>
      </c>
      <c r="I265" t="s">
        <v>6587</v>
      </c>
      <c r="J265" s="63">
        <f>CALCULO_VR!J265</f>
        <v>8</v>
      </c>
      <c r="Q265" s="44">
        <f>CALCULO_VR!R265</f>
        <v>30.952531827873777</v>
      </c>
    </row>
    <row r="266" spans="1:17" x14ac:dyDescent="0.3">
      <c r="A266" s="34">
        <f>CALCULO_VR!A266</f>
        <v>3467223</v>
      </c>
      <c r="B266" s="34" t="str">
        <f>CALCULO_VR!B266</f>
        <v>MLPA</v>
      </c>
      <c r="C266" t="s">
        <v>925</v>
      </c>
      <c r="D266" s="46">
        <f>CALCULO_VR!F266</f>
        <v>45463.658854166664</v>
      </c>
      <c r="E266" s="46">
        <f>CALCULO_VR!G266</f>
        <v>45475.658854166664</v>
      </c>
      <c r="F266" s="27">
        <f>CALCULO_VR!I266</f>
        <v>46440.22</v>
      </c>
      <c r="G266" s="34">
        <f>CALCULO_VR!E266</f>
        <v>1</v>
      </c>
      <c r="H266" s="34">
        <f t="shared" si="4"/>
        <v>1</v>
      </c>
      <c r="I266" t="s">
        <v>6587</v>
      </c>
      <c r="J266" s="63">
        <f>CALCULO_VR!J266</f>
        <v>8</v>
      </c>
      <c r="Q266" s="44">
        <f>CALCULO_VR!R266</f>
        <v>45.917779741244154</v>
      </c>
    </row>
    <row r="267" spans="1:17" x14ac:dyDescent="0.3">
      <c r="A267" s="34">
        <f>CALCULO_VR!A267</f>
        <v>3465684</v>
      </c>
      <c r="B267" s="34" t="str">
        <f>CALCULO_VR!B267</f>
        <v>MLPA</v>
      </c>
      <c r="C267" t="s">
        <v>925</v>
      </c>
      <c r="D267" s="46">
        <f>CALCULO_VR!F267</f>
        <v>45464.631886574076</v>
      </c>
      <c r="E267" s="46">
        <f>CALCULO_VR!G267</f>
        <v>45477.631886574076</v>
      </c>
      <c r="F267" s="27">
        <f>CALCULO_VR!I267</f>
        <v>46440.22</v>
      </c>
      <c r="G267" s="34">
        <f>CALCULO_VR!E267</f>
        <v>1</v>
      </c>
      <c r="H267" s="34">
        <f t="shared" si="4"/>
        <v>1</v>
      </c>
      <c r="I267" t="s">
        <v>6587</v>
      </c>
      <c r="J267" s="63">
        <f>CALCULO_VR!J267</f>
        <v>8</v>
      </c>
      <c r="Q267" s="44">
        <f>CALCULO_VR!R267</f>
        <v>45.965270327356869</v>
      </c>
    </row>
    <row r="268" spans="1:17" x14ac:dyDescent="0.3">
      <c r="A268" s="34">
        <f>CALCULO_VR!A268</f>
        <v>3466000</v>
      </c>
      <c r="B268" s="34" t="str">
        <f>CALCULO_VR!B268</f>
        <v>MLPA</v>
      </c>
      <c r="C268" t="s">
        <v>925</v>
      </c>
      <c r="D268" s="46">
        <f>CALCULO_VR!F268</f>
        <v>45455.697106481479</v>
      </c>
      <c r="E268" s="46">
        <f>CALCULO_VR!G268</f>
        <v>45470.697106481479</v>
      </c>
      <c r="F268" s="27">
        <f>CALCULO_VR!I268</f>
        <v>46440.22</v>
      </c>
      <c r="G268" s="34">
        <f>CALCULO_VR!E268</f>
        <v>1</v>
      </c>
      <c r="H268" s="34">
        <f t="shared" si="4"/>
        <v>1</v>
      </c>
      <c r="I268" t="s">
        <v>6587</v>
      </c>
      <c r="J268" s="63">
        <f>CALCULO_VR!J268</f>
        <v>8</v>
      </c>
      <c r="Q268" s="44">
        <f>CALCULO_VR!R268</f>
        <v>46.064592574904978</v>
      </c>
    </row>
    <row r="269" spans="1:17" x14ac:dyDescent="0.3">
      <c r="A269" s="34">
        <f>CALCULO_VR!A269</f>
        <v>3466729</v>
      </c>
      <c r="B269" s="34" t="str">
        <f>CALCULO_VR!B269</f>
        <v>MLPA</v>
      </c>
      <c r="C269" t="s">
        <v>925</v>
      </c>
      <c r="D269" s="46">
        <f>CALCULO_VR!F269</f>
        <v>45455.61791666667</v>
      </c>
      <c r="E269" s="46">
        <f>CALCULO_VR!G269</f>
        <v>45471.61791666667</v>
      </c>
      <c r="F269" s="27">
        <f>CALCULO_VR!I269</f>
        <v>46440.22</v>
      </c>
      <c r="G269" s="34">
        <f>CALCULO_VR!E269</f>
        <v>1</v>
      </c>
      <c r="H269" s="34">
        <f t="shared" si="4"/>
        <v>1</v>
      </c>
      <c r="I269" t="s">
        <v>6587</v>
      </c>
      <c r="J269" s="63">
        <f>CALCULO_VR!J269</f>
        <v>8</v>
      </c>
      <c r="Q269" s="44">
        <f>CALCULO_VR!R269</f>
        <v>46.475175216230703</v>
      </c>
    </row>
    <row r="270" spans="1:17" x14ac:dyDescent="0.3">
      <c r="A270" s="34">
        <f>CALCULO_VR!A270</f>
        <v>3466959</v>
      </c>
      <c r="B270" s="34" t="str">
        <f>CALCULO_VR!B270</f>
        <v>MLPA</v>
      </c>
      <c r="C270" t="s">
        <v>925</v>
      </c>
      <c r="D270" s="46">
        <f>CALCULO_VR!F270</f>
        <v>45459.693020833336</v>
      </c>
      <c r="E270" s="46">
        <f>CALCULO_VR!G270</f>
        <v>45470.693020833336</v>
      </c>
      <c r="F270" s="27">
        <f>CALCULO_VR!I270</f>
        <v>46440.22</v>
      </c>
      <c r="G270" s="34">
        <f>CALCULO_VR!E270</f>
        <v>1</v>
      </c>
      <c r="H270" s="34">
        <f t="shared" si="4"/>
        <v>1</v>
      </c>
      <c r="I270" t="s">
        <v>6587</v>
      </c>
      <c r="J270" s="63">
        <f>CALCULO_VR!J270</f>
        <v>8</v>
      </c>
      <c r="Q270" s="44">
        <f>CALCULO_VR!R270</f>
        <v>45.850181529827282</v>
      </c>
    </row>
    <row r="271" spans="1:17" x14ac:dyDescent="0.3">
      <c r="A271" s="34">
        <f>CALCULO_VR!A271</f>
        <v>3466962</v>
      </c>
      <c r="B271" s="34" t="str">
        <f>CALCULO_VR!B271</f>
        <v>MLPA</v>
      </c>
      <c r="C271" t="s">
        <v>925</v>
      </c>
      <c r="D271" s="46">
        <f>CALCULO_VR!F271</f>
        <v>45458.616400462961</v>
      </c>
      <c r="E271" s="46">
        <f>CALCULO_VR!G271</f>
        <v>45470.616400462961</v>
      </c>
      <c r="F271" s="27">
        <f>CALCULO_VR!I271</f>
        <v>46440.22</v>
      </c>
      <c r="G271" s="34">
        <f>CALCULO_VR!E271</f>
        <v>1</v>
      </c>
      <c r="H271" s="34">
        <f t="shared" si="4"/>
        <v>1</v>
      </c>
      <c r="I271" t="s">
        <v>6587</v>
      </c>
      <c r="J271" s="63">
        <f>CALCULO_VR!J271</f>
        <v>8</v>
      </c>
      <c r="Q271" s="44">
        <f>CALCULO_VR!R271</f>
        <v>31.12399360143057</v>
      </c>
    </row>
    <row r="272" spans="1:17" x14ac:dyDescent="0.3">
      <c r="A272" s="34">
        <f>CALCULO_VR!A272</f>
        <v>3466720</v>
      </c>
      <c r="B272" s="34" t="str">
        <f>CALCULO_VR!B272</f>
        <v>MLPA</v>
      </c>
      <c r="C272" t="s">
        <v>925</v>
      </c>
      <c r="D272" s="46">
        <f>CALCULO_VR!F272</f>
        <v>45457.626516203702</v>
      </c>
      <c r="E272" s="46">
        <f>CALCULO_VR!G272</f>
        <v>45470.626516203702</v>
      </c>
      <c r="F272" s="27">
        <f>CALCULO_VR!I272</f>
        <v>46440.22</v>
      </c>
      <c r="G272" s="34">
        <f>CALCULO_VR!E272</f>
        <v>1</v>
      </c>
      <c r="H272" s="34">
        <f t="shared" si="4"/>
        <v>1</v>
      </c>
      <c r="I272" t="s">
        <v>6587</v>
      </c>
      <c r="J272" s="63">
        <f>CALCULO_VR!J272</f>
        <v>8</v>
      </c>
      <c r="Q272" s="44">
        <f>CALCULO_VR!R272</f>
        <v>31.579398964453624</v>
      </c>
    </row>
    <row r="273" spans="1:17" x14ac:dyDescent="0.3">
      <c r="A273" s="34">
        <f>CALCULO_VR!A273</f>
        <v>3466731</v>
      </c>
      <c r="B273" s="34" t="str">
        <f>CALCULO_VR!B273</f>
        <v>MLPA</v>
      </c>
      <c r="C273" t="s">
        <v>925</v>
      </c>
      <c r="D273" s="46">
        <f>CALCULO_VR!F273</f>
        <v>45455.688831018517</v>
      </c>
      <c r="E273" s="46">
        <f>CALCULO_VR!G273</f>
        <v>45470.688831018517</v>
      </c>
      <c r="F273" s="27">
        <f>CALCULO_VR!I273</f>
        <v>46440.22</v>
      </c>
      <c r="G273" s="34">
        <f>CALCULO_VR!E273</f>
        <v>1</v>
      </c>
      <c r="H273" s="34">
        <f t="shared" si="4"/>
        <v>1</v>
      </c>
      <c r="I273" t="s">
        <v>6587</v>
      </c>
      <c r="J273" s="63">
        <f>CALCULO_VR!J273</f>
        <v>8</v>
      </c>
      <c r="Q273" s="44">
        <f>CALCULO_VR!R273</f>
        <v>32.664792210413459</v>
      </c>
    </row>
    <row r="274" spans="1:17" x14ac:dyDescent="0.3">
      <c r="A274" s="34">
        <f>CALCULO_VR!A274</f>
        <v>3466844</v>
      </c>
      <c r="B274" s="34" t="str">
        <f>CALCULO_VR!B274</f>
        <v>MLPA</v>
      </c>
      <c r="C274" t="s">
        <v>925</v>
      </c>
      <c r="D274" s="46">
        <f>CALCULO_VR!F274</f>
        <v>45459.652407407404</v>
      </c>
      <c r="E274" s="46">
        <f>CALCULO_VR!G274</f>
        <v>45470.652407407404</v>
      </c>
      <c r="F274" s="27">
        <f>CALCULO_VR!I274</f>
        <v>46440.22</v>
      </c>
      <c r="G274" s="34">
        <f>CALCULO_VR!E274</f>
        <v>1</v>
      </c>
      <c r="H274" s="34">
        <f t="shared" si="4"/>
        <v>1</v>
      </c>
      <c r="I274" t="s">
        <v>6587</v>
      </c>
      <c r="J274" s="63">
        <f>CALCULO_VR!J274</f>
        <v>8</v>
      </c>
      <c r="Q274" s="44">
        <f>CALCULO_VR!R274</f>
        <v>31.32205560427802</v>
      </c>
    </row>
    <row r="275" spans="1:17" x14ac:dyDescent="0.3">
      <c r="A275" s="34">
        <f>CALCULO_VR!A275</f>
        <v>3466045</v>
      </c>
      <c r="B275" s="34" t="str">
        <f>CALCULO_VR!B275</f>
        <v>MLPA</v>
      </c>
      <c r="C275" t="s">
        <v>925</v>
      </c>
      <c r="D275" s="46">
        <f>CALCULO_VR!F275</f>
        <v>45458.684328703705</v>
      </c>
      <c r="E275" s="46">
        <f>CALCULO_VR!G275</f>
        <v>45470.684328703705</v>
      </c>
      <c r="F275" s="27">
        <f>CALCULO_VR!I275</f>
        <v>46440.22</v>
      </c>
      <c r="G275" s="34">
        <f>CALCULO_VR!E275</f>
        <v>1</v>
      </c>
      <c r="H275" s="34">
        <f t="shared" si="4"/>
        <v>1</v>
      </c>
      <c r="I275" t="s">
        <v>6587</v>
      </c>
      <c r="J275" s="63">
        <f>CALCULO_VR!J275</f>
        <v>8</v>
      </c>
      <c r="Q275" s="44">
        <f>CALCULO_VR!R275</f>
        <v>32.028514707912763</v>
      </c>
    </row>
    <row r="276" spans="1:17" x14ac:dyDescent="0.3">
      <c r="A276" s="34">
        <f>CALCULO_VR!A276</f>
        <v>3466044</v>
      </c>
      <c r="B276" s="34" t="str">
        <f>CALCULO_VR!B276</f>
        <v>MLPA</v>
      </c>
      <c r="C276" t="s">
        <v>925</v>
      </c>
      <c r="D276" s="46">
        <f>CALCULO_VR!F276</f>
        <v>45457.665937500002</v>
      </c>
      <c r="E276" s="46">
        <f>CALCULO_VR!G276</f>
        <v>45470.665937500002</v>
      </c>
      <c r="F276" s="27">
        <f>CALCULO_VR!I276</f>
        <v>46440.22</v>
      </c>
      <c r="G276" s="34">
        <f>CALCULO_VR!E276</f>
        <v>1</v>
      </c>
      <c r="H276" s="34">
        <f t="shared" si="4"/>
        <v>1</v>
      </c>
      <c r="I276" t="s">
        <v>6587</v>
      </c>
      <c r="J276" s="63">
        <f>CALCULO_VR!J276</f>
        <v>8</v>
      </c>
      <c r="Q276" s="44">
        <f>CALCULO_VR!R276</f>
        <v>31.082086677936399</v>
      </c>
    </row>
    <row r="277" spans="1:17" x14ac:dyDescent="0.3">
      <c r="A277" s="34">
        <f>CALCULO_VR!A277</f>
        <v>3466705</v>
      </c>
      <c r="B277" s="34" t="str">
        <f>CALCULO_VR!B277</f>
        <v>MLPA</v>
      </c>
      <c r="C277" t="s">
        <v>925</v>
      </c>
      <c r="D277" s="46">
        <f>CALCULO_VR!F277</f>
        <v>45461.575972222221</v>
      </c>
      <c r="E277" s="46">
        <f>CALCULO_VR!G277</f>
        <v>45476.575972222221</v>
      </c>
      <c r="F277" s="27">
        <f>CALCULO_VR!I277</f>
        <v>46440.22</v>
      </c>
      <c r="G277" s="34">
        <f>CALCULO_VR!E277</f>
        <v>1</v>
      </c>
      <c r="H277" s="34">
        <f t="shared" si="4"/>
        <v>1</v>
      </c>
      <c r="I277" t="s">
        <v>6587</v>
      </c>
      <c r="J277" s="63">
        <f>CALCULO_VR!J277</f>
        <v>8</v>
      </c>
      <c r="Q277" s="44">
        <f>CALCULO_VR!R277</f>
        <v>31.265916665036922</v>
      </c>
    </row>
    <row r="278" spans="1:17" x14ac:dyDescent="0.3">
      <c r="A278" s="34">
        <f>CALCULO_VR!A278</f>
        <v>3467222</v>
      </c>
      <c r="B278" s="34" t="str">
        <f>CALCULO_VR!B278</f>
        <v>MLPA</v>
      </c>
      <c r="C278" t="s">
        <v>925</v>
      </c>
      <c r="D278" s="46">
        <f>CALCULO_VR!F278</f>
        <v>45454.673391203702</v>
      </c>
      <c r="E278" s="46">
        <f>CALCULO_VR!G278</f>
        <v>45470.673391203702</v>
      </c>
      <c r="F278" s="27">
        <f>CALCULO_VR!I278</f>
        <v>46440.22</v>
      </c>
      <c r="G278" s="34">
        <f>CALCULO_VR!E278</f>
        <v>1</v>
      </c>
      <c r="H278" s="34">
        <f t="shared" si="4"/>
        <v>1</v>
      </c>
      <c r="I278" t="s">
        <v>6587</v>
      </c>
      <c r="J278" s="63">
        <f>CALCULO_VR!J278</f>
        <v>8</v>
      </c>
      <c r="Q278" s="44">
        <f>CALCULO_VR!R278</f>
        <v>31.623883134302233</v>
      </c>
    </row>
    <row r="279" spans="1:17" x14ac:dyDescent="0.3">
      <c r="A279" s="34">
        <f>CALCULO_VR!A279</f>
        <v>3467177</v>
      </c>
      <c r="B279" s="34" t="str">
        <f>CALCULO_VR!B279</f>
        <v>MLPA</v>
      </c>
      <c r="C279" t="s">
        <v>925</v>
      </c>
      <c r="D279" s="46">
        <f>CALCULO_VR!F279</f>
        <v>45463.39261574074</v>
      </c>
      <c r="E279" s="46">
        <f>CALCULO_VR!G279</f>
        <v>45474.39261574074</v>
      </c>
      <c r="F279" s="27">
        <f>CALCULO_VR!I279</f>
        <v>46440.22</v>
      </c>
      <c r="G279" s="34">
        <f>CALCULO_VR!E279</f>
        <v>1</v>
      </c>
      <c r="H279" s="34">
        <f t="shared" si="4"/>
        <v>1</v>
      </c>
      <c r="I279" t="s">
        <v>6587</v>
      </c>
      <c r="J279" s="63">
        <f>CALCULO_VR!J279</f>
        <v>8</v>
      </c>
      <c r="Q279" s="44">
        <f>CALCULO_VR!R279</f>
        <v>53.716852352972872</v>
      </c>
    </row>
    <row r="280" spans="1:17" x14ac:dyDescent="0.3">
      <c r="A280" s="34">
        <f>CALCULO_VR!A280</f>
        <v>3466728</v>
      </c>
      <c r="B280" s="34" t="str">
        <f>CALCULO_VR!B280</f>
        <v>MLPA</v>
      </c>
      <c r="C280" t="s">
        <v>925</v>
      </c>
      <c r="D280" s="46">
        <f>CALCULO_VR!F280</f>
        <v>45462.404062499998</v>
      </c>
      <c r="E280" s="46">
        <f>CALCULO_VR!G280</f>
        <v>45474.404062499998</v>
      </c>
      <c r="F280" s="27">
        <f>CALCULO_VR!I280</f>
        <v>46440.22</v>
      </c>
      <c r="G280" s="34">
        <f>CALCULO_VR!E280</f>
        <v>1</v>
      </c>
      <c r="H280" s="34">
        <f t="shared" si="4"/>
        <v>1</v>
      </c>
      <c r="I280" t="s">
        <v>6587</v>
      </c>
      <c r="J280" s="63">
        <f>CALCULO_VR!J280</f>
        <v>8</v>
      </c>
      <c r="Q280" s="44">
        <f>CALCULO_VR!R280</f>
        <v>49.234566978060116</v>
      </c>
    </row>
    <row r="281" spans="1:17" x14ac:dyDescent="0.3">
      <c r="A281" s="34">
        <f>CALCULO_VR!A281</f>
        <v>3467246</v>
      </c>
      <c r="B281" s="34" t="str">
        <f>CALCULO_VR!B281</f>
        <v>MLPA</v>
      </c>
      <c r="C281" t="s">
        <v>925</v>
      </c>
      <c r="D281" s="46">
        <f>CALCULO_VR!F281</f>
        <v>45463.694664351853</v>
      </c>
      <c r="E281" s="46">
        <f>CALCULO_VR!G281</f>
        <v>45476.694664351853</v>
      </c>
      <c r="F281" s="27">
        <f>CALCULO_VR!I281</f>
        <v>46440.22</v>
      </c>
      <c r="G281" s="34">
        <f>CALCULO_VR!E281</f>
        <v>1</v>
      </c>
      <c r="H281" s="34">
        <f t="shared" si="4"/>
        <v>1</v>
      </c>
      <c r="I281" t="s">
        <v>6587</v>
      </c>
      <c r="J281" s="63">
        <f>CALCULO_VR!J281</f>
        <v>8</v>
      </c>
      <c r="Q281" s="44">
        <f>CALCULO_VR!R281</f>
        <v>41.224093085990972</v>
      </c>
    </row>
    <row r="282" spans="1:17" x14ac:dyDescent="0.3">
      <c r="A282" s="34">
        <f>CALCULO_VR!A282</f>
        <v>3466982</v>
      </c>
      <c r="B282" s="34" t="str">
        <f>CALCULO_VR!B282</f>
        <v>MLPA</v>
      </c>
      <c r="C282" t="s">
        <v>925</v>
      </c>
      <c r="D282" s="46">
        <f>CALCULO_VR!F282</f>
        <v>45461.590243055558</v>
      </c>
      <c r="E282" s="46">
        <f>CALCULO_VR!G282</f>
        <v>45476.590243055558</v>
      </c>
      <c r="F282" s="27">
        <f>CALCULO_VR!I282</f>
        <v>46440.22</v>
      </c>
      <c r="G282" s="34">
        <f>CALCULO_VR!E282</f>
        <v>1</v>
      </c>
      <c r="H282" s="34">
        <f t="shared" si="4"/>
        <v>1</v>
      </c>
      <c r="I282" t="s">
        <v>6587</v>
      </c>
      <c r="J282" s="63">
        <f>CALCULO_VR!J282</f>
        <v>8</v>
      </c>
      <c r="Q282" s="44">
        <f>CALCULO_VR!R282</f>
        <v>41.459947637596564</v>
      </c>
    </row>
    <row r="283" spans="1:17" x14ac:dyDescent="0.3">
      <c r="A283" s="34">
        <f>CALCULO_VR!A283</f>
        <v>3465685</v>
      </c>
      <c r="B283" s="34" t="str">
        <f>CALCULO_VR!B283</f>
        <v>MLPA</v>
      </c>
      <c r="C283" t="s">
        <v>925</v>
      </c>
      <c r="D283" s="46">
        <f>CALCULO_VR!F283</f>
        <v>45465.656574074077</v>
      </c>
      <c r="E283" s="46">
        <f>CALCULO_VR!G283</f>
        <v>45476.656574074077</v>
      </c>
      <c r="F283" s="27">
        <f>CALCULO_VR!I283</f>
        <v>46440.22</v>
      </c>
      <c r="G283" s="34">
        <f>CALCULO_VR!E283</f>
        <v>1</v>
      </c>
      <c r="H283" s="34">
        <f t="shared" si="4"/>
        <v>1</v>
      </c>
      <c r="I283" t="s">
        <v>6587</v>
      </c>
      <c r="J283" s="63">
        <f>CALCULO_VR!J283</f>
        <v>8</v>
      </c>
      <c r="Q283" s="44">
        <f>CALCULO_VR!R283</f>
        <v>38.974130678617833</v>
      </c>
    </row>
    <row r="284" spans="1:17" x14ac:dyDescent="0.3">
      <c r="A284" s="34">
        <f>CALCULO_VR!A284</f>
        <v>3465686</v>
      </c>
      <c r="B284" s="34" t="str">
        <f>CALCULO_VR!B284</f>
        <v>MLPA</v>
      </c>
      <c r="C284" t="s">
        <v>925</v>
      </c>
      <c r="D284" s="46">
        <f>CALCULO_VR!F284</f>
        <v>45464.639421296299</v>
      </c>
      <c r="E284" s="46">
        <f>CALCULO_VR!G284</f>
        <v>45476.639421296299</v>
      </c>
      <c r="F284" s="27">
        <f>CALCULO_VR!I284</f>
        <v>46440.22</v>
      </c>
      <c r="G284" s="34">
        <f>CALCULO_VR!E284</f>
        <v>1</v>
      </c>
      <c r="H284" s="34">
        <f t="shared" si="4"/>
        <v>1</v>
      </c>
      <c r="I284" t="s">
        <v>6587</v>
      </c>
      <c r="J284" s="63">
        <f>CALCULO_VR!J284</f>
        <v>8</v>
      </c>
      <c r="Q284" s="44">
        <f>CALCULO_VR!R284</f>
        <v>38.503911287052389</v>
      </c>
    </row>
    <row r="285" spans="1:17" x14ac:dyDescent="0.3">
      <c r="A285" s="34">
        <f>CALCULO_VR!A285</f>
        <v>3466469</v>
      </c>
      <c r="B285" s="34" t="str">
        <f>CALCULO_VR!B285</f>
        <v>MLPA</v>
      </c>
      <c r="C285" t="s">
        <v>925</v>
      </c>
      <c r="D285" s="46">
        <f>CALCULO_VR!F285</f>
        <v>45463.585844907408</v>
      </c>
      <c r="E285" s="46">
        <f>CALCULO_VR!G285</f>
        <v>45476.585844907408</v>
      </c>
      <c r="F285" s="27">
        <f>CALCULO_VR!I285</f>
        <v>46440.22</v>
      </c>
      <c r="G285" s="34">
        <f>CALCULO_VR!E285</f>
        <v>1</v>
      </c>
      <c r="H285" s="34">
        <f t="shared" si="4"/>
        <v>1</v>
      </c>
      <c r="I285" t="s">
        <v>6587</v>
      </c>
      <c r="J285" s="63">
        <f>CALCULO_VR!J285</f>
        <v>8</v>
      </c>
      <c r="Q285" s="44">
        <f>CALCULO_VR!R285</f>
        <v>38.470315248875586</v>
      </c>
    </row>
    <row r="286" spans="1:17" x14ac:dyDescent="0.3">
      <c r="A286" s="34">
        <f>CALCULO_VR!A286</f>
        <v>3466953</v>
      </c>
      <c r="B286" s="34" t="str">
        <f>CALCULO_VR!B286</f>
        <v>MLPA</v>
      </c>
      <c r="C286" t="s">
        <v>925</v>
      </c>
      <c r="D286" s="46">
        <f>CALCULO_VR!F286</f>
        <v>45461.369305555556</v>
      </c>
      <c r="E286" s="46">
        <f>CALCULO_VR!G286</f>
        <v>45476.369305555556</v>
      </c>
      <c r="F286" s="27">
        <f>CALCULO_VR!I286</f>
        <v>46440.22</v>
      </c>
      <c r="G286" s="34">
        <f>CALCULO_VR!E286</f>
        <v>1</v>
      </c>
      <c r="H286" s="34">
        <f t="shared" si="4"/>
        <v>1</v>
      </c>
      <c r="I286" t="s">
        <v>6587</v>
      </c>
      <c r="J286" s="63">
        <f>CALCULO_VR!J286</f>
        <v>8</v>
      </c>
      <c r="Q286" s="44">
        <f>CALCULO_VR!R286</f>
        <v>32.855668624449166</v>
      </c>
    </row>
    <row r="287" spans="1:17" x14ac:dyDescent="0.3">
      <c r="A287" s="34">
        <f>CALCULO_VR!A287</f>
        <v>3467054</v>
      </c>
      <c r="B287" s="34" t="str">
        <f>CALCULO_VR!B287</f>
        <v>MLPA</v>
      </c>
      <c r="C287" t="s">
        <v>925</v>
      </c>
      <c r="D287" s="46">
        <f>CALCULO_VR!F287</f>
        <v>45454.633726851855</v>
      </c>
      <c r="E287" s="46">
        <f>CALCULO_VR!G287</f>
        <v>45470.633726851855</v>
      </c>
      <c r="F287" s="27">
        <f>CALCULO_VR!I287</f>
        <v>46440.22</v>
      </c>
      <c r="G287" s="34">
        <f>CALCULO_VR!E287</f>
        <v>1</v>
      </c>
      <c r="H287" s="34">
        <f t="shared" si="4"/>
        <v>1</v>
      </c>
      <c r="I287" t="s">
        <v>6587</v>
      </c>
      <c r="J287" s="63">
        <f>CALCULO_VR!J287</f>
        <v>8</v>
      </c>
      <c r="Q287" s="44">
        <f>CALCULO_VR!R287</f>
        <v>36.865509801248585</v>
      </c>
    </row>
    <row r="288" spans="1:17" x14ac:dyDescent="0.3">
      <c r="A288" s="34">
        <f>CALCULO_VR!A288</f>
        <v>3466663</v>
      </c>
      <c r="B288" s="34" t="str">
        <f>CALCULO_VR!B288</f>
        <v>MLPA</v>
      </c>
      <c r="C288" t="s">
        <v>925</v>
      </c>
      <c r="D288" s="46">
        <f>CALCULO_VR!F288</f>
        <v>45465.644861111112</v>
      </c>
      <c r="E288" s="46">
        <f>CALCULO_VR!G288</f>
        <v>45476.644861111112</v>
      </c>
      <c r="F288" s="27">
        <f>CALCULO_VR!I288</f>
        <v>46440.22</v>
      </c>
      <c r="G288" s="34">
        <f>CALCULO_VR!E288</f>
        <v>1</v>
      </c>
      <c r="H288" s="34">
        <f t="shared" si="4"/>
        <v>1</v>
      </c>
      <c r="I288" t="s">
        <v>6587</v>
      </c>
      <c r="J288" s="63">
        <f>CALCULO_VR!J288</f>
        <v>8</v>
      </c>
      <c r="Q288" s="44">
        <f>CALCULO_VR!R288</f>
        <v>37.10138119893476</v>
      </c>
    </row>
    <row r="289" spans="1:17" x14ac:dyDescent="0.3">
      <c r="A289" s="34">
        <f>CALCULO_VR!A289</f>
        <v>3466952</v>
      </c>
      <c r="B289" s="34" t="str">
        <f>CALCULO_VR!B289</f>
        <v>MLPA</v>
      </c>
      <c r="C289" t="s">
        <v>925</v>
      </c>
      <c r="D289" s="46">
        <f>CALCULO_VR!F289</f>
        <v>45464.618738425925</v>
      </c>
      <c r="E289" s="46">
        <f>CALCULO_VR!G289</f>
        <v>45476.618738425925</v>
      </c>
      <c r="F289" s="27">
        <f>CALCULO_VR!I289</f>
        <v>46440.22</v>
      </c>
      <c r="G289" s="34">
        <f>CALCULO_VR!E289</f>
        <v>1</v>
      </c>
      <c r="H289" s="34">
        <f t="shared" si="4"/>
        <v>1</v>
      </c>
      <c r="I289" t="s">
        <v>6587</v>
      </c>
      <c r="J289" s="63">
        <f>CALCULO_VR!J289</f>
        <v>8</v>
      </c>
      <c r="Q289" s="44">
        <f>CALCULO_VR!R289</f>
        <v>37.259765721819768</v>
      </c>
    </row>
    <row r="290" spans="1:17" x14ac:dyDescent="0.3">
      <c r="A290" s="34">
        <f>CALCULO_VR!A290</f>
        <v>3466482</v>
      </c>
      <c r="B290" s="34" t="str">
        <f>CALCULO_VR!B290</f>
        <v>MLPA</v>
      </c>
      <c r="C290" t="s">
        <v>925</v>
      </c>
      <c r="D290" s="46">
        <f>CALCULO_VR!F290</f>
        <v>45450.432951388888</v>
      </c>
      <c r="E290" s="46">
        <f>CALCULO_VR!G290</f>
        <v>45463.432951388888</v>
      </c>
      <c r="F290" s="27">
        <f>CALCULO_VR!I290</f>
        <v>46440.22</v>
      </c>
      <c r="G290" s="34">
        <f>CALCULO_VR!E290</f>
        <v>1</v>
      </c>
      <c r="H290" s="34">
        <f t="shared" si="4"/>
        <v>1</v>
      </c>
      <c r="I290" t="s">
        <v>6587</v>
      </c>
      <c r="J290" s="63">
        <f>CALCULO_VR!J290</f>
        <v>8</v>
      </c>
      <c r="Q290" s="44">
        <f>CALCULO_VR!R290</f>
        <v>35.845283637174404</v>
      </c>
    </row>
    <row r="291" spans="1:17" x14ac:dyDescent="0.3">
      <c r="A291" s="34">
        <f>CALCULO_VR!A291</f>
        <v>3467051</v>
      </c>
      <c r="B291" s="34" t="str">
        <f>CALCULO_VR!B291</f>
        <v>MLPA</v>
      </c>
      <c r="C291" t="s">
        <v>925</v>
      </c>
      <c r="D291" s="46">
        <f>CALCULO_VR!F291</f>
        <v>45456.599027777775</v>
      </c>
      <c r="E291" s="46">
        <f>CALCULO_VR!G291</f>
        <v>45471.599027777775</v>
      </c>
      <c r="F291" s="27">
        <f>CALCULO_VR!I291</f>
        <v>46440.22</v>
      </c>
      <c r="G291" s="34">
        <f>CALCULO_VR!E291</f>
        <v>1</v>
      </c>
      <c r="H291" s="34">
        <f t="shared" si="4"/>
        <v>1</v>
      </c>
      <c r="I291" t="s">
        <v>6587</v>
      </c>
      <c r="J291" s="63">
        <f>CALCULO_VR!J291</f>
        <v>8</v>
      </c>
      <c r="Q291" s="44">
        <f>CALCULO_VR!R291</f>
        <v>35.842777158994394</v>
      </c>
    </row>
    <row r="292" spans="1:17" x14ac:dyDescent="0.3">
      <c r="A292" s="34">
        <f>CALCULO_VR!A292</f>
        <v>3467110</v>
      </c>
      <c r="B292" s="34" t="str">
        <f>CALCULO_VR!B292</f>
        <v>MLPA</v>
      </c>
      <c r="C292" t="s">
        <v>925</v>
      </c>
      <c r="D292" s="46">
        <f>CALCULO_VR!F292</f>
        <v>45460.60837962963</v>
      </c>
      <c r="E292" s="46">
        <f>CALCULO_VR!G292</f>
        <v>45471.60837962963</v>
      </c>
      <c r="F292" s="27">
        <f>CALCULO_VR!I292</f>
        <v>46440.22</v>
      </c>
      <c r="G292" s="34">
        <f>CALCULO_VR!E292</f>
        <v>1</v>
      </c>
      <c r="H292" s="34">
        <f t="shared" si="4"/>
        <v>1</v>
      </c>
      <c r="I292" t="s">
        <v>6587</v>
      </c>
      <c r="J292" s="63">
        <f>CALCULO_VR!J292</f>
        <v>8</v>
      </c>
      <c r="Q292" s="44">
        <f>CALCULO_VR!R292</f>
        <v>36.003636805933475</v>
      </c>
    </row>
    <row r="293" spans="1:17" x14ac:dyDescent="0.3">
      <c r="A293" s="34">
        <f>CALCULO_VR!A293</f>
        <v>3466648</v>
      </c>
      <c r="B293" s="34" t="str">
        <f>CALCULO_VR!B293</f>
        <v>MLPA</v>
      </c>
      <c r="C293" t="s">
        <v>925</v>
      </c>
      <c r="D293" s="46">
        <f>CALCULO_VR!F293</f>
        <v>45463.682650462964</v>
      </c>
      <c r="E293" s="46">
        <f>CALCULO_VR!G293</f>
        <v>45475.682650462964</v>
      </c>
      <c r="F293" s="27">
        <f>CALCULO_VR!I293</f>
        <v>46440.22</v>
      </c>
      <c r="G293" s="34">
        <f>CALCULO_VR!E293</f>
        <v>1</v>
      </c>
      <c r="H293" s="34">
        <f t="shared" si="4"/>
        <v>1</v>
      </c>
      <c r="I293" t="s">
        <v>6587</v>
      </c>
      <c r="J293" s="63">
        <f>CALCULO_VR!J293</f>
        <v>8</v>
      </c>
      <c r="Q293" s="44">
        <f>CALCULO_VR!R293</f>
        <v>37.674081302648041</v>
      </c>
    </row>
    <row r="294" spans="1:17" x14ac:dyDescent="0.3">
      <c r="A294" s="34">
        <f>CALCULO_VR!A294</f>
        <v>3467118</v>
      </c>
      <c r="B294" s="34" t="str">
        <f>CALCULO_VR!B294</f>
        <v>MLPA</v>
      </c>
      <c r="C294" t="s">
        <v>925</v>
      </c>
      <c r="D294" s="46">
        <f>CALCULO_VR!F294</f>
        <v>45458.62462962963</v>
      </c>
      <c r="E294" s="46">
        <f>CALCULO_VR!G294</f>
        <v>45471.62462962963</v>
      </c>
      <c r="F294" s="27">
        <f>CALCULO_VR!I294</f>
        <v>46440.22</v>
      </c>
      <c r="G294" s="34">
        <f>CALCULO_VR!E294</f>
        <v>1</v>
      </c>
      <c r="H294" s="34">
        <f t="shared" si="4"/>
        <v>1</v>
      </c>
      <c r="I294" t="s">
        <v>6587</v>
      </c>
      <c r="J294" s="63">
        <f>CALCULO_VR!J294</f>
        <v>8</v>
      </c>
      <c r="Q294" s="44">
        <f>CALCULO_VR!R294</f>
        <v>38.186603453375767</v>
      </c>
    </row>
    <row r="295" spans="1:17" x14ac:dyDescent="0.3">
      <c r="A295" s="34">
        <f>CALCULO_VR!A295</f>
        <v>3469637</v>
      </c>
      <c r="B295" s="34" t="str">
        <f>CALCULO_VR!B295</f>
        <v>MLPA</v>
      </c>
      <c r="C295" t="s">
        <v>925</v>
      </c>
      <c r="D295" s="46">
        <f>CALCULO_VR!F295</f>
        <v>45456.645277777781</v>
      </c>
      <c r="E295" s="46">
        <f>CALCULO_VR!G295</f>
        <v>45471.645277777781</v>
      </c>
      <c r="F295" s="27">
        <f>CALCULO_VR!I295</f>
        <v>46440.22</v>
      </c>
      <c r="G295" s="34">
        <f>CALCULO_VR!E295</f>
        <v>1</v>
      </c>
      <c r="H295" s="34">
        <f t="shared" si="4"/>
        <v>1</v>
      </c>
      <c r="I295" t="s">
        <v>6587</v>
      </c>
      <c r="J295" s="63">
        <f>CALCULO_VR!J295</f>
        <v>8</v>
      </c>
      <c r="Q295" s="44">
        <f>CALCULO_VR!R295</f>
        <v>38.377381600971184</v>
      </c>
    </row>
    <row r="296" spans="1:17" x14ac:dyDescent="0.3">
      <c r="A296" s="34">
        <f>CALCULO_VR!A296</f>
        <v>3466559</v>
      </c>
      <c r="B296" s="34" t="str">
        <f>CALCULO_VR!B296</f>
        <v>MLPA</v>
      </c>
      <c r="C296" t="s">
        <v>925</v>
      </c>
      <c r="D296" s="46">
        <f>CALCULO_VR!F296</f>
        <v>45459.631111111114</v>
      </c>
      <c r="E296" s="46">
        <f>CALCULO_VR!G296</f>
        <v>45475.631111111114</v>
      </c>
      <c r="F296" s="27">
        <f>CALCULO_VR!I296</f>
        <v>46440.22</v>
      </c>
      <c r="G296" s="34">
        <f>CALCULO_VR!E296</f>
        <v>1</v>
      </c>
      <c r="H296" s="34">
        <f t="shared" si="4"/>
        <v>1</v>
      </c>
      <c r="I296" t="s">
        <v>6587</v>
      </c>
      <c r="J296" s="63">
        <f>CALCULO_VR!J296</f>
        <v>8</v>
      </c>
      <c r="Q296" s="44">
        <f>CALCULO_VR!R296</f>
        <v>38.556601223135786</v>
      </c>
    </row>
    <row r="297" spans="1:17" x14ac:dyDescent="0.3">
      <c r="A297" s="34">
        <f>CALCULO_VR!A297</f>
        <v>3467224</v>
      </c>
      <c r="B297" s="34" t="str">
        <f>CALCULO_VR!B297</f>
        <v>MLPA</v>
      </c>
      <c r="C297" t="s">
        <v>925</v>
      </c>
      <c r="D297" s="46">
        <f>CALCULO_VR!F297</f>
        <v>45465.681689814817</v>
      </c>
      <c r="E297" s="46">
        <f>CALCULO_VR!G297</f>
        <v>45476.681689814817</v>
      </c>
      <c r="F297" s="27">
        <f>CALCULO_VR!I297</f>
        <v>46440.22</v>
      </c>
      <c r="G297" s="34">
        <f>CALCULO_VR!E297</f>
        <v>1</v>
      </c>
      <c r="H297" s="34">
        <f t="shared" si="4"/>
        <v>1</v>
      </c>
      <c r="I297" t="s">
        <v>6587</v>
      </c>
      <c r="J297" s="63">
        <f>CALCULO_VR!J297</f>
        <v>8</v>
      </c>
      <c r="Q297" s="44">
        <f>CALCULO_VR!R297</f>
        <v>39.256635919104816</v>
      </c>
    </row>
    <row r="298" spans="1:17" x14ac:dyDescent="0.3">
      <c r="A298" s="34">
        <f>CALCULO_VR!A298</f>
        <v>3463153</v>
      </c>
      <c r="B298" s="34" t="str">
        <f>CALCULO_VR!B298</f>
        <v>MLPA</v>
      </c>
      <c r="C298" t="s">
        <v>925</v>
      </c>
      <c r="D298" s="46">
        <f>CALCULO_VR!F298</f>
        <v>45457.726226851853</v>
      </c>
      <c r="E298" s="46">
        <f>CALCULO_VR!G298</f>
        <v>45469.726226851853</v>
      </c>
      <c r="F298" s="27">
        <f>CALCULO_VR!I298</f>
        <v>46440.22</v>
      </c>
      <c r="G298" s="34">
        <f>CALCULO_VR!E298</f>
        <v>1</v>
      </c>
      <c r="H298" s="34">
        <f t="shared" si="4"/>
        <v>1</v>
      </c>
      <c r="I298" t="s">
        <v>6587</v>
      </c>
      <c r="J298" s="63">
        <f>CALCULO_VR!J298</f>
        <v>8</v>
      </c>
      <c r="Q298" s="44">
        <f>CALCULO_VR!R298</f>
        <v>19.751324597340112</v>
      </c>
    </row>
    <row r="299" spans="1:17" x14ac:dyDescent="0.3">
      <c r="A299" s="34">
        <f>CALCULO_VR!A299</f>
        <v>3467048</v>
      </c>
      <c r="B299" s="34" t="str">
        <f>CALCULO_VR!B299</f>
        <v>MLPA</v>
      </c>
      <c r="C299" t="s">
        <v>925</v>
      </c>
      <c r="D299" s="46">
        <f>CALCULO_VR!F299</f>
        <v>45458.67496527778</v>
      </c>
      <c r="E299" s="46">
        <f>CALCULO_VR!G299</f>
        <v>45471.67496527778</v>
      </c>
      <c r="F299" s="27">
        <f>CALCULO_VR!I299</f>
        <v>46440.22</v>
      </c>
      <c r="G299" s="34">
        <f>CALCULO_VR!E299</f>
        <v>1</v>
      </c>
      <c r="H299" s="34">
        <f t="shared" si="4"/>
        <v>1</v>
      </c>
      <c r="I299" t="s">
        <v>6587</v>
      </c>
      <c r="J299" s="63">
        <f>CALCULO_VR!J299</f>
        <v>8</v>
      </c>
      <c r="Q299" s="44">
        <f>CALCULO_VR!R299</f>
        <v>38.22365803805485</v>
      </c>
    </row>
    <row r="300" spans="1:17" x14ac:dyDescent="0.3">
      <c r="A300" s="34">
        <f>CALCULO_VR!A300</f>
        <v>3465557</v>
      </c>
      <c r="B300" s="34" t="str">
        <f>CALCULO_VR!B300</f>
        <v>MLPA</v>
      </c>
      <c r="C300" t="s">
        <v>925</v>
      </c>
      <c r="D300" s="46">
        <f>CALCULO_VR!F300</f>
        <v>45462.611689814818</v>
      </c>
      <c r="E300" s="46">
        <f>CALCULO_VR!G300</f>
        <v>45477.611689814818</v>
      </c>
      <c r="F300" s="27">
        <f>CALCULO_VR!I300</f>
        <v>46440.22</v>
      </c>
      <c r="G300" s="34">
        <f>CALCULO_VR!E300</f>
        <v>1</v>
      </c>
      <c r="H300" s="34">
        <f t="shared" si="4"/>
        <v>1</v>
      </c>
      <c r="I300" t="s">
        <v>6587</v>
      </c>
      <c r="J300" s="63">
        <f>CALCULO_VR!J300</f>
        <v>8</v>
      </c>
      <c r="Q300" s="44">
        <f>CALCULO_VR!R300</f>
        <v>54.013407571813715</v>
      </c>
    </row>
    <row r="301" spans="1:17" x14ac:dyDescent="0.3">
      <c r="A301" s="34">
        <f>CALCULO_VR!A301</f>
        <v>3466157</v>
      </c>
      <c r="B301" s="34" t="str">
        <f>CALCULO_VR!B301</f>
        <v>MLPA</v>
      </c>
      <c r="C301" t="s">
        <v>925</v>
      </c>
      <c r="D301" s="46">
        <f>CALCULO_VR!F301</f>
        <v>45465.722129629627</v>
      </c>
      <c r="E301" s="46">
        <f>CALCULO_VR!G301</f>
        <v>45476.722129629627</v>
      </c>
      <c r="F301" s="27">
        <f>CALCULO_VR!I301</f>
        <v>46440.22</v>
      </c>
      <c r="G301" s="34">
        <f>CALCULO_VR!E301</f>
        <v>1</v>
      </c>
      <c r="H301" s="34">
        <f t="shared" si="4"/>
        <v>1</v>
      </c>
      <c r="I301" t="s">
        <v>6587</v>
      </c>
      <c r="J301" s="63">
        <f>CALCULO_VR!J301</f>
        <v>8</v>
      </c>
      <c r="Q301" s="44">
        <f>CALCULO_VR!R301</f>
        <v>53.241590664265708</v>
      </c>
    </row>
    <row r="302" spans="1:17" x14ac:dyDescent="0.3">
      <c r="A302" s="34">
        <f>CALCULO_VR!A302</f>
        <v>3467250</v>
      </c>
      <c r="B302" s="34" t="str">
        <f>CALCULO_VR!B302</f>
        <v>MLPA</v>
      </c>
      <c r="C302" t="s">
        <v>925</v>
      </c>
      <c r="D302" s="46">
        <f>CALCULO_VR!F302</f>
        <v>45464.707638888889</v>
      </c>
      <c r="E302" s="46">
        <f>CALCULO_VR!G302</f>
        <v>45476.707638888889</v>
      </c>
      <c r="F302" s="27">
        <f>CALCULO_VR!I302</f>
        <v>46440.22</v>
      </c>
      <c r="G302" s="34">
        <f>CALCULO_VR!E302</f>
        <v>1</v>
      </c>
      <c r="H302" s="34">
        <f t="shared" si="4"/>
        <v>1</v>
      </c>
      <c r="I302" t="s">
        <v>6587</v>
      </c>
      <c r="J302" s="63">
        <f>CALCULO_VR!J302</f>
        <v>8</v>
      </c>
      <c r="Q302" s="44">
        <f>CALCULO_VR!R302</f>
        <v>51.940920938330152</v>
      </c>
    </row>
    <row r="303" spans="1:17" x14ac:dyDescent="0.3">
      <c r="A303" s="34">
        <f>CALCULO_VR!A303</f>
        <v>3466111</v>
      </c>
      <c r="B303" s="34" t="str">
        <f>CALCULO_VR!B303</f>
        <v>MLPA</v>
      </c>
      <c r="C303" t="s">
        <v>977</v>
      </c>
      <c r="D303" s="46">
        <f>CALCULO_VR!F303</f>
        <v>45465.650439814817</v>
      </c>
      <c r="E303" s="46">
        <f>CALCULO_VR!G303</f>
        <v>45478.650439814817</v>
      </c>
      <c r="F303" s="27">
        <f>CALCULO_VR!I303</f>
        <v>46440.22</v>
      </c>
      <c r="G303" s="34">
        <f>CALCULO_VR!E303</f>
        <v>1</v>
      </c>
      <c r="H303" s="34">
        <f t="shared" si="4"/>
        <v>1</v>
      </c>
      <c r="I303" t="s">
        <v>6587</v>
      </c>
      <c r="J303" s="63">
        <f>CALCULO_VR!J303</f>
        <v>13</v>
      </c>
      <c r="Q303" s="44">
        <f>CALCULO_VR!R303</f>
        <v>99.178225435117113</v>
      </c>
    </row>
    <row r="304" spans="1:17" x14ac:dyDescent="0.3">
      <c r="A304" s="34">
        <f>CALCULO_VR!A304</f>
        <v>3465676</v>
      </c>
      <c r="B304" s="34" t="str">
        <f>CALCULO_VR!B304</f>
        <v>MLPA</v>
      </c>
      <c r="C304" t="s">
        <v>925</v>
      </c>
      <c r="D304" s="46">
        <f>CALCULO_VR!F304</f>
        <v>45462.663784722223</v>
      </c>
      <c r="E304" s="46">
        <f>CALCULO_VR!G304</f>
        <v>45477.663784722223</v>
      </c>
      <c r="F304" s="27">
        <f>CALCULO_VR!I304</f>
        <v>46440.22</v>
      </c>
      <c r="G304" s="34">
        <f>CALCULO_VR!E304</f>
        <v>1</v>
      </c>
      <c r="H304" s="34">
        <f t="shared" si="4"/>
        <v>1</v>
      </c>
      <c r="I304" t="s">
        <v>6587</v>
      </c>
      <c r="J304" s="63">
        <f>CALCULO_VR!J304</f>
        <v>8</v>
      </c>
      <c r="Q304" s="44">
        <f>CALCULO_VR!R304</f>
        <v>53.384392441660495</v>
      </c>
    </row>
    <row r="305" spans="1:17" x14ac:dyDescent="0.3">
      <c r="A305" s="34">
        <f>CALCULO_VR!A305</f>
        <v>3466118</v>
      </c>
      <c r="B305" s="34" t="str">
        <f>CALCULO_VR!B305</f>
        <v>MLPA</v>
      </c>
      <c r="C305" t="s">
        <v>925</v>
      </c>
      <c r="D305" s="46">
        <f>CALCULO_VR!F305</f>
        <v>45461.616377314815</v>
      </c>
      <c r="E305" s="46">
        <f>CALCULO_VR!G305</f>
        <v>45477.616377314815</v>
      </c>
      <c r="F305" s="27">
        <f>CALCULO_VR!I305</f>
        <v>46440.22</v>
      </c>
      <c r="G305" s="34">
        <f>CALCULO_VR!E305</f>
        <v>1</v>
      </c>
      <c r="H305" s="34">
        <f t="shared" si="4"/>
        <v>1</v>
      </c>
      <c r="I305" t="s">
        <v>6587</v>
      </c>
      <c r="J305" s="63">
        <f>CALCULO_VR!J305</f>
        <v>8</v>
      </c>
      <c r="Q305" s="44">
        <f>CALCULO_VR!R305</f>
        <v>49.547220747861203</v>
      </c>
    </row>
    <row r="306" spans="1:17" x14ac:dyDescent="0.3">
      <c r="A306" s="34">
        <f>CALCULO_VR!A306</f>
        <v>3466117</v>
      </c>
      <c r="B306" s="34" t="str">
        <f>CALCULO_VR!B306</f>
        <v>MLPA</v>
      </c>
      <c r="C306" t="s">
        <v>925</v>
      </c>
      <c r="D306" s="46">
        <f>CALCULO_VR!F306</f>
        <v>45466.627337962964</v>
      </c>
      <c r="E306" s="46">
        <f>CALCULO_VR!G306</f>
        <v>45477.627337962964</v>
      </c>
      <c r="F306" s="27">
        <f>CALCULO_VR!I306</f>
        <v>46440.22</v>
      </c>
      <c r="G306" s="34">
        <f>CALCULO_VR!E306</f>
        <v>1</v>
      </c>
      <c r="H306" s="34">
        <f t="shared" si="4"/>
        <v>1</v>
      </c>
      <c r="I306" t="s">
        <v>6587</v>
      </c>
      <c r="J306" s="63">
        <f>CALCULO_VR!J306</f>
        <v>8</v>
      </c>
      <c r="Q306" s="44">
        <f>CALCULO_VR!R306</f>
        <v>49.840611941258345</v>
      </c>
    </row>
    <row r="307" spans="1:17" x14ac:dyDescent="0.3">
      <c r="A307" s="34">
        <f>CALCULO_VR!A307</f>
        <v>3466107</v>
      </c>
      <c r="B307" s="34" t="str">
        <f>CALCULO_VR!B307</f>
        <v>MLPA</v>
      </c>
      <c r="C307" t="s">
        <v>925</v>
      </c>
      <c r="D307" s="46">
        <f>CALCULO_VR!F307</f>
        <v>45466.689756944441</v>
      </c>
      <c r="E307" s="46">
        <f>CALCULO_VR!G307</f>
        <v>45478.689756944441</v>
      </c>
      <c r="F307" s="27">
        <f>CALCULO_VR!I307</f>
        <v>46440.22</v>
      </c>
      <c r="G307" s="34">
        <f>CALCULO_VR!E307</f>
        <v>1</v>
      </c>
      <c r="H307" s="34">
        <f t="shared" si="4"/>
        <v>1</v>
      </c>
      <c r="I307" t="s">
        <v>6587</v>
      </c>
      <c r="J307" s="63">
        <f>CALCULO_VR!J307</f>
        <v>8</v>
      </c>
      <c r="Q307" s="44">
        <f>CALCULO_VR!R307</f>
        <v>48.950433210811745</v>
      </c>
    </row>
    <row r="308" spans="1:17" x14ac:dyDescent="0.3">
      <c r="A308" s="34">
        <f>CALCULO_VR!A308</f>
        <v>3467613</v>
      </c>
      <c r="B308" s="34" t="str">
        <f>CALCULO_VR!B308</f>
        <v>MLPA</v>
      </c>
      <c r="C308" t="s">
        <v>925</v>
      </c>
      <c r="D308" s="46">
        <f>CALCULO_VR!F308</f>
        <v>45465.703159722223</v>
      </c>
      <c r="E308" s="46">
        <f>CALCULO_VR!G308</f>
        <v>45478.703159722223</v>
      </c>
      <c r="F308" s="27">
        <f>CALCULO_VR!I308</f>
        <v>46440.22</v>
      </c>
      <c r="G308" s="34">
        <f>CALCULO_VR!E308</f>
        <v>1</v>
      </c>
      <c r="H308" s="34">
        <f t="shared" si="4"/>
        <v>1</v>
      </c>
      <c r="I308" t="s">
        <v>6587</v>
      </c>
      <c r="J308" s="63">
        <f>CALCULO_VR!J308</f>
        <v>8</v>
      </c>
      <c r="Q308" s="44">
        <f>CALCULO_VR!R308</f>
        <v>32.242138666133464</v>
      </c>
    </row>
    <row r="309" spans="1:17" x14ac:dyDescent="0.3">
      <c r="A309" s="34">
        <f>CALCULO_VR!A309</f>
        <v>3465682</v>
      </c>
      <c r="B309" s="34" t="str">
        <f>CALCULO_VR!B309</f>
        <v>MLPA</v>
      </c>
      <c r="C309" t="s">
        <v>925</v>
      </c>
      <c r="D309" s="46">
        <f>CALCULO_VR!F309</f>
        <v>45462.654710648145</v>
      </c>
      <c r="E309" s="46">
        <f>CALCULO_VR!G309</f>
        <v>45477.654710648145</v>
      </c>
      <c r="F309" s="27">
        <f>CALCULO_VR!I309</f>
        <v>46440.22</v>
      </c>
      <c r="G309" s="34">
        <f>CALCULO_VR!E309</f>
        <v>1</v>
      </c>
      <c r="H309" s="34">
        <f t="shared" si="4"/>
        <v>1</v>
      </c>
      <c r="I309" t="s">
        <v>6587</v>
      </c>
      <c r="J309" s="63">
        <f>CALCULO_VR!J309</f>
        <v>8</v>
      </c>
      <c r="Q309" s="44">
        <f>CALCULO_VR!R309</f>
        <v>44.475017148698399</v>
      </c>
    </row>
    <row r="310" spans="1:17" x14ac:dyDescent="0.3">
      <c r="A310" s="34">
        <f>CALCULO_VR!A310</f>
        <v>3466120</v>
      </c>
      <c r="B310" s="34" t="str">
        <f>CALCULO_VR!B310</f>
        <v>MLPA</v>
      </c>
      <c r="C310" t="s">
        <v>925</v>
      </c>
      <c r="D310" s="46">
        <f>CALCULO_VR!F310</f>
        <v>45466.602129629631</v>
      </c>
      <c r="E310" s="46">
        <f>CALCULO_VR!G310</f>
        <v>45477.602129629631</v>
      </c>
      <c r="F310" s="27">
        <f>CALCULO_VR!I310</f>
        <v>46440.22</v>
      </c>
      <c r="G310" s="34">
        <f>CALCULO_VR!E310</f>
        <v>1</v>
      </c>
      <c r="H310" s="34">
        <f t="shared" si="4"/>
        <v>1</v>
      </c>
      <c r="I310" t="s">
        <v>6587</v>
      </c>
      <c r="J310" s="63">
        <f>CALCULO_VR!J310</f>
        <v>8</v>
      </c>
      <c r="Q310" s="44">
        <f>CALCULO_VR!R310</f>
        <v>36.96200015930313</v>
      </c>
    </row>
    <row r="311" spans="1:17" x14ac:dyDescent="0.3">
      <c r="A311" s="34">
        <f>CALCULO_VR!A311</f>
        <v>3467609</v>
      </c>
      <c r="B311" s="34" t="str">
        <f>CALCULO_VR!B311</f>
        <v>MLPA</v>
      </c>
      <c r="C311" t="s">
        <v>982</v>
      </c>
      <c r="D311" s="46">
        <f>CALCULO_VR!F311</f>
        <v>45466.633668981478</v>
      </c>
      <c r="E311" s="46">
        <f>CALCULO_VR!G311</f>
        <v>45478.633668981478</v>
      </c>
      <c r="F311" s="27">
        <f>CALCULO_VR!I311</f>
        <v>46440.22</v>
      </c>
      <c r="G311" s="34">
        <f>CALCULO_VR!E311</f>
        <v>1</v>
      </c>
      <c r="H311" s="34">
        <f t="shared" si="4"/>
        <v>1</v>
      </c>
      <c r="I311" t="s">
        <v>6587</v>
      </c>
      <c r="J311" s="63">
        <f>CALCULO_VR!J311</f>
        <v>9</v>
      </c>
      <c r="Q311" s="44">
        <f>CALCULO_VR!R311</f>
        <v>15.739844983525023</v>
      </c>
    </row>
    <row r="312" spans="1:17" x14ac:dyDescent="0.3">
      <c r="A312" s="34">
        <f>CALCULO_VR!A312</f>
        <v>3466169</v>
      </c>
      <c r="B312" s="34" t="str">
        <f>CALCULO_VR!B312</f>
        <v>MLPA</v>
      </c>
      <c r="C312" t="s">
        <v>1373</v>
      </c>
      <c r="D312" s="46">
        <f>CALCULO_VR!F312</f>
        <v>45464.467129629629</v>
      </c>
      <c r="E312" s="46">
        <f>CALCULO_VR!G312</f>
        <v>45477.467129629629</v>
      </c>
      <c r="F312" s="27">
        <f>CALCULO_VR!I312</f>
        <v>46440.22</v>
      </c>
      <c r="G312" s="34">
        <f>CALCULO_VR!E312</f>
        <v>1</v>
      </c>
      <c r="H312" s="34">
        <f t="shared" si="4"/>
        <v>1</v>
      </c>
      <c r="I312" t="s">
        <v>6587</v>
      </c>
      <c r="J312" s="63">
        <f>CALCULO_VR!J312</f>
        <v>5</v>
      </c>
      <c r="Q312" s="44">
        <f>CALCULO_VR!R312</f>
        <v>7.2181661735045513</v>
      </c>
    </row>
    <row r="313" spans="1:17" x14ac:dyDescent="0.3">
      <c r="A313" s="34">
        <f>CALCULO_VR!A313</f>
        <v>3466166</v>
      </c>
      <c r="B313" s="34" t="str">
        <f>CALCULO_VR!B313</f>
        <v>MLPA</v>
      </c>
      <c r="C313" t="s">
        <v>1373</v>
      </c>
      <c r="D313" s="46">
        <f>CALCULO_VR!F313</f>
        <v>45462.594733796293</v>
      </c>
      <c r="E313" s="46">
        <f>CALCULO_VR!G313</f>
        <v>45477.594733796293</v>
      </c>
      <c r="F313" s="27">
        <f>CALCULO_VR!I313</f>
        <v>46440.22</v>
      </c>
      <c r="G313" s="34">
        <f>CALCULO_VR!E313</f>
        <v>1</v>
      </c>
      <c r="H313" s="34">
        <f t="shared" si="4"/>
        <v>1</v>
      </c>
      <c r="I313" t="s">
        <v>6587</v>
      </c>
      <c r="J313" s="63">
        <f>CALCULO_VR!J313</f>
        <v>5</v>
      </c>
      <c r="Q313" s="44">
        <f>CALCULO_VR!R313</f>
        <v>34.104609992192081</v>
      </c>
    </row>
    <row r="314" spans="1:17" x14ac:dyDescent="0.3">
      <c r="A314" s="34">
        <f>CALCULO_VR!A314</f>
        <v>3466109</v>
      </c>
      <c r="B314" s="34" t="str">
        <f>CALCULO_VR!B314</f>
        <v>MLPA</v>
      </c>
      <c r="C314" t="s">
        <v>1373</v>
      </c>
      <c r="D314" s="46">
        <f>CALCULO_VR!F314</f>
        <v>45462.666631944441</v>
      </c>
      <c r="E314" s="46">
        <f>CALCULO_VR!G314</f>
        <v>45478.666631944441</v>
      </c>
      <c r="F314" s="27">
        <f>CALCULO_VR!I314</f>
        <v>46440.22</v>
      </c>
      <c r="G314" s="34">
        <f>CALCULO_VR!E314</f>
        <v>1</v>
      </c>
      <c r="H314" s="34">
        <f t="shared" si="4"/>
        <v>1</v>
      </c>
      <c r="I314" t="s">
        <v>6587</v>
      </c>
      <c r="J314" s="63">
        <f>CALCULO_VR!J314</f>
        <v>5</v>
      </c>
      <c r="Q314" s="44">
        <f>CALCULO_VR!R314</f>
        <v>33.959123714669097</v>
      </c>
    </row>
    <row r="315" spans="1:17" x14ac:dyDescent="0.3">
      <c r="A315" s="34">
        <f>CALCULO_VR!A315</f>
        <v>3465997</v>
      </c>
      <c r="B315" s="34" t="str">
        <f>CALCULO_VR!B315</f>
        <v>MLPA</v>
      </c>
      <c r="C315" t="s">
        <v>1427</v>
      </c>
      <c r="D315" s="46">
        <f>CALCULO_VR!F315</f>
        <v>45467.720092592594</v>
      </c>
      <c r="E315" s="46">
        <f>CALCULO_VR!G315</f>
        <v>45478.720092592594</v>
      </c>
      <c r="F315" s="27">
        <f>CALCULO_VR!I315</f>
        <v>46440.22</v>
      </c>
      <c r="G315" s="34">
        <f>CALCULO_VR!E315</f>
        <v>1</v>
      </c>
      <c r="H315" s="34">
        <f t="shared" si="4"/>
        <v>1</v>
      </c>
      <c r="I315" t="s">
        <v>6587</v>
      </c>
      <c r="J315" s="63">
        <f>CALCULO_VR!J315</f>
        <v>10</v>
      </c>
      <c r="Q315" s="44">
        <f>CALCULO_VR!R315</f>
        <v>21.527880174837367</v>
      </c>
    </row>
    <row r="316" spans="1:17" x14ac:dyDescent="0.3">
      <c r="A316" s="34">
        <f>CALCULO_VR!A316</f>
        <v>3465993</v>
      </c>
      <c r="B316" s="34" t="str">
        <f>CALCULO_VR!B316</f>
        <v>MLPA</v>
      </c>
      <c r="C316" t="s">
        <v>1427</v>
      </c>
      <c r="D316" s="46">
        <f>CALCULO_VR!F316</f>
        <v>45466.727812500001</v>
      </c>
      <c r="E316" s="46">
        <f>CALCULO_VR!G316</f>
        <v>45478.727812500001</v>
      </c>
      <c r="F316" s="27">
        <f>CALCULO_VR!I316</f>
        <v>46440.22</v>
      </c>
      <c r="G316" s="34">
        <f>CALCULO_VR!E316</f>
        <v>1</v>
      </c>
      <c r="H316" s="34">
        <f t="shared" si="4"/>
        <v>1</v>
      </c>
      <c r="I316" t="s">
        <v>6587</v>
      </c>
      <c r="J316" s="63">
        <f>CALCULO_VR!J316</f>
        <v>10</v>
      </c>
      <c r="Q316" s="44">
        <f>CALCULO_VR!R316</f>
        <v>21.640247199103065</v>
      </c>
    </row>
    <row r="317" spans="1:17" x14ac:dyDescent="0.3">
      <c r="A317" s="34">
        <f>CALCULO_VR!A317</f>
        <v>3465921</v>
      </c>
      <c r="B317" s="34" t="str">
        <f>CALCULO_VR!B317</f>
        <v>MLPA</v>
      </c>
      <c r="C317" t="s">
        <v>1427</v>
      </c>
      <c r="D317" s="46">
        <f>CALCULO_VR!F317</f>
        <v>45465.73578703704</v>
      </c>
      <c r="E317" s="46">
        <f>CALCULO_VR!G317</f>
        <v>45478.73578703704</v>
      </c>
      <c r="F317" s="27">
        <f>CALCULO_VR!I317</f>
        <v>46440.22</v>
      </c>
      <c r="G317" s="34">
        <f>CALCULO_VR!E317</f>
        <v>1</v>
      </c>
      <c r="H317" s="34">
        <f t="shared" si="4"/>
        <v>1</v>
      </c>
      <c r="I317" t="s">
        <v>6587</v>
      </c>
      <c r="J317" s="63">
        <f>CALCULO_VR!J317</f>
        <v>10</v>
      </c>
      <c r="Q317" s="44">
        <f>CALCULO_VR!R317</f>
        <v>26.390054979141926</v>
      </c>
    </row>
    <row r="318" spans="1:17" x14ac:dyDescent="0.3">
      <c r="A318" s="34">
        <f>CALCULO_VR!A318</f>
        <v>3466652</v>
      </c>
      <c r="B318" s="34" t="str">
        <f>CALCULO_VR!B318</f>
        <v>MLPA</v>
      </c>
      <c r="C318" t="s">
        <v>1427</v>
      </c>
      <c r="D318" s="46">
        <f>CALCULO_VR!F318</f>
        <v>45466.663159722222</v>
      </c>
      <c r="E318" s="46">
        <f>CALCULO_VR!G318</f>
        <v>45481.663159722222</v>
      </c>
      <c r="F318" s="27">
        <f>CALCULO_VR!I318</f>
        <v>46440.22</v>
      </c>
      <c r="G318" s="34">
        <f>CALCULO_VR!E318</f>
        <v>1</v>
      </c>
      <c r="H318" s="34">
        <f t="shared" si="4"/>
        <v>1</v>
      </c>
      <c r="I318" t="s">
        <v>6587</v>
      </c>
      <c r="J318" s="63">
        <f>CALCULO_VR!J318</f>
        <v>10</v>
      </c>
      <c r="Q318" s="44">
        <f>CALCULO_VR!R318</f>
        <v>26.332793796982536</v>
      </c>
    </row>
    <row r="319" spans="1:17" x14ac:dyDescent="0.3">
      <c r="A319" s="34">
        <f>CALCULO_VR!A319</f>
        <v>3466659</v>
      </c>
      <c r="B319" s="34" t="str">
        <f>CALCULO_VR!B319</f>
        <v>MLPA</v>
      </c>
      <c r="C319" t="s">
        <v>1427</v>
      </c>
      <c r="D319" s="46">
        <f>CALCULO_VR!F319</f>
        <v>45470.684652777774</v>
      </c>
      <c r="E319" s="46">
        <f>CALCULO_VR!G319</f>
        <v>45481.684652777774</v>
      </c>
      <c r="F319" s="27">
        <f>CALCULO_VR!I319</f>
        <v>46440.22</v>
      </c>
      <c r="G319" s="34">
        <f>CALCULO_VR!E319</f>
        <v>1</v>
      </c>
      <c r="H319" s="34">
        <f t="shared" si="4"/>
        <v>1</v>
      </c>
      <c r="I319" t="s">
        <v>6587</v>
      </c>
      <c r="J319" s="63">
        <f>CALCULO_VR!J319</f>
        <v>10</v>
      </c>
      <c r="Q319" s="44">
        <f>CALCULO_VR!R319</f>
        <v>26.784300350662612</v>
      </c>
    </row>
    <row r="320" spans="1:17" x14ac:dyDescent="0.3">
      <c r="A320" s="34">
        <f>CALCULO_VR!A320</f>
        <v>3467059</v>
      </c>
      <c r="B320" s="34" t="str">
        <f>CALCULO_VR!B320</f>
        <v>MLPA</v>
      </c>
      <c r="C320" t="s">
        <v>1427</v>
      </c>
      <c r="D320" s="46">
        <f>CALCULO_VR!F320</f>
        <v>45457.463252314818</v>
      </c>
      <c r="E320" s="46">
        <f>CALCULO_VR!G320</f>
        <v>45469.463252314818</v>
      </c>
      <c r="F320" s="27">
        <f>CALCULO_VR!I320</f>
        <v>46440.22</v>
      </c>
      <c r="G320" s="34">
        <f>CALCULO_VR!E320</f>
        <v>1</v>
      </c>
      <c r="H320" s="34">
        <f t="shared" si="4"/>
        <v>1</v>
      </c>
      <c r="I320" t="s">
        <v>6587</v>
      </c>
      <c r="J320" s="63">
        <f>CALCULO_VR!J320</f>
        <v>10</v>
      </c>
      <c r="Q320" s="44">
        <f>CALCULO_VR!R320</f>
        <v>28.692086484404353</v>
      </c>
    </row>
    <row r="321" spans="1:17" x14ac:dyDescent="0.3">
      <c r="A321" s="34">
        <f>CALCULO_VR!A321</f>
        <v>3464240</v>
      </c>
      <c r="B321" s="34" t="str">
        <f>CALCULO_VR!B321</f>
        <v>MLPA</v>
      </c>
      <c r="C321" t="s">
        <v>923</v>
      </c>
      <c r="D321" s="46">
        <f>CALCULO_VR!F321</f>
        <v>45441.68246527778</v>
      </c>
      <c r="E321" s="46">
        <f>CALCULO_VR!G321</f>
        <v>45454.68246527778</v>
      </c>
      <c r="F321" s="27">
        <f>CALCULO_VR!I321</f>
        <v>46440.22</v>
      </c>
      <c r="G321" s="34">
        <f>CALCULO_VR!E321</f>
        <v>1</v>
      </c>
      <c r="H321" s="34">
        <f t="shared" si="4"/>
        <v>1</v>
      </c>
      <c r="I321" t="s">
        <v>6587</v>
      </c>
      <c r="J321" s="63">
        <f>CALCULO_VR!J321</f>
        <v>6</v>
      </c>
      <c r="Q321" s="44">
        <f>CALCULO_VR!R321</f>
        <v>75.577405510275184</v>
      </c>
    </row>
    <row r="322" spans="1:17" x14ac:dyDescent="0.3">
      <c r="A322" s="34">
        <f>CALCULO_VR!A322</f>
        <v>3466845</v>
      </c>
      <c r="B322" s="34" t="str">
        <f>CALCULO_VR!B322</f>
        <v>MLPA</v>
      </c>
      <c r="C322" t="s">
        <v>1427</v>
      </c>
      <c r="D322" s="46">
        <f>CALCULO_VR!F322</f>
        <v>45454.659236111111</v>
      </c>
      <c r="E322" s="46">
        <f>CALCULO_VR!G322</f>
        <v>45469.659236111111</v>
      </c>
      <c r="F322" s="27">
        <f>CALCULO_VR!I322</f>
        <v>46440.22</v>
      </c>
      <c r="G322" s="34">
        <f>CALCULO_VR!E322</f>
        <v>1</v>
      </c>
      <c r="H322" s="34">
        <f t="shared" si="4"/>
        <v>1</v>
      </c>
      <c r="I322" t="s">
        <v>6587</v>
      </c>
      <c r="J322" s="63">
        <f>CALCULO_VR!J322</f>
        <v>10</v>
      </c>
      <c r="Q322" s="44">
        <f>CALCULO_VR!R322</f>
        <v>38.582812594376115</v>
      </c>
    </row>
    <row r="323" spans="1:17" x14ac:dyDescent="0.3">
      <c r="A323" s="34">
        <f>CALCULO_VR!A323</f>
        <v>3467576</v>
      </c>
      <c r="B323" s="34" t="str">
        <f>CALCULO_VR!B323</f>
        <v>MLPA</v>
      </c>
      <c r="C323" t="s">
        <v>942</v>
      </c>
      <c r="D323" s="46">
        <f>CALCULO_VR!F323</f>
        <v>45465.757939814815</v>
      </c>
      <c r="E323" s="46">
        <f>CALCULO_VR!G323</f>
        <v>45481.757939814815</v>
      </c>
      <c r="F323" s="27">
        <f>CALCULO_VR!I323</f>
        <v>39252.620000000003</v>
      </c>
      <c r="G323" s="34">
        <f>CALCULO_VR!E323</f>
        <v>1</v>
      </c>
      <c r="H323" s="34">
        <f t="shared" si="4"/>
        <v>1</v>
      </c>
      <c r="I323" t="s">
        <v>6587</v>
      </c>
      <c r="J323" s="63">
        <f>CALCULO_VR!J323</f>
        <v>1</v>
      </c>
      <c r="Q323" s="44">
        <f>CALCULO_VR!R323</f>
        <v>30.21236311408396</v>
      </c>
    </row>
    <row r="324" spans="1:17" x14ac:dyDescent="0.3">
      <c r="A324" s="34">
        <f>CALCULO_VR!A324</f>
        <v>3467514</v>
      </c>
      <c r="B324" s="34" t="str">
        <f>CALCULO_VR!B324</f>
        <v>MLPA</v>
      </c>
      <c r="C324" t="s">
        <v>942</v>
      </c>
      <c r="D324" s="46">
        <f>CALCULO_VR!F324</f>
        <v>45470.437361111108</v>
      </c>
      <c r="E324" s="46">
        <f>CALCULO_VR!G324</f>
        <v>45481.437361111108</v>
      </c>
      <c r="F324" s="27">
        <f>CALCULO_VR!I324</f>
        <v>39252.620000000003</v>
      </c>
      <c r="G324" s="34">
        <f>CALCULO_VR!E324</f>
        <v>1</v>
      </c>
      <c r="H324" s="34">
        <f t="shared" si="4"/>
        <v>1</v>
      </c>
      <c r="I324" t="s">
        <v>6587</v>
      </c>
      <c r="J324" s="63">
        <f>CALCULO_VR!J324</f>
        <v>1</v>
      </c>
      <c r="Q324" s="44">
        <f>CALCULO_VR!R324</f>
        <v>30.658822243590905</v>
      </c>
    </row>
    <row r="325" spans="1:17" x14ac:dyDescent="0.3">
      <c r="A325" s="34">
        <f>CALCULO_VR!A325</f>
        <v>3467510</v>
      </c>
      <c r="B325" s="34" t="str">
        <f>CALCULO_VR!B325</f>
        <v>MLPA</v>
      </c>
      <c r="C325" t="s">
        <v>942</v>
      </c>
      <c r="D325" s="46">
        <f>CALCULO_VR!F325</f>
        <v>45469.398564814815</v>
      </c>
      <c r="E325" s="46">
        <f>CALCULO_VR!G325</f>
        <v>45481.398564814815</v>
      </c>
      <c r="F325" s="27">
        <f>CALCULO_VR!I325</f>
        <v>39252.620000000003</v>
      </c>
      <c r="G325" s="34">
        <f>CALCULO_VR!E325</f>
        <v>1</v>
      </c>
      <c r="H325" s="34">
        <f t="shared" ref="H325:H388" si="5">G325</f>
        <v>1</v>
      </c>
      <c r="I325" t="s">
        <v>6587</v>
      </c>
      <c r="J325" s="63">
        <f>CALCULO_VR!J325</f>
        <v>1</v>
      </c>
      <c r="Q325" s="44">
        <f>CALCULO_VR!R325</f>
        <v>29.748677981909008</v>
      </c>
    </row>
    <row r="326" spans="1:17" x14ac:dyDescent="0.3">
      <c r="A326" s="34">
        <f>CALCULO_VR!A326</f>
        <v>3467571</v>
      </c>
      <c r="B326" s="34" t="str">
        <f>CALCULO_VR!B326</f>
        <v>MLPA</v>
      </c>
      <c r="C326" t="s">
        <v>942</v>
      </c>
      <c r="D326" s="46">
        <f>CALCULO_VR!F326</f>
        <v>45468.752939814818</v>
      </c>
      <c r="E326" s="46">
        <f>CALCULO_VR!G326</f>
        <v>45481.752939814818</v>
      </c>
      <c r="F326" s="27">
        <f>CALCULO_VR!I326</f>
        <v>39252.620000000003</v>
      </c>
      <c r="G326" s="34">
        <f>CALCULO_VR!E326</f>
        <v>1</v>
      </c>
      <c r="H326" s="34">
        <f t="shared" si="5"/>
        <v>1</v>
      </c>
      <c r="I326" t="s">
        <v>6587</v>
      </c>
      <c r="J326" s="63">
        <f>CALCULO_VR!J326</f>
        <v>1</v>
      </c>
      <c r="Q326" s="44">
        <f>CALCULO_VR!R326</f>
        <v>30.097679702769028</v>
      </c>
    </row>
    <row r="327" spans="1:17" x14ac:dyDescent="0.3">
      <c r="A327" s="34">
        <f>CALCULO_VR!A327</f>
        <v>3467566</v>
      </c>
      <c r="B327" s="34" t="str">
        <f>CALCULO_VR!B327</f>
        <v>MLPA</v>
      </c>
      <c r="C327" t="s">
        <v>942</v>
      </c>
      <c r="D327" s="46">
        <f>CALCULO_VR!F327</f>
        <v>45466.744340277779</v>
      </c>
      <c r="E327" s="46">
        <f>CALCULO_VR!G327</f>
        <v>45481.744340277779</v>
      </c>
      <c r="F327" s="27">
        <f>CALCULO_VR!I327</f>
        <v>39252.620000000003</v>
      </c>
      <c r="G327" s="34">
        <f>CALCULO_VR!E327</f>
        <v>1</v>
      </c>
      <c r="H327" s="34">
        <f t="shared" si="5"/>
        <v>1</v>
      </c>
      <c r="I327" t="s">
        <v>6587</v>
      </c>
      <c r="J327" s="63">
        <f>CALCULO_VR!J327</f>
        <v>1</v>
      </c>
      <c r="Q327" s="44">
        <f>CALCULO_VR!R327</f>
        <v>29.511903275357753</v>
      </c>
    </row>
    <row r="328" spans="1:17" x14ac:dyDescent="0.3">
      <c r="A328" s="34">
        <f>CALCULO_VR!A328</f>
        <v>3467520</v>
      </c>
      <c r="B328" s="34" t="str">
        <f>CALCULO_VR!B328</f>
        <v>MLPA</v>
      </c>
      <c r="C328" t="s">
        <v>942</v>
      </c>
      <c r="D328" s="46">
        <f>CALCULO_VR!F328</f>
        <v>45470.424976851849</v>
      </c>
      <c r="E328" s="46">
        <f>CALCULO_VR!G328</f>
        <v>45481.424976851849</v>
      </c>
      <c r="F328" s="27">
        <f>CALCULO_VR!I328</f>
        <v>39252.620000000003</v>
      </c>
      <c r="G328" s="34">
        <f>CALCULO_VR!E328</f>
        <v>1</v>
      </c>
      <c r="H328" s="34">
        <f t="shared" si="5"/>
        <v>1</v>
      </c>
      <c r="I328" t="s">
        <v>6587</v>
      </c>
      <c r="J328" s="63">
        <f>CALCULO_VR!J328</f>
        <v>1</v>
      </c>
      <c r="Q328" s="44">
        <f>CALCULO_VR!R328</f>
        <v>30.75807847385714</v>
      </c>
    </row>
    <row r="329" spans="1:17" x14ac:dyDescent="0.3">
      <c r="A329" s="34">
        <f>CALCULO_VR!A329</f>
        <v>3468366</v>
      </c>
      <c r="B329" s="34" t="str">
        <f>CALCULO_VR!B329</f>
        <v>MLPA</v>
      </c>
      <c r="C329" t="s">
        <v>1452</v>
      </c>
      <c r="D329" s="46">
        <f>CALCULO_VR!F329</f>
        <v>45470.645682870374</v>
      </c>
      <c r="E329" s="46">
        <f>CALCULO_VR!G329</f>
        <v>45482.645682870374</v>
      </c>
      <c r="F329" s="27">
        <f>CALCULO_VR!I329</f>
        <v>39252.620000000003</v>
      </c>
      <c r="G329" s="34">
        <f>CALCULO_VR!E329</f>
        <v>1</v>
      </c>
      <c r="H329" s="34">
        <f t="shared" si="5"/>
        <v>1</v>
      </c>
      <c r="I329" t="s">
        <v>6587</v>
      </c>
      <c r="J329" s="63">
        <f>CALCULO_VR!J329</f>
        <v>14</v>
      </c>
      <c r="Q329" s="44">
        <f>CALCULO_VR!R329</f>
        <v>12.99108311256097</v>
      </c>
    </row>
    <row r="330" spans="1:17" x14ac:dyDescent="0.3">
      <c r="A330" s="34">
        <f>CALCULO_VR!A330</f>
        <v>3468368</v>
      </c>
      <c r="B330" s="34" t="str">
        <f>CALCULO_VR!B330</f>
        <v>MLPA</v>
      </c>
      <c r="C330" t="s">
        <v>1452</v>
      </c>
      <c r="D330" s="46">
        <f>CALCULO_VR!F330</f>
        <v>45469.601157407407</v>
      </c>
      <c r="E330" s="46">
        <f>CALCULO_VR!G330</f>
        <v>45482.601157407407</v>
      </c>
      <c r="F330" s="27">
        <f>CALCULO_VR!I330</f>
        <v>39252.620000000003</v>
      </c>
      <c r="G330" s="34">
        <f>CALCULO_VR!E330</f>
        <v>1</v>
      </c>
      <c r="H330" s="34">
        <f t="shared" si="5"/>
        <v>1</v>
      </c>
      <c r="I330" t="s">
        <v>6587</v>
      </c>
      <c r="J330" s="63">
        <f>CALCULO_VR!J330</f>
        <v>14</v>
      </c>
      <c r="Q330" s="44">
        <f>CALCULO_VR!R330</f>
        <v>18.514195401311227</v>
      </c>
    </row>
    <row r="331" spans="1:17" x14ac:dyDescent="0.3">
      <c r="A331" s="34">
        <f>CALCULO_VR!A331</f>
        <v>3468187</v>
      </c>
      <c r="B331" s="34" t="str">
        <f>CALCULO_VR!B331</f>
        <v>MLPA</v>
      </c>
      <c r="C331" t="s">
        <v>1011</v>
      </c>
      <c r="D331" s="46">
        <f>CALCULO_VR!F331</f>
        <v>45468.64806712963</v>
      </c>
      <c r="E331" s="46">
        <f>CALCULO_VR!G331</f>
        <v>45483.64806712963</v>
      </c>
      <c r="F331" s="27">
        <f>CALCULO_VR!I331</f>
        <v>39252.620000000003</v>
      </c>
      <c r="G331" s="34">
        <f>CALCULO_VR!E331</f>
        <v>1</v>
      </c>
      <c r="H331" s="34">
        <f t="shared" si="5"/>
        <v>1</v>
      </c>
      <c r="I331" t="s">
        <v>6587</v>
      </c>
      <c r="J331" s="63">
        <f>CALCULO_VR!J331</f>
        <v>15</v>
      </c>
      <c r="Q331" s="44">
        <f>CALCULO_VR!R331</f>
        <v>17.563469972041613</v>
      </c>
    </row>
    <row r="332" spans="1:17" x14ac:dyDescent="0.3">
      <c r="A332" s="34">
        <f>CALCULO_VR!A332</f>
        <v>3470588</v>
      </c>
      <c r="B332" s="34" t="str">
        <f>CALCULO_VR!B332</f>
        <v>MLPA</v>
      </c>
      <c r="C332" t="s">
        <v>1001</v>
      </c>
      <c r="D332" s="46">
        <f>CALCULO_VR!F332</f>
        <v>45462.594930555555</v>
      </c>
      <c r="E332" s="46">
        <f>CALCULO_VR!G332</f>
        <v>45478.594930555555</v>
      </c>
      <c r="F332" s="27">
        <f>CALCULO_VR!I332</f>
        <v>39252.620000000003</v>
      </c>
      <c r="G332" s="34">
        <f>CALCULO_VR!E332</f>
        <v>1</v>
      </c>
      <c r="H332" s="34">
        <f t="shared" si="5"/>
        <v>1</v>
      </c>
      <c r="I332" t="s">
        <v>6587</v>
      </c>
      <c r="J332" s="63">
        <f>CALCULO_VR!J332</f>
        <v>4</v>
      </c>
      <c r="Q332" s="44">
        <f>CALCULO_VR!R332</f>
        <v>17.923814103233347</v>
      </c>
    </row>
    <row r="333" spans="1:17" x14ac:dyDescent="0.3">
      <c r="A333" s="34">
        <f>CALCULO_VR!A333</f>
        <v>3468416</v>
      </c>
      <c r="B333" s="34" t="str">
        <f>CALCULO_VR!B333</f>
        <v>MLPA</v>
      </c>
      <c r="C333" t="s">
        <v>1001</v>
      </c>
      <c r="D333" s="46">
        <f>CALCULO_VR!F333</f>
        <v>45470.445648148147</v>
      </c>
      <c r="E333" s="46">
        <f>CALCULO_VR!G333</f>
        <v>45481.445648148147</v>
      </c>
      <c r="F333" s="27">
        <f>CALCULO_VR!I333</f>
        <v>39252.620000000003</v>
      </c>
      <c r="G333" s="34">
        <f>CALCULO_VR!E333</f>
        <v>1</v>
      </c>
      <c r="H333" s="34">
        <f t="shared" si="5"/>
        <v>1</v>
      </c>
      <c r="I333" t="s">
        <v>6587</v>
      </c>
      <c r="J333" s="63">
        <f>CALCULO_VR!J333</f>
        <v>4</v>
      </c>
      <c r="Q333" s="44">
        <f>CALCULO_VR!R333</f>
        <v>10.620462614137072</v>
      </c>
    </row>
    <row r="334" spans="1:17" x14ac:dyDescent="0.3">
      <c r="A334" s="34">
        <f>CALCULO_VR!A334</f>
        <v>3468192</v>
      </c>
      <c r="B334" s="34" t="str">
        <f>CALCULO_VR!B334</f>
        <v>MLPA</v>
      </c>
      <c r="C334" t="s">
        <v>1011</v>
      </c>
      <c r="D334" s="46">
        <f>CALCULO_VR!F334</f>
        <v>45471.614699074074</v>
      </c>
      <c r="E334" s="46">
        <f>CALCULO_VR!G334</f>
        <v>45483.614699074074</v>
      </c>
      <c r="F334" s="27">
        <f>CALCULO_VR!I334</f>
        <v>39252.620000000003</v>
      </c>
      <c r="G334" s="34">
        <f>CALCULO_VR!E334</f>
        <v>1</v>
      </c>
      <c r="H334" s="34">
        <f t="shared" si="5"/>
        <v>1</v>
      </c>
      <c r="I334" t="s">
        <v>6587</v>
      </c>
      <c r="J334" s="63">
        <f>CALCULO_VR!J334</f>
        <v>15</v>
      </c>
      <c r="Q334" s="44">
        <f>CALCULO_VR!R334</f>
        <v>18.673519868716408</v>
      </c>
    </row>
    <row r="335" spans="1:17" x14ac:dyDescent="0.3">
      <c r="A335" s="34">
        <f>CALCULO_VR!A335</f>
        <v>3468372</v>
      </c>
      <c r="B335" s="34" t="str">
        <f>CALCULO_VR!B335</f>
        <v>MLPA</v>
      </c>
      <c r="C335" t="s">
        <v>1011</v>
      </c>
      <c r="D335" s="46">
        <f>CALCULO_VR!F335</f>
        <v>45469.45989583333</v>
      </c>
      <c r="E335" s="46">
        <f>CALCULO_VR!G335</f>
        <v>45482.45989583333</v>
      </c>
      <c r="F335" s="27">
        <f>CALCULO_VR!I335</f>
        <v>39252.620000000003</v>
      </c>
      <c r="G335" s="34">
        <f>CALCULO_VR!E335</f>
        <v>1</v>
      </c>
      <c r="H335" s="34">
        <f t="shared" si="5"/>
        <v>1</v>
      </c>
      <c r="I335" t="s">
        <v>6587</v>
      </c>
      <c r="J335" s="63">
        <f>CALCULO_VR!J335</f>
        <v>15</v>
      </c>
      <c r="Q335" s="44">
        <f>CALCULO_VR!R335</f>
        <v>15.849844780576021</v>
      </c>
    </row>
    <row r="336" spans="1:17" x14ac:dyDescent="0.3">
      <c r="A336" s="34">
        <f>CALCULO_VR!A336</f>
        <v>3468369</v>
      </c>
      <c r="B336" s="34" t="str">
        <f>CALCULO_VR!B336</f>
        <v>MLPA</v>
      </c>
      <c r="C336" t="s">
        <v>1011</v>
      </c>
      <c r="D336" s="46">
        <f>CALCULO_VR!F336</f>
        <v>45467.469351851854</v>
      </c>
      <c r="E336" s="46">
        <f>CALCULO_VR!G336</f>
        <v>45482.469351851854</v>
      </c>
      <c r="F336" s="27">
        <f>CALCULO_VR!I336</f>
        <v>39252.620000000003</v>
      </c>
      <c r="G336" s="34">
        <f>CALCULO_VR!E336</f>
        <v>1</v>
      </c>
      <c r="H336" s="34">
        <f t="shared" si="5"/>
        <v>1</v>
      </c>
      <c r="I336" t="s">
        <v>6587</v>
      </c>
      <c r="J336" s="63">
        <f>CALCULO_VR!J336</f>
        <v>15</v>
      </c>
      <c r="Q336" s="44">
        <f>CALCULO_VR!R336</f>
        <v>15.962265257578583</v>
      </c>
    </row>
    <row r="337" spans="1:17" x14ac:dyDescent="0.3">
      <c r="A337" s="34">
        <f>CALCULO_VR!A337</f>
        <v>3468186</v>
      </c>
      <c r="B337" s="34" t="str">
        <f>CALCULO_VR!B337</f>
        <v>MLPA</v>
      </c>
      <c r="C337" t="s">
        <v>1011</v>
      </c>
      <c r="D337" s="46">
        <f>CALCULO_VR!F337</f>
        <v>45472.654224537036</v>
      </c>
      <c r="E337" s="46">
        <f>CALCULO_VR!G337</f>
        <v>45483.654224537036</v>
      </c>
      <c r="F337" s="27">
        <f>CALCULO_VR!I337</f>
        <v>39252.620000000003</v>
      </c>
      <c r="G337" s="34">
        <f>CALCULO_VR!E337</f>
        <v>1</v>
      </c>
      <c r="H337" s="34">
        <f t="shared" si="5"/>
        <v>1</v>
      </c>
      <c r="I337" t="s">
        <v>6587</v>
      </c>
      <c r="J337" s="63">
        <f>CALCULO_VR!J337</f>
        <v>15</v>
      </c>
      <c r="Q337" s="44">
        <f>CALCULO_VR!R337</f>
        <v>17.567451086977535</v>
      </c>
    </row>
    <row r="338" spans="1:17" x14ac:dyDescent="0.3">
      <c r="A338" s="34">
        <f>CALCULO_VR!A338</f>
        <v>3468641</v>
      </c>
      <c r="B338" s="34" t="str">
        <f>CALCULO_VR!B338</f>
        <v>MLPA</v>
      </c>
      <c r="C338" t="s">
        <v>1452</v>
      </c>
      <c r="D338" s="46">
        <f>CALCULO_VR!F338</f>
        <v>45466.395740740743</v>
      </c>
      <c r="E338" s="46">
        <f>CALCULO_VR!G338</f>
        <v>45478.395740740743</v>
      </c>
      <c r="F338" s="27">
        <f>CALCULO_VR!I338</f>
        <v>39252.620000000003</v>
      </c>
      <c r="G338" s="34">
        <f>CALCULO_VR!E338</f>
        <v>1</v>
      </c>
      <c r="H338" s="34">
        <f t="shared" si="5"/>
        <v>1</v>
      </c>
      <c r="I338" t="s">
        <v>6587</v>
      </c>
      <c r="J338" s="63">
        <f>CALCULO_VR!J338</f>
        <v>14</v>
      </c>
      <c r="Q338" s="44">
        <f>CALCULO_VR!R338</f>
        <v>13.092696056015216</v>
      </c>
    </row>
    <row r="339" spans="1:17" x14ac:dyDescent="0.3">
      <c r="A339" s="34">
        <f>CALCULO_VR!A339</f>
        <v>3468199</v>
      </c>
      <c r="B339" s="34" t="str">
        <f>CALCULO_VR!B339</f>
        <v>MLPA</v>
      </c>
      <c r="C339" t="s">
        <v>1452</v>
      </c>
      <c r="D339" s="46">
        <f>CALCULO_VR!F339</f>
        <v>45469.664641203701</v>
      </c>
      <c r="E339" s="46">
        <f>CALCULO_VR!G339</f>
        <v>45482.664641203701</v>
      </c>
      <c r="F339" s="27">
        <f>CALCULO_VR!I339</f>
        <v>39252.620000000003</v>
      </c>
      <c r="G339" s="34">
        <f>CALCULO_VR!E339</f>
        <v>1</v>
      </c>
      <c r="H339" s="34">
        <f t="shared" si="5"/>
        <v>1</v>
      </c>
      <c r="I339" t="s">
        <v>6587</v>
      </c>
      <c r="J339" s="63">
        <f>CALCULO_VR!J339</f>
        <v>14</v>
      </c>
      <c r="Q339" s="44">
        <f>CALCULO_VR!R339</f>
        <v>12.980918263225544</v>
      </c>
    </row>
    <row r="340" spans="1:17" x14ac:dyDescent="0.3">
      <c r="A340" s="34">
        <f>CALCULO_VR!A340</f>
        <v>3468630</v>
      </c>
      <c r="B340" s="34" t="str">
        <f>CALCULO_VR!B340</f>
        <v>MLPA</v>
      </c>
      <c r="C340" t="s">
        <v>1452</v>
      </c>
      <c r="D340" s="46">
        <f>CALCULO_VR!F340</f>
        <v>45463.424340277779</v>
      </c>
      <c r="E340" s="46">
        <f>CALCULO_VR!G340</f>
        <v>45478.424340277779</v>
      </c>
      <c r="F340" s="27">
        <f>CALCULO_VR!I340</f>
        <v>39252.620000000003</v>
      </c>
      <c r="G340" s="34">
        <f>CALCULO_VR!E340</f>
        <v>1</v>
      </c>
      <c r="H340" s="34">
        <f t="shared" si="5"/>
        <v>1</v>
      </c>
      <c r="I340" t="s">
        <v>6587</v>
      </c>
      <c r="J340" s="63">
        <f>CALCULO_VR!J340</f>
        <v>14</v>
      </c>
      <c r="Q340" s="44">
        <f>CALCULO_VR!R340</f>
        <v>12.987386106809948</v>
      </c>
    </row>
    <row r="341" spans="1:17" x14ac:dyDescent="0.3">
      <c r="A341" s="34">
        <f>CALCULO_VR!A341</f>
        <v>3468584</v>
      </c>
      <c r="B341" s="34" t="str">
        <f>CALCULO_VR!B341</f>
        <v>MLPA</v>
      </c>
      <c r="C341" t="s">
        <v>1011</v>
      </c>
      <c r="D341" s="46">
        <f>CALCULO_VR!F341</f>
        <v>45462.433252314811</v>
      </c>
      <c r="E341" s="46">
        <f>CALCULO_VR!G341</f>
        <v>45478.433252314811</v>
      </c>
      <c r="F341" s="27">
        <f>CALCULO_VR!I341</f>
        <v>39252.620000000003</v>
      </c>
      <c r="G341" s="34">
        <f>CALCULO_VR!E341</f>
        <v>1</v>
      </c>
      <c r="H341" s="34">
        <f t="shared" si="5"/>
        <v>1</v>
      </c>
      <c r="I341" t="s">
        <v>6587</v>
      </c>
      <c r="J341" s="63">
        <f>CALCULO_VR!J341</f>
        <v>15</v>
      </c>
      <c r="Q341" s="44">
        <f>CALCULO_VR!R341</f>
        <v>29.835905271812557</v>
      </c>
    </row>
    <row r="342" spans="1:17" x14ac:dyDescent="0.3">
      <c r="A342" s="34">
        <f>CALCULO_VR!A342</f>
        <v>3468323</v>
      </c>
      <c r="B342" s="34" t="str">
        <f>CALCULO_VR!B342</f>
        <v>MLPA</v>
      </c>
      <c r="C342" t="s">
        <v>1452</v>
      </c>
      <c r="D342" s="46">
        <f>CALCULO_VR!F342</f>
        <v>45471.69259259259</v>
      </c>
      <c r="E342" s="46">
        <f>CALCULO_VR!G342</f>
        <v>45482.69259259259</v>
      </c>
      <c r="F342" s="27">
        <f>CALCULO_VR!I342</f>
        <v>39252.620000000003</v>
      </c>
      <c r="G342" s="34">
        <f>CALCULO_VR!E342</f>
        <v>1</v>
      </c>
      <c r="H342" s="34">
        <f t="shared" si="5"/>
        <v>1</v>
      </c>
      <c r="I342" t="s">
        <v>6587</v>
      </c>
      <c r="J342" s="63">
        <f>CALCULO_VR!J342</f>
        <v>14</v>
      </c>
      <c r="Q342" s="44">
        <f>CALCULO_VR!R342</f>
        <v>13.042829037155064</v>
      </c>
    </row>
    <row r="343" spans="1:17" x14ac:dyDescent="0.3">
      <c r="A343" s="34">
        <f>CALCULO_VR!A343</f>
        <v>3468381</v>
      </c>
      <c r="B343" s="34" t="str">
        <f>CALCULO_VR!B343</f>
        <v>MLPA</v>
      </c>
      <c r="C343" t="s">
        <v>1011</v>
      </c>
      <c r="D343" s="46">
        <f>CALCULO_VR!F343</f>
        <v>45470.435833333337</v>
      </c>
      <c r="E343" s="46">
        <f>CALCULO_VR!G343</f>
        <v>45482.435833333337</v>
      </c>
      <c r="F343" s="27">
        <f>CALCULO_VR!I343</f>
        <v>39252.620000000003</v>
      </c>
      <c r="G343" s="34">
        <f>CALCULO_VR!E343</f>
        <v>1</v>
      </c>
      <c r="H343" s="34">
        <f t="shared" si="5"/>
        <v>1</v>
      </c>
      <c r="I343" t="s">
        <v>6587</v>
      </c>
      <c r="J343" s="63">
        <f>CALCULO_VR!J343</f>
        <v>15</v>
      </c>
      <c r="Q343" s="44">
        <f>CALCULO_VR!R343</f>
        <v>19.800358536075315</v>
      </c>
    </row>
    <row r="344" spans="1:17" x14ac:dyDescent="0.3">
      <c r="A344" s="34">
        <f>CALCULO_VR!A344</f>
        <v>3468322</v>
      </c>
      <c r="B344" s="34" t="str">
        <f>CALCULO_VR!B344</f>
        <v>MLPA</v>
      </c>
      <c r="C344" t="s">
        <v>1452</v>
      </c>
      <c r="D344" s="46">
        <f>CALCULO_VR!F344</f>
        <v>45469.701921296299</v>
      </c>
      <c r="E344" s="46">
        <f>CALCULO_VR!G344</f>
        <v>45482.701921296299</v>
      </c>
      <c r="F344" s="27">
        <f>CALCULO_VR!I344</f>
        <v>39252.620000000003</v>
      </c>
      <c r="G344" s="34">
        <f>CALCULO_VR!E344</f>
        <v>1</v>
      </c>
      <c r="H344" s="34">
        <f t="shared" si="5"/>
        <v>1</v>
      </c>
      <c r="I344" t="s">
        <v>6587</v>
      </c>
      <c r="J344" s="63">
        <f>CALCULO_VR!J344</f>
        <v>14</v>
      </c>
      <c r="Q344" s="44">
        <f>CALCULO_VR!R344</f>
        <v>12.979139168623671</v>
      </c>
    </row>
    <row r="345" spans="1:17" x14ac:dyDescent="0.3">
      <c r="A345" s="34">
        <f>CALCULO_VR!A345</f>
        <v>3468632</v>
      </c>
      <c r="B345" s="34" t="str">
        <f>CALCULO_VR!B345</f>
        <v>MLPA</v>
      </c>
      <c r="C345" t="s">
        <v>1452</v>
      </c>
      <c r="D345" s="46">
        <f>CALCULO_VR!F345</f>
        <v>45463.417592592596</v>
      </c>
      <c r="E345" s="46">
        <f>CALCULO_VR!G345</f>
        <v>45478.417592592596</v>
      </c>
      <c r="F345" s="27">
        <f>CALCULO_VR!I345</f>
        <v>39252.620000000003</v>
      </c>
      <c r="G345" s="34">
        <f>CALCULO_VR!E345</f>
        <v>1</v>
      </c>
      <c r="H345" s="34">
        <f t="shared" si="5"/>
        <v>1</v>
      </c>
      <c r="I345" t="s">
        <v>6587</v>
      </c>
      <c r="J345" s="63">
        <f>CALCULO_VR!J345</f>
        <v>14</v>
      </c>
      <c r="Q345" s="44">
        <f>CALCULO_VR!R345</f>
        <v>13.107501372272385</v>
      </c>
    </row>
    <row r="346" spans="1:17" x14ac:dyDescent="0.3">
      <c r="A346" s="34">
        <f>CALCULO_VR!A346</f>
        <v>3468585</v>
      </c>
      <c r="B346" s="34" t="str">
        <f>CALCULO_VR!B346</f>
        <v>MLPA</v>
      </c>
      <c r="C346" t="s">
        <v>1011</v>
      </c>
      <c r="D346" s="46">
        <f>CALCULO_VR!F346</f>
        <v>45470.732141203705</v>
      </c>
      <c r="E346" s="46">
        <f>CALCULO_VR!G346</f>
        <v>45481.732141203705</v>
      </c>
      <c r="F346" s="27">
        <f>CALCULO_VR!I346</f>
        <v>39252.620000000003</v>
      </c>
      <c r="G346" s="34">
        <f>CALCULO_VR!E346</f>
        <v>1</v>
      </c>
      <c r="H346" s="34">
        <f t="shared" si="5"/>
        <v>1</v>
      </c>
      <c r="I346" t="s">
        <v>6587</v>
      </c>
      <c r="J346" s="63">
        <f>CALCULO_VR!J346</f>
        <v>15</v>
      </c>
      <c r="Q346" s="44">
        <f>CALCULO_VR!R346</f>
        <v>19.7769291654235</v>
      </c>
    </row>
    <row r="347" spans="1:17" x14ac:dyDescent="0.3">
      <c r="A347" s="34">
        <f>CALCULO_VR!A347</f>
        <v>3468384</v>
      </c>
      <c r="B347" s="34" t="str">
        <f>CALCULO_VR!B347</f>
        <v>MLPA</v>
      </c>
      <c r="C347" t="s">
        <v>1001</v>
      </c>
      <c r="D347" s="46">
        <f>CALCULO_VR!F347</f>
        <v>45470.408206018517</v>
      </c>
      <c r="E347" s="46">
        <f>CALCULO_VR!G347</f>
        <v>45482.408206018517</v>
      </c>
      <c r="F347" s="27">
        <f>CALCULO_VR!I347</f>
        <v>39252.620000000003</v>
      </c>
      <c r="G347" s="34">
        <f>CALCULO_VR!E347</f>
        <v>1</v>
      </c>
      <c r="H347" s="34">
        <f t="shared" si="5"/>
        <v>1</v>
      </c>
      <c r="I347" t="s">
        <v>6587</v>
      </c>
      <c r="J347" s="63">
        <f>CALCULO_VR!J347</f>
        <v>4</v>
      </c>
      <c r="Q347" s="44">
        <f>CALCULO_VR!R347</f>
        <v>17.858027619010961</v>
      </c>
    </row>
    <row r="348" spans="1:17" x14ac:dyDescent="0.3">
      <c r="A348" s="34">
        <f>CALCULO_VR!A348</f>
        <v>3468371</v>
      </c>
      <c r="B348" s="34" t="str">
        <f>CALCULO_VR!B348</f>
        <v>MLPA</v>
      </c>
      <c r="C348" t="s">
        <v>1011</v>
      </c>
      <c r="D348" s="46">
        <f>CALCULO_VR!F348</f>
        <v>45469.464270833334</v>
      </c>
      <c r="E348" s="46">
        <f>CALCULO_VR!G348</f>
        <v>45482.464270833334</v>
      </c>
      <c r="F348" s="27">
        <f>CALCULO_VR!I348</f>
        <v>39252.620000000003</v>
      </c>
      <c r="G348" s="34">
        <f>CALCULO_VR!E348</f>
        <v>1</v>
      </c>
      <c r="H348" s="34">
        <f t="shared" si="5"/>
        <v>1</v>
      </c>
      <c r="I348" t="s">
        <v>6587</v>
      </c>
      <c r="J348" s="63">
        <f>CALCULO_VR!J348</f>
        <v>15</v>
      </c>
      <c r="Q348" s="44">
        <f>CALCULO_VR!R348</f>
        <v>15.7190469665411</v>
      </c>
    </row>
    <row r="349" spans="1:17" x14ac:dyDescent="0.3">
      <c r="A349" s="34">
        <f>CALCULO_VR!A349</f>
        <v>3468198</v>
      </c>
      <c r="B349" s="34" t="str">
        <f>CALCULO_VR!B349</f>
        <v>MLPA</v>
      </c>
      <c r="C349" t="s">
        <v>1011</v>
      </c>
      <c r="D349" s="46">
        <f>CALCULO_VR!F349</f>
        <v>45468.354583333334</v>
      </c>
      <c r="E349" s="46">
        <f>CALCULO_VR!G349</f>
        <v>45483.354583333334</v>
      </c>
      <c r="F349" s="27">
        <f>CALCULO_VR!I349</f>
        <v>39252.620000000003</v>
      </c>
      <c r="G349" s="34">
        <f>CALCULO_VR!E349</f>
        <v>1</v>
      </c>
      <c r="H349" s="34">
        <f t="shared" si="5"/>
        <v>1</v>
      </c>
      <c r="I349" t="s">
        <v>6587</v>
      </c>
      <c r="J349" s="63">
        <f>CALCULO_VR!J349</f>
        <v>15</v>
      </c>
      <c r="Q349" s="44">
        <f>CALCULO_VR!R349</f>
        <v>15.74811067233853</v>
      </c>
    </row>
    <row r="350" spans="1:17" x14ac:dyDescent="0.3">
      <c r="A350" s="34">
        <f>CALCULO_VR!A350</f>
        <v>3468193</v>
      </c>
      <c r="B350" s="34" t="str">
        <f>CALCULO_VR!B350</f>
        <v>MLPA</v>
      </c>
      <c r="C350" t="s">
        <v>1011</v>
      </c>
      <c r="D350" s="46">
        <f>CALCULO_VR!F350</f>
        <v>45467.372175925928</v>
      </c>
      <c r="E350" s="46">
        <f>CALCULO_VR!G350</f>
        <v>45483.372175925928</v>
      </c>
      <c r="F350" s="27">
        <f>CALCULO_VR!I350</f>
        <v>39252.620000000003</v>
      </c>
      <c r="G350" s="34">
        <f>CALCULO_VR!E350</f>
        <v>1</v>
      </c>
      <c r="H350" s="34">
        <f t="shared" si="5"/>
        <v>1</v>
      </c>
      <c r="I350" t="s">
        <v>6587</v>
      </c>
      <c r="J350" s="63">
        <f>CALCULO_VR!J350</f>
        <v>15</v>
      </c>
      <c r="Q350" s="44">
        <f>CALCULO_VR!R350</f>
        <v>15.868646616951938</v>
      </c>
    </row>
    <row r="351" spans="1:17" x14ac:dyDescent="0.3">
      <c r="A351" s="34">
        <f>CALCULO_VR!A351</f>
        <v>3468202</v>
      </c>
      <c r="B351" s="34" t="str">
        <f>CALCULO_VR!B351</f>
        <v>MLPA</v>
      </c>
      <c r="C351" t="s">
        <v>1011</v>
      </c>
      <c r="D351" s="46">
        <f>CALCULO_VR!F351</f>
        <v>45471.722650462965</v>
      </c>
      <c r="E351" s="46">
        <f>CALCULO_VR!G351</f>
        <v>45482.722650462965</v>
      </c>
      <c r="F351" s="27">
        <f>CALCULO_VR!I351</f>
        <v>39252.620000000003</v>
      </c>
      <c r="G351" s="34">
        <f>CALCULO_VR!E351</f>
        <v>1</v>
      </c>
      <c r="H351" s="34">
        <f t="shared" si="5"/>
        <v>1</v>
      </c>
      <c r="I351" t="s">
        <v>6587</v>
      </c>
      <c r="J351" s="63">
        <f>CALCULO_VR!J351</f>
        <v>15</v>
      </c>
      <c r="Q351" s="44">
        <f>CALCULO_VR!R351</f>
        <v>27.106634543183052</v>
      </c>
    </row>
    <row r="352" spans="1:17" x14ac:dyDescent="0.3">
      <c r="A352" s="34">
        <f>CALCULO_VR!A352</f>
        <v>3468319</v>
      </c>
      <c r="B352" s="34" t="str">
        <f>CALCULO_VR!B352</f>
        <v>MLPA</v>
      </c>
      <c r="C352" t="s">
        <v>1011</v>
      </c>
      <c r="D352" s="46">
        <f>CALCULO_VR!F352</f>
        <v>45470.716087962966</v>
      </c>
      <c r="E352" s="46">
        <f>CALCULO_VR!G352</f>
        <v>45482.716087962966</v>
      </c>
      <c r="F352" s="27">
        <f>CALCULO_VR!I352</f>
        <v>39252.620000000003</v>
      </c>
      <c r="G352" s="34">
        <f>CALCULO_VR!E352</f>
        <v>1</v>
      </c>
      <c r="H352" s="34">
        <f t="shared" si="5"/>
        <v>1</v>
      </c>
      <c r="I352" t="s">
        <v>6587</v>
      </c>
      <c r="J352" s="63">
        <f>CALCULO_VR!J352</f>
        <v>15</v>
      </c>
      <c r="Q352" s="44">
        <f>CALCULO_VR!R352</f>
        <v>27.14179594670868</v>
      </c>
    </row>
    <row r="353" spans="1:17" x14ac:dyDescent="0.3">
      <c r="A353" s="34">
        <f>CALCULO_VR!A353</f>
        <v>3468201</v>
      </c>
      <c r="B353" s="34" t="str">
        <f>CALCULO_VR!B353</f>
        <v>MLPA</v>
      </c>
      <c r="C353" t="s">
        <v>1011</v>
      </c>
      <c r="D353" s="46">
        <f>CALCULO_VR!F353</f>
        <v>45469.730740740742</v>
      </c>
      <c r="E353" s="46">
        <f>CALCULO_VR!G353</f>
        <v>45482.730740740742</v>
      </c>
      <c r="F353" s="27">
        <f>CALCULO_VR!I353</f>
        <v>39252.620000000003</v>
      </c>
      <c r="G353" s="34">
        <f>CALCULO_VR!E353</f>
        <v>1</v>
      </c>
      <c r="H353" s="34">
        <f t="shared" si="5"/>
        <v>1</v>
      </c>
      <c r="I353" t="s">
        <v>6587</v>
      </c>
      <c r="J353" s="63">
        <f>CALCULO_VR!J353</f>
        <v>15</v>
      </c>
      <c r="Q353" s="44">
        <f>CALCULO_VR!R353</f>
        <v>27.125889082382255</v>
      </c>
    </row>
    <row r="354" spans="1:17" x14ac:dyDescent="0.3">
      <c r="A354" s="34">
        <f>CALCULO_VR!A354</f>
        <v>3468196</v>
      </c>
      <c r="B354" s="34" t="str">
        <f>CALCULO_VR!B354</f>
        <v>MLPA</v>
      </c>
      <c r="C354" t="s">
        <v>1011</v>
      </c>
      <c r="D354" s="46">
        <f>CALCULO_VR!F354</f>
        <v>45467.739398148151</v>
      </c>
      <c r="E354" s="46">
        <f>CALCULO_VR!G354</f>
        <v>45482.739398148151</v>
      </c>
      <c r="F354" s="27">
        <f>CALCULO_VR!I354</f>
        <v>39252.620000000003</v>
      </c>
      <c r="G354" s="34">
        <f>CALCULO_VR!E354</f>
        <v>1</v>
      </c>
      <c r="H354" s="34">
        <f t="shared" si="5"/>
        <v>1</v>
      </c>
      <c r="I354" t="s">
        <v>6587</v>
      </c>
      <c r="J354" s="63">
        <f>CALCULO_VR!J354</f>
        <v>15</v>
      </c>
      <c r="Q354" s="44">
        <f>CALCULO_VR!R354</f>
        <v>27.057978792037083</v>
      </c>
    </row>
    <row r="355" spans="1:17" x14ac:dyDescent="0.3">
      <c r="A355" s="34">
        <f>CALCULO_VR!A355</f>
        <v>3468137</v>
      </c>
      <c r="B355" s="34" t="str">
        <f>CALCULO_VR!B355</f>
        <v>MLPA</v>
      </c>
      <c r="C355" t="s">
        <v>1452</v>
      </c>
      <c r="D355" s="46">
        <f>CALCULO_VR!F355</f>
        <v>45472.691759259258</v>
      </c>
      <c r="E355" s="46">
        <f>CALCULO_VR!G355</f>
        <v>45483.691759259258</v>
      </c>
      <c r="F355" s="27">
        <f>CALCULO_VR!I355</f>
        <v>39252.620000000003</v>
      </c>
      <c r="G355" s="34">
        <f>CALCULO_VR!E355</f>
        <v>1</v>
      </c>
      <c r="H355" s="34">
        <f t="shared" si="5"/>
        <v>1</v>
      </c>
      <c r="I355" t="s">
        <v>6587</v>
      </c>
      <c r="J355" s="63">
        <f>CALCULO_VR!J355</f>
        <v>14</v>
      </c>
      <c r="Q355" s="44">
        <f>CALCULO_VR!R355</f>
        <v>18.332614477675392</v>
      </c>
    </row>
    <row r="356" spans="1:17" x14ac:dyDescent="0.3">
      <c r="A356" s="34">
        <f>CALCULO_VR!A356</f>
        <v>3468582</v>
      </c>
      <c r="B356" s="34" t="str">
        <f>CALCULO_VR!B356</f>
        <v>MLPA</v>
      </c>
      <c r="C356" t="s">
        <v>1001</v>
      </c>
      <c r="D356" s="46">
        <f>CALCULO_VR!F356</f>
        <v>45466.615682870368</v>
      </c>
      <c r="E356" s="46">
        <f>CALCULO_VR!G356</f>
        <v>45478.615682870368</v>
      </c>
      <c r="F356" s="27">
        <f>CALCULO_VR!I356</f>
        <v>39252.620000000003</v>
      </c>
      <c r="G356" s="34">
        <f>CALCULO_VR!E356</f>
        <v>1</v>
      </c>
      <c r="H356" s="34">
        <f t="shared" si="5"/>
        <v>1</v>
      </c>
      <c r="I356" t="s">
        <v>6587</v>
      </c>
      <c r="J356" s="63">
        <f>CALCULO_VR!J356</f>
        <v>4</v>
      </c>
      <c r="Q356" s="44">
        <f>CALCULO_VR!R356</f>
        <v>10.551098230512231</v>
      </c>
    </row>
    <row r="357" spans="1:17" x14ac:dyDescent="0.3">
      <c r="A357" s="34">
        <f>CALCULO_VR!A357</f>
        <v>3468472</v>
      </c>
      <c r="B357" s="34" t="str">
        <f>CALCULO_VR!B357</f>
        <v>MLPA</v>
      </c>
      <c r="C357" t="s">
        <v>1001</v>
      </c>
      <c r="D357" s="46">
        <f>CALCULO_VR!F357</f>
        <v>45465.624074074076</v>
      </c>
      <c r="E357" s="46">
        <f>CALCULO_VR!G357</f>
        <v>45478.624074074076</v>
      </c>
      <c r="F357" s="27">
        <f>CALCULO_VR!I357</f>
        <v>39252.620000000003</v>
      </c>
      <c r="G357" s="34">
        <f>CALCULO_VR!E357</f>
        <v>1</v>
      </c>
      <c r="H357" s="34">
        <f t="shared" si="5"/>
        <v>1</v>
      </c>
      <c r="I357" t="s">
        <v>6587</v>
      </c>
      <c r="J357" s="63">
        <f>CALCULO_VR!J357</f>
        <v>4</v>
      </c>
      <c r="Q357" s="44">
        <f>CALCULO_VR!R357</f>
        <v>10.554339653547133</v>
      </c>
    </row>
    <row r="358" spans="1:17" x14ac:dyDescent="0.3">
      <c r="A358" s="34">
        <f>CALCULO_VR!A358</f>
        <v>3468413</v>
      </c>
      <c r="B358" s="34" t="str">
        <f>CALCULO_VR!B358</f>
        <v>MLPA</v>
      </c>
      <c r="C358" t="s">
        <v>1001</v>
      </c>
      <c r="D358" s="46">
        <f>CALCULO_VR!F358</f>
        <v>45466.463865740741</v>
      </c>
      <c r="E358" s="46">
        <f>CALCULO_VR!G358</f>
        <v>45481.463865740741</v>
      </c>
      <c r="F358" s="27">
        <f>CALCULO_VR!I358</f>
        <v>39252.620000000003</v>
      </c>
      <c r="G358" s="34">
        <f>CALCULO_VR!E358</f>
        <v>1</v>
      </c>
      <c r="H358" s="34">
        <f t="shared" si="5"/>
        <v>1</v>
      </c>
      <c r="I358" t="s">
        <v>6587</v>
      </c>
      <c r="J358" s="63">
        <f>CALCULO_VR!J358</f>
        <v>4</v>
      </c>
      <c r="Q358" s="44">
        <f>CALCULO_VR!R358</f>
        <v>10.652259258330131</v>
      </c>
    </row>
    <row r="359" spans="1:17" x14ac:dyDescent="0.3">
      <c r="A359" s="34">
        <f>CALCULO_VR!A359</f>
        <v>3468412</v>
      </c>
      <c r="B359" s="34" t="str">
        <f>CALCULO_VR!B359</f>
        <v>MLPA</v>
      </c>
      <c r="C359" t="s">
        <v>1001</v>
      </c>
      <c r="D359" s="46">
        <f>CALCULO_VR!F359</f>
        <v>45465.643460648149</v>
      </c>
      <c r="E359" s="46">
        <f>CALCULO_VR!G359</f>
        <v>45481.643460648149</v>
      </c>
      <c r="F359" s="27">
        <f>CALCULO_VR!I359</f>
        <v>39252.620000000003</v>
      </c>
      <c r="G359" s="34">
        <f>CALCULO_VR!E359</f>
        <v>1</v>
      </c>
      <c r="H359" s="34">
        <f t="shared" si="5"/>
        <v>1</v>
      </c>
      <c r="I359" t="s">
        <v>6587</v>
      </c>
      <c r="J359" s="63">
        <f>CALCULO_VR!J359</f>
        <v>4</v>
      </c>
      <c r="Q359" s="44">
        <f>CALCULO_VR!R359</f>
        <v>10.595774028825819</v>
      </c>
    </row>
    <row r="360" spans="1:17" x14ac:dyDescent="0.3">
      <c r="A360" s="34">
        <f>CALCULO_VR!A360</f>
        <v>3468414</v>
      </c>
      <c r="B360" s="34" t="str">
        <f>CALCULO_VR!B360</f>
        <v>MLPA</v>
      </c>
      <c r="C360" t="s">
        <v>1001</v>
      </c>
      <c r="D360" s="46">
        <f>CALCULO_VR!F360</f>
        <v>45470.45108796296</v>
      </c>
      <c r="E360" s="46">
        <f>CALCULO_VR!G360</f>
        <v>45481.45108796296</v>
      </c>
      <c r="F360" s="27">
        <f>CALCULO_VR!I360</f>
        <v>39252.620000000003</v>
      </c>
      <c r="G360" s="34">
        <f>CALCULO_VR!E360</f>
        <v>1</v>
      </c>
      <c r="H360" s="34">
        <f t="shared" si="5"/>
        <v>1</v>
      </c>
      <c r="I360" t="s">
        <v>6587</v>
      </c>
      <c r="J360" s="63">
        <f>CALCULO_VR!J360</f>
        <v>4</v>
      </c>
      <c r="Q360" s="44">
        <f>CALCULO_VR!R360</f>
        <v>10.691686078212848</v>
      </c>
    </row>
    <row r="361" spans="1:17" x14ac:dyDescent="0.3">
      <c r="A361" s="34">
        <f>CALCULO_VR!A361</f>
        <v>3468583</v>
      </c>
      <c r="B361" s="34" t="str">
        <f>CALCULO_VR!B361</f>
        <v>MLPA</v>
      </c>
      <c r="C361" t="s">
        <v>1001</v>
      </c>
      <c r="D361" s="46">
        <f>CALCULO_VR!F361</f>
        <v>45466.460706018515</v>
      </c>
      <c r="E361" s="46">
        <f>CALCULO_VR!G361</f>
        <v>45478.460706018515</v>
      </c>
      <c r="F361" s="27">
        <f>CALCULO_VR!I361</f>
        <v>39252.620000000003</v>
      </c>
      <c r="G361" s="34">
        <f>CALCULO_VR!E361</f>
        <v>1</v>
      </c>
      <c r="H361" s="34">
        <f t="shared" si="5"/>
        <v>1</v>
      </c>
      <c r="I361" t="s">
        <v>6587</v>
      </c>
      <c r="J361" s="63">
        <f>CALCULO_VR!J361</f>
        <v>4</v>
      </c>
      <c r="Q361" s="44">
        <f>CALCULO_VR!R361</f>
        <v>17.923929924888075</v>
      </c>
    </row>
    <row r="362" spans="1:17" x14ac:dyDescent="0.3">
      <c r="A362" s="34">
        <f>CALCULO_VR!A362</f>
        <v>3468642</v>
      </c>
      <c r="B362" s="34" t="str">
        <f>CALCULO_VR!B362</f>
        <v>MLPA</v>
      </c>
      <c r="C362" t="s">
        <v>1001</v>
      </c>
      <c r="D362" s="46">
        <f>CALCULO_VR!F362</f>
        <v>45465.46875</v>
      </c>
      <c r="E362" s="46">
        <f>CALCULO_VR!G362</f>
        <v>45478.46875</v>
      </c>
      <c r="F362" s="27">
        <f>CALCULO_VR!I362</f>
        <v>39252.620000000003</v>
      </c>
      <c r="G362" s="34">
        <f>CALCULO_VR!E362</f>
        <v>1</v>
      </c>
      <c r="H362" s="34">
        <f t="shared" si="5"/>
        <v>1</v>
      </c>
      <c r="I362" t="s">
        <v>6587</v>
      </c>
      <c r="J362" s="63">
        <f>CALCULO_VR!J362</f>
        <v>4</v>
      </c>
      <c r="Q362" s="44">
        <f>CALCULO_VR!R362</f>
        <v>17.930552994599953</v>
      </c>
    </row>
    <row r="363" spans="1:17" x14ac:dyDescent="0.3">
      <c r="A363" s="34">
        <f>CALCULO_VR!A363</f>
        <v>3468383</v>
      </c>
      <c r="B363" s="34" t="str">
        <f>CALCULO_VR!B363</f>
        <v>MLPA</v>
      </c>
      <c r="C363" t="s">
        <v>1001</v>
      </c>
      <c r="D363" s="46">
        <f>CALCULO_VR!F363</f>
        <v>45467.41269675926</v>
      </c>
      <c r="E363" s="46">
        <f>CALCULO_VR!G363</f>
        <v>45482.41269675926</v>
      </c>
      <c r="F363" s="27">
        <f>CALCULO_VR!I363</f>
        <v>39252.620000000003</v>
      </c>
      <c r="G363" s="34">
        <f>CALCULO_VR!E363</f>
        <v>1</v>
      </c>
      <c r="H363" s="34">
        <f t="shared" si="5"/>
        <v>1</v>
      </c>
      <c r="I363" t="s">
        <v>6587</v>
      </c>
      <c r="J363" s="63">
        <f>CALCULO_VR!J363</f>
        <v>4</v>
      </c>
      <c r="Q363" s="44">
        <f>CALCULO_VR!R363</f>
        <v>17.915811966530924</v>
      </c>
    </row>
    <row r="364" spans="1:17" x14ac:dyDescent="0.3">
      <c r="A364" s="34">
        <f>CALCULO_VR!A364</f>
        <v>3468687</v>
      </c>
      <c r="B364" s="34" t="str">
        <f>CALCULO_VR!B364</f>
        <v>MLPA</v>
      </c>
      <c r="C364" t="s">
        <v>1001</v>
      </c>
      <c r="D364" s="46">
        <f>CALCULO_VR!F364</f>
        <v>45471.401956018519</v>
      </c>
      <c r="E364" s="46">
        <f>CALCULO_VR!G364</f>
        <v>45482.401956018519</v>
      </c>
      <c r="F364" s="27">
        <f>CALCULO_VR!I364</f>
        <v>39252.620000000003</v>
      </c>
      <c r="G364" s="34">
        <f>CALCULO_VR!E364</f>
        <v>1</v>
      </c>
      <c r="H364" s="34">
        <f t="shared" si="5"/>
        <v>1</v>
      </c>
      <c r="I364" t="s">
        <v>6587</v>
      </c>
      <c r="J364" s="63">
        <f>CALCULO_VR!J364</f>
        <v>4</v>
      </c>
      <c r="Q364" s="44">
        <f>CALCULO_VR!R364</f>
        <v>17.900523719599331</v>
      </c>
    </row>
    <row r="365" spans="1:17" x14ac:dyDescent="0.3">
      <c r="A365" s="34">
        <f>CALCULO_VR!A365</f>
        <v>3468423</v>
      </c>
      <c r="B365" s="34" t="str">
        <f>CALCULO_VR!B365</f>
        <v>MLPA</v>
      </c>
      <c r="C365" t="s">
        <v>1011</v>
      </c>
      <c r="D365" s="46">
        <f>CALCULO_VR!F365</f>
        <v>45466.692881944444</v>
      </c>
      <c r="E365" s="46">
        <f>CALCULO_VR!G365</f>
        <v>45478.692881944444</v>
      </c>
      <c r="F365" s="27">
        <f>CALCULO_VR!I365</f>
        <v>39252.620000000003</v>
      </c>
      <c r="G365" s="34">
        <f>CALCULO_VR!E365</f>
        <v>1</v>
      </c>
      <c r="H365" s="34">
        <f t="shared" si="5"/>
        <v>1</v>
      </c>
      <c r="I365" t="s">
        <v>6587</v>
      </c>
      <c r="J365" s="63">
        <f>CALCULO_VR!J365</f>
        <v>15</v>
      </c>
      <c r="Q365" s="44">
        <f>CALCULO_VR!R365</f>
        <v>18.601247808524903</v>
      </c>
    </row>
    <row r="366" spans="1:17" x14ac:dyDescent="0.3">
      <c r="A366" s="34">
        <f>CALCULO_VR!A366</f>
        <v>3468643</v>
      </c>
      <c r="B366" s="34" t="str">
        <f>CALCULO_VR!B366</f>
        <v>MLPA</v>
      </c>
      <c r="C366" t="s">
        <v>1011</v>
      </c>
      <c r="D366" s="46">
        <f>CALCULO_VR!F366</f>
        <v>45465.355694444443</v>
      </c>
      <c r="E366" s="46">
        <f>CALCULO_VR!G366</f>
        <v>45478.355694444443</v>
      </c>
      <c r="F366" s="27">
        <f>CALCULO_VR!I366</f>
        <v>39252.620000000003</v>
      </c>
      <c r="G366" s="34">
        <f>CALCULO_VR!E366</f>
        <v>1</v>
      </c>
      <c r="H366" s="34">
        <f t="shared" si="5"/>
        <v>1</v>
      </c>
      <c r="I366" t="s">
        <v>6587</v>
      </c>
      <c r="J366" s="63">
        <f>CALCULO_VR!J366</f>
        <v>15</v>
      </c>
      <c r="Q366" s="44">
        <f>CALCULO_VR!R366</f>
        <v>27.094065524347606</v>
      </c>
    </row>
    <row r="367" spans="1:17" x14ac:dyDescent="0.3">
      <c r="A367" s="34">
        <f>CALCULO_VR!A367</f>
        <v>3468468</v>
      </c>
      <c r="B367" s="34" t="str">
        <f>CALCULO_VR!B367</f>
        <v>MLPA</v>
      </c>
      <c r="C367" t="s">
        <v>1011</v>
      </c>
      <c r="D367" s="46">
        <f>CALCULO_VR!F367</f>
        <v>45463.632986111108</v>
      </c>
      <c r="E367" s="46">
        <f>CALCULO_VR!G367</f>
        <v>45478.632986111108</v>
      </c>
      <c r="F367" s="27">
        <f>CALCULO_VR!I367</f>
        <v>39252.620000000003</v>
      </c>
      <c r="G367" s="34">
        <f>CALCULO_VR!E367</f>
        <v>1</v>
      </c>
      <c r="H367" s="34">
        <f t="shared" si="5"/>
        <v>1</v>
      </c>
      <c r="I367" t="s">
        <v>6587</v>
      </c>
      <c r="J367" s="63">
        <f>CALCULO_VR!J367</f>
        <v>15</v>
      </c>
      <c r="Q367" s="44">
        <f>CALCULO_VR!R367</f>
        <v>17.643342897933689</v>
      </c>
    </row>
    <row r="368" spans="1:17" x14ac:dyDescent="0.3">
      <c r="A368" s="34">
        <f>CALCULO_VR!A368</f>
        <v>3468407</v>
      </c>
      <c r="B368" s="34" t="str">
        <f>CALCULO_VR!B368</f>
        <v>MLPA</v>
      </c>
      <c r="C368" t="s">
        <v>1011</v>
      </c>
      <c r="D368" s="46">
        <f>CALCULO_VR!F368</f>
        <v>45465.725266203706</v>
      </c>
      <c r="E368" s="46">
        <f>CALCULO_VR!G368</f>
        <v>45481.725266203706</v>
      </c>
      <c r="F368" s="27">
        <f>CALCULO_VR!I368</f>
        <v>39252.620000000003</v>
      </c>
      <c r="G368" s="34">
        <f>CALCULO_VR!E368</f>
        <v>1</v>
      </c>
      <c r="H368" s="34">
        <f t="shared" si="5"/>
        <v>1</v>
      </c>
      <c r="I368" t="s">
        <v>6587</v>
      </c>
      <c r="J368" s="63">
        <f>CALCULO_VR!J368</f>
        <v>15</v>
      </c>
      <c r="Q368" s="44">
        <f>CALCULO_VR!R368</f>
        <v>19.658712620430411</v>
      </c>
    </row>
    <row r="369" spans="1:17" x14ac:dyDescent="0.3">
      <c r="A369" s="34">
        <f>CALCULO_VR!A369</f>
        <v>3468627</v>
      </c>
      <c r="B369" s="34" t="str">
        <f>CALCULO_VR!B369</f>
        <v>MLPA</v>
      </c>
      <c r="C369" t="s">
        <v>1011</v>
      </c>
      <c r="D369" s="46">
        <f>CALCULO_VR!F369</f>
        <v>45470.739629629628</v>
      </c>
      <c r="E369" s="46">
        <f>CALCULO_VR!G369</f>
        <v>45481.739629629628</v>
      </c>
      <c r="F369" s="27">
        <f>CALCULO_VR!I369</f>
        <v>39252.620000000003</v>
      </c>
      <c r="G369" s="34">
        <f>CALCULO_VR!E369</f>
        <v>1</v>
      </c>
      <c r="H369" s="34">
        <f t="shared" si="5"/>
        <v>1</v>
      </c>
      <c r="I369" t="s">
        <v>6587</v>
      </c>
      <c r="J369" s="63">
        <f>CALCULO_VR!J369</f>
        <v>15</v>
      </c>
      <c r="Q369" s="44">
        <f>CALCULO_VR!R369</f>
        <v>19.694337769778997</v>
      </c>
    </row>
    <row r="370" spans="1:17" x14ac:dyDescent="0.3">
      <c r="A370" s="34">
        <f>CALCULO_VR!A370</f>
        <v>3468408</v>
      </c>
      <c r="B370" s="34" t="str">
        <f>CALCULO_VR!B370</f>
        <v>MLPA</v>
      </c>
      <c r="C370" t="s">
        <v>1011</v>
      </c>
      <c r="D370" s="46">
        <f>CALCULO_VR!F370</f>
        <v>45469.715127314812</v>
      </c>
      <c r="E370" s="46">
        <f>CALCULO_VR!G370</f>
        <v>45481.715127314812</v>
      </c>
      <c r="F370" s="27">
        <f>CALCULO_VR!I370</f>
        <v>39252.620000000003</v>
      </c>
      <c r="G370" s="34">
        <f>CALCULO_VR!E370</f>
        <v>1</v>
      </c>
      <c r="H370" s="34">
        <f t="shared" si="5"/>
        <v>1</v>
      </c>
      <c r="I370" t="s">
        <v>6587</v>
      </c>
      <c r="J370" s="63">
        <f>CALCULO_VR!J370</f>
        <v>15</v>
      </c>
      <c r="Q370" s="44">
        <f>CALCULO_VR!R370</f>
        <v>15.869870819319353</v>
      </c>
    </row>
    <row r="371" spans="1:17" x14ac:dyDescent="0.3">
      <c r="A371" s="34">
        <f>CALCULO_VR!A371</f>
        <v>3468410</v>
      </c>
      <c r="B371" s="34" t="str">
        <f>CALCULO_VR!B371</f>
        <v>MLPA</v>
      </c>
      <c r="C371" t="s">
        <v>1011</v>
      </c>
      <c r="D371" s="46">
        <f>CALCULO_VR!F371</f>
        <v>45468.693252314813</v>
      </c>
      <c r="E371" s="46">
        <f>CALCULO_VR!G371</f>
        <v>45481.693252314813</v>
      </c>
      <c r="F371" s="27">
        <f>CALCULO_VR!I371</f>
        <v>39252.620000000003</v>
      </c>
      <c r="G371" s="34">
        <f>CALCULO_VR!E371</f>
        <v>1</v>
      </c>
      <c r="H371" s="34">
        <f t="shared" si="5"/>
        <v>1</v>
      </c>
      <c r="I371" t="s">
        <v>6587</v>
      </c>
      <c r="J371" s="63">
        <f>CALCULO_VR!J371</f>
        <v>15</v>
      </c>
      <c r="Q371" s="44">
        <f>CALCULO_VR!R371</f>
        <v>15.830239544124366</v>
      </c>
    </row>
    <row r="372" spans="1:17" x14ac:dyDescent="0.3">
      <c r="A372" s="34">
        <f>CALCULO_VR!A372</f>
        <v>3468379</v>
      </c>
      <c r="B372" s="34" t="str">
        <f>CALCULO_VR!B372</f>
        <v>MLPA</v>
      </c>
      <c r="C372" t="s">
        <v>1011</v>
      </c>
      <c r="D372" s="46">
        <f>CALCULO_VR!F372</f>
        <v>45467.441759259258</v>
      </c>
      <c r="E372" s="46">
        <f>CALCULO_VR!G372</f>
        <v>45482.441759259258</v>
      </c>
      <c r="F372" s="27">
        <f>CALCULO_VR!I372</f>
        <v>39252.620000000003</v>
      </c>
      <c r="G372" s="34">
        <f>CALCULO_VR!E372</f>
        <v>1</v>
      </c>
      <c r="H372" s="34">
        <f t="shared" si="5"/>
        <v>1</v>
      </c>
      <c r="I372" t="s">
        <v>6587</v>
      </c>
      <c r="J372" s="63">
        <f>CALCULO_VR!J372</f>
        <v>15</v>
      </c>
      <c r="Q372" s="44">
        <f>CALCULO_VR!R372</f>
        <v>19.786013144642169</v>
      </c>
    </row>
    <row r="373" spans="1:17" x14ac:dyDescent="0.3">
      <c r="A373" s="34">
        <f>CALCULO_VR!A373</f>
        <v>3468191</v>
      </c>
      <c r="B373" s="34" t="str">
        <f>CALCULO_VR!B373</f>
        <v>MLPA</v>
      </c>
      <c r="C373" t="s">
        <v>1011</v>
      </c>
      <c r="D373" s="46">
        <f>CALCULO_VR!F373</f>
        <v>45472.37804398148</v>
      </c>
      <c r="E373" s="46">
        <f>CALCULO_VR!G373</f>
        <v>45483.37804398148</v>
      </c>
      <c r="F373" s="27">
        <f>CALCULO_VR!I373</f>
        <v>39252.620000000003</v>
      </c>
      <c r="G373" s="34">
        <f>CALCULO_VR!E373</f>
        <v>1</v>
      </c>
      <c r="H373" s="34">
        <f t="shared" si="5"/>
        <v>1</v>
      </c>
      <c r="I373" t="s">
        <v>6587</v>
      </c>
      <c r="J373" s="63">
        <f>CALCULO_VR!J373</f>
        <v>15</v>
      </c>
      <c r="Q373" s="44">
        <f>CALCULO_VR!R373</f>
        <v>15.799704581556849</v>
      </c>
    </row>
    <row r="374" spans="1:17" x14ac:dyDescent="0.3">
      <c r="A374" s="34">
        <f>CALCULO_VR!A374</f>
        <v>3468639</v>
      </c>
      <c r="B374" s="34" t="str">
        <f>CALCULO_VR!B374</f>
        <v>MLPA</v>
      </c>
      <c r="C374" t="s">
        <v>1011</v>
      </c>
      <c r="D374" s="46">
        <f>CALCULO_VR!F374</f>
        <v>45466.363263888888</v>
      </c>
      <c r="E374" s="46">
        <f>CALCULO_VR!G374</f>
        <v>45478.363263888888</v>
      </c>
      <c r="F374" s="27">
        <f>CALCULO_VR!I374</f>
        <v>39252.620000000003</v>
      </c>
      <c r="G374" s="34">
        <f>CALCULO_VR!E374</f>
        <v>1</v>
      </c>
      <c r="H374" s="34">
        <f t="shared" si="5"/>
        <v>1</v>
      </c>
      <c r="I374" t="s">
        <v>6587</v>
      </c>
      <c r="J374" s="63">
        <f>CALCULO_VR!J374</f>
        <v>15</v>
      </c>
      <c r="Q374" s="44">
        <f>CALCULO_VR!R374</f>
        <v>27.163730193950443</v>
      </c>
    </row>
    <row r="375" spans="1:17" x14ac:dyDescent="0.3">
      <c r="A375" s="34">
        <f>CALCULO_VR!A375</f>
        <v>3468637</v>
      </c>
      <c r="B375" s="34" t="str">
        <f>CALCULO_VR!B375</f>
        <v>MLPA</v>
      </c>
      <c r="C375" t="s">
        <v>1011</v>
      </c>
      <c r="D375" s="46">
        <f>CALCULO_VR!F375</f>
        <v>45465.374108796299</v>
      </c>
      <c r="E375" s="46">
        <f>CALCULO_VR!G375</f>
        <v>45478.374108796299</v>
      </c>
      <c r="F375" s="27">
        <f>CALCULO_VR!I375</f>
        <v>39252.620000000003</v>
      </c>
      <c r="G375" s="34">
        <f>CALCULO_VR!E375</f>
        <v>1</v>
      </c>
      <c r="H375" s="34">
        <f t="shared" si="5"/>
        <v>1</v>
      </c>
      <c r="I375" t="s">
        <v>6587</v>
      </c>
      <c r="J375" s="63">
        <f>CALCULO_VR!J375</f>
        <v>15</v>
      </c>
      <c r="Q375" s="44">
        <f>CALCULO_VR!R375</f>
        <v>27.148792731828003</v>
      </c>
    </row>
    <row r="376" spans="1:17" x14ac:dyDescent="0.3">
      <c r="A376" s="34">
        <f>CALCULO_VR!A376</f>
        <v>3468424</v>
      </c>
      <c r="B376" s="34" t="str">
        <f>CALCULO_VR!B376</f>
        <v>MLPA</v>
      </c>
      <c r="C376" t="s">
        <v>1011</v>
      </c>
      <c r="D376" s="46">
        <f>CALCULO_VR!F376</f>
        <v>45463.685787037037</v>
      </c>
      <c r="E376" s="46">
        <f>CALCULO_VR!G376</f>
        <v>45478.685787037037</v>
      </c>
      <c r="F376" s="27">
        <f>CALCULO_VR!I376</f>
        <v>39252.620000000003</v>
      </c>
      <c r="G376" s="34">
        <f>CALCULO_VR!E376</f>
        <v>1</v>
      </c>
      <c r="H376" s="34">
        <f t="shared" si="5"/>
        <v>1</v>
      </c>
      <c r="I376" t="s">
        <v>6587</v>
      </c>
      <c r="J376" s="63">
        <f>CALCULO_VR!J376</f>
        <v>15</v>
      </c>
      <c r="Q376" s="44">
        <f>CALCULO_VR!R376</f>
        <v>18.69029786808364</v>
      </c>
    </row>
    <row r="377" spans="1:17" x14ac:dyDescent="0.3">
      <c r="A377" s="34">
        <f>CALCULO_VR!A377</f>
        <v>3468081</v>
      </c>
      <c r="B377" s="34" t="str">
        <f>CALCULO_VR!B377</f>
        <v>MLPA</v>
      </c>
      <c r="C377" t="s">
        <v>1011</v>
      </c>
      <c r="D377" s="46">
        <f>CALCULO_VR!F377</f>
        <v>45467.721319444441</v>
      </c>
      <c r="E377" s="46">
        <f>CALCULO_VR!G377</f>
        <v>45483.721319444441</v>
      </c>
      <c r="F377" s="27">
        <f>CALCULO_VR!I377</f>
        <v>39252.620000000003</v>
      </c>
      <c r="G377" s="34">
        <f>CALCULO_VR!E377</f>
        <v>1</v>
      </c>
      <c r="H377" s="34">
        <f t="shared" si="5"/>
        <v>1</v>
      </c>
      <c r="I377" t="s">
        <v>6587</v>
      </c>
      <c r="J377" s="63">
        <f>CALCULO_VR!J377</f>
        <v>15</v>
      </c>
      <c r="Q377" s="44">
        <f>CALCULO_VR!R377</f>
        <v>17.618421869783255</v>
      </c>
    </row>
    <row r="378" spans="1:17" x14ac:dyDescent="0.3">
      <c r="A378" s="34">
        <f>CALCULO_VR!A378</f>
        <v>3468375</v>
      </c>
      <c r="B378" s="34" t="str">
        <f>CALCULO_VR!B378</f>
        <v>MLPA</v>
      </c>
      <c r="C378" t="s">
        <v>1011</v>
      </c>
      <c r="D378" s="46">
        <f>CALCULO_VR!F378</f>
        <v>45471.452881944446</v>
      </c>
      <c r="E378" s="46">
        <f>CALCULO_VR!G378</f>
        <v>45482.452881944446</v>
      </c>
      <c r="F378" s="27">
        <f>CALCULO_VR!I378</f>
        <v>39252.620000000003</v>
      </c>
      <c r="G378" s="34">
        <f>CALCULO_VR!E378</f>
        <v>1</v>
      </c>
      <c r="H378" s="34">
        <f t="shared" si="5"/>
        <v>1</v>
      </c>
      <c r="I378" t="s">
        <v>6587</v>
      </c>
      <c r="J378" s="63">
        <f>CALCULO_VR!J378</f>
        <v>15</v>
      </c>
      <c r="Q378" s="44">
        <f>CALCULO_VR!R378</f>
        <v>29.744096851396023</v>
      </c>
    </row>
    <row r="379" spans="1:17" x14ac:dyDescent="0.3">
      <c r="A379" s="34">
        <f>CALCULO_VR!A379</f>
        <v>3468135</v>
      </c>
      <c r="B379" s="34" t="str">
        <f>CALCULO_VR!B379</f>
        <v>MLPA</v>
      </c>
      <c r="C379" t="s">
        <v>1011</v>
      </c>
      <c r="D379" s="46">
        <f>CALCULO_VR!F379</f>
        <v>45471.708703703705</v>
      </c>
      <c r="E379" s="46">
        <f>CALCULO_VR!G379</f>
        <v>45483.708703703705</v>
      </c>
      <c r="F379" s="27">
        <f>CALCULO_VR!I379</f>
        <v>39252.620000000003</v>
      </c>
      <c r="G379" s="34">
        <f>CALCULO_VR!E379</f>
        <v>1</v>
      </c>
      <c r="H379" s="34">
        <f t="shared" si="5"/>
        <v>1</v>
      </c>
      <c r="I379" t="s">
        <v>6587</v>
      </c>
      <c r="J379" s="63">
        <f>CALCULO_VR!J379</f>
        <v>15</v>
      </c>
      <c r="Q379" s="44">
        <f>CALCULO_VR!R379</f>
        <v>17.561722695112692</v>
      </c>
    </row>
    <row r="380" spans="1:17" x14ac:dyDescent="0.3">
      <c r="A380" s="34">
        <f>CALCULO_VR!A380</f>
        <v>3468377</v>
      </c>
      <c r="B380" s="34" t="str">
        <f>CALCULO_VR!B380</f>
        <v>MLPA</v>
      </c>
      <c r="C380" t="s">
        <v>1011</v>
      </c>
      <c r="D380" s="46">
        <f>CALCULO_VR!F380</f>
        <v>45469.447199074071</v>
      </c>
      <c r="E380" s="46">
        <f>CALCULO_VR!G380</f>
        <v>45482.447199074071</v>
      </c>
      <c r="F380" s="27">
        <f>CALCULO_VR!I380</f>
        <v>39252.620000000003</v>
      </c>
      <c r="G380" s="34">
        <f>CALCULO_VR!E380</f>
        <v>1</v>
      </c>
      <c r="H380" s="34">
        <f t="shared" si="5"/>
        <v>1</v>
      </c>
      <c r="I380" t="s">
        <v>6587</v>
      </c>
      <c r="J380" s="63">
        <f>CALCULO_VR!J380</f>
        <v>15</v>
      </c>
      <c r="Q380" s="44">
        <f>CALCULO_VR!R380</f>
        <v>29.841205195867943</v>
      </c>
    </row>
    <row r="381" spans="1:17" x14ac:dyDescent="0.3">
      <c r="A381" s="34">
        <f>CALCULO_VR!A381</f>
        <v>3468195</v>
      </c>
      <c r="B381" s="34" t="str">
        <f>CALCULO_VR!B381</f>
        <v>MLPA</v>
      </c>
      <c r="C381" t="s">
        <v>1011</v>
      </c>
      <c r="D381" s="46">
        <f>CALCULO_VR!F381</f>
        <v>45468.362071759257</v>
      </c>
      <c r="E381" s="46">
        <f>CALCULO_VR!G381</f>
        <v>45483.362071759257</v>
      </c>
      <c r="F381" s="27">
        <f>CALCULO_VR!I381</f>
        <v>39252.620000000003</v>
      </c>
      <c r="G381" s="34">
        <f>CALCULO_VR!E381</f>
        <v>1</v>
      </c>
      <c r="H381" s="34">
        <f t="shared" si="5"/>
        <v>1</v>
      </c>
      <c r="I381" t="s">
        <v>6587</v>
      </c>
      <c r="J381" s="63">
        <f>CALCULO_VR!J381</f>
        <v>15</v>
      </c>
      <c r="Q381" s="44">
        <f>CALCULO_VR!R381</f>
        <v>15.732627085818592</v>
      </c>
    </row>
    <row r="382" spans="1:17" x14ac:dyDescent="0.3">
      <c r="A382" s="34">
        <f>CALCULO_VR!A382</f>
        <v>3468134</v>
      </c>
      <c r="B382" s="34" t="str">
        <f>CALCULO_VR!B382</f>
        <v>MLPA</v>
      </c>
      <c r="C382" t="s">
        <v>1011</v>
      </c>
      <c r="D382" s="46">
        <f>CALCULO_VR!F382</f>
        <v>45472.697083333333</v>
      </c>
      <c r="E382" s="46">
        <f>CALCULO_VR!G382</f>
        <v>45483.697083333333</v>
      </c>
      <c r="F382" s="27">
        <f>CALCULO_VR!I382</f>
        <v>39252.620000000003</v>
      </c>
      <c r="G382" s="34">
        <f>CALCULO_VR!E382</f>
        <v>1</v>
      </c>
      <c r="H382" s="34">
        <f t="shared" si="5"/>
        <v>1</v>
      </c>
      <c r="I382" t="s">
        <v>6587</v>
      </c>
      <c r="J382" s="63">
        <f>CALCULO_VR!J382</f>
        <v>15</v>
      </c>
      <c r="Q382" s="44">
        <f>CALCULO_VR!R382</f>
        <v>29.777495794269932</v>
      </c>
    </row>
    <row r="383" spans="1:17" x14ac:dyDescent="0.3">
      <c r="A383" s="34">
        <f>CALCULO_VR!A383</f>
        <v>3468634</v>
      </c>
      <c r="B383" s="34" t="str">
        <f>CALCULO_VR!B383</f>
        <v>MLPA</v>
      </c>
      <c r="C383" t="s">
        <v>1452</v>
      </c>
      <c r="D383" s="46">
        <f>CALCULO_VR!F383</f>
        <v>45466.386481481481</v>
      </c>
      <c r="E383" s="46">
        <f>CALCULO_VR!G383</f>
        <v>45478.386481481481</v>
      </c>
      <c r="F383" s="27">
        <f>CALCULO_VR!I383</f>
        <v>39252.620000000003</v>
      </c>
      <c r="G383" s="34">
        <f>CALCULO_VR!E383</f>
        <v>1</v>
      </c>
      <c r="H383" s="34">
        <f t="shared" si="5"/>
        <v>1</v>
      </c>
      <c r="I383" t="s">
        <v>6587</v>
      </c>
      <c r="J383" s="63">
        <f>CALCULO_VR!J383</f>
        <v>14</v>
      </c>
      <c r="Q383" s="44">
        <f>CALCULO_VR!R383</f>
        <v>18.312121388291921</v>
      </c>
    </row>
    <row r="384" spans="1:17" x14ac:dyDescent="0.3">
      <c r="A384" s="34">
        <f>CALCULO_VR!A384</f>
        <v>3468144</v>
      </c>
      <c r="B384" s="34" t="str">
        <f>CALCULO_VR!B384</f>
        <v>MLPA</v>
      </c>
      <c r="C384" t="s">
        <v>1011</v>
      </c>
      <c r="D384" s="46">
        <f>CALCULO_VR!F384</f>
        <v>45470.659166666665</v>
      </c>
      <c r="E384" s="46">
        <f>CALCULO_VR!G384</f>
        <v>45483.659166666665</v>
      </c>
      <c r="F384" s="27">
        <f>CALCULO_VR!I384</f>
        <v>39252.620000000003</v>
      </c>
      <c r="G384" s="34">
        <f>CALCULO_VR!E384</f>
        <v>1</v>
      </c>
      <c r="H384" s="34">
        <f t="shared" si="5"/>
        <v>1</v>
      </c>
      <c r="I384" t="s">
        <v>6587</v>
      </c>
      <c r="J384" s="63">
        <f>CALCULO_VR!J384</f>
        <v>15</v>
      </c>
      <c r="Q384" s="44">
        <f>CALCULO_VR!R384</f>
        <v>27.025242897524677</v>
      </c>
    </row>
    <row r="385" spans="1:17" x14ac:dyDescent="0.3">
      <c r="A385" s="34">
        <f>CALCULO_VR!A385</f>
        <v>3468419</v>
      </c>
      <c r="B385" s="34" t="str">
        <f>CALCULO_VR!B385</f>
        <v>MLPA</v>
      </c>
      <c r="C385" t="s">
        <v>1011</v>
      </c>
      <c r="D385" s="46">
        <f>CALCULO_VR!F385</f>
        <v>45463.707326388889</v>
      </c>
      <c r="E385" s="46">
        <f>CALCULO_VR!G385</f>
        <v>45478.707326388889</v>
      </c>
      <c r="F385" s="27">
        <f>CALCULO_VR!I385</f>
        <v>39252.620000000003</v>
      </c>
      <c r="G385" s="34">
        <f>CALCULO_VR!E385</f>
        <v>1</v>
      </c>
      <c r="H385" s="34">
        <f t="shared" si="5"/>
        <v>1</v>
      </c>
      <c r="I385" t="s">
        <v>6587</v>
      </c>
      <c r="J385" s="63">
        <f>CALCULO_VR!J385</f>
        <v>15</v>
      </c>
      <c r="Q385" s="44">
        <f>CALCULO_VR!R385</f>
        <v>18.697097222146532</v>
      </c>
    </row>
    <row r="386" spans="1:17" x14ac:dyDescent="0.3">
      <c r="A386" s="34">
        <f>CALCULO_VR!A386</f>
        <v>3468629</v>
      </c>
      <c r="B386" s="34" t="str">
        <f>CALCULO_VR!B386</f>
        <v>MLPA</v>
      </c>
      <c r="C386" t="s">
        <v>1011</v>
      </c>
      <c r="D386" s="46">
        <f>CALCULO_VR!F386</f>
        <v>45462.440208333333</v>
      </c>
      <c r="E386" s="46">
        <f>CALCULO_VR!G386</f>
        <v>45478.440208333333</v>
      </c>
      <c r="F386" s="27">
        <f>CALCULO_VR!I386</f>
        <v>39252.620000000003</v>
      </c>
      <c r="G386" s="34">
        <f>CALCULO_VR!E386</f>
        <v>1</v>
      </c>
      <c r="H386" s="34">
        <f t="shared" si="5"/>
        <v>1</v>
      </c>
      <c r="I386" t="s">
        <v>6587</v>
      </c>
      <c r="J386" s="63">
        <f>CALCULO_VR!J386</f>
        <v>15</v>
      </c>
      <c r="Q386" s="44">
        <f>CALCULO_VR!R386</f>
        <v>29.798634307321546</v>
      </c>
    </row>
    <row r="387" spans="1:17" x14ac:dyDescent="0.3">
      <c r="A387" s="34">
        <f>CALCULO_VR!A387</f>
        <v>3468140</v>
      </c>
      <c r="B387" s="34" t="str">
        <f>CALCULO_VR!B387</f>
        <v>MLPA</v>
      </c>
      <c r="C387" t="s">
        <v>1011</v>
      </c>
      <c r="D387" s="46">
        <f>CALCULO_VR!F387</f>
        <v>45472.681527777779</v>
      </c>
      <c r="E387" s="46">
        <f>CALCULO_VR!G387</f>
        <v>45483.681527777779</v>
      </c>
      <c r="F387" s="27">
        <f>CALCULO_VR!I387</f>
        <v>39252.620000000003</v>
      </c>
      <c r="G387" s="34">
        <f>CALCULO_VR!E387</f>
        <v>1</v>
      </c>
      <c r="H387" s="34">
        <f t="shared" si="5"/>
        <v>1</v>
      </c>
      <c r="I387" t="s">
        <v>6587</v>
      </c>
      <c r="J387" s="63">
        <f>CALCULO_VR!J387</f>
        <v>15</v>
      </c>
      <c r="Q387" s="44">
        <f>CALCULO_VR!R387</f>
        <v>27.079220603336328</v>
      </c>
    </row>
    <row r="388" spans="1:17" x14ac:dyDescent="0.3">
      <c r="A388" s="34">
        <f>CALCULO_VR!A388</f>
        <v>3468188</v>
      </c>
      <c r="B388" s="34" t="str">
        <f>CALCULO_VR!B388</f>
        <v>MLPA</v>
      </c>
      <c r="C388" t="s">
        <v>1011</v>
      </c>
      <c r="D388" s="46">
        <f>CALCULO_VR!F388</f>
        <v>45471.626504629632</v>
      </c>
      <c r="E388" s="46">
        <f>CALCULO_VR!G388</f>
        <v>45483.626504629632</v>
      </c>
      <c r="F388" s="27">
        <f>CALCULO_VR!I388</f>
        <v>39252.620000000003</v>
      </c>
      <c r="G388" s="34">
        <f>CALCULO_VR!E388</f>
        <v>1</v>
      </c>
      <c r="H388" s="34">
        <f t="shared" si="5"/>
        <v>1</v>
      </c>
      <c r="I388" t="s">
        <v>6587</v>
      </c>
      <c r="J388" s="63">
        <f>CALCULO_VR!J388</f>
        <v>15</v>
      </c>
      <c r="Q388" s="44">
        <f>CALCULO_VR!R388</f>
        <v>18.729641165076039</v>
      </c>
    </row>
    <row r="389" spans="1:17" x14ac:dyDescent="0.3">
      <c r="A389" s="34">
        <f>CALCULO_VR!A389</f>
        <v>3468425</v>
      </c>
      <c r="B389" s="34" t="str">
        <f>CALCULO_VR!B389</f>
        <v>MLPA</v>
      </c>
      <c r="C389" t="s">
        <v>1011</v>
      </c>
      <c r="D389" s="46">
        <f>CALCULO_VR!F389</f>
        <v>45465.678472222222</v>
      </c>
      <c r="E389" s="46">
        <f>CALCULO_VR!G389</f>
        <v>45478.678472222222</v>
      </c>
      <c r="F389" s="27">
        <f>CALCULO_VR!I389</f>
        <v>39252.620000000003</v>
      </c>
      <c r="G389" s="34">
        <f>CALCULO_VR!E389</f>
        <v>1</v>
      </c>
      <c r="H389" s="34">
        <f t="shared" ref="H389:H452" si="6">G389</f>
        <v>1</v>
      </c>
      <c r="I389" t="s">
        <v>6587</v>
      </c>
      <c r="J389" s="63">
        <f>CALCULO_VR!J389</f>
        <v>15</v>
      </c>
      <c r="Q389" s="44">
        <f>CALCULO_VR!R389</f>
        <v>17.587573617408314</v>
      </c>
    </row>
    <row r="390" spans="1:17" x14ac:dyDescent="0.3">
      <c r="A390" s="34">
        <f>CALCULO_VR!A390</f>
        <v>3468467</v>
      </c>
      <c r="B390" s="34" t="str">
        <f>CALCULO_VR!B390</f>
        <v>MLPA</v>
      </c>
      <c r="C390" t="s">
        <v>1011</v>
      </c>
      <c r="D390" s="46">
        <f>CALCULO_VR!F390</f>
        <v>45463.64162037037</v>
      </c>
      <c r="E390" s="46">
        <f>CALCULO_VR!G390</f>
        <v>45478.64162037037</v>
      </c>
      <c r="F390" s="27">
        <f>CALCULO_VR!I390</f>
        <v>39252.620000000003</v>
      </c>
      <c r="G390" s="34">
        <f>CALCULO_VR!E390</f>
        <v>1</v>
      </c>
      <c r="H390" s="34">
        <f t="shared" si="6"/>
        <v>1</v>
      </c>
      <c r="I390" t="s">
        <v>6587</v>
      </c>
      <c r="J390" s="63">
        <f>CALCULO_VR!J390</f>
        <v>15</v>
      </c>
      <c r="Q390" s="44">
        <f>CALCULO_VR!R390</f>
        <v>17.68241109281038</v>
      </c>
    </row>
    <row r="391" spans="1:17" x14ac:dyDescent="0.3">
      <c r="A391" s="34">
        <f>CALCULO_VR!A391</f>
        <v>3468321</v>
      </c>
      <c r="B391" s="34" t="str">
        <f>CALCULO_VR!B391</f>
        <v>MLPA</v>
      </c>
      <c r="C391" t="s">
        <v>1011</v>
      </c>
      <c r="D391" s="46">
        <f>CALCULO_VR!F391</f>
        <v>45471.707453703704</v>
      </c>
      <c r="E391" s="46">
        <f>CALCULO_VR!G391</f>
        <v>45482.707453703704</v>
      </c>
      <c r="F391" s="27">
        <f>CALCULO_VR!I391</f>
        <v>39252.620000000003</v>
      </c>
      <c r="G391" s="34">
        <f>CALCULO_VR!E391</f>
        <v>1</v>
      </c>
      <c r="H391" s="34">
        <f t="shared" si="6"/>
        <v>1</v>
      </c>
      <c r="I391" t="s">
        <v>6587</v>
      </c>
      <c r="J391" s="63">
        <f>CALCULO_VR!J391</f>
        <v>15</v>
      </c>
      <c r="Q391" s="44">
        <f>CALCULO_VR!R391</f>
        <v>27.14638368514855</v>
      </c>
    </row>
    <row r="392" spans="1:17" x14ac:dyDescent="0.3">
      <c r="A392" s="34">
        <f>CALCULO_VR!A392</f>
        <v>3467592</v>
      </c>
      <c r="B392" s="34" t="str">
        <f>CALCULO_VR!B392</f>
        <v>MLPA</v>
      </c>
      <c r="C392" t="s">
        <v>942</v>
      </c>
      <c r="D392" s="46">
        <f>CALCULO_VR!F392</f>
        <v>45471.38585648148</v>
      </c>
      <c r="E392" s="46">
        <f>CALCULO_VR!G392</f>
        <v>45483.38585648148</v>
      </c>
      <c r="F392" s="27">
        <f>CALCULO_VR!I392</f>
        <v>39252.620000000003</v>
      </c>
      <c r="G392" s="34">
        <f>CALCULO_VR!E392</f>
        <v>1</v>
      </c>
      <c r="H392" s="34">
        <f t="shared" si="6"/>
        <v>1</v>
      </c>
      <c r="I392" t="s">
        <v>6587</v>
      </c>
      <c r="J392" s="63">
        <f>CALCULO_VR!J392</f>
        <v>1</v>
      </c>
      <c r="Q392" s="44">
        <f>CALCULO_VR!R392</f>
        <v>30.452236454993013</v>
      </c>
    </row>
    <row r="393" spans="1:17" x14ac:dyDescent="0.3">
      <c r="A393" s="34">
        <f>CALCULO_VR!A393</f>
        <v>3467599</v>
      </c>
      <c r="B393" s="34" t="str">
        <f>CALCULO_VR!B393</f>
        <v>MLPA</v>
      </c>
      <c r="C393" t="s">
        <v>942</v>
      </c>
      <c r="D393" s="46">
        <f>CALCULO_VR!F393</f>
        <v>45470.573935185188</v>
      </c>
      <c r="E393" s="46">
        <f>CALCULO_VR!G393</f>
        <v>45483.573935185188</v>
      </c>
      <c r="F393" s="27">
        <f>CALCULO_VR!I393</f>
        <v>39252.620000000003</v>
      </c>
      <c r="G393" s="34">
        <f>CALCULO_VR!E393</f>
        <v>1</v>
      </c>
      <c r="H393" s="34">
        <f t="shared" si="6"/>
        <v>1</v>
      </c>
      <c r="I393" t="s">
        <v>6587</v>
      </c>
      <c r="J393" s="63">
        <f>CALCULO_VR!J393</f>
        <v>1</v>
      </c>
      <c r="Q393" s="44">
        <f>CALCULO_VR!R393</f>
        <v>30.56844946498062</v>
      </c>
    </row>
    <row r="394" spans="1:17" x14ac:dyDescent="0.3">
      <c r="A394" s="34">
        <f>CALCULO_VR!A394</f>
        <v>3467602</v>
      </c>
      <c r="B394" s="34" t="str">
        <f>CALCULO_VR!B394</f>
        <v>MLPA</v>
      </c>
      <c r="C394" t="s">
        <v>942</v>
      </c>
      <c r="D394" s="46">
        <f>CALCULO_VR!F394</f>
        <v>45468.581192129626</v>
      </c>
      <c r="E394" s="46">
        <f>CALCULO_VR!G394</f>
        <v>45483.581192129626</v>
      </c>
      <c r="F394" s="27">
        <f>CALCULO_VR!I394</f>
        <v>39252.620000000003</v>
      </c>
      <c r="G394" s="34">
        <f>CALCULO_VR!E394</f>
        <v>1</v>
      </c>
      <c r="H394" s="34">
        <f t="shared" si="6"/>
        <v>1</v>
      </c>
      <c r="I394" t="s">
        <v>6587</v>
      </c>
      <c r="J394" s="63">
        <f>CALCULO_VR!J394</f>
        <v>1</v>
      </c>
      <c r="Q394" s="44">
        <f>CALCULO_VR!R394</f>
        <v>30.181164154790288</v>
      </c>
    </row>
    <row r="395" spans="1:17" x14ac:dyDescent="0.3">
      <c r="A395" s="34">
        <f>CALCULO_VR!A395</f>
        <v>3467606</v>
      </c>
      <c r="B395" s="34" t="str">
        <f>CALCULO_VR!B395</f>
        <v>MLPA</v>
      </c>
      <c r="C395" t="s">
        <v>942</v>
      </c>
      <c r="D395" s="46">
        <f>CALCULO_VR!F395</f>
        <v>45467.589733796296</v>
      </c>
      <c r="E395" s="46">
        <f>CALCULO_VR!G395</f>
        <v>45483.589733796296</v>
      </c>
      <c r="F395" s="27">
        <f>CALCULO_VR!I395</f>
        <v>39252.620000000003</v>
      </c>
      <c r="G395" s="34">
        <f>CALCULO_VR!E395</f>
        <v>1</v>
      </c>
      <c r="H395" s="34">
        <f t="shared" si="6"/>
        <v>1</v>
      </c>
      <c r="I395" t="s">
        <v>6587</v>
      </c>
      <c r="J395" s="63">
        <f>CALCULO_VR!J395</f>
        <v>1</v>
      </c>
      <c r="Q395" s="44">
        <f>CALCULO_VR!R395</f>
        <v>29.419157020396934</v>
      </c>
    </row>
    <row r="396" spans="1:17" x14ac:dyDescent="0.3">
      <c r="A396" s="34">
        <f>CALCULO_VR!A396</f>
        <v>3467607</v>
      </c>
      <c r="B396" s="34" t="str">
        <f>CALCULO_VR!B396</f>
        <v>MLPA</v>
      </c>
      <c r="C396" t="s">
        <v>1427</v>
      </c>
      <c r="D396" s="46">
        <f>CALCULO_VR!F396</f>
        <v>45472.623912037037</v>
      </c>
      <c r="E396" s="46">
        <f>CALCULO_VR!G396</f>
        <v>45483.623912037037</v>
      </c>
      <c r="F396" s="27">
        <f>CALCULO_VR!I396</f>
        <v>39252.620000000003</v>
      </c>
      <c r="G396" s="34">
        <f>CALCULO_VR!E396</f>
        <v>1</v>
      </c>
      <c r="H396" s="34">
        <f t="shared" si="6"/>
        <v>1</v>
      </c>
      <c r="I396" t="s">
        <v>6587</v>
      </c>
      <c r="J396" s="63">
        <f>CALCULO_VR!J396</f>
        <v>10</v>
      </c>
      <c r="Q396" s="44">
        <f>CALCULO_VR!R396</f>
        <v>57.068147524973661</v>
      </c>
    </row>
    <row r="397" spans="1:17" x14ac:dyDescent="0.3">
      <c r="A397" s="34">
        <f>CALCULO_VR!A397</f>
        <v>3467387</v>
      </c>
      <c r="B397" s="34" t="str">
        <f>CALCULO_VR!B397</f>
        <v>MLPA</v>
      </c>
      <c r="C397" t="s">
        <v>923</v>
      </c>
      <c r="D397" s="46">
        <f>CALCULO_VR!F397</f>
        <v>45443.435833333337</v>
      </c>
      <c r="E397" s="46">
        <f>CALCULO_VR!G397</f>
        <v>45455.435833333337</v>
      </c>
      <c r="F397" s="27">
        <f>CALCULO_VR!I397</f>
        <v>39252.620000000003</v>
      </c>
      <c r="G397" s="34">
        <f>CALCULO_VR!E397</f>
        <v>1</v>
      </c>
      <c r="H397" s="34">
        <f t="shared" si="6"/>
        <v>1</v>
      </c>
      <c r="I397" t="s">
        <v>6587</v>
      </c>
      <c r="J397" s="63">
        <f>CALCULO_VR!J397</f>
        <v>6</v>
      </c>
      <c r="Q397" s="44">
        <f>CALCULO_VR!R397</f>
        <v>75.607917091277841</v>
      </c>
    </row>
    <row r="398" spans="1:17" x14ac:dyDescent="0.3">
      <c r="A398" s="34">
        <f>CALCULO_VR!A398</f>
        <v>3467392</v>
      </c>
      <c r="B398" s="34" t="str">
        <f>CALCULO_VR!B398</f>
        <v>MLPA</v>
      </c>
      <c r="C398" t="s">
        <v>923</v>
      </c>
      <c r="D398" s="46">
        <f>CALCULO_VR!F398</f>
        <v>45442.592685185184</v>
      </c>
      <c r="E398" s="46">
        <f>CALCULO_VR!G398</f>
        <v>45455.592685185184</v>
      </c>
      <c r="F398" s="27">
        <f>CALCULO_VR!I398</f>
        <v>39252.620000000003</v>
      </c>
      <c r="G398" s="34">
        <f>CALCULO_VR!E398</f>
        <v>1</v>
      </c>
      <c r="H398" s="34">
        <f t="shared" si="6"/>
        <v>1</v>
      </c>
      <c r="I398" t="s">
        <v>6587</v>
      </c>
      <c r="J398" s="63">
        <f>CALCULO_VR!J398</f>
        <v>6</v>
      </c>
      <c r="Q398" s="44">
        <f>CALCULO_VR!R398</f>
        <v>75.641124339331384</v>
      </c>
    </row>
    <row r="399" spans="1:17" x14ac:dyDescent="0.3">
      <c r="A399" s="34">
        <f>CALCULO_VR!A399</f>
        <v>3468190</v>
      </c>
      <c r="B399" s="34" t="str">
        <f>CALCULO_VR!B399</f>
        <v>MLPA</v>
      </c>
      <c r="C399" t="s">
        <v>1011</v>
      </c>
      <c r="D399" s="46">
        <f>CALCULO_VR!F399</f>
        <v>45468.631064814814</v>
      </c>
      <c r="E399" s="46">
        <f>CALCULO_VR!G399</f>
        <v>45483.631064814814</v>
      </c>
      <c r="F399" s="27">
        <f>CALCULO_VR!I399</f>
        <v>39252.620000000003</v>
      </c>
      <c r="G399" s="34">
        <f>CALCULO_VR!E399</f>
        <v>1</v>
      </c>
      <c r="H399" s="34">
        <f t="shared" si="6"/>
        <v>1</v>
      </c>
      <c r="I399" t="s">
        <v>6587</v>
      </c>
      <c r="J399" s="63">
        <f>CALCULO_VR!J399</f>
        <v>15</v>
      </c>
      <c r="Q399" s="44">
        <f>CALCULO_VR!R399</f>
        <v>19.767477555152404</v>
      </c>
    </row>
    <row r="400" spans="1:17" x14ac:dyDescent="0.3">
      <c r="A400" s="34">
        <f>CALCULO_VR!A400</f>
        <v>3467455</v>
      </c>
      <c r="B400" s="34" t="str">
        <f>CALCULO_VR!B400</f>
        <v>MLPA</v>
      </c>
      <c r="C400" t="s">
        <v>923</v>
      </c>
      <c r="D400" s="46">
        <f>CALCULO_VR!F400</f>
        <v>45444.684004629627</v>
      </c>
      <c r="E400" s="46">
        <f>CALCULO_VR!G400</f>
        <v>45455.684004629627</v>
      </c>
      <c r="F400" s="27">
        <f>CALCULO_VR!I400</f>
        <v>39252.620000000003</v>
      </c>
      <c r="G400" s="34">
        <f>CALCULO_VR!E400</f>
        <v>1</v>
      </c>
      <c r="H400" s="34">
        <f t="shared" si="6"/>
        <v>1</v>
      </c>
      <c r="I400" t="s">
        <v>6587</v>
      </c>
      <c r="J400" s="63">
        <f>CALCULO_VR!J400</f>
        <v>6</v>
      </c>
      <c r="Q400" s="44">
        <f>CALCULO_VR!R400</f>
        <v>75.55039091525515</v>
      </c>
    </row>
    <row r="401" spans="1:17" x14ac:dyDescent="0.3">
      <c r="A401" s="34">
        <f>CALCULO_VR!A401</f>
        <v>3467450</v>
      </c>
      <c r="B401" s="34" t="str">
        <f>CALCULO_VR!B401</f>
        <v>MLPA</v>
      </c>
      <c r="C401" t="s">
        <v>923</v>
      </c>
      <c r="D401" s="46">
        <f>CALCULO_VR!F401</f>
        <v>45443.652037037034</v>
      </c>
      <c r="E401" s="46">
        <f>CALCULO_VR!G401</f>
        <v>45455.652037037034</v>
      </c>
      <c r="F401" s="27">
        <f>CALCULO_VR!I401</f>
        <v>39252.620000000003</v>
      </c>
      <c r="G401" s="34">
        <f>CALCULO_VR!E401</f>
        <v>1</v>
      </c>
      <c r="H401" s="34">
        <f t="shared" si="6"/>
        <v>1</v>
      </c>
      <c r="I401" t="s">
        <v>6587</v>
      </c>
      <c r="J401" s="63">
        <f>CALCULO_VR!J401</f>
        <v>6</v>
      </c>
      <c r="Q401" s="44">
        <f>CALCULO_VR!R401</f>
        <v>75.578500187110876</v>
      </c>
    </row>
    <row r="402" spans="1:17" x14ac:dyDescent="0.3">
      <c r="A402" s="34">
        <f>CALCULO_VR!A402</f>
        <v>3467301</v>
      </c>
      <c r="B402" s="34" t="str">
        <f>CALCULO_VR!B402</f>
        <v>MLPA</v>
      </c>
      <c r="C402" t="s">
        <v>923</v>
      </c>
      <c r="D402" s="46">
        <f>CALCULO_VR!F402</f>
        <v>45441.69630787037</v>
      </c>
      <c r="E402" s="46">
        <f>CALCULO_VR!G402</f>
        <v>45454.69630787037</v>
      </c>
      <c r="F402" s="27">
        <f>CALCULO_VR!I402</f>
        <v>39252.620000000003</v>
      </c>
      <c r="G402" s="34">
        <f>CALCULO_VR!E402</f>
        <v>1</v>
      </c>
      <c r="H402" s="34">
        <f t="shared" si="6"/>
        <v>1</v>
      </c>
      <c r="I402" t="s">
        <v>6587</v>
      </c>
      <c r="J402" s="63">
        <f>CALCULO_VR!J402</f>
        <v>6</v>
      </c>
      <c r="Q402" s="44">
        <f>CALCULO_VR!R402</f>
        <v>75.693214054585283</v>
      </c>
    </row>
    <row r="403" spans="1:17" x14ac:dyDescent="0.3">
      <c r="A403" s="34">
        <f>CALCULO_VR!A403</f>
        <v>3467303</v>
      </c>
      <c r="B403" s="34" t="str">
        <f>CALCULO_VR!B403</f>
        <v>MLPA</v>
      </c>
      <c r="C403" t="s">
        <v>923</v>
      </c>
      <c r="D403" s="46">
        <f>CALCULO_VR!F403</f>
        <v>45440.413148148145</v>
      </c>
      <c r="E403" s="46">
        <f>CALCULO_VR!G403</f>
        <v>45455.413148148145</v>
      </c>
      <c r="F403" s="27">
        <f>CALCULO_VR!I403</f>
        <v>39252.620000000003</v>
      </c>
      <c r="G403" s="34">
        <f>CALCULO_VR!E403</f>
        <v>1</v>
      </c>
      <c r="H403" s="34">
        <f t="shared" si="6"/>
        <v>1</v>
      </c>
      <c r="I403" t="s">
        <v>6587</v>
      </c>
      <c r="J403" s="63">
        <f>CALCULO_VR!J403</f>
        <v>6</v>
      </c>
      <c r="Q403" s="44">
        <f>CALCULO_VR!R403</f>
        <v>75.639429838887523</v>
      </c>
    </row>
    <row r="404" spans="1:17" x14ac:dyDescent="0.3">
      <c r="A404" s="34">
        <f>CALCULO_VR!A404</f>
        <v>3467405</v>
      </c>
      <c r="B404" s="34" t="str">
        <f>CALCULO_VR!B404</f>
        <v>MLPA</v>
      </c>
      <c r="C404" t="s">
        <v>923</v>
      </c>
      <c r="D404" s="46">
        <f>CALCULO_VR!F404</f>
        <v>45439.667094907411</v>
      </c>
      <c r="E404" s="46">
        <f>CALCULO_VR!G404</f>
        <v>45455.667094907411</v>
      </c>
      <c r="F404" s="27">
        <f>CALCULO_VR!I404</f>
        <v>39252.620000000003</v>
      </c>
      <c r="G404" s="34">
        <f>CALCULO_VR!E404</f>
        <v>1</v>
      </c>
      <c r="H404" s="34">
        <f t="shared" si="6"/>
        <v>1</v>
      </c>
      <c r="I404" t="s">
        <v>6587</v>
      </c>
      <c r="J404" s="63">
        <f>CALCULO_VR!J404</f>
        <v>6</v>
      </c>
      <c r="Q404" s="44">
        <f>CALCULO_VR!R404</f>
        <v>75.719384933857768</v>
      </c>
    </row>
    <row r="405" spans="1:17" x14ac:dyDescent="0.3">
      <c r="A405" s="34">
        <f>CALCULO_VR!A405</f>
        <v>3467388</v>
      </c>
      <c r="B405" s="34" t="str">
        <f>CALCULO_VR!B405</f>
        <v>MLPA</v>
      </c>
      <c r="C405" t="s">
        <v>923</v>
      </c>
      <c r="D405" s="46">
        <f>CALCULO_VR!F405</f>
        <v>45444.455914351849</v>
      </c>
      <c r="E405" s="46">
        <f>CALCULO_VR!G405</f>
        <v>45455.455914351849</v>
      </c>
      <c r="F405" s="27">
        <f>CALCULO_VR!I405</f>
        <v>39252.620000000003</v>
      </c>
      <c r="G405" s="34">
        <f>CALCULO_VR!E405</f>
        <v>1</v>
      </c>
      <c r="H405" s="34">
        <f t="shared" si="6"/>
        <v>1</v>
      </c>
      <c r="I405" t="s">
        <v>6587</v>
      </c>
      <c r="J405" s="63">
        <f>CALCULO_VR!J405</f>
        <v>6</v>
      </c>
      <c r="Q405" s="44">
        <f>CALCULO_VR!R405</f>
        <v>75.640576848155092</v>
      </c>
    </row>
    <row r="406" spans="1:17" x14ac:dyDescent="0.3">
      <c r="A406" s="34">
        <f>CALCULO_VR!A406</f>
        <v>3467400</v>
      </c>
      <c r="B406" s="34" t="str">
        <f>CALCULO_VR!B406</f>
        <v>MLPA</v>
      </c>
      <c r="C406" t="s">
        <v>923</v>
      </c>
      <c r="D406" s="46">
        <f>CALCULO_VR!F406</f>
        <v>45443.620451388888</v>
      </c>
      <c r="E406" s="46">
        <f>CALCULO_VR!G406</f>
        <v>45455.620451388888</v>
      </c>
      <c r="F406" s="27">
        <f>CALCULO_VR!I406</f>
        <v>39252.620000000003</v>
      </c>
      <c r="G406" s="34">
        <f>CALCULO_VR!E406</f>
        <v>1</v>
      </c>
      <c r="H406" s="34">
        <f t="shared" si="6"/>
        <v>1</v>
      </c>
      <c r="I406" t="s">
        <v>6587</v>
      </c>
      <c r="J406" s="63">
        <f>CALCULO_VR!J406</f>
        <v>6</v>
      </c>
      <c r="Q406" s="44">
        <f>CALCULO_VR!R406</f>
        <v>75.594131155444799</v>
      </c>
    </row>
    <row r="407" spans="1:17" x14ac:dyDescent="0.3">
      <c r="A407" s="34">
        <f>CALCULO_VR!A407</f>
        <v>3467396</v>
      </c>
      <c r="B407" s="34" t="str">
        <f>CALCULO_VR!B407</f>
        <v>MLPA</v>
      </c>
      <c r="C407" t="s">
        <v>923</v>
      </c>
      <c r="D407" s="46">
        <f>CALCULO_VR!F407</f>
        <v>45442.609594907408</v>
      </c>
      <c r="E407" s="46">
        <f>CALCULO_VR!G407</f>
        <v>45455.609594907408</v>
      </c>
      <c r="F407" s="27">
        <f>CALCULO_VR!I407</f>
        <v>39252.620000000003</v>
      </c>
      <c r="G407" s="34">
        <f>CALCULO_VR!E407</f>
        <v>1</v>
      </c>
      <c r="H407" s="34">
        <f t="shared" si="6"/>
        <v>1</v>
      </c>
      <c r="I407" t="s">
        <v>6587</v>
      </c>
      <c r="J407" s="63">
        <f>CALCULO_VR!J407</f>
        <v>6</v>
      </c>
      <c r="Q407" s="44">
        <f>CALCULO_VR!R407</f>
        <v>75.604958863654119</v>
      </c>
    </row>
    <row r="408" spans="1:17" x14ac:dyDescent="0.3">
      <c r="A408" s="34">
        <f>CALCULO_VR!A408</f>
        <v>3467608</v>
      </c>
      <c r="B408" s="34" t="str">
        <f>CALCULO_VR!B408</f>
        <v>MLPA</v>
      </c>
      <c r="C408" t="s">
        <v>1427</v>
      </c>
      <c r="D408" s="46">
        <f>CALCULO_VR!F408</f>
        <v>45468.640648148146</v>
      </c>
      <c r="E408" s="46">
        <f>CALCULO_VR!G408</f>
        <v>45483.640648148146</v>
      </c>
      <c r="F408" s="27">
        <f>CALCULO_VR!I408</f>
        <v>39252.620000000003</v>
      </c>
      <c r="G408" s="34">
        <f>CALCULO_VR!E408</f>
        <v>1</v>
      </c>
      <c r="H408" s="34">
        <f t="shared" si="6"/>
        <v>1</v>
      </c>
      <c r="I408" t="s">
        <v>6587</v>
      </c>
      <c r="J408" s="63">
        <f>CALCULO_VR!J408</f>
        <v>10</v>
      </c>
      <c r="Q408" s="44">
        <f>CALCULO_VR!R408</f>
        <v>22.088201962844551</v>
      </c>
    </row>
    <row r="409" spans="1:17" x14ac:dyDescent="0.3">
      <c r="A409" s="34">
        <f>CALCULO_VR!A409</f>
        <v>3436355</v>
      </c>
      <c r="B409" s="34" t="str">
        <f>CALCULO_VR!B409</f>
        <v>MLPA</v>
      </c>
      <c r="C409" t="s">
        <v>1427</v>
      </c>
      <c r="D409" s="46">
        <f>CALCULO_VR!F409</f>
        <v>45303</v>
      </c>
      <c r="E409" s="46">
        <f>CALCULO_VR!G409</f>
        <v>45314</v>
      </c>
      <c r="F409" s="27">
        <f>CALCULO_VR!I409</f>
        <v>46440.22</v>
      </c>
      <c r="G409" s="34">
        <f>CALCULO_VR!E409</f>
        <v>1</v>
      </c>
      <c r="H409" s="34">
        <f t="shared" si="6"/>
        <v>1</v>
      </c>
      <c r="I409" t="s">
        <v>6587</v>
      </c>
      <c r="J409" s="63">
        <f>CALCULO_VR!J409</f>
        <v>10</v>
      </c>
      <c r="Q409" s="44">
        <f>CALCULO_VR!R409</f>
        <v>32.114833216623083</v>
      </c>
    </row>
    <row r="410" spans="1:17" x14ac:dyDescent="0.3">
      <c r="A410" s="34">
        <f>CALCULO_VR!A410</f>
        <v>3436288</v>
      </c>
      <c r="B410" s="34" t="str">
        <f>CALCULO_VR!B410</f>
        <v>MLPA</v>
      </c>
      <c r="C410" t="s">
        <v>1427</v>
      </c>
      <c r="D410" s="46">
        <f>CALCULO_VR!F410</f>
        <v>45302</v>
      </c>
      <c r="E410" s="46">
        <f>CALCULO_VR!G410</f>
        <v>45314</v>
      </c>
      <c r="F410" s="27">
        <f>CALCULO_VR!I410</f>
        <v>46440.22</v>
      </c>
      <c r="G410" s="34">
        <f>CALCULO_VR!E410</f>
        <v>1</v>
      </c>
      <c r="H410" s="34">
        <f t="shared" si="6"/>
        <v>1</v>
      </c>
      <c r="I410" t="s">
        <v>6587</v>
      </c>
      <c r="J410" s="63">
        <f>CALCULO_VR!J410</f>
        <v>10</v>
      </c>
      <c r="Q410" s="44">
        <f>CALCULO_VR!R410</f>
        <v>32.99787948595862</v>
      </c>
    </row>
    <row r="411" spans="1:17" x14ac:dyDescent="0.3">
      <c r="A411" s="34">
        <f>CALCULO_VR!A411</f>
        <v>3464077</v>
      </c>
      <c r="B411" s="34" t="str">
        <f>CALCULO_VR!B411</f>
        <v>MLPA</v>
      </c>
      <c r="C411" t="s">
        <v>1427</v>
      </c>
      <c r="D411" s="46">
        <f>CALCULO_VR!F411</f>
        <v>45428</v>
      </c>
      <c r="E411" s="46">
        <f>CALCULO_VR!G411</f>
        <v>45441</v>
      </c>
      <c r="F411" s="27">
        <f>CALCULO_VR!I411</f>
        <v>46440.22</v>
      </c>
      <c r="G411" s="34">
        <f>CALCULO_VR!E411</f>
        <v>1</v>
      </c>
      <c r="H411" s="34">
        <f t="shared" si="6"/>
        <v>1</v>
      </c>
      <c r="I411" t="s">
        <v>6587</v>
      </c>
      <c r="J411" s="63">
        <f>CALCULO_VR!J411</f>
        <v>10</v>
      </c>
      <c r="Q411" s="44">
        <f>CALCULO_VR!R411</f>
        <v>46.244046221112555</v>
      </c>
    </row>
    <row r="412" spans="1:17" x14ac:dyDescent="0.3">
      <c r="A412" s="34">
        <f>CALCULO_VR!A412</f>
        <v>3436172</v>
      </c>
      <c r="B412" s="34" t="str">
        <f>CALCULO_VR!B412</f>
        <v>MLPA</v>
      </c>
      <c r="C412" t="s">
        <v>1427</v>
      </c>
      <c r="D412" s="46">
        <f>CALCULO_VR!F412</f>
        <v>45299</v>
      </c>
      <c r="E412" s="46">
        <f>CALCULO_VR!G412</f>
        <v>45314</v>
      </c>
      <c r="F412" s="27">
        <f>CALCULO_VR!I412</f>
        <v>46440.22</v>
      </c>
      <c r="G412" s="34">
        <f>CALCULO_VR!E412</f>
        <v>1</v>
      </c>
      <c r="H412" s="34">
        <f t="shared" si="6"/>
        <v>1</v>
      </c>
      <c r="I412" t="s">
        <v>6587</v>
      </c>
      <c r="J412" s="63">
        <f>CALCULO_VR!J412</f>
        <v>10</v>
      </c>
      <c r="Q412" s="44">
        <f>CALCULO_VR!R412</f>
        <v>46.146648887666281</v>
      </c>
    </row>
    <row r="413" spans="1:17" x14ac:dyDescent="0.3">
      <c r="A413" s="34">
        <f>CALCULO_VR!A413</f>
        <v>3438200</v>
      </c>
      <c r="B413" s="34" t="str">
        <f>CALCULO_VR!B413</f>
        <v>MLPA</v>
      </c>
      <c r="C413" t="s">
        <v>1427</v>
      </c>
      <c r="D413" s="46">
        <f>CALCULO_VR!F413</f>
        <v>45298</v>
      </c>
      <c r="E413" s="46">
        <f>CALCULO_VR!G413</f>
        <v>45314</v>
      </c>
      <c r="F413" s="27">
        <f>CALCULO_VR!I413</f>
        <v>46440.22</v>
      </c>
      <c r="G413" s="34">
        <f>CALCULO_VR!E413</f>
        <v>1</v>
      </c>
      <c r="H413" s="34">
        <f t="shared" si="6"/>
        <v>1</v>
      </c>
      <c r="I413" t="s">
        <v>6587</v>
      </c>
      <c r="J413" s="63">
        <f>CALCULO_VR!J413</f>
        <v>10</v>
      </c>
      <c r="Q413" s="44">
        <f>CALCULO_VR!R413</f>
        <v>45.873309295801882</v>
      </c>
    </row>
    <row r="414" spans="1:17" x14ac:dyDescent="0.3">
      <c r="A414" s="34">
        <f>CALCULO_VR!A414</f>
        <v>3436141</v>
      </c>
      <c r="B414" s="34" t="str">
        <f>CALCULO_VR!B414</f>
        <v>MLPA</v>
      </c>
      <c r="C414" t="s">
        <v>1427</v>
      </c>
      <c r="D414" s="46">
        <f>CALCULO_VR!F414</f>
        <v>45303</v>
      </c>
      <c r="E414" s="46">
        <f>CALCULO_VR!G414</f>
        <v>45314</v>
      </c>
      <c r="F414" s="27">
        <f>CALCULO_VR!I414</f>
        <v>46440.22</v>
      </c>
      <c r="G414" s="34">
        <f>CALCULO_VR!E414</f>
        <v>1</v>
      </c>
      <c r="H414" s="34">
        <f t="shared" si="6"/>
        <v>1</v>
      </c>
      <c r="I414" t="s">
        <v>6587</v>
      </c>
      <c r="J414" s="63">
        <f>CALCULO_VR!J414</f>
        <v>10</v>
      </c>
      <c r="Q414" s="44">
        <f>CALCULO_VR!R414</f>
        <v>40.167843534225412</v>
      </c>
    </row>
    <row r="415" spans="1:17" x14ac:dyDescent="0.3">
      <c r="A415" s="34">
        <f>CALCULO_VR!A415</f>
        <v>3434736</v>
      </c>
      <c r="B415" s="34" t="str">
        <f>CALCULO_VR!B415</f>
        <v>MLPA</v>
      </c>
      <c r="C415" t="s">
        <v>1427</v>
      </c>
      <c r="D415" s="46">
        <f>CALCULO_VR!F415</f>
        <v>45302</v>
      </c>
      <c r="E415" s="46">
        <f>CALCULO_VR!G415</f>
        <v>45314</v>
      </c>
      <c r="F415" s="27">
        <f>CALCULO_VR!I415</f>
        <v>46440.22</v>
      </c>
      <c r="G415" s="34">
        <f>CALCULO_VR!E415</f>
        <v>1</v>
      </c>
      <c r="H415" s="34">
        <f t="shared" si="6"/>
        <v>1</v>
      </c>
      <c r="I415" t="s">
        <v>6587</v>
      </c>
      <c r="J415" s="63">
        <f>CALCULO_VR!J415</f>
        <v>10</v>
      </c>
      <c r="Q415" s="44">
        <f>CALCULO_VR!R415</f>
        <v>40.513265464753722</v>
      </c>
    </row>
    <row r="416" spans="1:17" x14ac:dyDescent="0.3">
      <c r="A416" s="34">
        <f>CALCULO_VR!A416</f>
        <v>3463056</v>
      </c>
      <c r="B416" s="34" t="str">
        <f>CALCULO_VR!B416</f>
        <v>MLPA</v>
      </c>
      <c r="C416" t="s">
        <v>1427</v>
      </c>
      <c r="D416" s="46">
        <f>CALCULO_VR!F416</f>
        <v>45428</v>
      </c>
      <c r="E416" s="46">
        <f>CALCULO_VR!G416</f>
        <v>45441</v>
      </c>
      <c r="F416" s="27">
        <f>CALCULO_VR!I416</f>
        <v>46440.22</v>
      </c>
      <c r="G416" s="34">
        <f>CALCULO_VR!E416</f>
        <v>1</v>
      </c>
      <c r="H416" s="34">
        <f t="shared" si="6"/>
        <v>1</v>
      </c>
      <c r="I416" t="s">
        <v>6587</v>
      </c>
      <c r="J416" s="63">
        <f>CALCULO_VR!J416</f>
        <v>10</v>
      </c>
      <c r="Q416" s="44">
        <f>CALCULO_VR!R416</f>
        <v>44.73764977633607</v>
      </c>
    </row>
    <row r="417" spans="1:17" x14ac:dyDescent="0.3">
      <c r="A417" s="34">
        <f>CALCULO_VR!A417</f>
        <v>3435863</v>
      </c>
      <c r="B417" s="34" t="str">
        <f>CALCULO_VR!B417</f>
        <v>MLPA</v>
      </c>
      <c r="C417" t="s">
        <v>1427</v>
      </c>
      <c r="D417" s="46">
        <f>CALCULO_VR!F417</f>
        <v>45301</v>
      </c>
      <c r="E417" s="46">
        <f>CALCULO_VR!G417</f>
        <v>45316</v>
      </c>
      <c r="F417" s="27">
        <f>CALCULO_VR!I417</f>
        <v>46440.22</v>
      </c>
      <c r="G417" s="34">
        <f>CALCULO_VR!E417</f>
        <v>1</v>
      </c>
      <c r="H417" s="34">
        <f t="shared" si="6"/>
        <v>1</v>
      </c>
      <c r="I417" t="s">
        <v>6587</v>
      </c>
      <c r="J417" s="63">
        <f>CALCULO_VR!J417</f>
        <v>10</v>
      </c>
      <c r="Q417" s="44">
        <f>CALCULO_VR!R417</f>
        <v>25.341307688523472</v>
      </c>
    </row>
    <row r="418" spans="1:17" x14ac:dyDescent="0.3">
      <c r="A418" s="34">
        <f>CALCULO_VR!A418</f>
        <v>3463054</v>
      </c>
      <c r="B418" s="34" t="str">
        <f>CALCULO_VR!B418</f>
        <v>MLPA</v>
      </c>
      <c r="C418" t="s">
        <v>1427</v>
      </c>
      <c r="D418" s="46">
        <f>CALCULO_VR!F418</f>
        <v>45429</v>
      </c>
      <c r="E418" s="46">
        <f>CALCULO_VR!G418</f>
        <v>45440</v>
      </c>
      <c r="F418" s="27">
        <f>CALCULO_VR!I418</f>
        <v>46440.22</v>
      </c>
      <c r="G418" s="34">
        <f>CALCULO_VR!E418</f>
        <v>1</v>
      </c>
      <c r="H418" s="34">
        <f t="shared" si="6"/>
        <v>1</v>
      </c>
      <c r="I418" t="s">
        <v>6587</v>
      </c>
      <c r="J418" s="63">
        <f>CALCULO_VR!J418</f>
        <v>10</v>
      </c>
      <c r="Q418" s="44">
        <f>CALCULO_VR!R418</f>
        <v>40.505741540345987</v>
      </c>
    </row>
    <row r="419" spans="1:17" x14ac:dyDescent="0.3">
      <c r="A419" s="34">
        <f>CALCULO_VR!A419</f>
        <v>3434554</v>
      </c>
      <c r="B419" s="34" t="str">
        <f>CALCULO_VR!B419</f>
        <v>MLPA</v>
      </c>
      <c r="C419" t="s">
        <v>1427</v>
      </c>
      <c r="D419" s="46">
        <f>CALCULO_VR!F419</f>
        <v>45302</v>
      </c>
      <c r="E419" s="46">
        <f>CALCULO_VR!G419</f>
        <v>45314</v>
      </c>
      <c r="F419" s="27">
        <f>CALCULO_VR!I419</f>
        <v>46440.22</v>
      </c>
      <c r="G419" s="34">
        <f>CALCULO_VR!E419</f>
        <v>1</v>
      </c>
      <c r="H419" s="34">
        <f t="shared" si="6"/>
        <v>1</v>
      </c>
      <c r="I419" t="s">
        <v>6587</v>
      </c>
      <c r="J419" s="63">
        <f>CALCULO_VR!J419</f>
        <v>10</v>
      </c>
      <c r="Q419" s="44">
        <f>CALCULO_VR!R419</f>
        <v>23.833636543083159</v>
      </c>
    </row>
    <row r="420" spans="1:17" x14ac:dyDescent="0.3">
      <c r="A420" s="34">
        <f>CALCULO_VR!A420</f>
        <v>3435691</v>
      </c>
      <c r="B420" s="34" t="str">
        <f>CALCULO_VR!B420</f>
        <v>MLPA</v>
      </c>
      <c r="C420" t="s">
        <v>1427</v>
      </c>
      <c r="D420" s="46">
        <f>CALCULO_VR!F420</f>
        <v>45303</v>
      </c>
      <c r="E420" s="46">
        <f>CALCULO_VR!G420</f>
        <v>45316</v>
      </c>
      <c r="F420" s="27">
        <f>CALCULO_VR!I420</f>
        <v>46440.22</v>
      </c>
      <c r="G420" s="34">
        <f>CALCULO_VR!E420</f>
        <v>1</v>
      </c>
      <c r="H420" s="34">
        <f t="shared" si="6"/>
        <v>1</v>
      </c>
      <c r="I420" t="s">
        <v>6587</v>
      </c>
      <c r="J420" s="63">
        <f>CALCULO_VR!J420</f>
        <v>10</v>
      </c>
      <c r="Q420" s="44">
        <f>CALCULO_VR!R420</f>
        <v>52.430174388554626</v>
      </c>
    </row>
    <row r="421" spans="1:17" x14ac:dyDescent="0.3">
      <c r="A421" s="34">
        <f>CALCULO_VR!A421</f>
        <v>3435664</v>
      </c>
      <c r="B421" s="34" t="str">
        <f>CALCULO_VR!B421</f>
        <v>MLPA</v>
      </c>
      <c r="C421" t="s">
        <v>1427</v>
      </c>
      <c r="D421" s="46">
        <f>CALCULO_VR!F421</f>
        <v>45301</v>
      </c>
      <c r="E421" s="46">
        <f>CALCULO_VR!G421</f>
        <v>45316</v>
      </c>
      <c r="F421" s="27">
        <f>CALCULO_VR!I421</f>
        <v>46440.22</v>
      </c>
      <c r="G421" s="34">
        <f>CALCULO_VR!E421</f>
        <v>1</v>
      </c>
      <c r="H421" s="34">
        <f t="shared" si="6"/>
        <v>1</v>
      </c>
      <c r="I421" t="s">
        <v>6587</v>
      </c>
      <c r="J421" s="63">
        <f>CALCULO_VR!J421</f>
        <v>10</v>
      </c>
      <c r="Q421" s="44">
        <f>CALCULO_VR!R421</f>
        <v>40.732408850393234</v>
      </c>
    </row>
    <row r="422" spans="1:17" x14ac:dyDescent="0.3">
      <c r="A422" s="34">
        <f>CALCULO_VR!A422</f>
        <v>3442849</v>
      </c>
      <c r="B422" s="34" t="str">
        <f>CALCULO_VR!B422</f>
        <v>MLPA</v>
      </c>
      <c r="C422" t="s">
        <v>1427</v>
      </c>
      <c r="D422" s="46">
        <f>CALCULO_VR!F422</f>
        <v>45383</v>
      </c>
      <c r="E422" s="46">
        <f>CALCULO_VR!G422</f>
        <v>45399</v>
      </c>
      <c r="F422" s="27">
        <f>CALCULO_VR!I422</f>
        <v>46440.22</v>
      </c>
      <c r="G422" s="34">
        <f>CALCULO_VR!E422</f>
        <v>1</v>
      </c>
      <c r="H422" s="34">
        <f t="shared" si="6"/>
        <v>1</v>
      </c>
      <c r="I422" t="s">
        <v>6587</v>
      </c>
      <c r="J422" s="63">
        <f>CALCULO_VR!J422</f>
        <v>10</v>
      </c>
      <c r="Q422" s="44">
        <f>CALCULO_VR!R422</f>
        <v>28.53027497815981</v>
      </c>
    </row>
    <row r="423" spans="1:17" x14ac:dyDescent="0.3">
      <c r="A423" s="34">
        <f>CALCULO_VR!A423</f>
        <v>3459501</v>
      </c>
      <c r="B423" s="34" t="str">
        <f>CALCULO_VR!B423</f>
        <v>MLPA</v>
      </c>
      <c r="C423" t="s">
        <v>1427</v>
      </c>
      <c r="D423" s="46">
        <f>CALCULO_VR!F423</f>
        <v>45429</v>
      </c>
      <c r="E423" s="46">
        <f>CALCULO_VR!G423</f>
        <v>45440</v>
      </c>
      <c r="F423" s="27">
        <f>CALCULO_VR!I423</f>
        <v>46440.22</v>
      </c>
      <c r="G423" s="34">
        <f>CALCULO_VR!E423</f>
        <v>1</v>
      </c>
      <c r="H423" s="34">
        <f t="shared" si="6"/>
        <v>1</v>
      </c>
      <c r="I423" t="s">
        <v>6587</v>
      </c>
      <c r="J423" s="63">
        <f>CALCULO_VR!J423</f>
        <v>10</v>
      </c>
      <c r="Q423" s="44">
        <f>CALCULO_VR!R423</f>
        <v>56.965978682908492</v>
      </c>
    </row>
    <row r="424" spans="1:17" x14ac:dyDescent="0.3">
      <c r="A424" s="34">
        <f>CALCULO_VR!A424</f>
        <v>3464078</v>
      </c>
      <c r="B424" s="34" t="str">
        <f>CALCULO_VR!B424</f>
        <v>MLPA</v>
      </c>
      <c r="C424" t="s">
        <v>1427</v>
      </c>
      <c r="D424" s="46">
        <f>CALCULO_VR!F424</f>
        <v>45429</v>
      </c>
      <c r="E424" s="46">
        <f>CALCULO_VR!G424</f>
        <v>45441</v>
      </c>
      <c r="F424" s="27">
        <f>CALCULO_VR!I424</f>
        <v>46440.22</v>
      </c>
      <c r="G424" s="34">
        <f>CALCULO_VR!E424</f>
        <v>1</v>
      </c>
      <c r="H424" s="34">
        <f t="shared" si="6"/>
        <v>1</v>
      </c>
      <c r="I424" t="s">
        <v>6587</v>
      </c>
      <c r="J424" s="63">
        <f>CALCULO_VR!J424</f>
        <v>10</v>
      </c>
      <c r="Q424" s="44">
        <f>CALCULO_VR!R424</f>
        <v>60.912363335183507</v>
      </c>
    </row>
    <row r="425" spans="1:17" x14ac:dyDescent="0.3">
      <c r="A425" s="34">
        <f>CALCULO_VR!A425</f>
        <v>3466401</v>
      </c>
      <c r="B425" s="34" t="str">
        <f>CALCULO_VR!B425</f>
        <v>MLPA</v>
      </c>
      <c r="C425" t="s">
        <v>803</v>
      </c>
      <c r="D425" s="46">
        <f>CALCULO_VR!F425</f>
        <v>45434</v>
      </c>
      <c r="E425" s="46">
        <f>CALCULO_VR!G425</f>
        <v>45447</v>
      </c>
      <c r="F425" s="27">
        <f>CALCULO_VR!I425</f>
        <v>46440.22</v>
      </c>
      <c r="G425" s="34">
        <f>CALCULO_VR!E425</f>
        <v>1</v>
      </c>
      <c r="H425" s="34">
        <f t="shared" si="6"/>
        <v>1</v>
      </c>
      <c r="I425" t="s">
        <v>6587</v>
      </c>
      <c r="J425" s="63">
        <f>CALCULO_VR!J425</f>
        <v>3</v>
      </c>
      <c r="Q425" s="44">
        <f>CALCULO_VR!R425</f>
        <v>47.543929300867546</v>
      </c>
    </row>
    <row r="426" spans="1:17" x14ac:dyDescent="0.3">
      <c r="A426" s="34">
        <f>CALCULO_VR!A426</f>
        <v>3464094</v>
      </c>
      <c r="B426" s="34" t="str">
        <f>CALCULO_VR!B426</f>
        <v>MLPA</v>
      </c>
      <c r="C426" t="s">
        <v>1427</v>
      </c>
      <c r="D426" s="46">
        <f>CALCULO_VR!F426</f>
        <v>45432</v>
      </c>
      <c r="E426" s="46">
        <f>CALCULO_VR!G426</f>
        <v>45447</v>
      </c>
      <c r="F426" s="27">
        <f>CALCULO_VR!I426</f>
        <v>46440.22</v>
      </c>
      <c r="G426" s="34">
        <f>CALCULO_VR!E426</f>
        <v>1</v>
      </c>
      <c r="H426" s="34">
        <f t="shared" si="6"/>
        <v>1</v>
      </c>
      <c r="I426" t="s">
        <v>6587</v>
      </c>
      <c r="J426" s="63">
        <f>CALCULO_VR!J426</f>
        <v>10</v>
      </c>
      <c r="Q426" s="44">
        <f>CALCULO_VR!R426</f>
        <v>56.961731662962549</v>
      </c>
    </row>
    <row r="427" spans="1:17" x14ac:dyDescent="0.3">
      <c r="A427" s="34">
        <f>CALCULO_VR!A427</f>
        <v>3459529</v>
      </c>
      <c r="B427" s="34" t="str">
        <f>CALCULO_VR!B427</f>
        <v>MLPA</v>
      </c>
      <c r="C427" t="s">
        <v>1427</v>
      </c>
      <c r="D427" s="46">
        <f>CALCULO_VR!F427</f>
        <v>45429</v>
      </c>
      <c r="E427" s="46">
        <f>CALCULO_VR!G427</f>
        <v>45440</v>
      </c>
      <c r="F427" s="27">
        <f>CALCULO_VR!I427</f>
        <v>46440.22</v>
      </c>
      <c r="G427" s="34">
        <f>CALCULO_VR!E427</f>
        <v>1</v>
      </c>
      <c r="H427" s="34">
        <f t="shared" si="6"/>
        <v>1</v>
      </c>
      <c r="I427" t="s">
        <v>6587</v>
      </c>
      <c r="J427" s="63">
        <f>CALCULO_VR!J427</f>
        <v>10</v>
      </c>
      <c r="Q427" s="44">
        <f>CALCULO_VR!R427</f>
        <v>49.411982686607715</v>
      </c>
    </row>
    <row r="428" spans="1:17" x14ac:dyDescent="0.3">
      <c r="A428" s="34">
        <f>CALCULO_VR!A428</f>
        <v>3440363</v>
      </c>
      <c r="B428" s="34" t="str">
        <f>CALCULO_VR!B428</f>
        <v>MLPA</v>
      </c>
      <c r="C428" t="s">
        <v>1427</v>
      </c>
      <c r="D428" s="46">
        <f>CALCULO_VR!F428</f>
        <v>45386</v>
      </c>
      <c r="E428" s="46">
        <f>CALCULO_VR!G428</f>
        <v>45398</v>
      </c>
      <c r="F428" s="27">
        <f>CALCULO_VR!I428</f>
        <v>46440.22</v>
      </c>
      <c r="G428" s="34">
        <f>CALCULO_VR!E428</f>
        <v>1</v>
      </c>
      <c r="H428" s="34">
        <f t="shared" si="6"/>
        <v>1</v>
      </c>
      <c r="I428" t="s">
        <v>6587</v>
      </c>
      <c r="J428" s="63">
        <f>CALCULO_VR!J428</f>
        <v>10</v>
      </c>
      <c r="Q428" s="44">
        <f>CALCULO_VR!R428</f>
        <v>26.745164974725565</v>
      </c>
    </row>
    <row r="429" spans="1:17" x14ac:dyDescent="0.3">
      <c r="A429" s="34">
        <f>CALCULO_VR!A429</f>
        <v>3442003</v>
      </c>
      <c r="B429" s="34" t="str">
        <f>CALCULO_VR!B429</f>
        <v>MLPA</v>
      </c>
      <c r="C429" t="s">
        <v>1427</v>
      </c>
      <c r="D429" s="46">
        <f>CALCULO_VR!F429</f>
        <v>45386</v>
      </c>
      <c r="E429" s="46">
        <f>CALCULO_VR!G429</f>
        <v>45399</v>
      </c>
      <c r="F429" s="27">
        <f>CALCULO_VR!I429</f>
        <v>46440.22</v>
      </c>
      <c r="G429" s="34">
        <f>CALCULO_VR!E429</f>
        <v>1</v>
      </c>
      <c r="H429" s="34">
        <f t="shared" si="6"/>
        <v>1</v>
      </c>
      <c r="I429" t="s">
        <v>6587</v>
      </c>
      <c r="J429" s="63">
        <f>CALCULO_VR!J429</f>
        <v>10</v>
      </c>
      <c r="Q429" s="44">
        <f>CALCULO_VR!R429</f>
        <v>46.924194248351697</v>
      </c>
    </row>
    <row r="430" spans="1:17" x14ac:dyDescent="0.3">
      <c r="A430" s="34">
        <f>CALCULO_VR!A430</f>
        <v>3441717</v>
      </c>
      <c r="B430" s="34" t="str">
        <f>CALCULO_VR!B430</f>
        <v>MLPA</v>
      </c>
      <c r="C430" t="s">
        <v>1427</v>
      </c>
      <c r="D430" s="46">
        <f>CALCULO_VR!F430</f>
        <v>45384</v>
      </c>
      <c r="E430" s="46">
        <f>CALCULO_VR!G430</f>
        <v>45399</v>
      </c>
      <c r="F430" s="27">
        <f>CALCULO_VR!I430</f>
        <v>46440.22</v>
      </c>
      <c r="G430" s="34">
        <f>CALCULO_VR!E430</f>
        <v>1</v>
      </c>
      <c r="H430" s="34">
        <f t="shared" si="6"/>
        <v>1</v>
      </c>
      <c r="I430" t="s">
        <v>6587</v>
      </c>
      <c r="J430" s="63">
        <f>CALCULO_VR!J430</f>
        <v>10</v>
      </c>
      <c r="Q430" s="44">
        <f>CALCULO_VR!R430</f>
        <v>54.293713659948168</v>
      </c>
    </row>
    <row r="431" spans="1:17" x14ac:dyDescent="0.3">
      <c r="A431" s="34">
        <f>CALCULO_VR!A431</f>
        <v>3442799</v>
      </c>
      <c r="B431" s="34" t="str">
        <f>CALCULO_VR!B431</f>
        <v>MLPA</v>
      </c>
      <c r="C431" t="s">
        <v>1427</v>
      </c>
      <c r="D431" s="46">
        <f>CALCULO_VR!F431</f>
        <v>45383</v>
      </c>
      <c r="E431" s="46">
        <f>CALCULO_VR!G431</f>
        <v>45399</v>
      </c>
      <c r="F431" s="27">
        <f>CALCULO_VR!I431</f>
        <v>46440.22</v>
      </c>
      <c r="G431" s="34">
        <f>CALCULO_VR!E431</f>
        <v>1</v>
      </c>
      <c r="H431" s="34">
        <f t="shared" si="6"/>
        <v>1</v>
      </c>
      <c r="I431" t="s">
        <v>6587</v>
      </c>
      <c r="J431" s="63">
        <f>CALCULO_VR!J431</f>
        <v>10</v>
      </c>
      <c r="Q431" s="44">
        <f>CALCULO_VR!R431</f>
        <v>30.453332307701</v>
      </c>
    </row>
    <row r="432" spans="1:17" x14ac:dyDescent="0.3">
      <c r="A432" s="34">
        <f>CALCULO_VR!A432</f>
        <v>3442757</v>
      </c>
      <c r="B432" s="34" t="str">
        <f>CALCULO_VR!B432</f>
        <v>MLPA</v>
      </c>
      <c r="C432" t="s">
        <v>803</v>
      </c>
      <c r="D432" s="46">
        <f>CALCULO_VR!F432</f>
        <v>45388</v>
      </c>
      <c r="E432" s="46">
        <f>CALCULO_VR!G432</f>
        <v>45399</v>
      </c>
      <c r="F432" s="27">
        <f>CALCULO_VR!I432</f>
        <v>46440.22</v>
      </c>
      <c r="G432" s="34">
        <f>CALCULO_VR!E432</f>
        <v>1</v>
      </c>
      <c r="H432" s="34">
        <f t="shared" si="6"/>
        <v>1</v>
      </c>
      <c r="I432" t="s">
        <v>6587</v>
      </c>
      <c r="J432" s="63">
        <f>CALCULO_VR!J432</f>
        <v>3</v>
      </c>
      <c r="Q432" s="44">
        <f>CALCULO_VR!R432</f>
        <v>51.196950964832183</v>
      </c>
    </row>
    <row r="433" spans="1:17" x14ac:dyDescent="0.3">
      <c r="A433" s="34">
        <f>CALCULO_VR!A433</f>
        <v>3441416</v>
      </c>
      <c r="B433" s="34" t="str">
        <f>CALCULO_VR!B433</f>
        <v>MLPA</v>
      </c>
      <c r="C433" t="s">
        <v>1427</v>
      </c>
      <c r="D433" s="46">
        <f>CALCULO_VR!F433</f>
        <v>45387</v>
      </c>
      <c r="E433" s="46">
        <f>CALCULO_VR!G433</f>
        <v>45399</v>
      </c>
      <c r="F433" s="27">
        <f>CALCULO_VR!I433</f>
        <v>46440.22</v>
      </c>
      <c r="G433" s="34">
        <f>CALCULO_VR!E433</f>
        <v>1</v>
      </c>
      <c r="H433" s="34">
        <f t="shared" si="6"/>
        <v>1</v>
      </c>
      <c r="I433" t="s">
        <v>6587</v>
      </c>
      <c r="J433" s="63">
        <f>CALCULO_VR!J433</f>
        <v>10</v>
      </c>
      <c r="Q433" s="44">
        <f>CALCULO_VR!R433</f>
        <v>29.772914112914943</v>
      </c>
    </row>
    <row r="434" spans="1:17" x14ac:dyDescent="0.3">
      <c r="A434" s="34">
        <f>CALCULO_VR!A434</f>
        <v>3459495</v>
      </c>
      <c r="B434" s="34" t="str">
        <f>CALCULO_VR!B434</f>
        <v>MLPA</v>
      </c>
      <c r="C434" t="s">
        <v>1427</v>
      </c>
      <c r="D434" s="46">
        <f>CALCULO_VR!F434</f>
        <v>45392</v>
      </c>
      <c r="E434" s="46">
        <f>CALCULO_VR!G434</f>
        <v>45405</v>
      </c>
      <c r="F434" s="27">
        <f>CALCULO_VR!I434</f>
        <v>46440.22</v>
      </c>
      <c r="G434" s="34">
        <f>CALCULO_VR!E434</f>
        <v>1</v>
      </c>
      <c r="H434" s="34">
        <f t="shared" si="6"/>
        <v>1</v>
      </c>
      <c r="I434" t="s">
        <v>6587</v>
      </c>
      <c r="J434" s="63">
        <f>CALCULO_VR!J434</f>
        <v>10</v>
      </c>
      <c r="Q434" s="44">
        <f>CALCULO_VR!R434</f>
        <v>25.573664591843045</v>
      </c>
    </row>
    <row r="435" spans="1:17" x14ac:dyDescent="0.3">
      <c r="A435" s="34">
        <f>CALCULO_VR!A435</f>
        <v>3442966</v>
      </c>
      <c r="B435" s="34" t="str">
        <f>CALCULO_VR!B435</f>
        <v>MLPA</v>
      </c>
      <c r="C435" t="s">
        <v>1427</v>
      </c>
      <c r="D435" s="46">
        <f>CALCULO_VR!F435</f>
        <v>45384</v>
      </c>
      <c r="E435" s="46">
        <f>CALCULO_VR!G435</f>
        <v>45399</v>
      </c>
      <c r="F435" s="27">
        <f>CALCULO_VR!I435</f>
        <v>46440.22</v>
      </c>
      <c r="G435" s="34">
        <f>CALCULO_VR!E435</f>
        <v>1</v>
      </c>
      <c r="H435" s="34">
        <f t="shared" si="6"/>
        <v>1</v>
      </c>
      <c r="I435" t="s">
        <v>6587</v>
      </c>
      <c r="J435" s="63">
        <f>CALCULO_VR!J435</f>
        <v>10</v>
      </c>
      <c r="Q435" s="44">
        <f>CALCULO_VR!R435</f>
        <v>23.167222872598032</v>
      </c>
    </row>
    <row r="436" spans="1:17" x14ac:dyDescent="0.3">
      <c r="A436" s="34">
        <f>CALCULO_VR!A436</f>
        <v>3463057</v>
      </c>
      <c r="B436" s="34" t="str">
        <f>CALCULO_VR!B436</f>
        <v>MLPA</v>
      </c>
      <c r="C436" t="s">
        <v>1427</v>
      </c>
      <c r="D436" s="46">
        <f>CALCULO_VR!F436</f>
        <v>45436</v>
      </c>
      <c r="E436" s="46">
        <f>CALCULO_VR!G436</f>
        <v>45447</v>
      </c>
      <c r="F436" s="27">
        <f>CALCULO_VR!I436</f>
        <v>46440.22</v>
      </c>
      <c r="G436" s="34">
        <f>CALCULO_VR!E436</f>
        <v>1</v>
      </c>
      <c r="H436" s="34">
        <f t="shared" si="6"/>
        <v>1</v>
      </c>
      <c r="I436" t="s">
        <v>6587</v>
      </c>
      <c r="J436" s="63">
        <f>CALCULO_VR!J436</f>
        <v>10</v>
      </c>
      <c r="Q436" s="44">
        <f>CALCULO_VR!R436</f>
        <v>58.050764850286846</v>
      </c>
    </row>
    <row r="437" spans="1:17" x14ac:dyDescent="0.3">
      <c r="A437" s="34">
        <f>CALCULO_VR!A437</f>
        <v>3441274</v>
      </c>
      <c r="B437" s="34" t="str">
        <f>CALCULO_VR!B437</f>
        <v>MLPA</v>
      </c>
      <c r="C437" t="s">
        <v>1427</v>
      </c>
      <c r="D437" s="46">
        <f>CALCULO_VR!F437</f>
        <v>45387</v>
      </c>
      <c r="E437" s="46">
        <f>CALCULO_VR!G437</f>
        <v>45399</v>
      </c>
      <c r="F437" s="27">
        <f>CALCULO_VR!I437</f>
        <v>46440.22</v>
      </c>
      <c r="G437" s="34">
        <f>CALCULO_VR!E437</f>
        <v>1</v>
      </c>
      <c r="H437" s="34">
        <f t="shared" si="6"/>
        <v>1</v>
      </c>
      <c r="I437" t="s">
        <v>6587</v>
      </c>
      <c r="J437" s="63">
        <f>CALCULO_VR!J437</f>
        <v>10</v>
      </c>
      <c r="Q437" s="44">
        <f>CALCULO_VR!R437</f>
        <v>28.358428021297016</v>
      </c>
    </row>
    <row r="438" spans="1:17" x14ac:dyDescent="0.3">
      <c r="A438" s="34">
        <f>CALCULO_VR!A438</f>
        <v>3438233</v>
      </c>
      <c r="B438" s="34" t="str">
        <f>CALCULO_VR!B438</f>
        <v>MLPA</v>
      </c>
      <c r="C438" t="s">
        <v>1427</v>
      </c>
      <c r="D438" s="46">
        <f>CALCULO_VR!F438</f>
        <v>45300</v>
      </c>
      <c r="E438" s="46">
        <f>CALCULO_VR!G438</f>
        <v>45313</v>
      </c>
      <c r="F438" s="27">
        <f>CALCULO_VR!I438</f>
        <v>46440.22</v>
      </c>
      <c r="G438" s="34">
        <f>CALCULO_VR!E438</f>
        <v>1</v>
      </c>
      <c r="H438" s="34">
        <f t="shared" si="6"/>
        <v>1</v>
      </c>
      <c r="I438" t="s">
        <v>6587</v>
      </c>
      <c r="J438" s="63">
        <f>CALCULO_VR!J438</f>
        <v>10</v>
      </c>
      <c r="Q438" s="44">
        <f>CALCULO_VR!R438</f>
        <v>47.482287207100484</v>
      </c>
    </row>
    <row r="439" spans="1:17" x14ac:dyDescent="0.3">
      <c r="A439" s="34">
        <f>CALCULO_VR!A439</f>
        <v>3442792</v>
      </c>
      <c r="B439" s="34" t="str">
        <f>CALCULO_VR!B439</f>
        <v>MLPA</v>
      </c>
      <c r="C439" t="s">
        <v>1427</v>
      </c>
      <c r="D439" s="46">
        <f>CALCULO_VR!F439</f>
        <v>45384</v>
      </c>
      <c r="E439" s="46">
        <f>CALCULO_VR!G439</f>
        <v>45399</v>
      </c>
      <c r="F439" s="27">
        <f>CALCULO_VR!I439</f>
        <v>46440.22</v>
      </c>
      <c r="G439" s="34">
        <f>CALCULO_VR!E439</f>
        <v>1</v>
      </c>
      <c r="H439" s="34">
        <f t="shared" si="6"/>
        <v>1</v>
      </c>
      <c r="I439" t="s">
        <v>6587</v>
      </c>
      <c r="J439" s="63">
        <f>CALCULO_VR!J439</f>
        <v>10</v>
      </c>
      <c r="Q439" s="44">
        <f>CALCULO_VR!R439</f>
        <v>47.462455989265479</v>
      </c>
    </row>
    <row r="440" spans="1:17" x14ac:dyDescent="0.3">
      <c r="A440" s="34">
        <f>CALCULO_VR!A440</f>
        <v>3464089</v>
      </c>
      <c r="B440" s="34" t="str">
        <f>CALCULO_VR!B440</f>
        <v>MLPA</v>
      </c>
      <c r="C440" t="s">
        <v>1427</v>
      </c>
      <c r="D440" s="46">
        <f>CALCULO_VR!F440</f>
        <v>45431</v>
      </c>
      <c r="E440" s="46">
        <f>CALCULO_VR!G440</f>
        <v>45447</v>
      </c>
      <c r="F440" s="27">
        <f>CALCULO_VR!I440</f>
        <v>46440.22</v>
      </c>
      <c r="G440" s="34">
        <f>CALCULO_VR!E440</f>
        <v>1</v>
      </c>
      <c r="H440" s="34">
        <f t="shared" si="6"/>
        <v>1</v>
      </c>
      <c r="I440" t="s">
        <v>6587</v>
      </c>
      <c r="J440" s="63">
        <f>CALCULO_VR!J440</f>
        <v>10</v>
      </c>
      <c r="Q440" s="44">
        <f>CALCULO_VR!R440</f>
        <v>52.151874763307532</v>
      </c>
    </row>
    <row r="441" spans="1:17" x14ac:dyDescent="0.3">
      <c r="A441" s="34">
        <f>CALCULO_VR!A441</f>
        <v>3459394</v>
      </c>
      <c r="B441" s="34" t="str">
        <f>CALCULO_VR!B441</f>
        <v>MLPA</v>
      </c>
      <c r="C441" t="s">
        <v>1427</v>
      </c>
      <c r="D441" s="46">
        <f>CALCULO_VR!F441</f>
        <v>45429</v>
      </c>
      <c r="E441" s="46">
        <f>CALCULO_VR!G441</f>
        <v>45440</v>
      </c>
      <c r="F441" s="27">
        <f>CALCULO_VR!I441</f>
        <v>46440.22</v>
      </c>
      <c r="G441" s="34">
        <f>CALCULO_VR!E441</f>
        <v>1</v>
      </c>
      <c r="H441" s="34">
        <f t="shared" si="6"/>
        <v>1</v>
      </c>
      <c r="I441" t="s">
        <v>6587</v>
      </c>
      <c r="J441" s="63">
        <f>CALCULO_VR!J441</f>
        <v>10</v>
      </c>
      <c r="Q441" s="44">
        <f>CALCULO_VR!R441</f>
        <v>26.418976879357878</v>
      </c>
    </row>
    <row r="442" spans="1:17" x14ac:dyDescent="0.3">
      <c r="A442" s="34">
        <f>CALCULO_VR!A442</f>
        <v>3440700</v>
      </c>
      <c r="B442" s="34" t="str">
        <f>CALCULO_VR!B442</f>
        <v>MLPA</v>
      </c>
      <c r="C442" t="s">
        <v>1427</v>
      </c>
      <c r="D442" s="46">
        <f>CALCULO_VR!F442</f>
        <v>45386</v>
      </c>
      <c r="E442" s="46">
        <f>CALCULO_VR!G442</f>
        <v>45398</v>
      </c>
      <c r="F442" s="27">
        <f>CALCULO_VR!I442</f>
        <v>46440.22</v>
      </c>
      <c r="G442" s="34">
        <f>CALCULO_VR!E442</f>
        <v>1</v>
      </c>
      <c r="H442" s="34">
        <f t="shared" si="6"/>
        <v>1</v>
      </c>
      <c r="I442" t="s">
        <v>6587</v>
      </c>
      <c r="J442" s="63">
        <f>CALCULO_VR!J442</f>
        <v>10</v>
      </c>
      <c r="Q442" s="44">
        <f>CALCULO_VR!R442</f>
        <v>26.214055535185537</v>
      </c>
    </row>
    <row r="443" spans="1:17" x14ac:dyDescent="0.3">
      <c r="A443" s="34">
        <f>CALCULO_VR!A443</f>
        <v>3440476</v>
      </c>
      <c r="B443" s="34" t="str">
        <f>CALCULO_VR!B443</f>
        <v>MLPA</v>
      </c>
      <c r="C443" t="s">
        <v>1427</v>
      </c>
      <c r="D443" s="46">
        <f>CALCULO_VR!F443</f>
        <v>45385</v>
      </c>
      <c r="E443" s="46">
        <f>CALCULO_VR!G443</f>
        <v>45398</v>
      </c>
      <c r="F443" s="27">
        <f>CALCULO_VR!I443</f>
        <v>46440.22</v>
      </c>
      <c r="G443" s="34">
        <f>CALCULO_VR!E443</f>
        <v>1</v>
      </c>
      <c r="H443" s="34">
        <f t="shared" si="6"/>
        <v>1</v>
      </c>
      <c r="I443" t="s">
        <v>6587</v>
      </c>
      <c r="J443" s="63">
        <f>CALCULO_VR!J443</f>
        <v>10</v>
      </c>
      <c r="Q443" s="44">
        <f>CALCULO_VR!R443</f>
        <v>51.009793644709845</v>
      </c>
    </row>
    <row r="444" spans="1:17" x14ac:dyDescent="0.3">
      <c r="A444" s="34">
        <f>CALCULO_VR!A444</f>
        <v>3440634</v>
      </c>
      <c r="B444" s="34" t="str">
        <f>CALCULO_VR!B444</f>
        <v>MLPA</v>
      </c>
      <c r="C444" t="s">
        <v>1427</v>
      </c>
      <c r="D444" s="46">
        <f>CALCULO_VR!F444</f>
        <v>45383</v>
      </c>
      <c r="E444" s="46">
        <f>CALCULO_VR!G444</f>
        <v>45398</v>
      </c>
      <c r="F444" s="27">
        <f>CALCULO_VR!I444</f>
        <v>46440.22</v>
      </c>
      <c r="G444" s="34">
        <f>CALCULO_VR!E444</f>
        <v>1</v>
      </c>
      <c r="H444" s="34">
        <f t="shared" si="6"/>
        <v>1</v>
      </c>
      <c r="I444" t="s">
        <v>6587</v>
      </c>
      <c r="J444" s="63">
        <f>CALCULO_VR!J444</f>
        <v>10</v>
      </c>
      <c r="Q444" s="44">
        <f>CALCULO_VR!R444</f>
        <v>51.064765807761603</v>
      </c>
    </row>
    <row r="445" spans="1:17" x14ac:dyDescent="0.3">
      <c r="A445" s="34">
        <f>CALCULO_VR!A445</f>
        <v>3439528</v>
      </c>
      <c r="B445" s="34" t="str">
        <f>CALCULO_VR!B445</f>
        <v>MLPA</v>
      </c>
      <c r="C445" t="s">
        <v>1427</v>
      </c>
      <c r="D445" s="46">
        <f>CALCULO_VR!F445</f>
        <v>45387</v>
      </c>
      <c r="E445" s="46">
        <f>CALCULO_VR!G445</f>
        <v>45398</v>
      </c>
      <c r="F445" s="27">
        <f>CALCULO_VR!I445</f>
        <v>46440.22</v>
      </c>
      <c r="G445" s="34">
        <f>CALCULO_VR!E445</f>
        <v>1</v>
      </c>
      <c r="H445" s="34">
        <f t="shared" si="6"/>
        <v>1</v>
      </c>
      <c r="I445" t="s">
        <v>6587</v>
      </c>
      <c r="J445" s="63">
        <f>CALCULO_VR!J445</f>
        <v>10</v>
      </c>
      <c r="Q445" s="44">
        <f>CALCULO_VR!R445</f>
        <v>49.213480891800103</v>
      </c>
    </row>
    <row r="446" spans="1:17" x14ac:dyDescent="0.3">
      <c r="A446" s="34">
        <f>CALCULO_VR!A446</f>
        <v>3442201</v>
      </c>
      <c r="B446" s="34" t="str">
        <f>CALCULO_VR!B446</f>
        <v>MLPA</v>
      </c>
      <c r="C446" t="s">
        <v>1427</v>
      </c>
      <c r="D446" s="46">
        <f>CALCULO_VR!F446</f>
        <v>45387</v>
      </c>
      <c r="E446" s="46">
        <f>CALCULO_VR!G446</f>
        <v>45399</v>
      </c>
      <c r="F446" s="27">
        <f>CALCULO_VR!I446</f>
        <v>46440.22</v>
      </c>
      <c r="G446" s="34">
        <f>CALCULO_VR!E446</f>
        <v>1</v>
      </c>
      <c r="H446" s="34">
        <f t="shared" si="6"/>
        <v>1</v>
      </c>
      <c r="I446" t="s">
        <v>6587</v>
      </c>
      <c r="J446" s="63">
        <f>CALCULO_VR!J446</f>
        <v>10</v>
      </c>
      <c r="Q446" s="44">
        <f>CALCULO_VR!R446</f>
        <v>56.859452397252369</v>
      </c>
    </row>
    <row r="447" spans="1:17" x14ac:dyDescent="0.3">
      <c r="A447" s="34">
        <f>CALCULO_VR!A447</f>
        <v>3442283</v>
      </c>
      <c r="B447" s="34" t="str">
        <f>CALCULO_VR!B447</f>
        <v>MLPA</v>
      </c>
      <c r="C447" t="s">
        <v>1427</v>
      </c>
      <c r="D447" s="46">
        <f>CALCULO_VR!F447</f>
        <v>45386</v>
      </c>
      <c r="E447" s="46">
        <f>CALCULO_VR!G447</f>
        <v>45399</v>
      </c>
      <c r="F447" s="27">
        <f>CALCULO_VR!I447</f>
        <v>46440.22</v>
      </c>
      <c r="G447" s="34">
        <f>CALCULO_VR!E447</f>
        <v>1</v>
      </c>
      <c r="H447" s="34">
        <f t="shared" si="6"/>
        <v>1</v>
      </c>
      <c r="I447" t="s">
        <v>6587</v>
      </c>
      <c r="J447" s="63">
        <f>CALCULO_VR!J447</f>
        <v>10</v>
      </c>
      <c r="Q447" s="44">
        <f>CALCULO_VR!R447</f>
        <v>56.08143162864846</v>
      </c>
    </row>
    <row r="448" spans="1:17" x14ac:dyDescent="0.3">
      <c r="A448" s="34">
        <f>CALCULO_VR!A448</f>
        <v>3463053</v>
      </c>
      <c r="B448" s="34" t="str">
        <f>CALCULO_VR!B448</f>
        <v>MLPA</v>
      </c>
      <c r="C448" t="s">
        <v>1427</v>
      </c>
      <c r="D448" s="46">
        <f>CALCULO_VR!F448</f>
        <v>45425</v>
      </c>
      <c r="E448" s="46">
        <f>CALCULO_VR!G448</f>
        <v>45440</v>
      </c>
      <c r="F448" s="27">
        <f>CALCULO_VR!I448</f>
        <v>46440.22</v>
      </c>
      <c r="G448" s="34">
        <f>CALCULO_VR!E448</f>
        <v>1</v>
      </c>
      <c r="H448" s="34">
        <f t="shared" si="6"/>
        <v>1</v>
      </c>
      <c r="I448" t="s">
        <v>6587</v>
      </c>
      <c r="J448" s="63">
        <f>CALCULO_VR!J448</f>
        <v>10</v>
      </c>
      <c r="Q448" s="44">
        <f>CALCULO_VR!R448</f>
        <v>53.004194153130264</v>
      </c>
    </row>
    <row r="449" spans="1:17" x14ac:dyDescent="0.3">
      <c r="A449" s="34">
        <f>CALCULO_VR!A449</f>
        <v>3459540</v>
      </c>
      <c r="B449" s="34" t="str">
        <f>CALCULO_VR!B449</f>
        <v>MLPA</v>
      </c>
      <c r="C449" t="s">
        <v>1427</v>
      </c>
      <c r="D449" s="46">
        <f>CALCULO_VR!F449</f>
        <v>45424</v>
      </c>
      <c r="E449" s="46">
        <f>CALCULO_VR!G449</f>
        <v>45440</v>
      </c>
      <c r="F449" s="27">
        <f>CALCULO_VR!I449</f>
        <v>46440.22</v>
      </c>
      <c r="G449" s="34">
        <f>CALCULO_VR!E449</f>
        <v>1</v>
      </c>
      <c r="H449" s="34">
        <f t="shared" si="6"/>
        <v>1</v>
      </c>
      <c r="I449" t="s">
        <v>6587</v>
      </c>
      <c r="J449" s="63">
        <f>CALCULO_VR!J449</f>
        <v>10</v>
      </c>
      <c r="Q449" s="44">
        <f>CALCULO_VR!R449</f>
        <v>43.110010230121972</v>
      </c>
    </row>
    <row r="450" spans="1:17" x14ac:dyDescent="0.3">
      <c r="A450" s="34">
        <f>CALCULO_VR!A450</f>
        <v>3463051</v>
      </c>
      <c r="B450" s="34" t="str">
        <f>CALCULO_VR!B450</f>
        <v>MLPA</v>
      </c>
      <c r="C450" t="s">
        <v>1427</v>
      </c>
      <c r="D450" s="46">
        <f>CALCULO_VR!F450</f>
        <v>45429</v>
      </c>
      <c r="E450" s="46">
        <f>CALCULO_VR!G450</f>
        <v>45440</v>
      </c>
      <c r="F450" s="27">
        <f>CALCULO_VR!I450</f>
        <v>46440.22</v>
      </c>
      <c r="G450" s="34">
        <f>CALCULO_VR!E450</f>
        <v>1</v>
      </c>
      <c r="H450" s="34">
        <f t="shared" si="6"/>
        <v>1</v>
      </c>
      <c r="I450" t="s">
        <v>6587</v>
      </c>
      <c r="J450" s="63">
        <f>CALCULO_VR!J450</f>
        <v>10</v>
      </c>
      <c r="Q450" s="44">
        <f>CALCULO_VR!R450</f>
        <v>35.387516565846269</v>
      </c>
    </row>
    <row r="451" spans="1:17" x14ac:dyDescent="0.3">
      <c r="A451" s="34">
        <f>CALCULO_VR!A451</f>
        <v>3464069</v>
      </c>
      <c r="B451" s="34" t="str">
        <f>CALCULO_VR!B451</f>
        <v>MLPA</v>
      </c>
      <c r="C451" t="s">
        <v>1427</v>
      </c>
      <c r="D451" s="46">
        <f>CALCULO_VR!F451</f>
        <v>45428</v>
      </c>
      <c r="E451" s="46">
        <f>CALCULO_VR!G451</f>
        <v>45440</v>
      </c>
      <c r="F451" s="27">
        <f>CALCULO_VR!I451</f>
        <v>46440.22</v>
      </c>
      <c r="G451" s="34">
        <f>CALCULO_VR!E451</f>
        <v>1</v>
      </c>
      <c r="H451" s="34">
        <f t="shared" si="6"/>
        <v>1</v>
      </c>
      <c r="I451" t="s">
        <v>6587</v>
      </c>
      <c r="J451" s="63">
        <f>CALCULO_VR!J451</f>
        <v>10</v>
      </c>
      <c r="Q451" s="44">
        <f>CALCULO_VR!R451</f>
        <v>52.682508207354367</v>
      </c>
    </row>
    <row r="452" spans="1:17" x14ac:dyDescent="0.3">
      <c r="A452" s="34">
        <f>CALCULO_VR!A452</f>
        <v>3440124</v>
      </c>
      <c r="B452" s="34" t="str">
        <f>CALCULO_VR!B452</f>
        <v>MLPA</v>
      </c>
      <c r="C452" t="s">
        <v>1427</v>
      </c>
      <c r="D452" s="46">
        <f>CALCULO_VR!F452</f>
        <v>45385</v>
      </c>
      <c r="E452" s="46">
        <f>CALCULO_VR!G452</f>
        <v>45398</v>
      </c>
      <c r="F452" s="27">
        <f>CALCULO_VR!I452</f>
        <v>46440.22</v>
      </c>
      <c r="G452" s="34">
        <f>CALCULO_VR!E452</f>
        <v>1</v>
      </c>
      <c r="H452" s="34">
        <f t="shared" si="6"/>
        <v>1</v>
      </c>
      <c r="I452" t="s">
        <v>6587</v>
      </c>
      <c r="J452" s="63">
        <f>CALCULO_VR!J452</f>
        <v>10</v>
      </c>
      <c r="Q452" s="44">
        <f>CALCULO_VR!R452</f>
        <v>44.298566804118543</v>
      </c>
    </row>
    <row r="453" spans="1:17" x14ac:dyDescent="0.3">
      <c r="A453" s="34">
        <f>CALCULO_VR!A453</f>
        <v>3441258</v>
      </c>
      <c r="B453" s="34" t="str">
        <f>CALCULO_VR!B453</f>
        <v>MLPA</v>
      </c>
      <c r="C453" t="s">
        <v>1427</v>
      </c>
      <c r="D453" s="46">
        <f>CALCULO_VR!F453</f>
        <v>45383</v>
      </c>
      <c r="E453" s="46">
        <f>CALCULO_VR!G453</f>
        <v>45398</v>
      </c>
      <c r="F453" s="27">
        <f>CALCULO_VR!I453</f>
        <v>46440.22</v>
      </c>
      <c r="G453" s="34">
        <f>CALCULO_VR!E453</f>
        <v>1</v>
      </c>
      <c r="H453" s="34">
        <f t="shared" ref="H453" si="7">G453</f>
        <v>1</v>
      </c>
      <c r="I453" t="s">
        <v>6587</v>
      </c>
      <c r="J453" s="63">
        <f>CALCULO_VR!J453</f>
        <v>10</v>
      </c>
      <c r="Q453" s="44">
        <f>CALCULO_VR!R453</f>
        <v>25.418536243875188</v>
      </c>
    </row>
    <row r="454" spans="1:17" x14ac:dyDescent="0.3">
      <c r="A454" s="34" t="s">
        <v>6588</v>
      </c>
      <c r="B454" s="34" t="s">
        <v>765</v>
      </c>
      <c r="C454" t="s">
        <v>6494</v>
      </c>
      <c r="D454" s="46">
        <v>45532</v>
      </c>
      <c r="E454" s="46">
        <v>45545</v>
      </c>
      <c r="F454" s="27">
        <v>42589.11</v>
      </c>
      <c r="G454" s="34">
        <v>1</v>
      </c>
      <c r="H454" s="34">
        <v>1</v>
      </c>
      <c r="I454" t="s">
        <v>7038</v>
      </c>
      <c r="J454">
        <v>10</v>
      </c>
      <c r="Q454">
        <v>31.770305021827063</v>
      </c>
    </row>
    <row r="455" spans="1:17" x14ac:dyDescent="0.3">
      <c r="A455" s="34" t="s">
        <v>6589</v>
      </c>
      <c r="B455" s="34" t="s">
        <v>765</v>
      </c>
      <c r="C455" t="s">
        <v>6494</v>
      </c>
      <c r="D455" s="46">
        <v>45532</v>
      </c>
      <c r="E455" s="46">
        <v>45547</v>
      </c>
      <c r="F455" s="27">
        <v>42589.11</v>
      </c>
      <c r="G455" s="34">
        <v>1</v>
      </c>
      <c r="H455" s="34">
        <v>1</v>
      </c>
      <c r="I455" t="s">
        <v>7038</v>
      </c>
      <c r="J455">
        <v>10</v>
      </c>
      <c r="Q455">
        <v>31.612365093495846</v>
      </c>
    </row>
    <row r="456" spans="1:17" x14ac:dyDescent="0.3">
      <c r="A456" s="34" t="s">
        <v>6590</v>
      </c>
      <c r="B456" s="34" t="s">
        <v>765</v>
      </c>
      <c r="C456" t="s">
        <v>6494</v>
      </c>
      <c r="D456" s="46">
        <v>45514</v>
      </c>
      <c r="E456" s="46">
        <v>45530</v>
      </c>
      <c r="F456" s="27">
        <v>42589.11</v>
      </c>
      <c r="G456" s="34">
        <v>1</v>
      </c>
      <c r="H456" s="34">
        <v>1</v>
      </c>
      <c r="I456" t="s">
        <v>7038</v>
      </c>
      <c r="J456">
        <v>10</v>
      </c>
      <c r="Q456">
        <v>35.238324961397105</v>
      </c>
    </row>
    <row r="457" spans="1:17" x14ac:dyDescent="0.3">
      <c r="A457" s="34" t="s">
        <v>6591</v>
      </c>
      <c r="B457" s="34" t="s">
        <v>765</v>
      </c>
      <c r="C457" t="s">
        <v>6494</v>
      </c>
      <c r="D457" s="46">
        <v>45536</v>
      </c>
      <c r="E457" s="46">
        <v>45547</v>
      </c>
      <c r="F457" s="27">
        <v>42589.11</v>
      </c>
      <c r="G457" s="34">
        <v>1</v>
      </c>
      <c r="H457" s="34">
        <v>1</v>
      </c>
      <c r="I457" t="s">
        <v>7038</v>
      </c>
      <c r="J457">
        <v>10</v>
      </c>
      <c r="Q457">
        <v>32.937436433151362</v>
      </c>
    </row>
    <row r="458" spans="1:17" x14ac:dyDescent="0.3">
      <c r="A458" s="34" t="s">
        <v>6592</v>
      </c>
      <c r="B458" s="34" t="s">
        <v>765</v>
      </c>
      <c r="C458" t="s">
        <v>6494</v>
      </c>
      <c r="D458" s="46">
        <v>45533</v>
      </c>
      <c r="E458" s="46">
        <v>45547</v>
      </c>
      <c r="F458" s="27">
        <v>42589.11</v>
      </c>
      <c r="G458" s="34">
        <v>1</v>
      </c>
      <c r="H458" s="34">
        <v>1</v>
      </c>
      <c r="I458" t="s">
        <v>7038</v>
      </c>
      <c r="J458">
        <v>10</v>
      </c>
      <c r="Q458">
        <v>32.1816683021869</v>
      </c>
    </row>
    <row r="459" spans="1:17" x14ac:dyDescent="0.3">
      <c r="A459" s="34" t="s">
        <v>6593</v>
      </c>
      <c r="B459" s="34" t="s">
        <v>765</v>
      </c>
      <c r="C459" t="s">
        <v>6494</v>
      </c>
      <c r="D459" s="46">
        <v>45534</v>
      </c>
      <c r="E459" s="46">
        <v>45547</v>
      </c>
      <c r="F459" s="27">
        <v>42589.11</v>
      </c>
      <c r="G459" s="34">
        <v>1</v>
      </c>
      <c r="H459" s="34">
        <v>1</v>
      </c>
      <c r="I459" t="s">
        <v>7038</v>
      </c>
      <c r="J459">
        <v>10</v>
      </c>
      <c r="Q459">
        <v>36.239644105724189</v>
      </c>
    </row>
    <row r="460" spans="1:17" x14ac:dyDescent="0.3">
      <c r="A460" s="34" t="s">
        <v>6594</v>
      </c>
      <c r="B460" s="34" t="s">
        <v>765</v>
      </c>
      <c r="C460" t="s">
        <v>6494</v>
      </c>
      <c r="D460" s="46">
        <v>45532</v>
      </c>
      <c r="E460" s="46">
        <v>45547</v>
      </c>
      <c r="F460" s="27">
        <v>42589.11</v>
      </c>
      <c r="G460" s="34">
        <v>1</v>
      </c>
      <c r="H460" s="34">
        <v>1</v>
      </c>
      <c r="I460" t="s">
        <v>7038</v>
      </c>
      <c r="J460">
        <v>10</v>
      </c>
      <c r="Q460">
        <v>33.554735497181447</v>
      </c>
    </row>
    <row r="461" spans="1:17" x14ac:dyDescent="0.3">
      <c r="A461" s="34" t="s">
        <v>6595</v>
      </c>
      <c r="B461" s="34" t="s">
        <v>765</v>
      </c>
      <c r="C461" t="s">
        <v>6494</v>
      </c>
      <c r="D461" s="46">
        <v>45531</v>
      </c>
      <c r="E461" s="46">
        <v>45547</v>
      </c>
      <c r="F461" s="27">
        <v>42589.11</v>
      </c>
      <c r="G461" s="34">
        <v>1</v>
      </c>
      <c r="H461" s="34">
        <v>1</v>
      </c>
      <c r="I461" t="s">
        <v>7038</v>
      </c>
      <c r="J461">
        <v>10</v>
      </c>
      <c r="Q461">
        <v>35.00513103351728</v>
      </c>
    </row>
    <row r="462" spans="1:17" x14ac:dyDescent="0.3">
      <c r="A462" s="34" t="s">
        <v>6596</v>
      </c>
      <c r="B462" s="34" t="s">
        <v>765</v>
      </c>
      <c r="C462" t="s">
        <v>6494</v>
      </c>
      <c r="D462" s="46">
        <v>45536</v>
      </c>
      <c r="E462" s="46">
        <v>45547</v>
      </c>
      <c r="F462" s="27">
        <v>42589.11</v>
      </c>
      <c r="G462" s="34">
        <v>1</v>
      </c>
      <c r="H462" s="34">
        <v>1</v>
      </c>
      <c r="I462" t="s">
        <v>7038</v>
      </c>
      <c r="J462">
        <v>10</v>
      </c>
      <c r="Q462">
        <v>38.828916896399605</v>
      </c>
    </row>
    <row r="463" spans="1:17" x14ac:dyDescent="0.3">
      <c r="A463" s="34" t="s">
        <v>6597</v>
      </c>
      <c r="B463" s="34" t="s">
        <v>765</v>
      </c>
      <c r="C463" t="s">
        <v>6494</v>
      </c>
      <c r="D463" s="46">
        <v>45533</v>
      </c>
      <c r="E463" s="46">
        <v>45547</v>
      </c>
      <c r="F463" s="27">
        <v>42589.11</v>
      </c>
      <c r="G463" s="34">
        <v>1</v>
      </c>
      <c r="H463" s="34">
        <v>1</v>
      </c>
      <c r="I463" t="s">
        <v>7038</v>
      </c>
      <c r="J463">
        <v>10</v>
      </c>
      <c r="Q463">
        <v>39.362029673481729</v>
      </c>
    </row>
    <row r="464" spans="1:17" x14ac:dyDescent="0.3">
      <c r="A464" s="34" t="s">
        <v>6598</v>
      </c>
      <c r="B464" s="34" t="s">
        <v>765</v>
      </c>
      <c r="C464" t="s">
        <v>6494</v>
      </c>
      <c r="D464" s="46">
        <v>45534</v>
      </c>
      <c r="E464" s="46">
        <v>45547</v>
      </c>
      <c r="F464" s="27">
        <v>42589.11</v>
      </c>
      <c r="G464" s="34">
        <v>1</v>
      </c>
      <c r="H464" s="34">
        <v>1</v>
      </c>
      <c r="I464" t="s">
        <v>7038</v>
      </c>
      <c r="J464">
        <v>10</v>
      </c>
      <c r="Q464">
        <v>34.408517344038451</v>
      </c>
    </row>
    <row r="465" spans="1:17" x14ac:dyDescent="0.3">
      <c r="A465" s="34" t="s">
        <v>6599</v>
      </c>
      <c r="B465" s="34" t="s">
        <v>765</v>
      </c>
      <c r="C465" t="s">
        <v>6494</v>
      </c>
      <c r="D465" s="46">
        <v>45532</v>
      </c>
      <c r="E465" s="46">
        <v>45547</v>
      </c>
      <c r="F465" s="27">
        <v>42589.11</v>
      </c>
      <c r="G465" s="34">
        <v>1</v>
      </c>
      <c r="H465" s="34">
        <v>1</v>
      </c>
      <c r="I465" t="s">
        <v>7038</v>
      </c>
      <c r="J465">
        <v>10</v>
      </c>
      <c r="Q465">
        <v>35.651759521216931</v>
      </c>
    </row>
    <row r="466" spans="1:17" x14ac:dyDescent="0.3">
      <c r="A466" s="34" t="s">
        <v>6600</v>
      </c>
      <c r="B466" s="34" t="s">
        <v>765</v>
      </c>
      <c r="C466" t="s">
        <v>6494</v>
      </c>
      <c r="D466" s="46">
        <v>45532</v>
      </c>
      <c r="E466" s="46">
        <v>45548</v>
      </c>
      <c r="F466" s="27">
        <v>42589.11</v>
      </c>
      <c r="G466" s="34">
        <v>1</v>
      </c>
      <c r="H466" s="34">
        <v>1</v>
      </c>
      <c r="I466" t="s">
        <v>7038</v>
      </c>
      <c r="J466">
        <v>10</v>
      </c>
      <c r="Q466">
        <v>37.715479539894638</v>
      </c>
    </row>
    <row r="467" spans="1:17" x14ac:dyDescent="0.3">
      <c r="A467" s="34" t="s">
        <v>6601</v>
      </c>
      <c r="B467" s="34" t="s">
        <v>765</v>
      </c>
      <c r="C467" t="s">
        <v>6494</v>
      </c>
      <c r="D467" s="46">
        <v>45536</v>
      </c>
      <c r="E467" s="46">
        <v>45547</v>
      </c>
      <c r="F467" s="27">
        <v>42589.11</v>
      </c>
      <c r="G467" s="34">
        <v>1</v>
      </c>
      <c r="H467" s="34">
        <v>1</v>
      </c>
      <c r="I467" t="s">
        <v>7038</v>
      </c>
      <c r="J467">
        <v>10</v>
      </c>
      <c r="Q467">
        <v>37.886279559071028</v>
      </c>
    </row>
    <row r="468" spans="1:17" x14ac:dyDescent="0.3">
      <c r="A468" s="34" t="s">
        <v>6602</v>
      </c>
      <c r="B468" s="34" t="s">
        <v>765</v>
      </c>
      <c r="C468" t="s">
        <v>6494</v>
      </c>
      <c r="D468" s="46">
        <v>45533</v>
      </c>
      <c r="E468" s="46">
        <v>45547</v>
      </c>
      <c r="F468" s="27">
        <v>42589.11</v>
      </c>
      <c r="G468" s="34">
        <v>1</v>
      </c>
      <c r="H468" s="34">
        <v>1</v>
      </c>
      <c r="I468" t="s">
        <v>7038</v>
      </c>
      <c r="J468">
        <v>10</v>
      </c>
      <c r="Q468">
        <v>34.442316174796254</v>
      </c>
    </row>
    <row r="469" spans="1:17" x14ac:dyDescent="0.3">
      <c r="A469" s="34" t="s">
        <v>6603</v>
      </c>
      <c r="B469" s="34" t="s">
        <v>765</v>
      </c>
      <c r="C469" t="s">
        <v>6494</v>
      </c>
      <c r="D469" s="46">
        <v>45535</v>
      </c>
      <c r="E469" s="46">
        <v>45548</v>
      </c>
      <c r="F469" s="27">
        <v>42589.11</v>
      </c>
      <c r="G469" s="34">
        <v>1</v>
      </c>
      <c r="H469" s="34">
        <v>1</v>
      </c>
      <c r="I469" t="s">
        <v>7038</v>
      </c>
      <c r="J469">
        <v>10</v>
      </c>
      <c r="Q469">
        <v>20.370396335304729</v>
      </c>
    </row>
    <row r="470" spans="1:17" x14ac:dyDescent="0.3">
      <c r="A470" s="34" t="s">
        <v>6604</v>
      </c>
      <c r="B470" s="34" t="s">
        <v>765</v>
      </c>
      <c r="C470" t="s">
        <v>6494</v>
      </c>
      <c r="D470" s="46">
        <v>45535</v>
      </c>
      <c r="E470" s="46">
        <v>45548</v>
      </c>
      <c r="F470" s="27">
        <v>42589.11</v>
      </c>
      <c r="G470" s="34">
        <v>1</v>
      </c>
      <c r="H470" s="34">
        <v>1</v>
      </c>
      <c r="I470" t="s">
        <v>7038</v>
      </c>
      <c r="J470">
        <v>10</v>
      </c>
      <c r="Q470">
        <v>21.04388866771296</v>
      </c>
    </row>
    <row r="471" spans="1:17" x14ac:dyDescent="0.3">
      <c r="A471" s="34" t="s">
        <v>6605</v>
      </c>
      <c r="B471" s="34" t="s">
        <v>765</v>
      </c>
      <c r="C471" t="s">
        <v>6494</v>
      </c>
      <c r="D471" s="46">
        <v>45533</v>
      </c>
      <c r="E471" s="46">
        <v>45548</v>
      </c>
      <c r="F471" s="27">
        <v>42589.11</v>
      </c>
      <c r="G471" s="34">
        <v>1</v>
      </c>
      <c r="H471" s="34">
        <v>1</v>
      </c>
      <c r="I471" t="s">
        <v>7038</v>
      </c>
      <c r="J471">
        <v>10</v>
      </c>
      <c r="Q471">
        <v>36.908639105620239</v>
      </c>
    </row>
    <row r="472" spans="1:17" x14ac:dyDescent="0.3">
      <c r="A472" s="34" t="s">
        <v>6606</v>
      </c>
      <c r="B472" s="34" t="s">
        <v>765</v>
      </c>
      <c r="C472" t="s">
        <v>6494</v>
      </c>
      <c r="D472" s="46">
        <v>45532</v>
      </c>
      <c r="E472" s="46">
        <v>45548</v>
      </c>
      <c r="F472" s="27">
        <v>42589.11</v>
      </c>
      <c r="G472" s="34">
        <v>1</v>
      </c>
      <c r="H472" s="34">
        <v>1</v>
      </c>
      <c r="I472" t="s">
        <v>7038</v>
      </c>
      <c r="J472">
        <v>10</v>
      </c>
      <c r="Q472">
        <v>29.908264678845683</v>
      </c>
    </row>
    <row r="473" spans="1:17" x14ac:dyDescent="0.3">
      <c r="A473" s="34" t="s">
        <v>6607</v>
      </c>
      <c r="B473" s="34" t="s">
        <v>765</v>
      </c>
      <c r="C473" t="s">
        <v>6494</v>
      </c>
      <c r="D473" s="46">
        <v>45537</v>
      </c>
      <c r="E473" s="46">
        <v>45548</v>
      </c>
      <c r="F473" s="27">
        <v>42589.11</v>
      </c>
      <c r="G473" s="34">
        <v>1</v>
      </c>
      <c r="H473" s="34">
        <v>1</v>
      </c>
      <c r="I473" t="s">
        <v>7038</v>
      </c>
      <c r="J473">
        <v>10</v>
      </c>
      <c r="Q473">
        <v>24.692042120153264</v>
      </c>
    </row>
    <row r="474" spans="1:17" x14ac:dyDescent="0.3">
      <c r="A474" s="34" t="s">
        <v>6608</v>
      </c>
      <c r="B474" s="34" t="s">
        <v>765</v>
      </c>
      <c r="C474" t="s">
        <v>6494</v>
      </c>
      <c r="D474" s="46">
        <v>45534</v>
      </c>
      <c r="E474" s="46">
        <v>45548</v>
      </c>
      <c r="F474" s="27">
        <v>42589.11</v>
      </c>
      <c r="G474" s="34">
        <v>1</v>
      </c>
      <c r="H474" s="34">
        <v>1</v>
      </c>
      <c r="I474" t="s">
        <v>7038</v>
      </c>
      <c r="J474">
        <v>10</v>
      </c>
      <c r="Q474">
        <v>29.944469089227063</v>
      </c>
    </row>
    <row r="475" spans="1:17" x14ac:dyDescent="0.3">
      <c r="A475" s="34" t="s">
        <v>6609</v>
      </c>
      <c r="B475" s="34" t="s">
        <v>765</v>
      </c>
      <c r="C475" t="s">
        <v>6494</v>
      </c>
      <c r="D475" s="46">
        <v>45535</v>
      </c>
      <c r="E475" s="46">
        <v>45548</v>
      </c>
      <c r="F475" s="27">
        <v>42589.11</v>
      </c>
      <c r="G475" s="34">
        <v>1</v>
      </c>
      <c r="H475" s="34">
        <v>1</v>
      </c>
      <c r="I475" t="s">
        <v>7038</v>
      </c>
      <c r="J475">
        <v>10</v>
      </c>
      <c r="Q475">
        <v>35.626666211673282</v>
      </c>
    </row>
    <row r="476" spans="1:17" x14ac:dyDescent="0.3">
      <c r="A476" s="34" t="s">
        <v>6610</v>
      </c>
      <c r="B476" s="34" t="s">
        <v>765</v>
      </c>
      <c r="C476" t="s">
        <v>6494</v>
      </c>
      <c r="D476" s="46">
        <v>45560</v>
      </c>
      <c r="E476" s="46">
        <v>45575</v>
      </c>
      <c r="F476" s="27">
        <v>42589.11</v>
      </c>
      <c r="G476" s="34">
        <v>1</v>
      </c>
      <c r="H476" s="34">
        <v>1</v>
      </c>
      <c r="I476" t="s">
        <v>7038</v>
      </c>
      <c r="J476">
        <v>10</v>
      </c>
      <c r="Q476">
        <v>31.445172879909386</v>
      </c>
    </row>
    <row r="477" spans="1:17" x14ac:dyDescent="0.3">
      <c r="A477" s="34" t="s">
        <v>6611</v>
      </c>
      <c r="B477" s="34" t="s">
        <v>765</v>
      </c>
      <c r="C477" t="s">
        <v>6494</v>
      </c>
      <c r="D477" s="46">
        <v>45532</v>
      </c>
      <c r="E477" s="46">
        <v>45548</v>
      </c>
      <c r="F477" s="27">
        <v>42589.11</v>
      </c>
      <c r="G477" s="34">
        <v>1</v>
      </c>
      <c r="H477" s="34">
        <v>1</v>
      </c>
      <c r="I477" t="s">
        <v>7038</v>
      </c>
      <c r="J477">
        <v>10</v>
      </c>
      <c r="Q477">
        <v>26.85136421999556</v>
      </c>
    </row>
    <row r="478" spans="1:17" x14ac:dyDescent="0.3">
      <c r="A478" s="34" t="s">
        <v>6612</v>
      </c>
      <c r="B478" s="34" t="s">
        <v>765</v>
      </c>
      <c r="C478" t="s">
        <v>6494</v>
      </c>
      <c r="D478" s="46">
        <v>45564</v>
      </c>
      <c r="E478" s="46">
        <v>45575</v>
      </c>
      <c r="F478" s="27">
        <v>42589.11</v>
      </c>
      <c r="G478" s="34">
        <v>1</v>
      </c>
      <c r="H478" s="34">
        <v>1</v>
      </c>
      <c r="I478" t="s">
        <v>7038</v>
      </c>
      <c r="J478">
        <v>10</v>
      </c>
      <c r="Q478">
        <v>25.106495876733707</v>
      </c>
    </row>
    <row r="479" spans="1:17" x14ac:dyDescent="0.3">
      <c r="A479" s="34" t="s">
        <v>6613</v>
      </c>
      <c r="B479" s="34" t="s">
        <v>765</v>
      </c>
      <c r="C479" t="s">
        <v>6494</v>
      </c>
      <c r="D479" s="46">
        <v>45534</v>
      </c>
      <c r="E479" s="46">
        <v>45548</v>
      </c>
      <c r="F479" s="27">
        <v>42589.11</v>
      </c>
      <c r="G479" s="34">
        <v>1</v>
      </c>
      <c r="H479" s="34">
        <v>1</v>
      </c>
      <c r="I479" t="s">
        <v>7038</v>
      </c>
      <c r="J479">
        <v>10</v>
      </c>
      <c r="Q479">
        <v>24.28083371691779</v>
      </c>
    </row>
    <row r="480" spans="1:17" x14ac:dyDescent="0.3">
      <c r="A480" s="34" t="s">
        <v>6614</v>
      </c>
      <c r="B480" s="34" t="s">
        <v>765</v>
      </c>
      <c r="C480" t="s">
        <v>6494</v>
      </c>
      <c r="D480" s="46">
        <v>45535</v>
      </c>
      <c r="E480" s="46">
        <v>45548</v>
      </c>
      <c r="F480" s="27">
        <v>42589.11</v>
      </c>
      <c r="G480" s="34">
        <v>1</v>
      </c>
      <c r="H480" s="34">
        <v>1</v>
      </c>
      <c r="I480" t="s">
        <v>7038</v>
      </c>
      <c r="J480">
        <v>10</v>
      </c>
      <c r="Q480">
        <v>24.894940410987051</v>
      </c>
    </row>
    <row r="481" spans="1:17" x14ac:dyDescent="0.3">
      <c r="A481" s="34" t="s">
        <v>6615</v>
      </c>
      <c r="B481" s="34" t="s">
        <v>765</v>
      </c>
      <c r="C481" t="s">
        <v>6494</v>
      </c>
      <c r="D481" s="46">
        <v>45535</v>
      </c>
      <c r="E481" s="46">
        <v>45548</v>
      </c>
      <c r="F481" s="27">
        <v>42589.11</v>
      </c>
      <c r="G481" s="34">
        <v>1</v>
      </c>
      <c r="H481" s="34">
        <v>1</v>
      </c>
      <c r="I481" t="s">
        <v>7038</v>
      </c>
      <c r="J481">
        <v>10</v>
      </c>
      <c r="Q481">
        <v>24.519177846894536</v>
      </c>
    </row>
    <row r="482" spans="1:17" x14ac:dyDescent="0.3">
      <c r="A482" s="34" t="s">
        <v>6616</v>
      </c>
      <c r="B482" s="34" t="s">
        <v>765</v>
      </c>
      <c r="C482" t="s">
        <v>6494</v>
      </c>
      <c r="D482" s="46">
        <v>45533</v>
      </c>
      <c r="E482" s="46">
        <v>45548</v>
      </c>
      <c r="F482" s="27">
        <v>42589.11</v>
      </c>
      <c r="G482" s="34">
        <v>1</v>
      </c>
      <c r="H482" s="34">
        <v>1</v>
      </c>
      <c r="I482" t="s">
        <v>7038</v>
      </c>
      <c r="J482">
        <v>10</v>
      </c>
      <c r="Q482">
        <v>24.43837134448659</v>
      </c>
    </row>
    <row r="483" spans="1:17" x14ac:dyDescent="0.3">
      <c r="A483" s="34" t="s">
        <v>6617</v>
      </c>
      <c r="B483" s="34" t="s">
        <v>765</v>
      </c>
      <c r="C483" t="s">
        <v>6494</v>
      </c>
      <c r="D483" s="46">
        <v>45532</v>
      </c>
      <c r="E483" s="46">
        <v>45548</v>
      </c>
      <c r="F483" s="27">
        <v>42589.11</v>
      </c>
      <c r="G483" s="34">
        <v>1</v>
      </c>
      <c r="H483" s="34">
        <v>1</v>
      </c>
      <c r="I483" t="s">
        <v>7038</v>
      </c>
      <c r="J483">
        <v>10</v>
      </c>
      <c r="Q483">
        <v>24.872662952742406</v>
      </c>
    </row>
    <row r="484" spans="1:17" x14ac:dyDescent="0.3">
      <c r="A484" s="34" t="s">
        <v>6618</v>
      </c>
      <c r="B484" s="34" t="s">
        <v>765</v>
      </c>
      <c r="C484" t="s">
        <v>6494</v>
      </c>
      <c r="D484" s="46">
        <v>45537</v>
      </c>
      <c r="E484" s="46">
        <v>45548</v>
      </c>
      <c r="F484" s="27">
        <v>42589.11</v>
      </c>
      <c r="G484" s="34">
        <v>1</v>
      </c>
      <c r="H484" s="34">
        <v>1</v>
      </c>
      <c r="I484" t="s">
        <v>7038</v>
      </c>
      <c r="J484">
        <v>10</v>
      </c>
      <c r="Q484">
        <v>25.855267481798613</v>
      </c>
    </row>
    <row r="485" spans="1:17" x14ac:dyDescent="0.3">
      <c r="A485" s="34" t="s">
        <v>6619</v>
      </c>
      <c r="B485" s="34" t="s">
        <v>765</v>
      </c>
      <c r="C485" t="s">
        <v>6494</v>
      </c>
      <c r="D485" s="46">
        <v>45534</v>
      </c>
      <c r="E485" s="46">
        <v>45548</v>
      </c>
      <c r="F485" s="27">
        <v>42589.11</v>
      </c>
      <c r="G485" s="34">
        <v>1</v>
      </c>
      <c r="H485" s="34">
        <v>1</v>
      </c>
      <c r="I485" t="s">
        <v>7038</v>
      </c>
      <c r="J485">
        <v>10</v>
      </c>
      <c r="Q485">
        <v>29.578822811282212</v>
      </c>
    </row>
    <row r="486" spans="1:17" x14ac:dyDescent="0.3">
      <c r="A486" s="34" t="s">
        <v>6620</v>
      </c>
      <c r="B486" s="34" t="s">
        <v>765</v>
      </c>
      <c r="C486" t="s">
        <v>6494</v>
      </c>
      <c r="D486" s="46">
        <v>45577</v>
      </c>
      <c r="E486" s="46">
        <v>45590</v>
      </c>
      <c r="F486" s="27">
        <v>42589.11</v>
      </c>
      <c r="G486" s="34">
        <v>1</v>
      </c>
      <c r="H486" s="34">
        <v>1</v>
      </c>
      <c r="I486" t="s">
        <v>7038</v>
      </c>
      <c r="J486">
        <v>10</v>
      </c>
      <c r="Q486">
        <v>36.184990636469287</v>
      </c>
    </row>
    <row r="487" spans="1:17" x14ac:dyDescent="0.3">
      <c r="A487" s="34" t="s">
        <v>6621</v>
      </c>
      <c r="B487" s="34" t="s">
        <v>765</v>
      </c>
      <c r="C487" t="s">
        <v>6494</v>
      </c>
      <c r="D487" s="46">
        <v>45533</v>
      </c>
      <c r="E487" s="46">
        <v>45548</v>
      </c>
      <c r="F487" s="27">
        <v>42589.11</v>
      </c>
      <c r="G487" s="34">
        <v>1</v>
      </c>
      <c r="H487" s="34">
        <v>1</v>
      </c>
      <c r="I487" t="s">
        <v>7038</v>
      </c>
      <c r="J487">
        <v>10</v>
      </c>
      <c r="Q487">
        <v>35.407304344446651</v>
      </c>
    </row>
    <row r="488" spans="1:17" x14ac:dyDescent="0.3">
      <c r="A488" s="34" t="s">
        <v>6622</v>
      </c>
      <c r="B488" s="34" t="s">
        <v>765</v>
      </c>
      <c r="C488" t="s">
        <v>6494</v>
      </c>
      <c r="D488" s="46">
        <v>45574</v>
      </c>
      <c r="E488" s="46">
        <v>45590</v>
      </c>
      <c r="F488" s="27">
        <v>42589.11</v>
      </c>
      <c r="G488" s="34">
        <v>1</v>
      </c>
      <c r="H488" s="34">
        <v>1</v>
      </c>
      <c r="I488" t="s">
        <v>7038</v>
      </c>
      <c r="J488">
        <v>10</v>
      </c>
      <c r="Q488">
        <v>35.718797310424364</v>
      </c>
    </row>
    <row r="489" spans="1:17" x14ac:dyDescent="0.3">
      <c r="A489" s="34" t="s">
        <v>6623</v>
      </c>
      <c r="B489" s="34" t="s">
        <v>765</v>
      </c>
      <c r="C489" t="s">
        <v>6494</v>
      </c>
      <c r="D489" s="46">
        <v>45537</v>
      </c>
      <c r="E489" s="46">
        <v>45548</v>
      </c>
      <c r="F489" s="27">
        <v>42589.11</v>
      </c>
      <c r="G489" s="34">
        <v>1</v>
      </c>
      <c r="H489" s="34">
        <v>1</v>
      </c>
      <c r="I489" t="s">
        <v>7038</v>
      </c>
      <c r="J489">
        <v>10</v>
      </c>
      <c r="Q489">
        <v>34.829069181330006</v>
      </c>
    </row>
    <row r="490" spans="1:17" x14ac:dyDescent="0.3">
      <c r="A490" s="34" t="s">
        <v>6624</v>
      </c>
      <c r="B490" s="34" t="s">
        <v>765</v>
      </c>
      <c r="C490" t="s">
        <v>6494</v>
      </c>
      <c r="D490" s="46">
        <v>45534</v>
      </c>
      <c r="E490" s="46">
        <v>45548</v>
      </c>
      <c r="F490" s="27">
        <v>42589.11</v>
      </c>
      <c r="G490" s="34">
        <v>1</v>
      </c>
      <c r="H490" s="34">
        <v>1</v>
      </c>
      <c r="I490" t="s">
        <v>7038</v>
      </c>
      <c r="J490">
        <v>10</v>
      </c>
      <c r="Q490">
        <v>30.535205348264199</v>
      </c>
    </row>
    <row r="491" spans="1:17" x14ac:dyDescent="0.3">
      <c r="A491" s="34" t="s">
        <v>6625</v>
      </c>
      <c r="B491" s="34" t="s">
        <v>765</v>
      </c>
      <c r="C491" t="s">
        <v>6494</v>
      </c>
      <c r="D491" s="46">
        <v>45562</v>
      </c>
      <c r="E491" s="46">
        <v>45575</v>
      </c>
      <c r="F491" s="27">
        <v>42589.11</v>
      </c>
      <c r="G491" s="34">
        <v>1</v>
      </c>
      <c r="H491" s="34">
        <v>1</v>
      </c>
      <c r="I491" t="s">
        <v>7038</v>
      </c>
      <c r="J491">
        <v>10</v>
      </c>
      <c r="Q491">
        <v>31.537001736007532</v>
      </c>
    </row>
    <row r="492" spans="1:17" x14ac:dyDescent="0.3">
      <c r="A492" s="34" t="s">
        <v>6626</v>
      </c>
      <c r="B492" s="34" t="s">
        <v>765</v>
      </c>
      <c r="C492" t="s">
        <v>6494</v>
      </c>
      <c r="D492" s="46">
        <v>45533</v>
      </c>
      <c r="E492" s="46">
        <v>45548</v>
      </c>
      <c r="F492" s="27">
        <v>42589.11</v>
      </c>
      <c r="G492" s="34">
        <v>1</v>
      </c>
      <c r="H492" s="34">
        <v>1</v>
      </c>
      <c r="I492" t="s">
        <v>7038</v>
      </c>
      <c r="J492">
        <v>10</v>
      </c>
      <c r="Q492">
        <v>32.693048675672095</v>
      </c>
    </row>
    <row r="493" spans="1:17" x14ac:dyDescent="0.3">
      <c r="A493" s="34" t="s">
        <v>6627</v>
      </c>
      <c r="B493" s="34" t="s">
        <v>765</v>
      </c>
      <c r="C493" t="s">
        <v>6494</v>
      </c>
      <c r="D493" s="46">
        <v>45532</v>
      </c>
      <c r="E493" s="46">
        <v>45548</v>
      </c>
      <c r="F493" s="27">
        <v>42589.11</v>
      </c>
      <c r="G493" s="34">
        <v>1</v>
      </c>
      <c r="H493" s="34">
        <v>1</v>
      </c>
      <c r="I493" t="s">
        <v>7038</v>
      </c>
      <c r="J493">
        <v>10</v>
      </c>
      <c r="Q493">
        <v>26.559111366949573</v>
      </c>
    </row>
    <row r="494" spans="1:17" x14ac:dyDescent="0.3">
      <c r="A494" s="34" t="s">
        <v>6628</v>
      </c>
      <c r="B494" s="34" t="s">
        <v>765</v>
      </c>
      <c r="C494" t="s">
        <v>6494</v>
      </c>
      <c r="D494" s="46">
        <v>45564</v>
      </c>
      <c r="E494" s="46">
        <v>45575</v>
      </c>
      <c r="F494" s="27">
        <v>42589.11</v>
      </c>
      <c r="G494" s="34">
        <v>1</v>
      </c>
      <c r="H494" s="34">
        <v>1</v>
      </c>
      <c r="I494" t="s">
        <v>7038</v>
      </c>
      <c r="J494">
        <v>10</v>
      </c>
      <c r="Q494">
        <v>13.243128817347849</v>
      </c>
    </row>
    <row r="495" spans="1:17" x14ac:dyDescent="0.3">
      <c r="A495" s="34" t="s">
        <v>6629</v>
      </c>
      <c r="B495" s="34" t="s">
        <v>765</v>
      </c>
      <c r="C495" t="s">
        <v>6494</v>
      </c>
      <c r="D495" s="46">
        <v>45534</v>
      </c>
      <c r="E495" s="46">
        <v>45548</v>
      </c>
      <c r="F495" s="27">
        <v>42589.11</v>
      </c>
      <c r="G495" s="34">
        <v>1</v>
      </c>
      <c r="H495" s="34">
        <v>1</v>
      </c>
      <c r="I495" t="s">
        <v>7038</v>
      </c>
      <c r="J495">
        <v>10</v>
      </c>
      <c r="Q495">
        <v>37.997538998881694</v>
      </c>
    </row>
    <row r="496" spans="1:17" x14ac:dyDescent="0.3">
      <c r="A496" s="34" t="s">
        <v>6630</v>
      </c>
      <c r="B496" s="34" t="s">
        <v>765</v>
      </c>
      <c r="C496" t="s">
        <v>6494</v>
      </c>
      <c r="D496" s="46">
        <v>45535</v>
      </c>
      <c r="E496" s="46">
        <v>45548</v>
      </c>
      <c r="F496" s="27">
        <v>42589.11</v>
      </c>
      <c r="G496" s="34">
        <v>1</v>
      </c>
      <c r="H496" s="34">
        <v>1</v>
      </c>
      <c r="I496" t="s">
        <v>7038</v>
      </c>
      <c r="J496">
        <v>10</v>
      </c>
      <c r="Q496">
        <v>37.064551099670503</v>
      </c>
    </row>
    <row r="497" spans="1:17" x14ac:dyDescent="0.3">
      <c r="A497" s="34" t="s">
        <v>6631</v>
      </c>
      <c r="B497" s="34" t="s">
        <v>765</v>
      </c>
      <c r="C497" t="s">
        <v>6494</v>
      </c>
      <c r="D497" s="46">
        <v>45535</v>
      </c>
      <c r="E497" s="46">
        <v>45548</v>
      </c>
      <c r="F497" s="27">
        <v>42589.11</v>
      </c>
      <c r="G497" s="34">
        <v>1</v>
      </c>
      <c r="H497" s="34">
        <v>1</v>
      </c>
      <c r="I497" t="s">
        <v>7038</v>
      </c>
      <c r="J497">
        <v>10</v>
      </c>
      <c r="Q497">
        <v>52.912426969086788</v>
      </c>
    </row>
    <row r="498" spans="1:17" x14ac:dyDescent="0.3">
      <c r="A498" s="34" t="s">
        <v>6632</v>
      </c>
      <c r="B498" s="34" t="s">
        <v>765</v>
      </c>
      <c r="C498" t="s">
        <v>6494</v>
      </c>
      <c r="D498" s="46">
        <v>45533</v>
      </c>
      <c r="E498" s="46">
        <v>45548</v>
      </c>
      <c r="F498" s="27">
        <v>42589.11</v>
      </c>
      <c r="G498" s="34">
        <v>1</v>
      </c>
      <c r="H498" s="34">
        <v>1</v>
      </c>
      <c r="I498" t="s">
        <v>7038</v>
      </c>
      <c r="J498">
        <v>10</v>
      </c>
      <c r="Q498">
        <v>29.90325867872955</v>
      </c>
    </row>
    <row r="499" spans="1:17" x14ac:dyDescent="0.3">
      <c r="A499" s="34" t="s">
        <v>6633</v>
      </c>
      <c r="B499" s="34" t="s">
        <v>765</v>
      </c>
      <c r="C499" t="s">
        <v>6494</v>
      </c>
      <c r="D499" s="46">
        <v>45532.623703703706</v>
      </c>
      <c r="E499" s="46">
        <v>45548.623703703706</v>
      </c>
      <c r="F499" s="27">
        <v>42589.11</v>
      </c>
      <c r="G499" s="34">
        <v>1</v>
      </c>
      <c r="H499" s="34">
        <v>1</v>
      </c>
      <c r="I499" t="s">
        <v>7038</v>
      </c>
      <c r="J499">
        <v>10</v>
      </c>
      <c r="Q499">
        <v>47.423502105581939</v>
      </c>
    </row>
    <row r="500" spans="1:17" x14ac:dyDescent="0.3">
      <c r="A500" s="34" t="s">
        <v>6634</v>
      </c>
      <c r="B500" s="34" t="s">
        <v>765</v>
      </c>
      <c r="C500" t="s">
        <v>6494</v>
      </c>
      <c r="D500" s="46">
        <v>45537.6246875</v>
      </c>
      <c r="E500" s="46">
        <v>45548.6246875</v>
      </c>
      <c r="F500" s="27">
        <v>42589.11</v>
      </c>
      <c r="G500" s="34">
        <v>1</v>
      </c>
      <c r="H500" s="34">
        <v>1</v>
      </c>
      <c r="I500" t="s">
        <v>7038</v>
      </c>
      <c r="J500">
        <v>10</v>
      </c>
      <c r="Q500">
        <v>37.8529667276254</v>
      </c>
    </row>
    <row r="501" spans="1:17" x14ac:dyDescent="0.3">
      <c r="A501" s="34" t="s">
        <v>6635</v>
      </c>
      <c r="B501" s="34" t="s">
        <v>765</v>
      </c>
      <c r="C501" t="s">
        <v>6494</v>
      </c>
      <c r="D501" s="46">
        <v>45561.707384259258</v>
      </c>
      <c r="E501" s="46">
        <v>45575.707384259258</v>
      </c>
      <c r="F501" s="27">
        <v>42589.11</v>
      </c>
      <c r="G501" s="34">
        <v>1</v>
      </c>
      <c r="H501" s="34">
        <v>1</v>
      </c>
      <c r="I501" t="s">
        <v>7038</v>
      </c>
      <c r="J501">
        <v>10</v>
      </c>
      <c r="Q501">
        <v>36.023739681189618</v>
      </c>
    </row>
    <row r="502" spans="1:17" x14ac:dyDescent="0.3">
      <c r="A502" s="34" t="s">
        <v>6636</v>
      </c>
      <c r="B502" s="34" t="s">
        <v>765</v>
      </c>
      <c r="C502" t="s">
        <v>6494</v>
      </c>
      <c r="D502" s="46">
        <v>45562.635671296295</v>
      </c>
      <c r="E502" s="46">
        <v>45575.635671296295</v>
      </c>
      <c r="F502" s="27">
        <v>42589.11</v>
      </c>
      <c r="G502" s="34">
        <v>1</v>
      </c>
      <c r="H502" s="34">
        <v>1</v>
      </c>
      <c r="I502" t="s">
        <v>7038</v>
      </c>
      <c r="J502">
        <v>10</v>
      </c>
      <c r="Q502">
        <v>36.080452288705111</v>
      </c>
    </row>
    <row r="503" spans="1:17" x14ac:dyDescent="0.3">
      <c r="A503" s="34" t="s">
        <v>6637</v>
      </c>
      <c r="B503" s="34" t="s">
        <v>765</v>
      </c>
      <c r="C503" t="s">
        <v>6494</v>
      </c>
      <c r="D503" s="46">
        <v>45560.637499999997</v>
      </c>
      <c r="E503" s="46">
        <v>45575.637499999997</v>
      </c>
      <c r="F503" s="27">
        <v>42589.11</v>
      </c>
      <c r="G503" s="34">
        <v>1</v>
      </c>
      <c r="H503" s="34">
        <v>1</v>
      </c>
      <c r="I503" t="s">
        <v>7038</v>
      </c>
      <c r="J503">
        <v>10</v>
      </c>
      <c r="Q503">
        <v>46.642340346530673</v>
      </c>
    </row>
    <row r="504" spans="1:17" x14ac:dyDescent="0.3">
      <c r="A504" s="34" t="s">
        <v>6638</v>
      </c>
      <c r="B504" s="34" t="s">
        <v>765</v>
      </c>
      <c r="C504" t="s">
        <v>6494</v>
      </c>
      <c r="D504" s="46">
        <v>45532.625659722224</v>
      </c>
      <c r="E504" s="46">
        <v>45548.625659722224</v>
      </c>
      <c r="F504" s="27">
        <v>42589.11</v>
      </c>
      <c r="G504" s="34">
        <v>1</v>
      </c>
      <c r="H504" s="34">
        <v>1</v>
      </c>
      <c r="I504" t="s">
        <v>7038</v>
      </c>
      <c r="J504">
        <v>10</v>
      </c>
      <c r="Q504">
        <v>13.466650098041722</v>
      </c>
    </row>
    <row r="505" spans="1:17" x14ac:dyDescent="0.3">
      <c r="A505" s="34" t="s">
        <v>6639</v>
      </c>
      <c r="B505" s="34" t="s">
        <v>765</v>
      </c>
      <c r="C505" t="s">
        <v>6494</v>
      </c>
      <c r="D505" s="46">
        <v>45537.628020833334</v>
      </c>
      <c r="E505" s="46">
        <v>45548.628020833334</v>
      </c>
      <c r="F505" s="27">
        <v>42589.11</v>
      </c>
      <c r="G505" s="34">
        <v>1</v>
      </c>
      <c r="H505" s="34">
        <v>1</v>
      </c>
      <c r="I505" t="s">
        <v>7038</v>
      </c>
      <c r="J505">
        <v>10</v>
      </c>
      <c r="Q505">
        <v>14.651342893612563</v>
      </c>
    </row>
    <row r="506" spans="1:17" x14ac:dyDescent="0.3">
      <c r="A506" s="34" t="s">
        <v>6640</v>
      </c>
      <c r="B506" s="34" t="s">
        <v>765</v>
      </c>
      <c r="C506" t="s">
        <v>6494</v>
      </c>
      <c r="D506" s="46">
        <v>45534.628993055558</v>
      </c>
      <c r="E506" s="46">
        <v>45548.628993055558</v>
      </c>
      <c r="F506" s="27">
        <v>42589.11</v>
      </c>
      <c r="G506" s="34">
        <v>1</v>
      </c>
      <c r="H506" s="34">
        <v>1</v>
      </c>
      <c r="I506" t="s">
        <v>7038</v>
      </c>
      <c r="J506">
        <v>10</v>
      </c>
      <c r="Q506">
        <v>55.540051924488978</v>
      </c>
    </row>
    <row r="507" spans="1:17" x14ac:dyDescent="0.3">
      <c r="A507" s="34" t="s">
        <v>6641</v>
      </c>
      <c r="B507" s="34" t="s">
        <v>765</v>
      </c>
      <c r="C507" t="s">
        <v>6494</v>
      </c>
      <c r="D507" s="46">
        <v>45562.639444444445</v>
      </c>
      <c r="E507" s="46">
        <v>45575.639444444445</v>
      </c>
      <c r="F507" s="27">
        <v>42589.11</v>
      </c>
      <c r="G507" s="34">
        <v>1</v>
      </c>
      <c r="H507" s="34">
        <v>1</v>
      </c>
      <c r="I507" t="s">
        <v>7038</v>
      </c>
      <c r="J507">
        <v>10</v>
      </c>
      <c r="Q507">
        <v>34.056768213000495</v>
      </c>
    </row>
    <row r="508" spans="1:17" x14ac:dyDescent="0.3">
      <c r="A508" s="34" t="s">
        <v>6642</v>
      </c>
      <c r="B508" s="34" t="s">
        <v>765</v>
      </c>
      <c r="C508" t="s">
        <v>6339</v>
      </c>
      <c r="D508" s="46">
        <v>45535.629965277774</v>
      </c>
      <c r="E508" s="46">
        <v>45548.629965277774</v>
      </c>
      <c r="F508" s="27">
        <v>42589.11</v>
      </c>
      <c r="G508" s="34">
        <v>1</v>
      </c>
      <c r="H508" s="34">
        <v>1</v>
      </c>
      <c r="I508" t="s">
        <v>7038</v>
      </c>
      <c r="J508">
        <v>3</v>
      </c>
      <c r="Q508">
        <v>28.264164418591374</v>
      </c>
    </row>
    <row r="509" spans="1:17" x14ac:dyDescent="0.3">
      <c r="A509" s="34" t="s">
        <v>6643</v>
      </c>
      <c r="B509" s="34" t="s">
        <v>765</v>
      </c>
      <c r="C509" t="s">
        <v>6494</v>
      </c>
      <c r="D509" s="46">
        <v>45533.630937499998</v>
      </c>
      <c r="E509" s="46">
        <v>45548.630937499998</v>
      </c>
      <c r="F509" s="27">
        <v>42589.11</v>
      </c>
      <c r="G509" s="34">
        <v>1</v>
      </c>
      <c r="H509" s="34">
        <v>1</v>
      </c>
      <c r="I509" t="s">
        <v>7038</v>
      </c>
      <c r="J509">
        <v>10</v>
      </c>
      <c r="Q509">
        <v>54.430563341779795</v>
      </c>
    </row>
    <row r="510" spans="1:17" x14ac:dyDescent="0.3">
      <c r="A510" s="34" t="s">
        <v>6644</v>
      </c>
      <c r="B510" s="34" t="s">
        <v>765</v>
      </c>
      <c r="C510" t="s">
        <v>6494</v>
      </c>
      <c r="D510" s="46">
        <v>45532.633263888885</v>
      </c>
      <c r="E510" s="46">
        <v>45548.633263888885</v>
      </c>
      <c r="F510" s="27">
        <v>42589.11</v>
      </c>
      <c r="G510" s="34">
        <v>1</v>
      </c>
      <c r="H510" s="34">
        <v>1</v>
      </c>
      <c r="I510" t="s">
        <v>7038</v>
      </c>
      <c r="J510">
        <v>10</v>
      </c>
      <c r="Q510">
        <v>55.509761903176596</v>
      </c>
    </row>
    <row r="511" spans="1:17" x14ac:dyDescent="0.3">
      <c r="A511" s="34" t="s">
        <v>6645</v>
      </c>
      <c r="B511" s="34" t="s">
        <v>765</v>
      </c>
      <c r="C511" t="s">
        <v>6494</v>
      </c>
      <c r="D511" s="46">
        <v>45537.634247685186</v>
      </c>
      <c r="E511" s="46">
        <v>45548.634247685186</v>
      </c>
      <c r="F511" s="27">
        <v>42589.11</v>
      </c>
      <c r="G511" s="34">
        <v>1</v>
      </c>
      <c r="H511" s="34">
        <v>1</v>
      </c>
      <c r="I511" t="s">
        <v>7038</v>
      </c>
      <c r="J511">
        <v>10</v>
      </c>
      <c r="Q511">
        <v>53.788148719774206</v>
      </c>
    </row>
    <row r="512" spans="1:17" x14ac:dyDescent="0.3">
      <c r="A512" s="34" t="s">
        <v>6646</v>
      </c>
      <c r="B512" s="34" t="s">
        <v>765</v>
      </c>
      <c r="C512" t="s">
        <v>6494</v>
      </c>
      <c r="D512" s="46">
        <v>45534.63521990741</v>
      </c>
      <c r="E512" s="46">
        <v>45548.63521990741</v>
      </c>
      <c r="F512" s="27">
        <v>42589.11</v>
      </c>
      <c r="G512" s="34">
        <v>1</v>
      </c>
      <c r="H512" s="34">
        <v>1</v>
      </c>
      <c r="I512" t="s">
        <v>7038</v>
      </c>
      <c r="J512">
        <v>10</v>
      </c>
      <c r="Q512">
        <v>50.626279379139461</v>
      </c>
    </row>
    <row r="513" spans="1:17" x14ac:dyDescent="0.3">
      <c r="A513" s="34" t="s">
        <v>6647</v>
      </c>
      <c r="B513" s="34" t="s">
        <v>765</v>
      </c>
      <c r="C513" t="s">
        <v>6494</v>
      </c>
      <c r="D513" s="46">
        <v>45535.636192129627</v>
      </c>
      <c r="E513" s="46">
        <v>45548.636192129627</v>
      </c>
      <c r="F513" s="27">
        <v>42589.11</v>
      </c>
      <c r="G513" s="34">
        <v>1</v>
      </c>
      <c r="H513" s="34">
        <v>1</v>
      </c>
      <c r="I513" t="s">
        <v>7038</v>
      </c>
      <c r="J513">
        <v>10</v>
      </c>
      <c r="Q513">
        <v>50.638444899765425</v>
      </c>
    </row>
    <row r="514" spans="1:17" x14ac:dyDescent="0.3">
      <c r="A514" s="34" t="s">
        <v>6648</v>
      </c>
      <c r="B514" s="34" t="s">
        <v>765</v>
      </c>
      <c r="C514" t="s">
        <v>6494</v>
      </c>
      <c r="D514" s="46">
        <v>45560.642337962963</v>
      </c>
      <c r="E514" s="46">
        <v>45575.642337962963</v>
      </c>
      <c r="F514" s="27">
        <v>42589.11</v>
      </c>
      <c r="G514" s="34">
        <v>1</v>
      </c>
      <c r="H514" s="34">
        <v>1</v>
      </c>
      <c r="I514" t="s">
        <v>7038</v>
      </c>
      <c r="J514">
        <v>10</v>
      </c>
      <c r="Q514">
        <v>24.986317720541354</v>
      </c>
    </row>
    <row r="515" spans="1:17" x14ac:dyDescent="0.3">
      <c r="A515" s="34" t="s">
        <v>6649</v>
      </c>
      <c r="B515" s="34" t="s">
        <v>765</v>
      </c>
      <c r="C515" t="s">
        <v>6494</v>
      </c>
      <c r="D515" s="46">
        <v>45532.637164351851</v>
      </c>
      <c r="E515" s="46">
        <v>45548.637164351851</v>
      </c>
      <c r="F515" s="27">
        <v>42589.11</v>
      </c>
      <c r="G515" s="34">
        <v>1</v>
      </c>
      <c r="H515" s="34">
        <v>1</v>
      </c>
      <c r="I515" t="s">
        <v>7038</v>
      </c>
      <c r="J515">
        <v>10</v>
      </c>
      <c r="Q515">
        <v>24.201855275757985</v>
      </c>
    </row>
    <row r="516" spans="1:17" x14ac:dyDescent="0.3">
      <c r="A516" s="34" t="s">
        <v>6650</v>
      </c>
      <c r="B516" s="34" t="s">
        <v>765</v>
      </c>
      <c r="C516" t="s">
        <v>6494</v>
      </c>
      <c r="D516" s="46">
        <v>45537.638124999998</v>
      </c>
      <c r="E516" s="46">
        <v>45548.638124999998</v>
      </c>
      <c r="F516" s="27">
        <v>42589.11</v>
      </c>
      <c r="G516" s="34">
        <v>1</v>
      </c>
      <c r="H516" s="34">
        <v>1</v>
      </c>
      <c r="I516" t="s">
        <v>7038</v>
      </c>
      <c r="J516">
        <v>10</v>
      </c>
      <c r="Q516">
        <v>55.449672895918127</v>
      </c>
    </row>
    <row r="517" spans="1:17" x14ac:dyDescent="0.3">
      <c r="A517" s="34" t="s">
        <v>6651</v>
      </c>
      <c r="B517" s="34" t="s">
        <v>765</v>
      </c>
      <c r="C517" t="s">
        <v>6494</v>
      </c>
      <c r="D517" s="46">
        <v>45534.639097222222</v>
      </c>
      <c r="E517" s="46">
        <v>45548.639097222222</v>
      </c>
      <c r="F517" s="27">
        <v>42589.11</v>
      </c>
      <c r="G517" s="34">
        <v>1</v>
      </c>
      <c r="H517" s="34">
        <v>1</v>
      </c>
      <c r="I517" t="s">
        <v>7038</v>
      </c>
      <c r="J517">
        <v>10</v>
      </c>
      <c r="Q517">
        <v>55.22224392752225</v>
      </c>
    </row>
    <row r="518" spans="1:17" x14ac:dyDescent="0.3">
      <c r="A518" s="34" t="s">
        <v>6652</v>
      </c>
      <c r="B518" s="34" t="s">
        <v>765</v>
      </c>
      <c r="C518" t="s">
        <v>6494</v>
      </c>
      <c r="D518" s="46">
        <v>45535.640069444446</v>
      </c>
      <c r="E518" s="46">
        <v>45548.640069444446</v>
      </c>
      <c r="F518" s="27">
        <v>42589.11</v>
      </c>
      <c r="G518" s="34">
        <v>1</v>
      </c>
      <c r="H518" s="34">
        <v>1</v>
      </c>
      <c r="I518" t="s">
        <v>7038</v>
      </c>
      <c r="J518">
        <v>10</v>
      </c>
      <c r="Q518">
        <v>49.51082849434065</v>
      </c>
    </row>
    <row r="519" spans="1:17" x14ac:dyDescent="0.3">
      <c r="A519" s="34" t="s">
        <v>6653</v>
      </c>
      <c r="B519" s="34" t="s">
        <v>765</v>
      </c>
      <c r="C519" t="s">
        <v>6494</v>
      </c>
      <c r="D519" s="46">
        <v>45533.641041666669</v>
      </c>
      <c r="E519" s="46">
        <v>45548.641041666669</v>
      </c>
      <c r="F519" s="27">
        <v>42589.11</v>
      </c>
      <c r="G519" s="34">
        <v>1</v>
      </c>
      <c r="H519" s="34">
        <v>1</v>
      </c>
      <c r="I519" t="s">
        <v>7038</v>
      </c>
      <c r="J519">
        <v>10</v>
      </c>
      <c r="Q519">
        <v>34.885683937782098</v>
      </c>
    </row>
    <row r="520" spans="1:17" x14ac:dyDescent="0.3">
      <c r="A520" s="34" t="s">
        <v>6654</v>
      </c>
      <c r="B520" s="34" t="s">
        <v>765</v>
      </c>
      <c r="C520" t="s">
        <v>6494</v>
      </c>
      <c r="D520" s="46">
        <v>45559.644421296296</v>
      </c>
      <c r="E520" s="46">
        <v>45575.644421296296</v>
      </c>
      <c r="F520" s="27">
        <v>42589.11</v>
      </c>
      <c r="G520" s="34">
        <v>1</v>
      </c>
      <c r="H520" s="34">
        <v>1</v>
      </c>
      <c r="I520" t="s">
        <v>7038</v>
      </c>
      <c r="J520">
        <v>10</v>
      </c>
      <c r="Q520">
        <v>55.254770681342094</v>
      </c>
    </row>
    <row r="521" spans="1:17" x14ac:dyDescent="0.3">
      <c r="A521" s="34" t="s">
        <v>6655</v>
      </c>
      <c r="B521" s="34" t="s">
        <v>765</v>
      </c>
      <c r="C521" t="s">
        <v>6494</v>
      </c>
      <c r="D521" s="46">
        <v>45537.642002314817</v>
      </c>
      <c r="E521" s="46">
        <v>45548.642002314817</v>
      </c>
      <c r="F521" s="27">
        <v>42589.11</v>
      </c>
      <c r="G521" s="34">
        <v>1</v>
      </c>
      <c r="H521" s="34">
        <v>1</v>
      </c>
      <c r="I521" t="s">
        <v>7038</v>
      </c>
      <c r="J521">
        <v>10</v>
      </c>
      <c r="Q521">
        <v>30.042982982905592</v>
      </c>
    </row>
    <row r="522" spans="1:17" x14ac:dyDescent="0.3">
      <c r="A522" s="34" t="s">
        <v>6656</v>
      </c>
      <c r="B522" s="34" t="s">
        <v>765</v>
      </c>
      <c r="C522" t="s">
        <v>6494</v>
      </c>
      <c r="D522" s="46">
        <v>45534.642962962964</v>
      </c>
      <c r="E522" s="46">
        <v>45548.642962962964</v>
      </c>
      <c r="F522" s="27">
        <v>42589.11</v>
      </c>
      <c r="G522" s="34">
        <v>1</v>
      </c>
      <c r="H522" s="34">
        <v>1</v>
      </c>
      <c r="I522" t="s">
        <v>7038</v>
      </c>
      <c r="J522">
        <v>10</v>
      </c>
      <c r="Q522">
        <v>30.051343036940118</v>
      </c>
    </row>
    <row r="523" spans="1:17" x14ac:dyDescent="0.3">
      <c r="A523" s="34" t="s">
        <v>6657</v>
      </c>
      <c r="B523" s="34" t="s">
        <v>765</v>
      </c>
      <c r="C523" t="s">
        <v>6494</v>
      </c>
      <c r="D523" s="46">
        <v>45535.643935185188</v>
      </c>
      <c r="E523" s="46">
        <v>45548.643935185188</v>
      </c>
      <c r="F523" s="27">
        <v>42589.11</v>
      </c>
      <c r="G523" s="34">
        <v>1</v>
      </c>
      <c r="H523" s="34">
        <v>1</v>
      </c>
      <c r="I523" t="s">
        <v>7038</v>
      </c>
      <c r="J523">
        <v>10</v>
      </c>
      <c r="Q523">
        <v>41.37648180377326</v>
      </c>
    </row>
    <row r="524" spans="1:17" x14ac:dyDescent="0.3">
      <c r="A524" s="34" t="s">
        <v>6658</v>
      </c>
      <c r="B524" s="34" t="s">
        <v>765</v>
      </c>
      <c r="C524" t="s">
        <v>6494</v>
      </c>
      <c r="D524" s="46">
        <v>45535.644907407404</v>
      </c>
      <c r="E524" s="46">
        <v>45548.644907407404</v>
      </c>
      <c r="F524" s="27">
        <v>42589.11</v>
      </c>
      <c r="G524" s="34">
        <v>1</v>
      </c>
      <c r="H524" s="34">
        <v>1</v>
      </c>
      <c r="I524" t="s">
        <v>7038</v>
      </c>
      <c r="J524">
        <v>10</v>
      </c>
      <c r="Q524">
        <v>47.415348901719852</v>
      </c>
    </row>
    <row r="525" spans="1:17" x14ac:dyDescent="0.3">
      <c r="A525" s="34" t="s">
        <v>6659</v>
      </c>
      <c r="B525" s="34" t="s">
        <v>765</v>
      </c>
      <c r="C525" t="s">
        <v>6494</v>
      </c>
      <c r="D525" s="46">
        <v>45533.645879629628</v>
      </c>
      <c r="E525" s="46">
        <v>45548.645879629628</v>
      </c>
      <c r="F525" s="27">
        <v>42589.11</v>
      </c>
      <c r="G525" s="34">
        <v>1</v>
      </c>
      <c r="H525" s="34">
        <v>1</v>
      </c>
      <c r="I525" t="s">
        <v>7038</v>
      </c>
      <c r="J525">
        <v>10</v>
      </c>
      <c r="Q525">
        <v>47.541099549862082</v>
      </c>
    </row>
    <row r="526" spans="1:17" x14ac:dyDescent="0.3">
      <c r="A526" s="34" t="s">
        <v>6660</v>
      </c>
      <c r="B526" s="34" t="s">
        <v>765</v>
      </c>
      <c r="C526" t="s">
        <v>6494</v>
      </c>
      <c r="D526" s="46">
        <v>45532.663657407407</v>
      </c>
      <c r="E526" s="46">
        <v>45548.663657407407</v>
      </c>
      <c r="F526" s="27">
        <v>42589.11</v>
      </c>
      <c r="G526" s="34">
        <v>1</v>
      </c>
      <c r="H526" s="34">
        <v>1</v>
      </c>
      <c r="I526" t="s">
        <v>7038</v>
      </c>
      <c r="J526">
        <v>10</v>
      </c>
      <c r="Q526">
        <v>24.833689735792628</v>
      </c>
    </row>
    <row r="527" spans="1:17" x14ac:dyDescent="0.3">
      <c r="A527" s="34" t="s">
        <v>6661</v>
      </c>
      <c r="B527" s="34" t="s">
        <v>765</v>
      </c>
      <c r="C527" t="s">
        <v>6494</v>
      </c>
      <c r="D527" s="46">
        <v>45537.664629629631</v>
      </c>
      <c r="E527" s="46">
        <v>45548.664629629631</v>
      </c>
      <c r="F527" s="27">
        <v>42589.11</v>
      </c>
      <c r="G527" s="34">
        <v>1</v>
      </c>
      <c r="H527" s="34">
        <v>1</v>
      </c>
      <c r="I527" t="s">
        <v>7038</v>
      </c>
      <c r="J527">
        <v>10</v>
      </c>
      <c r="Q527">
        <v>58.02909150289122</v>
      </c>
    </row>
    <row r="528" spans="1:17" x14ac:dyDescent="0.3">
      <c r="A528" s="34" t="s">
        <v>6662</v>
      </c>
      <c r="B528" s="34" t="s">
        <v>765</v>
      </c>
      <c r="C528" t="s">
        <v>6494</v>
      </c>
      <c r="D528" s="46">
        <v>45534.665590277778</v>
      </c>
      <c r="E528" s="46">
        <v>45548.665590277778</v>
      </c>
      <c r="F528" s="27">
        <v>42589.11</v>
      </c>
      <c r="G528" s="34">
        <v>1</v>
      </c>
      <c r="H528" s="34">
        <v>1</v>
      </c>
      <c r="I528" t="s">
        <v>7038</v>
      </c>
      <c r="J528">
        <v>10</v>
      </c>
      <c r="Q528">
        <v>44.075720622446809</v>
      </c>
    </row>
    <row r="529" spans="1:17" x14ac:dyDescent="0.3">
      <c r="A529" s="34" t="s">
        <v>6663</v>
      </c>
      <c r="B529" s="34" t="s">
        <v>765</v>
      </c>
      <c r="C529" t="s">
        <v>6494</v>
      </c>
      <c r="D529" s="46">
        <v>45535.666562500002</v>
      </c>
      <c r="E529" s="46">
        <v>45548.666562500002</v>
      </c>
      <c r="F529" s="27">
        <v>42589.11</v>
      </c>
      <c r="G529" s="34">
        <v>1</v>
      </c>
      <c r="H529" s="34">
        <v>1</v>
      </c>
      <c r="I529" t="s">
        <v>7038</v>
      </c>
      <c r="J529">
        <v>10</v>
      </c>
      <c r="Q529">
        <v>23.959987746231089</v>
      </c>
    </row>
    <row r="530" spans="1:17" x14ac:dyDescent="0.3">
      <c r="A530" s="34" t="s">
        <v>6664</v>
      </c>
      <c r="B530" s="34" t="s">
        <v>765</v>
      </c>
      <c r="C530" t="s">
        <v>6339</v>
      </c>
      <c r="D530" s="46">
        <v>45533.667523148149</v>
      </c>
      <c r="E530" s="46">
        <v>45548.667523148149</v>
      </c>
      <c r="F530" s="27">
        <v>42589.11</v>
      </c>
      <c r="G530" s="34">
        <v>1</v>
      </c>
      <c r="H530" s="34">
        <v>1</v>
      </c>
      <c r="I530" t="s">
        <v>7038</v>
      </c>
      <c r="J530">
        <v>3</v>
      </c>
      <c r="Q530">
        <v>21.476565174345328</v>
      </c>
    </row>
    <row r="531" spans="1:17" x14ac:dyDescent="0.3">
      <c r="A531" s="34" t="s">
        <v>6665</v>
      </c>
      <c r="B531" s="34" t="s">
        <v>765</v>
      </c>
      <c r="C531" t="s">
        <v>6513</v>
      </c>
      <c r="D531" s="46">
        <v>45532.66851851852</v>
      </c>
      <c r="E531" s="46">
        <v>45548.66851851852</v>
      </c>
      <c r="F531" s="27">
        <v>42589.11</v>
      </c>
      <c r="G531" s="34">
        <v>1</v>
      </c>
      <c r="H531" s="34">
        <v>1</v>
      </c>
      <c r="I531" t="s">
        <v>7038</v>
      </c>
      <c r="J531">
        <v>12</v>
      </c>
      <c r="Q531">
        <v>60.719379208262033</v>
      </c>
    </row>
    <row r="532" spans="1:17" x14ac:dyDescent="0.3">
      <c r="A532" s="34" t="s">
        <v>6666</v>
      </c>
      <c r="B532" s="34" t="s">
        <v>765</v>
      </c>
      <c r="C532" t="s">
        <v>6315</v>
      </c>
      <c r="D532" s="46">
        <v>45537.669490740744</v>
      </c>
      <c r="E532" s="46">
        <v>45548.669490740744</v>
      </c>
      <c r="F532" s="27">
        <v>42589.11</v>
      </c>
      <c r="G532" s="34">
        <v>1</v>
      </c>
      <c r="H532" s="34">
        <v>1</v>
      </c>
      <c r="I532" t="s">
        <v>7038</v>
      </c>
      <c r="J532">
        <v>1</v>
      </c>
      <c r="Q532">
        <v>51.879265774675339</v>
      </c>
    </row>
    <row r="533" spans="1:17" x14ac:dyDescent="0.3">
      <c r="A533" s="34" t="s">
        <v>6667</v>
      </c>
      <c r="B533" s="34" t="s">
        <v>765</v>
      </c>
      <c r="C533" t="s">
        <v>6512</v>
      </c>
      <c r="D533" s="46">
        <v>45534.67046296296</v>
      </c>
      <c r="E533" s="46">
        <v>45548.67046296296</v>
      </c>
      <c r="F533" s="27">
        <v>42589.11</v>
      </c>
      <c r="G533" s="34">
        <v>1</v>
      </c>
      <c r="H533" s="34">
        <v>1</v>
      </c>
      <c r="I533" t="s">
        <v>7038</v>
      </c>
      <c r="J533">
        <v>11</v>
      </c>
      <c r="Q533">
        <v>24.115181671100046</v>
      </c>
    </row>
    <row r="534" spans="1:17" x14ac:dyDescent="0.3">
      <c r="A534" s="34" t="s">
        <v>6668</v>
      </c>
      <c r="B534" s="34" t="s">
        <v>765</v>
      </c>
      <c r="C534" t="s">
        <v>6512</v>
      </c>
      <c r="D534" s="46">
        <v>45535.676076388889</v>
      </c>
      <c r="E534" s="46">
        <v>45548.676076388889</v>
      </c>
      <c r="F534" s="27">
        <v>42589.11</v>
      </c>
      <c r="G534" s="34">
        <v>1</v>
      </c>
      <c r="H534" s="34">
        <v>1</v>
      </c>
      <c r="I534" t="s">
        <v>7038</v>
      </c>
      <c r="J534">
        <v>11</v>
      </c>
      <c r="Q534">
        <v>22.137020364335331</v>
      </c>
    </row>
    <row r="535" spans="1:17" x14ac:dyDescent="0.3">
      <c r="A535" s="34" t="s">
        <v>6669</v>
      </c>
      <c r="B535" s="34" t="s">
        <v>765</v>
      </c>
      <c r="C535" t="s">
        <v>6512</v>
      </c>
      <c r="D535" s="46">
        <v>45535.677048611113</v>
      </c>
      <c r="E535" s="46">
        <v>45548.677048611113</v>
      </c>
      <c r="F535" s="27">
        <v>42589.11</v>
      </c>
      <c r="G535" s="34">
        <v>1</v>
      </c>
      <c r="H535" s="34">
        <v>1</v>
      </c>
      <c r="I535" t="s">
        <v>7038</v>
      </c>
      <c r="J535">
        <v>11</v>
      </c>
      <c r="Q535">
        <v>29.632000015093407</v>
      </c>
    </row>
    <row r="536" spans="1:17" x14ac:dyDescent="0.3">
      <c r="A536" s="34" t="s">
        <v>6670</v>
      </c>
      <c r="B536" s="34" t="s">
        <v>765</v>
      </c>
      <c r="C536" t="s">
        <v>6494</v>
      </c>
      <c r="D536" s="46">
        <v>45533.678020833337</v>
      </c>
      <c r="E536" s="46">
        <v>45548.678020833337</v>
      </c>
      <c r="F536" s="27">
        <v>42589.11</v>
      </c>
      <c r="G536" s="34">
        <v>1</v>
      </c>
      <c r="H536" s="34">
        <v>1</v>
      </c>
      <c r="I536" t="s">
        <v>7038</v>
      </c>
      <c r="J536">
        <v>10</v>
      </c>
      <c r="Q536">
        <v>51.087752242423342</v>
      </c>
    </row>
    <row r="537" spans="1:17" x14ac:dyDescent="0.3">
      <c r="A537" s="34" t="s">
        <v>6671</v>
      </c>
      <c r="B537" s="34" t="s">
        <v>765</v>
      </c>
      <c r="C537" t="s">
        <v>6494</v>
      </c>
      <c r="D537" s="46">
        <v>45532.678993055553</v>
      </c>
      <c r="E537" s="46">
        <v>45548.678993055553</v>
      </c>
      <c r="F537" s="27">
        <v>42589.11</v>
      </c>
      <c r="G537" s="34">
        <v>1</v>
      </c>
      <c r="H537" s="34">
        <v>1</v>
      </c>
      <c r="I537" t="s">
        <v>7038</v>
      </c>
      <c r="J537">
        <v>10</v>
      </c>
      <c r="Q537">
        <v>58.437765771461116</v>
      </c>
    </row>
    <row r="538" spans="1:17" x14ac:dyDescent="0.3">
      <c r="A538" s="34" t="s">
        <v>6672</v>
      </c>
      <c r="B538" s="34" t="s">
        <v>765</v>
      </c>
      <c r="C538" t="s">
        <v>6494</v>
      </c>
      <c r="D538" s="46">
        <v>45537.683171296296</v>
      </c>
      <c r="E538" s="46">
        <v>45548.683171296296</v>
      </c>
      <c r="F538" s="27">
        <v>42589.11</v>
      </c>
      <c r="G538" s="34">
        <v>1</v>
      </c>
      <c r="H538" s="34">
        <v>1</v>
      </c>
      <c r="I538" t="s">
        <v>7038</v>
      </c>
      <c r="J538">
        <v>10</v>
      </c>
      <c r="Q538">
        <v>55.427690655936182</v>
      </c>
    </row>
    <row r="539" spans="1:17" x14ac:dyDescent="0.3">
      <c r="A539" s="34" t="s">
        <v>6673</v>
      </c>
      <c r="B539" s="34" t="s">
        <v>765</v>
      </c>
      <c r="C539" t="s">
        <v>6339</v>
      </c>
      <c r="D539" s="46">
        <v>45534.68540509259</v>
      </c>
      <c r="E539" s="46">
        <v>45548.68540509259</v>
      </c>
      <c r="F539" s="27">
        <v>42589.11</v>
      </c>
      <c r="G539" s="34">
        <v>1</v>
      </c>
      <c r="H539" s="34">
        <v>1</v>
      </c>
      <c r="I539" t="s">
        <v>7038</v>
      </c>
      <c r="J539">
        <v>3</v>
      </c>
      <c r="Q539">
        <v>21.846897569083005</v>
      </c>
    </row>
    <row r="540" spans="1:17" x14ac:dyDescent="0.3">
      <c r="A540" s="34" t="s">
        <v>6674</v>
      </c>
      <c r="B540" s="34" t="s">
        <v>765</v>
      </c>
      <c r="C540" t="s">
        <v>6448</v>
      </c>
      <c r="D540" s="46">
        <v>45562.649201388886</v>
      </c>
      <c r="E540" s="46">
        <v>45575.649201388886</v>
      </c>
      <c r="F540" s="27">
        <v>42589.11</v>
      </c>
      <c r="G540" s="34">
        <v>1</v>
      </c>
      <c r="H540" s="34">
        <v>1</v>
      </c>
      <c r="I540" t="s">
        <v>7038</v>
      </c>
      <c r="J540">
        <v>8</v>
      </c>
      <c r="Q540">
        <v>9.4744875828484432</v>
      </c>
    </row>
    <row r="541" spans="1:17" x14ac:dyDescent="0.3">
      <c r="A541" s="34" t="s">
        <v>6675</v>
      </c>
      <c r="B541" s="34" t="s">
        <v>765</v>
      </c>
      <c r="C541" t="s">
        <v>6448</v>
      </c>
      <c r="D541" s="46">
        <v>45533.691620370373</v>
      </c>
      <c r="E541" s="46">
        <v>45548.691620370373</v>
      </c>
      <c r="F541" s="27">
        <v>42589.11</v>
      </c>
      <c r="G541" s="34">
        <v>1</v>
      </c>
      <c r="H541" s="34">
        <v>1</v>
      </c>
      <c r="I541" t="s">
        <v>7038</v>
      </c>
      <c r="J541">
        <v>8</v>
      </c>
      <c r="Q541">
        <v>10.117144854852027</v>
      </c>
    </row>
    <row r="542" spans="1:17" x14ac:dyDescent="0.3">
      <c r="A542" s="34" t="s">
        <v>6676</v>
      </c>
      <c r="B542" s="34" t="s">
        <v>765</v>
      </c>
      <c r="C542" t="s">
        <v>6448</v>
      </c>
      <c r="D542" s="46">
        <v>45532.69259259259</v>
      </c>
      <c r="E542" s="46">
        <v>45548.69259259259</v>
      </c>
      <c r="F542" s="27">
        <v>42589.11</v>
      </c>
      <c r="G542" s="34">
        <v>1</v>
      </c>
      <c r="H542" s="34">
        <v>1</v>
      </c>
      <c r="I542" t="s">
        <v>7038</v>
      </c>
      <c r="J542">
        <v>8</v>
      </c>
      <c r="Q542">
        <v>9.9505005105088813</v>
      </c>
    </row>
    <row r="543" spans="1:17" x14ac:dyDescent="0.3">
      <c r="A543" s="34" t="s">
        <v>6677</v>
      </c>
      <c r="B543" s="34" t="s">
        <v>765</v>
      </c>
      <c r="C543" t="s">
        <v>6448</v>
      </c>
      <c r="D543" s="46">
        <v>45564.649976851855</v>
      </c>
      <c r="E543" s="46">
        <v>45575.649976851855</v>
      </c>
      <c r="F543" s="27">
        <v>42589.11</v>
      </c>
      <c r="G543" s="34">
        <v>1</v>
      </c>
      <c r="H543" s="34">
        <v>1</v>
      </c>
      <c r="I543" t="s">
        <v>7038</v>
      </c>
      <c r="J543">
        <v>8</v>
      </c>
      <c r="Q543">
        <v>28.386337063680024</v>
      </c>
    </row>
    <row r="544" spans="1:17" x14ac:dyDescent="0.3">
      <c r="A544" s="34" t="s">
        <v>6678</v>
      </c>
      <c r="B544" s="34" t="s">
        <v>765</v>
      </c>
      <c r="C544" t="s">
        <v>6448</v>
      </c>
      <c r="D544" s="46">
        <v>45534.693564814814</v>
      </c>
      <c r="E544" s="46">
        <v>45548.693564814814</v>
      </c>
      <c r="F544" s="27">
        <v>42589.11</v>
      </c>
      <c r="G544" s="34">
        <v>1</v>
      </c>
      <c r="H544" s="34">
        <v>1</v>
      </c>
      <c r="I544" t="s">
        <v>7038</v>
      </c>
      <c r="J544">
        <v>8</v>
      </c>
      <c r="Q544">
        <v>27.665685606216901</v>
      </c>
    </row>
    <row r="545" spans="1:17" x14ac:dyDescent="0.3">
      <c r="A545" s="34" t="s">
        <v>6679</v>
      </c>
      <c r="B545" s="34" t="s">
        <v>765</v>
      </c>
      <c r="C545" t="s">
        <v>6448</v>
      </c>
      <c r="D545" s="46">
        <v>45535.695</v>
      </c>
      <c r="E545" s="46">
        <v>45548.695</v>
      </c>
      <c r="F545" s="27">
        <v>42589.11</v>
      </c>
      <c r="G545" s="34">
        <v>1</v>
      </c>
      <c r="H545" s="34">
        <v>1</v>
      </c>
      <c r="I545" t="s">
        <v>7038</v>
      </c>
      <c r="J545">
        <v>8</v>
      </c>
      <c r="Q545">
        <v>27.898197949595232</v>
      </c>
    </row>
    <row r="546" spans="1:17" x14ac:dyDescent="0.3">
      <c r="A546" s="34" t="s">
        <v>6680</v>
      </c>
      <c r="B546" s="34" t="s">
        <v>765</v>
      </c>
      <c r="C546" t="s">
        <v>6513</v>
      </c>
      <c r="D546" s="46">
        <v>45533.695972222224</v>
      </c>
      <c r="E546" s="46">
        <v>45548.695972222224</v>
      </c>
      <c r="F546" s="27">
        <v>42589.11</v>
      </c>
      <c r="G546" s="34">
        <v>1</v>
      </c>
      <c r="H546" s="34">
        <v>1</v>
      </c>
      <c r="I546" t="s">
        <v>7038</v>
      </c>
      <c r="J546">
        <v>12</v>
      </c>
      <c r="Q546">
        <v>37.589742643253459</v>
      </c>
    </row>
    <row r="547" spans="1:17" x14ac:dyDescent="0.3">
      <c r="A547" s="34" t="s">
        <v>6681</v>
      </c>
      <c r="B547" s="34" t="s">
        <v>765</v>
      </c>
      <c r="C547" t="s">
        <v>6513</v>
      </c>
      <c r="D547" s="46">
        <v>45532.696944444448</v>
      </c>
      <c r="E547" s="46">
        <v>45548.696944444448</v>
      </c>
      <c r="F547" s="27">
        <v>42589.11</v>
      </c>
      <c r="G547" s="34">
        <v>1</v>
      </c>
      <c r="H547" s="34">
        <v>1</v>
      </c>
      <c r="I547" t="s">
        <v>7038</v>
      </c>
      <c r="J547">
        <v>12</v>
      </c>
      <c r="Q547">
        <v>36.240341886051432</v>
      </c>
    </row>
    <row r="548" spans="1:17" x14ac:dyDescent="0.3">
      <c r="A548" s="34" t="s">
        <v>6682</v>
      </c>
      <c r="B548" s="34" t="s">
        <v>765</v>
      </c>
      <c r="C548" t="s">
        <v>6513</v>
      </c>
      <c r="D548" s="46">
        <v>45537.698680555557</v>
      </c>
      <c r="E548" s="46">
        <v>45548.698680555557</v>
      </c>
      <c r="F548" s="27">
        <v>42589.11</v>
      </c>
      <c r="G548" s="34">
        <v>1</v>
      </c>
      <c r="H548" s="34">
        <v>1</v>
      </c>
      <c r="I548" t="s">
        <v>7038</v>
      </c>
      <c r="J548">
        <v>12</v>
      </c>
      <c r="Q548">
        <v>37.340293928552498</v>
      </c>
    </row>
    <row r="549" spans="1:17" x14ac:dyDescent="0.3">
      <c r="A549" s="34" t="s">
        <v>6683</v>
      </c>
      <c r="B549" s="34" t="s">
        <v>765</v>
      </c>
      <c r="C549" t="s">
        <v>6494</v>
      </c>
      <c r="D549" s="46">
        <v>45534.708784722221</v>
      </c>
      <c r="E549" s="46">
        <v>45548.708784722221</v>
      </c>
      <c r="F549" s="27">
        <v>42589.11</v>
      </c>
      <c r="G549" s="34">
        <v>1</v>
      </c>
      <c r="H549" s="34">
        <v>1</v>
      </c>
      <c r="I549" t="s">
        <v>7038</v>
      </c>
      <c r="J549">
        <v>10</v>
      </c>
      <c r="Q549">
        <v>71.540271992625208</v>
      </c>
    </row>
    <row r="550" spans="1:17" x14ac:dyDescent="0.3">
      <c r="A550" s="34" t="s">
        <v>6684</v>
      </c>
      <c r="B550" s="34" t="s">
        <v>765</v>
      </c>
      <c r="C550" t="s">
        <v>6494</v>
      </c>
      <c r="D550" s="46">
        <v>45535.709756944445</v>
      </c>
      <c r="E550" s="46">
        <v>45548.709756944445</v>
      </c>
      <c r="F550" s="27">
        <v>42589.11</v>
      </c>
      <c r="G550" s="34">
        <v>1</v>
      </c>
      <c r="H550" s="34">
        <v>1</v>
      </c>
      <c r="I550" t="s">
        <v>7038</v>
      </c>
      <c r="J550">
        <v>10</v>
      </c>
      <c r="Q550">
        <v>60.938361215115691</v>
      </c>
    </row>
    <row r="551" spans="1:17" x14ac:dyDescent="0.3">
      <c r="A551" s="34" t="s">
        <v>6685</v>
      </c>
      <c r="B551" s="34" t="s">
        <v>765</v>
      </c>
      <c r="C551" t="s">
        <v>6494</v>
      </c>
      <c r="D551" s="46">
        <v>45562.650752314818</v>
      </c>
      <c r="E551" s="46">
        <v>45575.650752314818</v>
      </c>
      <c r="F551" s="27">
        <v>42589.11</v>
      </c>
      <c r="G551" s="34">
        <v>1</v>
      </c>
      <c r="H551" s="34">
        <v>1</v>
      </c>
      <c r="I551" t="s">
        <v>7038</v>
      </c>
      <c r="J551">
        <v>10</v>
      </c>
      <c r="Q551">
        <v>38.972733210386536</v>
      </c>
    </row>
    <row r="552" spans="1:17" x14ac:dyDescent="0.3">
      <c r="A552" s="34" t="s">
        <v>6686</v>
      </c>
      <c r="B552" s="34" t="s">
        <v>765</v>
      </c>
      <c r="C552" t="s">
        <v>6339</v>
      </c>
      <c r="D552" s="46">
        <v>45533.711145833331</v>
      </c>
      <c r="E552" s="46">
        <v>45548.711145833331</v>
      </c>
      <c r="F552" s="27">
        <v>42589.11</v>
      </c>
      <c r="G552" s="34">
        <v>1</v>
      </c>
      <c r="H552" s="34">
        <v>1</v>
      </c>
      <c r="I552" t="s">
        <v>7038</v>
      </c>
      <c r="J552">
        <v>3</v>
      </c>
      <c r="Q552">
        <v>54.074913460077077</v>
      </c>
    </row>
    <row r="553" spans="1:17" x14ac:dyDescent="0.3">
      <c r="A553" s="34" t="s">
        <v>6687</v>
      </c>
      <c r="B553" s="34" t="s">
        <v>765</v>
      </c>
      <c r="C553" t="s">
        <v>6494</v>
      </c>
      <c r="D553" s="46">
        <v>45532.714131944442</v>
      </c>
      <c r="E553" s="46">
        <v>45548.714131944442</v>
      </c>
      <c r="F553" s="27">
        <v>42589.11</v>
      </c>
      <c r="G553" s="34">
        <v>1</v>
      </c>
      <c r="H553" s="34">
        <v>1</v>
      </c>
      <c r="I553" t="s">
        <v>7038</v>
      </c>
      <c r="J553">
        <v>10</v>
      </c>
      <c r="Q553">
        <v>12.961398212889183</v>
      </c>
    </row>
    <row r="554" spans="1:17" x14ac:dyDescent="0.3">
      <c r="A554" s="34" t="s">
        <v>6688</v>
      </c>
      <c r="B554" s="34" t="s">
        <v>765</v>
      </c>
      <c r="C554" t="s">
        <v>6468</v>
      </c>
      <c r="D554" s="46">
        <v>45537.715104166666</v>
      </c>
      <c r="E554" s="46">
        <v>45548.715104166666</v>
      </c>
      <c r="F554" s="27">
        <v>42589.11</v>
      </c>
      <c r="G554" s="34">
        <v>1</v>
      </c>
      <c r="H554" s="34">
        <v>1</v>
      </c>
      <c r="I554" t="s">
        <v>7038</v>
      </c>
      <c r="J554">
        <v>24</v>
      </c>
      <c r="Q554">
        <v>48.644229535866941</v>
      </c>
    </row>
    <row r="555" spans="1:17" x14ac:dyDescent="0.3">
      <c r="A555" s="34" t="s">
        <v>6689</v>
      </c>
      <c r="B555" s="34" t="s">
        <v>765</v>
      </c>
      <c r="C555" t="s">
        <v>6494</v>
      </c>
      <c r="D555" s="46">
        <v>45534.716064814813</v>
      </c>
      <c r="E555" s="46">
        <v>45548.716064814813</v>
      </c>
      <c r="F555" s="27">
        <v>42589.11</v>
      </c>
      <c r="G555" s="34">
        <v>1</v>
      </c>
      <c r="H555" s="34">
        <v>1</v>
      </c>
      <c r="I555" t="s">
        <v>7038</v>
      </c>
      <c r="J555">
        <v>10</v>
      </c>
      <c r="Q555">
        <v>57.741784700146468</v>
      </c>
    </row>
    <row r="556" spans="1:17" x14ac:dyDescent="0.3">
      <c r="A556" s="34" t="s">
        <v>6690</v>
      </c>
      <c r="B556" s="34" t="s">
        <v>765</v>
      </c>
      <c r="C556" t="s">
        <v>6448</v>
      </c>
      <c r="D556" s="46">
        <v>45535.717037037037</v>
      </c>
      <c r="E556" s="46">
        <v>45548.717037037037</v>
      </c>
      <c r="F556" s="27">
        <v>42589.11</v>
      </c>
      <c r="G556" s="34">
        <v>1</v>
      </c>
      <c r="H556" s="34">
        <v>1</v>
      </c>
      <c r="I556" t="s">
        <v>7038</v>
      </c>
      <c r="J556">
        <v>8</v>
      </c>
      <c r="Q556">
        <v>16.799711130439366</v>
      </c>
    </row>
    <row r="557" spans="1:17" x14ac:dyDescent="0.3">
      <c r="A557" s="34" t="s">
        <v>6691</v>
      </c>
      <c r="B557" s="34" t="s">
        <v>765</v>
      </c>
      <c r="C557" t="s">
        <v>6448</v>
      </c>
      <c r="D557" s="46">
        <v>45533.718009259261</v>
      </c>
      <c r="E557" s="46">
        <v>45548.718009259261</v>
      </c>
      <c r="F557" s="27">
        <v>42589.11</v>
      </c>
      <c r="G557" s="34">
        <v>1</v>
      </c>
      <c r="H557" s="34">
        <v>1</v>
      </c>
      <c r="I557" t="s">
        <v>7038</v>
      </c>
      <c r="J557">
        <v>8</v>
      </c>
      <c r="Q557">
        <v>17.293012118389957</v>
      </c>
    </row>
    <row r="558" spans="1:17" x14ac:dyDescent="0.3">
      <c r="A558" s="34" t="s">
        <v>6692</v>
      </c>
      <c r="B558" s="34" t="s">
        <v>765</v>
      </c>
      <c r="C558" t="s">
        <v>6448</v>
      </c>
      <c r="D558" s="46">
        <v>45532.718969907408</v>
      </c>
      <c r="E558" s="46">
        <v>45548.718969907408</v>
      </c>
      <c r="F558" s="27">
        <v>42589.11</v>
      </c>
      <c r="G558" s="34">
        <v>1</v>
      </c>
      <c r="H558" s="34">
        <v>1</v>
      </c>
      <c r="I558" t="s">
        <v>7038</v>
      </c>
      <c r="J558">
        <v>8</v>
      </c>
      <c r="Q558">
        <v>17.487102863333956</v>
      </c>
    </row>
    <row r="559" spans="1:17" x14ac:dyDescent="0.3">
      <c r="A559" s="34" t="s">
        <v>6693</v>
      </c>
      <c r="B559" s="34" t="s">
        <v>765</v>
      </c>
      <c r="C559" t="s">
        <v>6494</v>
      </c>
      <c r="D559" s="46">
        <v>45537.723553240743</v>
      </c>
      <c r="E559" s="46">
        <v>45548.723553240743</v>
      </c>
      <c r="F559" s="27">
        <v>42589.11</v>
      </c>
      <c r="G559" s="34">
        <v>1</v>
      </c>
      <c r="H559" s="34">
        <v>1</v>
      </c>
      <c r="I559" t="s">
        <v>7038</v>
      </c>
      <c r="J559">
        <v>10</v>
      </c>
      <c r="Q559">
        <v>24.837706102572515</v>
      </c>
    </row>
    <row r="560" spans="1:17" x14ac:dyDescent="0.3">
      <c r="A560" s="34" t="s">
        <v>6694</v>
      </c>
      <c r="B560" s="34" t="s">
        <v>765</v>
      </c>
      <c r="C560" t="s">
        <v>6494</v>
      </c>
      <c r="D560" s="46">
        <v>45534.72488425926</v>
      </c>
      <c r="E560" s="46">
        <v>45548.72488425926</v>
      </c>
      <c r="F560" s="27">
        <v>42589.11</v>
      </c>
      <c r="G560" s="34">
        <v>1</v>
      </c>
      <c r="H560" s="34">
        <v>1</v>
      </c>
      <c r="I560" t="s">
        <v>7038</v>
      </c>
      <c r="J560">
        <v>10</v>
      </c>
      <c r="Q560">
        <v>34.873203629396848</v>
      </c>
    </row>
    <row r="561" spans="1:17" x14ac:dyDescent="0.3">
      <c r="A561" s="34" t="s">
        <v>6695</v>
      </c>
      <c r="B561" s="34" t="s">
        <v>765</v>
      </c>
      <c r="C561" t="s">
        <v>6448</v>
      </c>
      <c r="D561" s="46">
        <v>45536.43445601852</v>
      </c>
      <c r="E561" s="46">
        <v>45549.43445601852</v>
      </c>
      <c r="F561" s="27">
        <v>42589.11</v>
      </c>
      <c r="G561" s="34">
        <v>1</v>
      </c>
      <c r="H561" s="34">
        <v>1</v>
      </c>
      <c r="I561" t="s">
        <v>7038</v>
      </c>
      <c r="J561">
        <v>8</v>
      </c>
      <c r="Q561">
        <v>20.932966509163911</v>
      </c>
    </row>
    <row r="562" spans="1:17" x14ac:dyDescent="0.3">
      <c r="A562" s="34" t="s">
        <v>6696</v>
      </c>
      <c r="B562" s="34" t="s">
        <v>765</v>
      </c>
      <c r="C562" t="s">
        <v>6494</v>
      </c>
      <c r="D562" s="46">
        <v>45536.436157407406</v>
      </c>
      <c r="E562" s="46">
        <v>45549.436157407406</v>
      </c>
      <c r="F562" s="27">
        <v>42589.11</v>
      </c>
      <c r="G562" s="34">
        <v>1</v>
      </c>
      <c r="H562" s="34">
        <v>1</v>
      </c>
      <c r="I562" t="s">
        <v>7038</v>
      </c>
      <c r="J562">
        <v>10</v>
      </c>
      <c r="Q562">
        <v>42.841855724806365</v>
      </c>
    </row>
    <row r="563" spans="1:17" x14ac:dyDescent="0.3">
      <c r="A563" s="34" t="s">
        <v>6697</v>
      </c>
      <c r="B563" s="34" t="s">
        <v>765</v>
      </c>
      <c r="C563" t="s">
        <v>6494</v>
      </c>
      <c r="D563" s="46">
        <v>45534.435300925928</v>
      </c>
      <c r="E563" s="46">
        <v>45549.435300925928</v>
      </c>
      <c r="F563" s="27">
        <v>42589.11</v>
      </c>
      <c r="G563" s="34">
        <v>1</v>
      </c>
      <c r="H563" s="34">
        <v>1</v>
      </c>
      <c r="I563" t="s">
        <v>7038</v>
      </c>
      <c r="J563">
        <v>10</v>
      </c>
      <c r="Q563">
        <v>35.748055017701979</v>
      </c>
    </row>
    <row r="564" spans="1:17" x14ac:dyDescent="0.3">
      <c r="A564" s="34" t="s">
        <v>6698</v>
      </c>
      <c r="B564" s="34" t="s">
        <v>765</v>
      </c>
      <c r="C564" t="s">
        <v>6494</v>
      </c>
      <c r="D564" s="46">
        <v>45533.436990740738</v>
      </c>
      <c r="E564" s="46">
        <v>45549.436990740738</v>
      </c>
      <c r="F564" s="27">
        <v>42589.11</v>
      </c>
      <c r="G564" s="34">
        <v>1</v>
      </c>
      <c r="H564" s="34">
        <v>1</v>
      </c>
      <c r="I564" t="s">
        <v>7038</v>
      </c>
      <c r="J564">
        <v>10</v>
      </c>
      <c r="Q564">
        <v>55.602957772256183</v>
      </c>
    </row>
    <row r="565" spans="1:17" x14ac:dyDescent="0.3">
      <c r="A565" s="34" t="s">
        <v>6699</v>
      </c>
      <c r="B565" s="34" t="s">
        <v>765</v>
      </c>
      <c r="C565" t="s">
        <v>6494</v>
      </c>
      <c r="D565" s="46">
        <v>45564.65152777778</v>
      </c>
      <c r="E565" s="46">
        <v>45575.65152777778</v>
      </c>
      <c r="F565" s="27">
        <v>42589.11</v>
      </c>
      <c r="G565" s="34">
        <v>1</v>
      </c>
      <c r="H565" s="34">
        <v>1</v>
      </c>
      <c r="I565" t="s">
        <v>7038</v>
      </c>
      <c r="J565">
        <v>10</v>
      </c>
      <c r="Q565">
        <v>59.251714198642475</v>
      </c>
    </row>
    <row r="566" spans="1:17" x14ac:dyDescent="0.3">
      <c r="A566" s="34" t="s">
        <v>6700</v>
      </c>
      <c r="B566" s="34" t="s">
        <v>765</v>
      </c>
      <c r="C566" t="s">
        <v>6494</v>
      </c>
      <c r="D566" s="46">
        <v>45535.437824074077</v>
      </c>
      <c r="E566" s="46">
        <v>45549.437824074077</v>
      </c>
      <c r="F566" s="27">
        <v>42589.11</v>
      </c>
      <c r="G566" s="34">
        <v>1</v>
      </c>
      <c r="H566" s="34">
        <v>1</v>
      </c>
      <c r="I566" t="s">
        <v>7038</v>
      </c>
      <c r="J566">
        <v>10</v>
      </c>
      <c r="Q566">
        <v>75.761563153909563</v>
      </c>
    </row>
    <row r="567" spans="1:17" x14ac:dyDescent="0.3">
      <c r="A567" s="34" t="s">
        <v>6701</v>
      </c>
      <c r="B567" s="34" t="s">
        <v>765</v>
      </c>
      <c r="C567" t="s">
        <v>6448</v>
      </c>
      <c r="D567" s="46">
        <v>45536.438668981478</v>
      </c>
      <c r="E567" s="46">
        <v>45549.438668981478</v>
      </c>
      <c r="F567" s="27">
        <v>42589.11</v>
      </c>
      <c r="G567" s="34">
        <v>1</v>
      </c>
      <c r="H567" s="34">
        <v>1</v>
      </c>
      <c r="I567" t="s">
        <v>7038</v>
      </c>
      <c r="J567">
        <v>8</v>
      </c>
      <c r="Q567">
        <v>28.249471766139344</v>
      </c>
    </row>
    <row r="568" spans="1:17" x14ac:dyDescent="0.3">
      <c r="A568" s="34" t="s">
        <v>6702</v>
      </c>
      <c r="B568" s="34" t="s">
        <v>765</v>
      </c>
      <c r="C568" t="s">
        <v>6448</v>
      </c>
      <c r="D568" s="46">
        <v>45560.652303240742</v>
      </c>
      <c r="E568" s="46">
        <v>45575.652303240742</v>
      </c>
      <c r="F568" s="27">
        <v>42589.11</v>
      </c>
      <c r="G568" s="34">
        <v>1</v>
      </c>
      <c r="H568" s="34">
        <v>1</v>
      </c>
      <c r="I568" t="s">
        <v>7038</v>
      </c>
      <c r="J568">
        <v>8</v>
      </c>
      <c r="Q568">
        <v>115.1472420603051</v>
      </c>
    </row>
    <row r="569" spans="1:17" x14ac:dyDescent="0.3">
      <c r="A569" s="34" t="s">
        <v>6703</v>
      </c>
      <c r="B569" s="34" t="s">
        <v>765</v>
      </c>
      <c r="C569" t="s">
        <v>6448</v>
      </c>
      <c r="D569" s="46">
        <v>45533.43949074074</v>
      </c>
      <c r="E569" s="46">
        <v>45549.43949074074</v>
      </c>
      <c r="F569" s="27">
        <v>42589.11</v>
      </c>
      <c r="G569" s="34">
        <v>1</v>
      </c>
      <c r="H569" s="34">
        <v>1</v>
      </c>
      <c r="I569" t="s">
        <v>7038</v>
      </c>
      <c r="J569">
        <v>8</v>
      </c>
      <c r="Q569">
        <v>26.004483062978338</v>
      </c>
    </row>
    <row r="570" spans="1:17" x14ac:dyDescent="0.3">
      <c r="A570" s="34" t="s">
        <v>6704</v>
      </c>
      <c r="B570" s="34" t="s">
        <v>765</v>
      </c>
      <c r="C570" t="s">
        <v>6448</v>
      </c>
      <c r="D570" s="46">
        <v>45538.440324074072</v>
      </c>
      <c r="E570" s="46">
        <v>45549.440324074072</v>
      </c>
      <c r="F570" s="27">
        <v>42589.11</v>
      </c>
      <c r="G570" s="34">
        <v>1</v>
      </c>
      <c r="H570" s="34">
        <v>1</v>
      </c>
      <c r="I570" t="s">
        <v>7038</v>
      </c>
      <c r="J570">
        <v>8</v>
      </c>
      <c r="Q570">
        <v>17.644212358715276</v>
      </c>
    </row>
    <row r="571" spans="1:17" x14ac:dyDescent="0.3">
      <c r="A571" s="34" t="s">
        <v>6705</v>
      </c>
      <c r="B571" s="34" t="s">
        <v>765</v>
      </c>
      <c r="C571" t="s">
        <v>6494</v>
      </c>
      <c r="D571" s="46">
        <v>45561.708171296297</v>
      </c>
      <c r="E571" s="46">
        <v>45575.708171296297</v>
      </c>
      <c r="F571" s="27">
        <v>42589.11</v>
      </c>
      <c r="G571" s="34">
        <v>1</v>
      </c>
      <c r="H571" s="34">
        <v>1</v>
      </c>
      <c r="I571" t="s">
        <v>7038</v>
      </c>
      <c r="J571">
        <v>10</v>
      </c>
      <c r="Q571">
        <v>76.530838638680606</v>
      </c>
    </row>
    <row r="572" spans="1:17" x14ac:dyDescent="0.3">
      <c r="A572" s="34" t="s">
        <v>6706</v>
      </c>
      <c r="B572" s="34" t="s">
        <v>765</v>
      </c>
      <c r="C572" t="s">
        <v>6494</v>
      </c>
      <c r="D572" s="46">
        <v>45594.599652777775</v>
      </c>
      <c r="E572" s="46">
        <v>45607.599652777775</v>
      </c>
      <c r="F572" s="27">
        <v>42589.11</v>
      </c>
      <c r="G572" s="34">
        <v>1</v>
      </c>
      <c r="H572" s="34">
        <v>1</v>
      </c>
      <c r="I572" t="s">
        <v>7038</v>
      </c>
      <c r="J572">
        <v>10</v>
      </c>
      <c r="Q572">
        <v>76.521239308778021</v>
      </c>
    </row>
    <row r="573" spans="1:17" x14ac:dyDescent="0.3">
      <c r="A573" s="34" t="s">
        <v>6707</v>
      </c>
      <c r="B573" s="34" t="s">
        <v>765</v>
      </c>
      <c r="C573" t="s">
        <v>6494</v>
      </c>
      <c r="D573" s="46">
        <v>45566.360798611109</v>
      </c>
      <c r="E573" s="46">
        <v>45581.360798611109</v>
      </c>
      <c r="F573" s="27">
        <v>42589.11</v>
      </c>
      <c r="G573" s="34">
        <v>1</v>
      </c>
      <c r="H573" s="34">
        <v>1</v>
      </c>
      <c r="I573" t="s">
        <v>7038</v>
      </c>
      <c r="J573">
        <v>10</v>
      </c>
      <c r="Q573">
        <v>71.27069875293148</v>
      </c>
    </row>
    <row r="574" spans="1:17" x14ac:dyDescent="0.3">
      <c r="A574" s="34" t="s">
        <v>6708</v>
      </c>
      <c r="B574" s="34" t="s">
        <v>765</v>
      </c>
      <c r="C574" t="s">
        <v>6494</v>
      </c>
      <c r="D574" s="46">
        <v>45533.441157407404</v>
      </c>
      <c r="E574" s="46">
        <v>45549.441157407404</v>
      </c>
      <c r="F574" s="27">
        <v>42589.11</v>
      </c>
      <c r="G574" s="34">
        <v>1</v>
      </c>
      <c r="H574" s="34">
        <v>1</v>
      </c>
      <c r="I574" t="s">
        <v>7038</v>
      </c>
      <c r="J574">
        <v>10</v>
      </c>
      <c r="Q574">
        <v>35.125572613219475</v>
      </c>
    </row>
    <row r="575" spans="1:17" x14ac:dyDescent="0.3">
      <c r="A575" s="34" t="s">
        <v>6709</v>
      </c>
      <c r="B575" s="34" t="s">
        <v>765</v>
      </c>
      <c r="C575" t="s">
        <v>6448</v>
      </c>
      <c r="D575" s="46">
        <v>45538.441990740743</v>
      </c>
      <c r="E575" s="46">
        <v>45549.441990740743</v>
      </c>
      <c r="F575" s="27">
        <v>42589.11</v>
      </c>
      <c r="G575" s="34">
        <v>1</v>
      </c>
      <c r="H575" s="34">
        <v>1</v>
      </c>
      <c r="I575" t="s">
        <v>7038</v>
      </c>
      <c r="J575">
        <v>8</v>
      </c>
      <c r="Q575">
        <v>16.202301962590763</v>
      </c>
    </row>
    <row r="576" spans="1:17" x14ac:dyDescent="0.3">
      <c r="A576" s="34" t="s">
        <v>6710</v>
      </c>
      <c r="B576" s="34" t="s">
        <v>765</v>
      </c>
      <c r="C576" t="s">
        <v>6512</v>
      </c>
      <c r="D576" s="46">
        <v>45535.442824074074</v>
      </c>
      <c r="E576" s="46">
        <v>45549.442824074074</v>
      </c>
      <c r="F576" s="27">
        <v>42589.11</v>
      </c>
      <c r="G576" s="34">
        <v>1</v>
      </c>
      <c r="H576" s="34">
        <v>1</v>
      </c>
      <c r="I576" t="s">
        <v>7038</v>
      </c>
      <c r="J576">
        <v>11</v>
      </c>
      <c r="Q576">
        <v>24.203657037367133</v>
      </c>
    </row>
    <row r="577" spans="1:17" x14ac:dyDescent="0.3">
      <c r="A577" s="34" t="s">
        <v>6711</v>
      </c>
      <c r="B577" s="34" t="s">
        <v>765</v>
      </c>
      <c r="C577" t="s">
        <v>6494</v>
      </c>
      <c r="D577" s="46">
        <v>45536.443657407406</v>
      </c>
      <c r="E577" s="46">
        <v>45549.443657407406</v>
      </c>
      <c r="F577" s="27">
        <v>42589.11</v>
      </c>
      <c r="G577" s="34">
        <v>1</v>
      </c>
      <c r="H577" s="34">
        <v>1</v>
      </c>
      <c r="I577" t="s">
        <v>7038</v>
      </c>
      <c r="J577">
        <v>10</v>
      </c>
      <c r="Q577">
        <v>51.010309001130153</v>
      </c>
    </row>
    <row r="578" spans="1:17" x14ac:dyDescent="0.3">
      <c r="A578" s="34" t="s">
        <v>6712</v>
      </c>
      <c r="B578" s="34" t="s">
        <v>765</v>
      </c>
      <c r="C578" t="s">
        <v>6513</v>
      </c>
      <c r="D578" s="46">
        <v>45536.444490740738</v>
      </c>
      <c r="E578" s="46">
        <v>45549.444490740738</v>
      </c>
      <c r="F578" s="27">
        <v>42589.11</v>
      </c>
      <c r="G578" s="34">
        <v>1</v>
      </c>
      <c r="H578" s="34">
        <v>1</v>
      </c>
      <c r="I578" t="s">
        <v>7038</v>
      </c>
      <c r="J578">
        <v>12</v>
      </c>
      <c r="Q578">
        <v>15.66488566322214</v>
      </c>
    </row>
    <row r="579" spans="1:17" x14ac:dyDescent="0.3">
      <c r="A579" s="34" t="s">
        <v>6713</v>
      </c>
      <c r="B579" s="34" t="s">
        <v>765</v>
      </c>
      <c r="C579" t="s">
        <v>6494</v>
      </c>
      <c r="D579" s="46">
        <v>45560.655115740738</v>
      </c>
      <c r="E579" s="46">
        <v>45575.655115740738</v>
      </c>
      <c r="F579" s="27">
        <v>42589.11</v>
      </c>
      <c r="G579" s="34">
        <v>1</v>
      </c>
      <c r="H579" s="34">
        <v>1</v>
      </c>
      <c r="I579" t="s">
        <v>7038</v>
      </c>
      <c r="J579">
        <v>10</v>
      </c>
      <c r="Q579">
        <v>50.566880329526086</v>
      </c>
    </row>
    <row r="580" spans="1:17" x14ac:dyDescent="0.3">
      <c r="A580" s="34" t="s">
        <v>6714</v>
      </c>
      <c r="B580" s="34" t="s">
        <v>765</v>
      </c>
      <c r="C580" t="s">
        <v>6494</v>
      </c>
      <c r="D580" s="46">
        <v>45533.445335648146</v>
      </c>
      <c r="E580" s="46">
        <v>45549.445335648146</v>
      </c>
      <c r="F580" s="27">
        <v>42589.11</v>
      </c>
      <c r="G580" s="34">
        <v>1</v>
      </c>
      <c r="H580" s="34">
        <v>1</v>
      </c>
      <c r="I580" t="s">
        <v>7038</v>
      </c>
      <c r="J580">
        <v>10</v>
      </c>
      <c r="Q580">
        <v>48.923932966425461</v>
      </c>
    </row>
    <row r="581" spans="1:17" x14ac:dyDescent="0.3">
      <c r="A581" s="34" t="s">
        <v>6715</v>
      </c>
      <c r="B581" s="34" t="s">
        <v>765</v>
      </c>
      <c r="C581" t="s">
        <v>6494</v>
      </c>
      <c r="D581" s="46">
        <v>45538.446168981478</v>
      </c>
      <c r="E581" s="46">
        <v>45549.446168981478</v>
      </c>
      <c r="F581" s="27">
        <v>42589.11</v>
      </c>
      <c r="G581" s="34">
        <v>1</v>
      </c>
      <c r="H581" s="34">
        <v>1</v>
      </c>
      <c r="I581" t="s">
        <v>7038</v>
      </c>
      <c r="J581">
        <v>10</v>
      </c>
      <c r="Q581">
        <v>70.234350467751369</v>
      </c>
    </row>
    <row r="582" spans="1:17" x14ac:dyDescent="0.3">
      <c r="A582" s="34" t="s">
        <v>6716</v>
      </c>
      <c r="B582" s="34" t="s">
        <v>765</v>
      </c>
      <c r="C582" t="s">
        <v>6494</v>
      </c>
      <c r="D582" s="46">
        <v>45535.447002314817</v>
      </c>
      <c r="E582" s="46">
        <v>45549.447002314817</v>
      </c>
      <c r="F582" s="27">
        <v>42589.11</v>
      </c>
      <c r="G582" s="34">
        <v>1</v>
      </c>
      <c r="H582" s="34">
        <v>1</v>
      </c>
      <c r="I582" t="s">
        <v>7038</v>
      </c>
      <c r="J582">
        <v>10</v>
      </c>
      <c r="Q582">
        <v>34.755737335163019</v>
      </c>
    </row>
    <row r="583" spans="1:17" x14ac:dyDescent="0.3">
      <c r="A583" s="34" t="s">
        <v>6717</v>
      </c>
      <c r="B583" s="34" t="s">
        <v>765</v>
      </c>
      <c r="C583" t="s">
        <v>6494</v>
      </c>
      <c r="D583" s="46">
        <v>45536.447835648149</v>
      </c>
      <c r="E583" s="46">
        <v>45549.447835648149</v>
      </c>
      <c r="F583" s="27">
        <v>42589.11</v>
      </c>
      <c r="G583" s="34">
        <v>1</v>
      </c>
      <c r="H583" s="34">
        <v>1</v>
      </c>
      <c r="I583" t="s">
        <v>7038</v>
      </c>
      <c r="J583">
        <v>10</v>
      </c>
      <c r="Q583">
        <v>37.724422195841299</v>
      </c>
    </row>
    <row r="584" spans="1:17" x14ac:dyDescent="0.3">
      <c r="A584" s="34" t="s">
        <v>6718</v>
      </c>
      <c r="B584" s="34" t="s">
        <v>765</v>
      </c>
      <c r="C584" t="s">
        <v>6494</v>
      </c>
      <c r="D584" s="46">
        <v>45537.630613425928</v>
      </c>
      <c r="E584" s="46">
        <v>45552.630613425928</v>
      </c>
      <c r="F584" s="27">
        <v>42589.11</v>
      </c>
      <c r="G584" s="34">
        <v>1</v>
      </c>
      <c r="H584" s="34">
        <v>1</v>
      </c>
      <c r="I584" t="s">
        <v>7038</v>
      </c>
      <c r="J584">
        <v>10</v>
      </c>
      <c r="Q584">
        <v>33.14867125611908</v>
      </c>
    </row>
    <row r="585" spans="1:17" x14ac:dyDescent="0.3">
      <c r="A585" s="34" t="s">
        <v>6719</v>
      </c>
      <c r="B585" s="34" t="s">
        <v>765</v>
      </c>
      <c r="C585" t="s">
        <v>6494</v>
      </c>
      <c r="D585" s="46">
        <v>45559.655891203707</v>
      </c>
      <c r="E585" s="46">
        <v>45575.655891203707</v>
      </c>
      <c r="F585" s="27">
        <v>42589.11</v>
      </c>
      <c r="G585" s="34">
        <v>1</v>
      </c>
      <c r="H585" s="34">
        <v>1</v>
      </c>
      <c r="I585" t="s">
        <v>7038</v>
      </c>
      <c r="J585">
        <v>10</v>
      </c>
      <c r="Q585">
        <v>43.363556164269255</v>
      </c>
    </row>
    <row r="586" spans="1:17" x14ac:dyDescent="0.3">
      <c r="A586" s="34" t="s">
        <v>6720</v>
      </c>
      <c r="B586" s="34" t="s">
        <v>765</v>
      </c>
      <c r="C586" t="s">
        <v>6494</v>
      </c>
      <c r="D586" s="46">
        <v>45541.631597222222</v>
      </c>
      <c r="E586" s="46">
        <v>45552.631597222222</v>
      </c>
      <c r="F586" s="27">
        <v>42589.11</v>
      </c>
      <c r="G586" s="34">
        <v>1</v>
      </c>
      <c r="H586" s="34">
        <v>1</v>
      </c>
      <c r="I586" t="s">
        <v>7038</v>
      </c>
      <c r="J586">
        <v>10</v>
      </c>
      <c r="Q586">
        <v>77.371991936533561</v>
      </c>
    </row>
    <row r="587" spans="1:17" x14ac:dyDescent="0.3">
      <c r="A587" s="34" t="s">
        <v>6721</v>
      </c>
      <c r="B587" s="34" t="s">
        <v>765</v>
      </c>
      <c r="C587" t="s">
        <v>6315</v>
      </c>
      <c r="D587" s="46">
        <v>45538.637152777781</v>
      </c>
      <c r="E587" s="46">
        <v>45552.637152777781</v>
      </c>
      <c r="F587" s="27">
        <v>42589.11</v>
      </c>
      <c r="G587" s="34">
        <v>1</v>
      </c>
      <c r="H587" s="34">
        <v>1</v>
      </c>
      <c r="I587" t="s">
        <v>7038</v>
      </c>
      <c r="J587">
        <v>1</v>
      </c>
      <c r="Q587">
        <v>49.622632906967411</v>
      </c>
    </row>
    <row r="588" spans="1:17" x14ac:dyDescent="0.3">
      <c r="A588" s="34" t="s">
        <v>6722</v>
      </c>
      <c r="B588" s="34" t="s">
        <v>765</v>
      </c>
      <c r="C588" t="s">
        <v>6513</v>
      </c>
      <c r="D588" s="46">
        <v>45539.638124999998</v>
      </c>
      <c r="E588" s="46">
        <v>45552.638124999998</v>
      </c>
      <c r="F588" s="27">
        <v>42589.11</v>
      </c>
      <c r="G588" s="34">
        <v>1</v>
      </c>
      <c r="H588" s="34">
        <v>1</v>
      </c>
      <c r="I588" t="s">
        <v>7038</v>
      </c>
      <c r="J588">
        <v>12</v>
      </c>
      <c r="Q588">
        <v>68.027815575457495</v>
      </c>
    </row>
    <row r="589" spans="1:17" x14ac:dyDescent="0.3">
      <c r="A589" s="34" t="s">
        <v>6723</v>
      </c>
      <c r="B589" s="34" t="s">
        <v>765</v>
      </c>
      <c r="C589" t="s">
        <v>6315</v>
      </c>
      <c r="D589" s="46">
        <v>45539.639097222222</v>
      </c>
      <c r="E589" s="46">
        <v>45552.639097222222</v>
      </c>
      <c r="F589" s="27">
        <v>42589.11</v>
      </c>
      <c r="G589" s="34">
        <v>1</v>
      </c>
      <c r="H589" s="34">
        <v>1</v>
      </c>
      <c r="I589" t="s">
        <v>7038</v>
      </c>
      <c r="J589">
        <v>1</v>
      </c>
      <c r="Q589">
        <v>52.842328122535989</v>
      </c>
    </row>
    <row r="590" spans="1:17" x14ac:dyDescent="0.3">
      <c r="A590" s="34" t="s">
        <v>6724</v>
      </c>
      <c r="B590" s="34" t="s">
        <v>765</v>
      </c>
      <c r="C590" t="s">
        <v>6315</v>
      </c>
      <c r="D590" s="46">
        <v>45537.640069444446</v>
      </c>
      <c r="E590" s="46">
        <v>45552.640069444446</v>
      </c>
      <c r="F590" s="27">
        <v>42589.11</v>
      </c>
      <c r="G590" s="34">
        <v>1</v>
      </c>
      <c r="H590" s="34">
        <v>1</v>
      </c>
      <c r="I590" t="s">
        <v>7038</v>
      </c>
      <c r="J590">
        <v>1</v>
      </c>
      <c r="Q590">
        <v>52.52942007624236</v>
      </c>
    </row>
    <row r="591" spans="1:17" x14ac:dyDescent="0.3">
      <c r="A591" s="34" t="s">
        <v>6725</v>
      </c>
      <c r="B591" s="34" t="s">
        <v>765</v>
      </c>
      <c r="C591" t="s">
        <v>6315</v>
      </c>
      <c r="D591" s="46">
        <v>45536.641041666669</v>
      </c>
      <c r="E591" s="46">
        <v>45552.641041666669</v>
      </c>
      <c r="F591" s="27">
        <v>42589.11</v>
      </c>
      <c r="G591" s="34">
        <v>1</v>
      </c>
      <c r="H591" s="34">
        <v>1</v>
      </c>
      <c r="I591" t="s">
        <v>7038</v>
      </c>
      <c r="J591">
        <v>1</v>
      </c>
      <c r="Q591">
        <v>52.820932077926351</v>
      </c>
    </row>
    <row r="592" spans="1:17" x14ac:dyDescent="0.3">
      <c r="A592" s="34" t="s">
        <v>6726</v>
      </c>
      <c r="B592" s="34" t="s">
        <v>765</v>
      </c>
      <c r="C592" t="s">
        <v>6494</v>
      </c>
      <c r="D592" s="46">
        <v>45541.642025462963</v>
      </c>
      <c r="E592" s="46">
        <v>45552.642025462963</v>
      </c>
      <c r="F592" s="27">
        <v>42589.11</v>
      </c>
      <c r="G592" s="34">
        <v>1</v>
      </c>
      <c r="H592" s="34">
        <v>1</v>
      </c>
      <c r="I592" t="s">
        <v>7038</v>
      </c>
      <c r="J592">
        <v>10</v>
      </c>
      <c r="Q592">
        <v>49.767453697816443</v>
      </c>
    </row>
    <row r="593" spans="1:17" x14ac:dyDescent="0.3">
      <c r="A593" s="34" t="s">
        <v>6727</v>
      </c>
      <c r="B593" s="34" t="s">
        <v>765</v>
      </c>
      <c r="C593" t="s">
        <v>6494</v>
      </c>
      <c r="D593" s="46">
        <v>45538.643321759257</v>
      </c>
      <c r="E593" s="46">
        <v>45552.643321759257</v>
      </c>
      <c r="F593" s="27">
        <v>42589.11</v>
      </c>
      <c r="G593" s="34">
        <v>1</v>
      </c>
      <c r="H593" s="34">
        <v>1</v>
      </c>
      <c r="I593" t="s">
        <v>7038</v>
      </c>
      <c r="J593">
        <v>10</v>
      </c>
      <c r="Q593">
        <v>76.085073425178422</v>
      </c>
    </row>
    <row r="594" spans="1:17" x14ac:dyDescent="0.3">
      <c r="A594" s="34" t="s">
        <v>6728</v>
      </c>
      <c r="B594" s="34" t="s">
        <v>765</v>
      </c>
      <c r="C594" t="s">
        <v>6315</v>
      </c>
      <c r="D594" s="46">
        <v>45539.644293981481</v>
      </c>
      <c r="E594" s="46">
        <v>45552.644293981481</v>
      </c>
      <c r="F594" s="27">
        <v>42589.11</v>
      </c>
      <c r="G594" s="34">
        <v>1</v>
      </c>
      <c r="H594" s="34">
        <v>1</v>
      </c>
      <c r="I594" t="s">
        <v>7038</v>
      </c>
      <c r="J594">
        <v>1</v>
      </c>
      <c r="Q594">
        <v>51.872848824860185</v>
      </c>
    </row>
    <row r="595" spans="1:17" x14ac:dyDescent="0.3">
      <c r="A595" s="34" t="s">
        <v>6729</v>
      </c>
      <c r="B595" s="34" t="s">
        <v>765</v>
      </c>
      <c r="C595" t="s">
        <v>6494</v>
      </c>
      <c r="D595" s="46">
        <v>45537.645266203705</v>
      </c>
      <c r="E595" s="46">
        <v>45552.645266203705</v>
      </c>
      <c r="F595" s="27">
        <v>42589.11</v>
      </c>
      <c r="G595" s="34">
        <v>1</v>
      </c>
      <c r="H595" s="34">
        <v>1</v>
      </c>
      <c r="I595" t="s">
        <v>7038</v>
      </c>
      <c r="J595">
        <v>10</v>
      </c>
      <c r="Q595">
        <v>75.682462028592667</v>
      </c>
    </row>
    <row r="596" spans="1:17" x14ac:dyDescent="0.3">
      <c r="A596" s="34" t="s">
        <v>6730</v>
      </c>
      <c r="B596" s="34" t="s">
        <v>765</v>
      </c>
      <c r="C596" t="s">
        <v>6494</v>
      </c>
      <c r="D596" s="46">
        <v>45536.646238425928</v>
      </c>
      <c r="E596" s="46">
        <v>45552.646238425928</v>
      </c>
      <c r="F596" s="27">
        <v>42589.11</v>
      </c>
      <c r="G596" s="34">
        <v>1</v>
      </c>
      <c r="H596" s="34">
        <v>1</v>
      </c>
      <c r="I596" t="s">
        <v>7038</v>
      </c>
      <c r="J596">
        <v>10</v>
      </c>
      <c r="Q596">
        <v>75.650911973542136</v>
      </c>
    </row>
    <row r="597" spans="1:17" x14ac:dyDescent="0.3">
      <c r="A597" s="34" t="s">
        <v>6731</v>
      </c>
      <c r="B597" s="34" t="s">
        <v>765</v>
      </c>
      <c r="C597" t="s">
        <v>6494</v>
      </c>
      <c r="D597" s="46">
        <v>45541.647210648145</v>
      </c>
      <c r="E597" s="46">
        <v>45552.647210648145</v>
      </c>
      <c r="F597" s="27">
        <v>42589.11</v>
      </c>
      <c r="G597" s="34">
        <v>1</v>
      </c>
      <c r="H597" s="34">
        <v>1</v>
      </c>
      <c r="I597" t="s">
        <v>7038</v>
      </c>
      <c r="J597">
        <v>10</v>
      </c>
      <c r="Q597">
        <v>87.150477937814216</v>
      </c>
    </row>
    <row r="598" spans="1:17" x14ac:dyDescent="0.3">
      <c r="A598" s="34" t="s">
        <v>6732</v>
      </c>
      <c r="B598" s="34" t="s">
        <v>765</v>
      </c>
      <c r="C598" t="s">
        <v>6494</v>
      </c>
      <c r="D598" s="46">
        <v>45538.648194444446</v>
      </c>
      <c r="E598" s="46">
        <v>45552.648194444446</v>
      </c>
      <c r="F598" s="27">
        <v>42589.11</v>
      </c>
      <c r="G598" s="34">
        <v>1</v>
      </c>
      <c r="H598" s="34">
        <v>1</v>
      </c>
      <c r="I598" t="s">
        <v>7038</v>
      </c>
      <c r="J598">
        <v>10</v>
      </c>
      <c r="Q598">
        <v>82.86799068096812</v>
      </c>
    </row>
    <row r="599" spans="1:17" x14ac:dyDescent="0.3">
      <c r="A599" s="34" t="s">
        <v>6733</v>
      </c>
      <c r="B599" s="34" t="s">
        <v>765</v>
      </c>
      <c r="C599" t="s">
        <v>6494</v>
      </c>
      <c r="D599" s="46">
        <v>45539.64916666667</v>
      </c>
      <c r="E599" s="46">
        <v>45552.64916666667</v>
      </c>
      <c r="F599" s="27">
        <v>42589.11</v>
      </c>
      <c r="G599" s="34">
        <v>1</v>
      </c>
      <c r="H599" s="34">
        <v>1</v>
      </c>
      <c r="I599" t="s">
        <v>7038</v>
      </c>
      <c r="J599">
        <v>10</v>
      </c>
      <c r="Q599">
        <v>82.872534977870316</v>
      </c>
    </row>
    <row r="600" spans="1:17" x14ac:dyDescent="0.3">
      <c r="A600" s="34" t="s">
        <v>6734</v>
      </c>
      <c r="B600" s="34" t="s">
        <v>765</v>
      </c>
      <c r="C600" t="s">
        <v>6494</v>
      </c>
      <c r="D600" s="46">
        <v>45537.678206018521</v>
      </c>
      <c r="E600" s="46">
        <v>45552.678206018521</v>
      </c>
      <c r="F600" s="27">
        <v>42589.11</v>
      </c>
      <c r="G600" s="34">
        <v>1</v>
      </c>
      <c r="H600" s="34">
        <v>1</v>
      </c>
      <c r="I600" t="s">
        <v>7038</v>
      </c>
      <c r="J600">
        <v>10</v>
      </c>
      <c r="Q600">
        <v>82.838312781996905</v>
      </c>
    </row>
    <row r="601" spans="1:17" x14ac:dyDescent="0.3">
      <c r="A601" s="34" t="s">
        <v>6735</v>
      </c>
      <c r="B601" s="34" t="s">
        <v>765</v>
      </c>
      <c r="C601" t="s">
        <v>6494</v>
      </c>
      <c r="D601" s="46">
        <v>45536.682928240742</v>
      </c>
      <c r="E601" s="46">
        <v>45552.682928240742</v>
      </c>
      <c r="F601" s="27">
        <v>42589.11</v>
      </c>
      <c r="G601" s="34">
        <v>1</v>
      </c>
      <c r="H601" s="34">
        <v>1</v>
      </c>
      <c r="I601" t="s">
        <v>7038</v>
      </c>
      <c r="J601">
        <v>10</v>
      </c>
      <c r="Q601">
        <v>82.904905901520095</v>
      </c>
    </row>
    <row r="602" spans="1:17" x14ac:dyDescent="0.3">
      <c r="A602" s="34" t="s">
        <v>6736</v>
      </c>
      <c r="B602" s="34" t="s">
        <v>765</v>
      </c>
      <c r="C602" t="s">
        <v>6448</v>
      </c>
      <c r="D602" s="46">
        <v>45541.684340277781</v>
      </c>
      <c r="E602" s="46">
        <v>45552.684340277781</v>
      </c>
      <c r="F602" s="27">
        <v>42589.11</v>
      </c>
      <c r="G602" s="34">
        <v>1</v>
      </c>
      <c r="H602" s="34">
        <v>1</v>
      </c>
      <c r="I602" t="s">
        <v>7038</v>
      </c>
      <c r="J602">
        <v>8</v>
      </c>
      <c r="Q602">
        <v>6.1628319494252644</v>
      </c>
    </row>
    <row r="603" spans="1:17" x14ac:dyDescent="0.3">
      <c r="A603" s="34" t="s">
        <v>6737</v>
      </c>
      <c r="B603" s="34" t="s">
        <v>765</v>
      </c>
      <c r="C603" t="s">
        <v>6448</v>
      </c>
      <c r="D603" s="46">
        <v>45561.656666666669</v>
      </c>
      <c r="E603" s="46">
        <v>45575.656666666669</v>
      </c>
      <c r="F603" s="27">
        <v>42589.11</v>
      </c>
      <c r="G603" s="34">
        <v>1</v>
      </c>
      <c r="H603" s="34">
        <v>1</v>
      </c>
      <c r="I603" t="s">
        <v>7038</v>
      </c>
      <c r="J603">
        <v>8</v>
      </c>
      <c r="Q603">
        <v>6.7316419094809188</v>
      </c>
    </row>
    <row r="604" spans="1:17" x14ac:dyDescent="0.3">
      <c r="A604" s="34" t="s">
        <v>6738</v>
      </c>
      <c r="B604" s="34" t="s">
        <v>765</v>
      </c>
      <c r="C604" t="s">
        <v>6448</v>
      </c>
      <c r="D604" s="46">
        <v>45588.603009259263</v>
      </c>
      <c r="E604" s="46">
        <v>45601.603009259263</v>
      </c>
      <c r="F604" s="27">
        <v>42589.11</v>
      </c>
      <c r="G604" s="34">
        <v>1</v>
      </c>
      <c r="H604" s="34">
        <v>1</v>
      </c>
      <c r="I604" t="s">
        <v>7038</v>
      </c>
      <c r="J604">
        <v>8</v>
      </c>
      <c r="Q604">
        <v>9.7953390552030566</v>
      </c>
    </row>
    <row r="605" spans="1:17" x14ac:dyDescent="0.3">
      <c r="A605" s="34" t="s">
        <v>6739</v>
      </c>
      <c r="B605" s="34" t="s">
        <v>765</v>
      </c>
      <c r="C605" t="s">
        <v>6448</v>
      </c>
      <c r="D605" s="46">
        <v>45539.687071759261</v>
      </c>
      <c r="E605" s="46">
        <v>45552.687071759261</v>
      </c>
      <c r="F605" s="27">
        <v>42589.11</v>
      </c>
      <c r="G605" s="34">
        <v>1</v>
      </c>
      <c r="H605" s="34">
        <v>1</v>
      </c>
      <c r="I605" t="s">
        <v>7038</v>
      </c>
      <c r="J605">
        <v>8</v>
      </c>
      <c r="Q605">
        <v>10.621015881643322</v>
      </c>
    </row>
    <row r="606" spans="1:17" x14ac:dyDescent="0.3">
      <c r="A606" s="34" t="s">
        <v>6740</v>
      </c>
      <c r="B606" s="34" t="s">
        <v>765</v>
      </c>
      <c r="C606" t="s">
        <v>6448</v>
      </c>
      <c r="D606" s="46">
        <v>45592.600659722222</v>
      </c>
      <c r="E606" s="46">
        <v>45607.600659722222</v>
      </c>
      <c r="F606" s="27">
        <v>42589.11</v>
      </c>
      <c r="G606" s="34">
        <v>1</v>
      </c>
      <c r="H606" s="34">
        <v>1</v>
      </c>
      <c r="I606" t="s">
        <v>7038</v>
      </c>
      <c r="J606">
        <v>8</v>
      </c>
      <c r="Q606">
        <v>6.9504927382075365</v>
      </c>
    </row>
    <row r="607" spans="1:17" x14ac:dyDescent="0.3">
      <c r="A607" s="34" t="s">
        <v>6741</v>
      </c>
      <c r="B607" s="34" t="s">
        <v>765</v>
      </c>
      <c r="C607" t="s">
        <v>6315</v>
      </c>
      <c r="D607" s="46">
        <v>45536.687893518516</v>
      </c>
      <c r="E607" s="46">
        <v>45552.687893518516</v>
      </c>
      <c r="F607" s="27">
        <v>42589.11</v>
      </c>
      <c r="G607" s="34">
        <v>1</v>
      </c>
      <c r="H607" s="34">
        <v>1</v>
      </c>
      <c r="I607" t="s">
        <v>7038</v>
      </c>
      <c r="J607">
        <v>1</v>
      </c>
      <c r="Q607">
        <v>50.420681910260008</v>
      </c>
    </row>
    <row r="608" spans="1:17" x14ac:dyDescent="0.3">
      <c r="A608" s="34" t="s">
        <v>6742</v>
      </c>
      <c r="B608" s="34" t="s">
        <v>765</v>
      </c>
      <c r="C608" t="s">
        <v>6315</v>
      </c>
      <c r="D608" s="46">
        <v>45541.688668981478</v>
      </c>
      <c r="E608" s="46">
        <v>45552.688668981478</v>
      </c>
      <c r="F608" s="27">
        <v>42589.11</v>
      </c>
      <c r="G608" s="34">
        <v>1</v>
      </c>
      <c r="H608" s="34">
        <v>1</v>
      </c>
      <c r="I608" t="s">
        <v>7038</v>
      </c>
      <c r="J608">
        <v>1</v>
      </c>
      <c r="Q608">
        <v>53.199326560871853</v>
      </c>
    </row>
    <row r="609" spans="1:17" x14ac:dyDescent="0.3">
      <c r="A609" s="34" t="s">
        <v>6743</v>
      </c>
      <c r="B609" s="34" t="s">
        <v>765</v>
      </c>
      <c r="C609" t="s">
        <v>6494</v>
      </c>
      <c r="D609" s="46">
        <v>45538.69085648148</v>
      </c>
      <c r="E609" s="46">
        <v>45552.69085648148</v>
      </c>
      <c r="F609" s="27">
        <v>42589.11</v>
      </c>
      <c r="G609" s="34">
        <v>1</v>
      </c>
      <c r="H609" s="34">
        <v>1</v>
      </c>
      <c r="I609" t="s">
        <v>7038</v>
      </c>
      <c r="J609">
        <v>10</v>
      </c>
      <c r="Q609">
        <v>46.080224076532211</v>
      </c>
    </row>
    <row r="610" spans="1:17" x14ac:dyDescent="0.3">
      <c r="A610" s="34" t="s">
        <v>6744</v>
      </c>
      <c r="B610" s="34" t="s">
        <v>765</v>
      </c>
      <c r="C610" t="s">
        <v>6448</v>
      </c>
      <c r="D610" s="46">
        <v>45539.692430555559</v>
      </c>
      <c r="E610" s="46">
        <v>45552.692430555559</v>
      </c>
      <c r="F610" s="27">
        <v>42589.11</v>
      </c>
      <c r="G610" s="34">
        <v>1</v>
      </c>
      <c r="H610" s="34">
        <v>1</v>
      </c>
      <c r="I610" t="s">
        <v>7038</v>
      </c>
      <c r="J610">
        <v>8</v>
      </c>
      <c r="Q610">
        <v>5.8254718891785355</v>
      </c>
    </row>
    <row r="611" spans="1:17" x14ac:dyDescent="0.3">
      <c r="A611" s="34" t="s">
        <v>6745</v>
      </c>
      <c r="B611" s="34" t="s">
        <v>765</v>
      </c>
      <c r="C611" t="s">
        <v>6448</v>
      </c>
      <c r="D611" s="46">
        <v>45537.693229166667</v>
      </c>
      <c r="E611" s="46">
        <v>45552.693229166667</v>
      </c>
      <c r="F611" s="27">
        <v>42589.11</v>
      </c>
      <c r="G611" s="34">
        <v>1</v>
      </c>
      <c r="H611" s="34">
        <v>1</v>
      </c>
      <c r="I611" t="s">
        <v>7038</v>
      </c>
      <c r="J611">
        <v>8</v>
      </c>
      <c r="Q611">
        <v>5.729534151544196</v>
      </c>
    </row>
    <row r="612" spans="1:17" x14ac:dyDescent="0.3">
      <c r="A612" s="34" t="s">
        <v>6746</v>
      </c>
      <c r="B612" s="34" t="s">
        <v>765</v>
      </c>
      <c r="C612" t="s">
        <v>6448</v>
      </c>
      <c r="D612" s="46">
        <v>45581.692465277774</v>
      </c>
      <c r="E612" s="46">
        <v>45597.692465277774</v>
      </c>
      <c r="F612" s="27">
        <v>42589.11</v>
      </c>
      <c r="G612" s="34">
        <v>1</v>
      </c>
      <c r="H612" s="34">
        <v>1</v>
      </c>
      <c r="I612" t="s">
        <v>7038</v>
      </c>
      <c r="J612">
        <v>8</v>
      </c>
      <c r="Q612">
        <v>6.3474728071853077</v>
      </c>
    </row>
    <row r="613" spans="1:17" x14ac:dyDescent="0.3">
      <c r="A613" s="34" t="s">
        <v>6747</v>
      </c>
      <c r="B613" s="34" t="s">
        <v>765</v>
      </c>
      <c r="C613" t="s">
        <v>6448</v>
      </c>
      <c r="D613" s="46">
        <v>45590.601666666669</v>
      </c>
      <c r="E613" s="46">
        <v>45601.601666666669</v>
      </c>
      <c r="F613" s="27">
        <v>42589.11</v>
      </c>
      <c r="G613" s="34">
        <v>1</v>
      </c>
      <c r="H613" s="34">
        <v>1</v>
      </c>
      <c r="I613" t="s">
        <v>7038</v>
      </c>
      <c r="J613">
        <v>8</v>
      </c>
      <c r="Q613">
        <v>6.3528517736268544</v>
      </c>
    </row>
    <row r="614" spans="1:17" x14ac:dyDescent="0.3">
      <c r="A614" s="34" t="s">
        <v>6748</v>
      </c>
      <c r="B614" s="34" t="s">
        <v>765</v>
      </c>
      <c r="C614" t="s">
        <v>6494</v>
      </c>
      <c r="D614" s="46">
        <v>45538.691655092596</v>
      </c>
      <c r="E614" s="46">
        <v>45552.691655092596</v>
      </c>
      <c r="F614" s="27">
        <v>42589.11</v>
      </c>
      <c r="G614" s="34">
        <v>1</v>
      </c>
      <c r="H614" s="34">
        <v>1</v>
      </c>
      <c r="I614" t="s">
        <v>7038</v>
      </c>
      <c r="J614">
        <v>10</v>
      </c>
      <c r="Q614">
        <v>61.096190529574422</v>
      </c>
    </row>
    <row r="615" spans="1:17" x14ac:dyDescent="0.3">
      <c r="A615" s="34" t="s">
        <v>6749</v>
      </c>
      <c r="B615" s="34" t="s">
        <v>765</v>
      </c>
      <c r="C615" t="s">
        <v>6494</v>
      </c>
      <c r="D615" s="46">
        <v>45539.694004629629</v>
      </c>
      <c r="E615" s="46">
        <v>45552.694004629629</v>
      </c>
      <c r="F615" s="27">
        <v>42589.11</v>
      </c>
      <c r="G615" s="34">
        <v>1</v>
      </c>
      <c r="H615" s="34">
        <v>1</v>
      </c>
      <c r="I615" t="s">
        <v>7038</v>
      </c>
      <c r="J615">
        <v>10</v>
      </c>
      <c r="Q615">
        <v>48.502476225054387</v>
      </c>
    </row>
    <row r="616" spans="1:17" x14ac:dyDescent="0.3">
      <c r="A616" s="34" t="s">
        <v>6750</v>
      </c>
      <c r="B616" s="34" t="s">
        <v>765</v>
      </c>
      <c r="C616" t="s">
        <v>6494</v>
      </c>
      <c r="D616" s="46">
        <v>45539.694780092592</v>
      </c>
      <c r="E616" s="46">
        <v>45552.694780092592</v>
      </c>
      <c r="F616" s="27">
        <v>42589.11</v>
      </c>
      <c r="G616" s="34">
        <v>1</v>
      </c>
      <c r="H616" s="34">
        <v>1</v>
      </c>
      <c r="I616" t="s">
        <v>7038</v>
      </c>
      <c r="J616">
        <v>10</v>
      </c>
      <c r="Q616">
        <v>74.808307298337766</v>
      </c>
    </row>
    <row r="617" spans="1:17" x14ac:dyDescent="0.3">
      <c r="A617" s="34" t="s">
        <v>6751</v>
      </c>
      <c r="B617" s="34" t="s">
        <v>765</v>
      </c>
      <c r="C617" t="s">
        <v>6494</v>
      </c>
      <c r="D617" s="46">
        <v>45561.391145833331</v>
      </c>
      <c r="E617" s="46">
        <v>45576.391145833331</v>
      </c>
      <c r="F617" s="27">
        <v>42589.11</v>
      </c>
      <c r="G617" s="34">
        <v>1</v>
      </c>
      <c r="H617" s="34">
        <v>1</v>
      </c>
      <c r="I617" t="s">
        <v>7038</v>
      </c>
      <c r="J617">
        <v>10</v>
      </c>
      <c r="Q617">
        <v>74.833885813318219</v>
      </c>
    </row>
    <row r="618" spans="1:17" x14ac:dyDescent="0.3">
      <c r="A618" s="34" t="s">
        <v>6752</v>
      </c>
      <c r="B618" s="34" t="s">
        <v>765</v>
      </c>
      <c r="C618" t="s">
        <v>6448</v>
      </c>
      <c r="D618" s="46">
        <v>45536.695555555554</v>
      </c>
      <c r="E618" s="46">
        <v>45552.695555555554</v>
      </c>
      <c r="F618" s="27">
        <v>42589.11</v>
      </c>
      <c r="G618" s="34">
        <v>1</v>
      </c>
      <c r="H618" s="34">
        <v>1</v>
      </c>
      <c r="I618" t="s">
        <v>7038</v>
      </c>
      <c r="J618">
        <v>8</v>
      </c>
      <c r="Q618">
        <v>22.776953381182992</v>
      </c>
    </row>
    <row r="619" spans="1:17" x14ac:dyDescent="0.3">
      <c r="A619" s="34" t="s">
        <v>6753</v>
      </c>
      <c r="B619" s="34" t="s">
        <v>765</v>
      </c>
      <c r="C619" t="s">
        <v>6448</v>
      </c>
      <c r="D619" s="46">
        <v>45541.700937499998</v>
      </c>
      <c r="E619" s="46">
        <v>45552.700937499998</v>
      </c>
      <c r="F619" s="27">
        <v>42589.11</v>
      </c>
      <c r="G619" s="34">
        <v>1</v>
      </c>
      <c r="H619" s="34">
        <v>1</v>
      </c>
      <c r="I619" t="s">
        <v>7038</v>
      </c>
      <c r="J619">
        <v>8</v>
      </c>
      <c r="Q619">
        <v>22.8508166085455</v>
      </c>
    </row>
    <row r="620" spans="1:17" x14ac:dyDescent="0.3">
      <c r="A620" s="34" t="s">
        <v>6754</v>
      </c>
      <c r="B620" s="34" t="s">
        <v>765</v>
      </c>
      <c r="C620" t="s">
        <v>6448</v>
      </c>
      <c r="D620" s="46">
        <v>45538.70171296296</v>
      </c>
      <c r="E620" s="46">
        <v>45552.70171296296</v>
      </c>
      <c r="F620" s="27">
        <v>42589.11</v>
      </c>
      <c r="G620" s="34">
        <v>1</v>
      </c>
      <c r="H620" s="34">
        <v>1</v>
      </c>
      <c r="I620" t="s">
        <v>7038</v>
      </c>
      <c r="J620">
        <v>8</v>
      </c>
      <c r="Q620">
        <v>13.149639745413777</v>
      </c>
    </row>
    <row r="621" spans="1:17" x14ac:dyDescent="0.3">
      <c r="A621" s="34" t="s">
        <v>6755</v>
      </c>
      <c r="B621" s="34" t="s">
        <v>765</v>
      </c>
      <c r="C621" t="s">
        <v>6448</v>
      </c>
      <c r="D621" s="46">
        <v>45539.704895833333</v>
      </c>
      <c r="E621" s="46">
        <v>45552.704895833333</v>
      </c>
      <c r="F621" s="27">
        <v>42589.11</v>
      </c>
      <c r="G621" s="34">
        <v>1</v>
      </c>
      <c r="H621" s="34">
        <v>1</v>
      </c>
      <c r="I621" t="s">
        <v>7038</v>
      </c>
      <c r="J621">
        <v>8</v>
      </c>
      <c r="Q621">
        <v>22.963246961774452</v>
      </c>
    </row>
    <row r="622" spans="1:17" x14ac:dyDescent="0.3">
      <c r="A622" s="34" t="s">
        <v>6756</v>
      </c>
      <c r="B622" s="34" t="s">
        <v>765</v>
      </c>
      <c r="C622" t="s">
        <v>6448</v>
      </c>
      <c r="D622" s="46">
        <v>45537.764282407406</v>
      </c>
      <c r="E622" s="46">
        <v>45552.764282407406</v>
      </c>
      <c r="F622" s="27">
        <v>42589.11</v>
      </c>
      <c r="G622" s="34">
        <v>1</v>
      </c>
      <c r="H622" s="34">
        <v>1</v>
      </c>
      <c r="I622" t="s">
        <v>7038</v>
      </c>
      <c r="J622">
        <v>8</v>
      </c>
      <c r="Q622">
        <v>12.602737160108406</v>
      </c>
    </row>
    <row r="623" spans="1:17" x14ac:dyDescent="0.3">
      <c r="A623" s="34" t="s">
        <v>6757</v>
      </c>
      <c r="B623" s="34" t="s">
        <v>765</v>
      </c>
      <c r="C623" t="s">
        <v>6494</v>
      </c>
      <c r="D623" s="46">
        <v>45536.708148148151</v>
      </c>
      <c r="E623" s="46">
        <v>45552.708148148151</v>
      </c>
      <c r="F623" s="27">
        <v>42589.11</v>
      </c>
      <c r="G623" s="34">
        <v>1</v>
      </c>
      <c r="H623" s="34">
        <v>1</v>
      </c>
      <c r="I623" t="s">
        <v>7038</v>
      </c>
      <c r="J623">
        <v>10</v>
      </c>
      <c r="Q623">
        <v>82.700034868896736</v>
      </c>
    </row>
    <row r="624" spans="1:17" x14ac:dyDescent="0.3">
      <c r="A624" s="34" t="s">
        <v>6758</v>
      </c>
      <c r="B624" s="34" t="s">
        <v>765</v>
      </c>
      <c r="C624" t="s">
        <v>6494</v>
      </c>
      <c r="D624" s="46">
        <v>45541.710706018515</v>
      </c>
      <c r="E624" s="46">
        <v>45552.710706018515</v>
      </c>
      <c r="F624" s="27">
        <v>42589.11</v>
      </c>
      <c r="G624" s="34">
        <v>1</v>
      </c>
      <c r="H624" s="34">
        <v>1</v>
      </c>
      <c r="I624" t="s">
        <v>7038</v>
      </c>
      <c r="J624">
        <v>10</v>
      </c>
      <c r="Q624">
        <v>61.990754390875999</v>
      </c>
    </row>
    <row r="625" spans="1:17" x14ac:dyDescent="0.3">
      <c r="A625" s="34" t="s">
        <v>6759</v>
      </c>
      <c r="B625" s="34" t="s">
        <v>765</v>
      </c>
      <c r="C625" t="s">
        <v>6339</v>
      </c>
      <c r="D625" s="46">
        <v>45538.715520833335</v>
      </c>
      <c r="E625" s="46">
        <v>45552.715520833335</v>
      </c>
      <c r="F625" s="27">
        <v>42589.11</v>
      </c>
      <c r="G625" s="34">
        <v>1</v>
      </c>
      <c r="H625" s="34">
        <v>1</v>
      </c>
      <c r="I625" t="s">
        <v>7038</v>
      </c>
      <c r="J625">
        <v>3</v>
      </c>
      <c r="Q625">
        <v>48.241897280180609</v>
      </c>
    </row>
    <row r="626" spans="1:17" x14ac:dyDescent="0.3">
      <c r="A626" s="34" t="s">
        <v>6760</v>
      </c>
      <c r="B626" s="34" t="s">
        <v>765</v>
      </c>
      <c r="C626" t="s">
        <v>6448</v>
      </c>
      <c r="D626" s="46">
        <v>45539.721759259257</v>
      </c>
      <c r="E626" s="46">
        <v>45552.721759259257</v>
      </c>
      <c r="F626" s="27">
        <v>42589.11</v>
      </c>
      <c r="G626" s="34">
        <v>1</v>
      </c>
      <c r="H626" s="34">
        <v>1</v>
      </c>
      <c r="I626" t="s">
        <v>7038</v>
      </c>
      <c r="J626">
        <v>8</v>
      </c>
      <c r="Q626">
        <v>22.787840741172381</v>
      </c>
    </row>
    <row r="627" spans="1:17" x14ac:dyDescent="0.3">
      <c r="A627" s="34" t="s">
        <v>6761</v>
      </c>
      <c r="B627" s="34" t="s">
        <v>765</v>
      </c>
      <c r="C627" t="s">
        <v>6448</v>
      </c>
      <c r="D627" s="46">
        <v>45537.726631944446</v>
      </c>
      <c r="E627" s="46">
        <v>45552.726631944446</v>
      </c>
      <c r="F627" s="27">
        <v>42589.11</v>
      </c>
      <c r="G627" s="34">
        <v>1</v>
      </c>
      <c r="H627" s="34">
        <v>1</v>
      </c>
      <c r="I627" t="s">
        <v>7038</v>
      </c>
      <c r="J627">
        <v>8</v>
      </c>
      <c r="Q627">
        <v>29.626819108538321</v>
      </c>
    </row>
    <row r="628" spans="1:17" x14ac:dyDescent="0.3">
      <c r="A628" s="34" t="s">
        <v>6762</v>
      </c>
      <c r="B628" s="34" t="s">
        <v>765</v>
      </c>
      <c r="C628" t="s">
        <v>6494</v>
      </c>
      <c r="D628" s="46">
        <v>45536.727418981478</v>
      </c>
      <c r="E628" s="46">
        <v>45552.727418981478</v>
      </c>
      <c r="F628" s="27">
        <v>42589.11</v>
      </c>
      <c r="G628" s="34">
        <v>1</v>
      </c>
      <c r="H628" s="34">
        <v>1</v>
      </c>
      <c r="I628" t="s">
        <v>7038</v>
      </c>
      <c r="J628">
        <v>10</v>
      </c>
      <c r="Q628">
        <v>57.300515777077166</v>
      </c>
    </row>
    <row r="629" spans="1:17" x14ac:dyDescent="0.3">
      <c r="A629" s="34" t="s">
        <v>6763</v>
      </c>
      <c r="B629" s="34" t="s">
        <v>765</v>
      </c>
      <c r="C629" t="s">
        <v>6448</v>
      </c>
      <c r="D629" s="46">
        <v>45541.728900462964</v>
      </c>
      <c r="E629" s="46">
        <v>45552.728900462964</v>
      </c>
      <c r="F629" s="27">
        <v>42589.11</v>
      </c>
      <c r="G629" s="34">
        <v>1</v>
      </c>
      <c r="H629" s="34">
        <v>1</v>
      </c>
      <c r="I629" t="s">
        <v>7038</v>
      </c>
      <c r="J629">
        <v>8</v>
      </c>
      <c r="Q629">
        <v>4.9115256366880331</v>
      </c>
    </row>
    <row r="630" spans="1:17" x14ac:dyDescent="0.3">
      <c r="A630" s="34" t="s">
        <v>6764</v>
      </c>
      <c r="B630" s="34" t="s">
        <v>765</v>
      </c>
      <c r="C630" t="s">
        <v>6448</v>
      </c>
      <c r="D630" s="46">
        <v>45562.391921296294</v>
      </c>
      <c r="E630" s="46">
        <v>45576.391921296294</v>
      </c>
      <c r="F630" s="27">
        <v>42589.11</v>
      </c>
      <c r="G630" s="34">
        <v>1</v>
      </c>
      <c r="H630" s="34">
        <v>1</v>
      </c>
      <c r="I630" t="s">
        <v>7038</v>
      </c>
      <c r="J630">
        <v>8</v>
      </c>
      <c r="Q630">
        <v>5.4213848573810184</v>
      </c>
    </row>
    <row r="631" spans="1:17" x14ac:dyDescent="0.3">
      <c r="A631" s="34" t="s">
        <v>6765</v>
      </c>
      <c r="B631" s="34" t="s">
        <v>765</v>
      </c>
      <c r="C631" t="s">
        <v>6448</v>
      </c>
      <c r="D631" s="46">
        <v>45563.392696759256</v>
      </c>
      <c r="E631" s="46">
        <v>45576.392696759256</v>
      </c>
      <c r="F631" s="27">
        <v>42589.11</v>
      </c>
      <c r="G631" s="34">
        <v>1</v>
      </c>
      <c r="H631" s="34">
        <v>1</v>
      </c>
      <c r="I631" t="s">
        <v>7038</v>
      </c>
      <c r="J631">
        <v>8</v>
      </c>
      <c r="Q631">
        <v>13.233844705084405</v>
      </c>
    </row>
    <row r="632" spans="1:17" x14ac:dyDescent="0.3">
      <c r="A632" s="34" t="s">
        <v>6766</v>
      </c>
      <c r="B632" s="34" t="s">
        <v>765</v>
      </c>
      <c r="C632" t="s">
        <v>6464</v>
      </c>
      <c r="D632" s="46">
        <v>45539.729699074072</v>
      </c>
      <c r="E632" s="46">
        <v>45552.729699074072</v>
      </c>
      <c r="F632" s="27">
        <v>42589.11</v>
      </c>
      <c r="G632" s="34">
        <v>1</v>
      </c>
      <c r="H632" s="34">
        <v>1</v>
      </c>
      <c r="I632" t="s">
        <v>7038</v>
      </c>
      <c r="J632">
        <v>23</v>
      </c>
      <c r="Q632">
        <v>26.995008965828418</v>
      </c>
    </row>
    <row r="633" spans="1:17" x14ac:dyDescent="0.3">
      <c r="A633" s="34" t="s">
        <v>6767</v>
      </c>
      <c r="B633" s="34" t="s">
        <v>765</v>
      </c>
      <c r="C633" t="s">
        <v>6494</v>
      </c>
      <c r="D633" s="46">
        <v>45537.730497685188</v>
      </c>
      <c r="E633" s="46">
        <v>45552.730497685188</v>
      </c>
      <c r="F633" s="27">
        <v>42589.11</v>
      </c>
      <c r="G633" s="34">
        <v>1</v>
      </c>
      <c r="H633" s="34">
        <v>1</v>
      </c>
      <c r="I633" t="s">
        <v>7038</v>
      </c>
      <c r="J633">
        <v>10</v>
      </c>
      <c r="Q633">
        <v>72.905808636608967</v>
      </c>
    </row>
    <row r="634" spans="1:17" x14ac:dyDescent="0.3">
      <c r="A634" s="34" t="s">
        <v>6768</v>
      </c>
      <c r="B634" s="34" t="s">
        <v>765</v>
      </c>
      <c r="C634" t="s">
        <v>6513</v>
      </c>
      <c r="D634" s="46">
        <v>45536.731296296297</v>
      </c>
      <c r="E634" s="46">
        <v>45552.731296296297</v>
      </c>
      <c r="F634" s="27">
        <v>42589.11</v>
      </c>
      <c r="G634" s="34">
        <v>1</v>
      </c>
      <c r="H634" s="34">
        <v>1</v>
      </c>
      <c r="I634" t="s">
        <v>7038</v>
      </c>
      <c r="J634">
        <v>12</v>
      </c>
      <c r="Q634">
        <v>34.493089510473752</v>
      </c>
    </row>
    <row r="635" spans="1:17" x14ac:dyDescent="0.3">
      <c r="A635" s="34" t="s">
        <v>6769</v>
      </c>
      <c r="B635" s="34" t="s">
        <v>765</v>
      </c>
      <c r="C635" t="s">
        <v>6513</v>
      </c>
      <c r="D635" s="46">
        <v>45541.732094907406</v>
      </c>
      <c r="E635" s="46">
        <v>45552.732094907406</v>
      </c>
      <c r="F635" s="27">
        <v>42589.11</v>
      </c>
      <c r="G635" s="34">
        <v>1</v>
      </c>
      <c r="H635" s="34">
        <v>1</v>
      </c>
      <c r="I635" t="s">
        <v>7038</v>
      </c>
      <c r="J635">
        <v>12</v>
      </c>
      <c r="Q635">
        <v>40.371054288264808</v>
      </c>
    </row>
    <row r="636" spans="1:17" x14ac:dyDescent="0.3">
      <c r="A636" s="34" t="s">
        <v>6770</v>
      </c>
      <c r="B636" s="34" t="s">
        <v>765</v>
      </c>
      <c r="C636" t="s">
        <v>6448</v>
      </c>
      <c r="D636" s="46">
        <v>45538.732905092591</v>
      </c>
      <c r="E636" s="46">
        <v>45552.732905092591</v>
      </c>
      <c r="F636" s="27">
        <v>42589.11</v>
      </c>
      <c r="G636" s="34">
        <v>1</v>
      </c>
      <c r="H636" s="34">
        <v>1</v>
      </c>
      <c r="I636" t="s">
        <v>7038</v>
      </c>
      <c r="J636">
        <v>8</v>
      </c>
      <c r="Q636">
        <v>21.574689730049151</v>
      </c>
    </row>
    <row r="637" spans="1:17" x14ac:dyDescent="0.3">
      <c r="A637" s="34" t="s">
        <v>6771</v>
      </c>
      <c r="B637" s="34" t="s">
        <v>765</v>
      </c>
      <c r="C637" t="s">
        <v>6448</v>
      </c>
      <c r="D637" s="46">
        <v>45539.733715277776</v>
      </c>
      <c r="E637" s="46">
        <v>45552.733715277776</v>
      </c>
      <c r="F637" s="27">
        <v>42589.11</v>
      </c>
      <c r="G637" s="34">
        <v>1</v>
      </c>
      <c r="H637" s="34">
        <v>1</v>
      </c>
      <c r="I637" t="s">
        <v>7038</v>
      </c>
      <c r="J637">
        <v>8</v>
      </c>
      <c r="Q637">
        <v>21.002263459279131</v>
      </c>
    </row>
    <row r="638" spans="1:17" x14ac:dyDescent="0.3">
      <c r="A638" s="34" t="s">
        <v>6772</v>
      </c>
      <c r="B638" s="34" t="s">
        <v>765</v>
      </c>
      <c r="C638" t="s">
        <v>6512</v>
      </c>
      <c r="D638" s="46">
        <v>45537.734548611108</v>
      </c>
      <c r="E638" s="46">
        <v>45552.734548611108</v>
      </c>
      <c r="F638" s="27">
        <v>42589.11</v>
      </c>
      <c r="G638" s="34">
        <v>1</v>
      </c>
      <c r="H638" s="34">
        <v>1</v>
      </c>
      <c r="I638" t="s">
        <v>7038</v>
      </c>
      <c r="J638">
        <v>11</v>
      </c>
      <c r="Q638">
        <v>23.610757518476486</v>
      </c>
    </row>
    <row r="639" spans="1:17" x14ac:dyDescent="0.3">
      <c r="A639" s="34" t="s">
        <v>6773</v>
      </c>
      <c r="B639" s="34" t="s">
        <v>765</v>
      </c>
      <c r="C639" t="s">
        <v>6494</v>
      </c>
      <c r="D639" s="46">
        <v>45536.736145833333</v>
      </c>
      <c r="E639" s="46">
        <v>45552.736145833333</v>
      </c>
      <c r="F639" s="27">
        <v>42589.11</v>
      </c>
      <c r="G639" s="34">
        <v>1</v>
      </c>
      <c r="H639" s="34">
        <v>1</v>
      </c>
      <c r="I639" t="s">
        <v>7038</v>
      </c>
      <c r="J639">
        <v>10</v>
      </c>
      <c r="Q639">
        <v>26.394262544712067</v>
      </c>
    </row>
    <row r="640" spans="1:17" x14ac:dyDescent="0.3">
      <c r="A640" s="34" t="s">
        <v>6774</v>
      </c>
      <c r="B640" s="34" t="s">
        <v>765</v>
      </c>
      <c r="C640" t="s">
        <v>6339</v>
      </c>
      <c r="D640" s="46">
        <v>45547.73510416667</v>
      </c>
      <c r="E640" s="46">
        <v>45558.73510416667</v>
      </c>
      <c r="F640" s="27">
        <v>42589.11</v>
      </c>
      <c r="G640" s="34">
        <v>1</v>
      </c>
      <c r="H640" s="34">
        <v>1</v>
      </c>
      <c r="I640" t="s">
        <v>7038</v>
      </c>
      <c r="J640">
        <v>3</v>
      </c>
      <c r="Q640">
        <v>48.787064994051988</v>
      </c>
    </row>
    <row r="641" spans="1:17" x14ac:dyDescent="0.3">
      <c r="A641" s="34" t="s">
        <v>6775</v>
      </c>
      <c r="B641" s="34" t="s">
        <v>765</v>
      </c>
      <c r="C641" t="s">
        <v>6448</v>
      </c>
      <c r="D641" s="46">
        <v>45538.740451388891</v>
      </c>
      <c r="E641" s="46">
        <v>45552.740451388891</v>
      </c>
      <c r="F641" s="27">
        <v>42589.11</v>
      </c>
      <c r="G641" s="34">
        <v>1</v>
      </c>
      <c r="H641" s="34">
        <v>1</v>
      </c>
      <c r="I641" t="s">
        <v>7038</v>
      </c>
      <c r="J641">
        <v>8</v>
      </c>
      <c r="Q641">
        <v>22.046825490326917</v>
      </c>
    </row>
    <row r="642" spans="1:17" x14ac:dyDescent="0.3">
      <c r="A642" s="34" t="s">
        <v>6776</v>
      </c>
      <c r="B642" s="34" t="s">
        <v>765</v>
      </c>
      <c r="C642" t="s">
        <v>6494</v>
      </c>
      <c r="D642" s="46">
        <v>45539.741249999999</v>
      </c>
      <c r="E642" s="46">
        <v>45552.741249999999</v>
      </c>
      <c r="F642" s="27">
        <v>42589.11</v>
      </c>
      <c r="G642" s="34">
        <v>1</v>
      </c>
      <c r="H642" s="34">
        <v>1</v>
      </c>
      <c r="I642" t="s">
        <v>7038</v>
      </c>
      <c r="J642">
        <v>10</v>
      </c>
      <c r="Q642">
        <v>54.998031664386708</v>
      </c>
    </row>
    <row r="643" spans="1:17" x14ac:dyDescent="0.3">
      <c r="A643" s="34" t="s">
        <v>6777</v>
      </c>
      <c r="B643" s="34" t="s">
        <v>765</v>
      </c>
      <c r="C643" t="s">
        <v>6513</v>
      </c>
      <c r="D643" s="46">
        <v>45539.742048611108</v>
      </c>
      <c r="E643" s="46">
        <v>45552.742048611108</v>
      </c>
      <c r="F643" s="27">
        <v>42589.11</v>
      </c>
      <c r="G643" s="34">
        <v>1</v>
      </c>
      <c r="H643" s="34">
        <v>1</v>
      </c>
      <c r="I643" t="s">
        <v>7038</v>
      </c>
      <c r="J643">
        <v>12</v>
      </c>
      <c r="Q643">
        <v>64.214682540075117</v>
      </c>
    </row>
    <row r="644" spans="1:17" x14ac:dyDescent="0.3">
      <c r="A644" s="34" t="s">
        <v>6778</v>
      </c>
      <c r="B644" s="34" t="s">
        <v>765</v>
      </c>
      <c r="C644" t="s">
        <v>6494</v>
      </c>
      <c r="D644" s="46">
        <v>45537.742847222224</v>
      </c>
      <c r="E644" s="46">
        <v>45552.742847222224</v>
      </c>
      <c r="F644" s="27">
        <v>42589.11</v>
      </c>
      <c r="G644" s="34">
        <v>1</v>
      </c>
      <c r="H644" s="34">
        <v>1</v>
      </c>
      <c r="I644" t="s">
        <v>7038</v>
      </c>
      <c r="J644">
        <v>10</v>
      </c>
      <c r="Q644">
        <v>49.270915970612684</v>
      </c>
    </row>
    <row r="645" spans="1:17" x14ac:dyDescent="0.3">
      <c r="A645" s="34" t="s">
        <v>6779</v>
      </c>
      <c r="B645" s="34" t="s">
        <v>765</v>
      </c>
      <c r="C645" t="s">
        <v>6448</v>
      </c>
      <c r="D645" s="46">
        <v>45564.379537037035</v>
      </c>
      <c r="E645" s="46">
        <v>45580.379537037035</v>
      </c>
      <c r="F645" s="27">
        <v>42589.11</v>
      </c>
      <c r="G645" s="34">
        <v>1</v>
      </c>
      <c r="H645" s="34">
        <v>1</v>
      </c>
      <c r="I645" t="s">
        <v>7038</v>
      </c>
      <c r="J645">
        <v>8</v>
      </c>
      <c r="Q645">
        <v>1.6170546241525658</v>
      </c>
    </row>
    <row r="646" spans="1:17" x14ac:dyDescent="0.3">
      <c r="A646" s="34" t="s">
        <v>6780</v>
      </c>
      <c r="B646" s="34" t="s">
        <v>765</v>
      </c>
      <c r="C646" t="s">
        <v>6512</v>
      </c>
      <c r="D646" s="46">
        <v>45541.743645833332</v>
      </c>
      <c r="E646" s="46">
        <v>45552.743645833332</v>
      </c>
      <c r="F646" s="27">
        <v>42589.11</v>
      </c>
      <c r="G646" s="34">
        <v>1</v>
      </c>
      <c r="H646" s="34">
        <v>1</v>
      </c>
      <c r="I646" t="s">
        <v>7038</v>
      </c>
      <c r="J646">
        <v>11</v>
      </c>
      <c r="Q646">
        <v>22.640443074771721</v>
      </c>
    </row>
    <row r="647" spans="1:17" x14ac:dyDescent="0.3">
      <c r="A647" s="34" t="s">
        <v>6781</v>
      </c>
      <c r="B647" s="34" t="s">
        <v>765</v>
      </c>
      <c r="C647" t="s">
        <v>6494</v>
      </c>
      <c r="D647" s="46">
        <v>45561.70894675926</v>
      </c>
      <c r="E647" s="46">
        <v>45575.70894675926</v>
      </c>
      <c r="F647" s="27">
        <v>42589.11</v>
      </c>
      <c r="G647" s="34">
        <v>1</v>
      </c>
      <c r="H647" s="34">
        <v>1</v>
      </c>
      <c r="I647" t="s">
        <v>7038</v>
      </c>
      <c r="J647">
        <v>10</v>
      </c>
      <c r="Q647">
        <v>57.478037004214741</v>
      </c>
    </row>
    <row r="648" spans="1:17" x14ac:dyDescent="0.3">
      <c r="A648" s="34" t="s">
        <v>6782</v>
      </c>
      <c r="B648" s="34" t="s">
        <v>765</v>
      </c>
      <c r="C648" t="s">
        <v>6339</v>
      </c>
      <c r="D648" s="46">
        <v>45539.744444444441</v>
      </c>
      <c r="E648" s="46">
        <v>45552.744444444441</v>
      </c>
      <c r="F648" s="27">
        <v>42589.11</v>
      </c>
      <c r="G648" s="34">
        <v>1</v>
      </c>
      <c r="H648" s="34">
        <v>1</v>
      </c>
      <c r="I648" t="s">
        <v>7038</v>
      </c>
      <c r="J648">
        <v>3</v>
      </c>
      <c r="Q648">
        <v>49.2314179354156</v>
      </c>
    </row>
    <row r="649" spans="1:17" x14ac:dyDescent="0.3">
      <c r="A649" s="34" t="s">
        <v>6783</v>
      </c>
      <c r="B649" s="34" t="s">
        <v>765</v>
      </c>
      <c r="C649" t="s">
        <v>6494</v>
      </c>
      <c r="D649" s="46">
        <v>45537.745243055557</v>
      </c>
      <c r="E649" s="46">
        <v>45552.745243055557</v>
      </c>
      <c r="F649" s="27">
        <v>42589.11</v>
      </c>
      <c r="G649" s="34">
        <v>1</v>
      </c>
      <c r="H649" s="34">
        <v>1</v>
      </c>
      <c r="I649" t="s">
        <v>7038</v>
      </c>
      <c r="J649">
        <v>10</v>
      </c>
      <c r="Q649">
        <v>61.821976005601996</v>
      </c>
    </row>
    <row r="650" spans="1:17" x14ac:dyDescent="0.3">
      <c r="A650" s="34" t="s">
        <v>6784</v>
      </c>
      <c r="B650" s="34" t="s">
        <v>765</v>
      </c>
      <c r="C650" t="s">
        <v>6513</v>
      </c>
      <c r="D650" s="46">
        <v>45536.746041666665</v>
      </c>
      <c r="E650" s="46">
        <v>45552.746041666665</v>
      </c>
      <c r="F650" s="27">
        <v>42589.11</v>
      </c>
      <c r="G650" s="34">
        <v>1</v>
      </c>
      <c r="H650" s="34">
        <v>1</v>
      </c>
      <c r="I650" t="s">
        <v>7038</v>
      </c>
      <c r="J650">
        <v>12</v>
      </c>
      <c r="Q650">
        <v>15.939233129621778</v>
      </c>
    </row>
    <row r="651" spans="1:17" x14ac:dyDescent="0.3">
      <c r="A651" s="34" t="s">
        <v>6785</v>
      </c>
      <c r="B651" s="34" t="s">
        <v>765</v>
      </c>
      <c r="C651" t="s">
        <v>6513</v>
      </c>
      <c r="D651" s="46">
        <v>45541.74763888889</v>
      </c>
      <c r="E651" s="46">
        <v>45552.74763888889</v>
      </c>
      <c r="F651" s="27">
        <v>42589.11</v>
      </c>
      <c r="G651" s="34">
        <v>1</v>
      </c>
      <c r="H651" s="34">
        <v>1</v>
      </c>
      <c r="I651" t="s">
        <v>7038</v>
      </c>
      <c r="J651">
        <v>12</v>
      </c>
      <c r="Q651">
        <v>16.13766252547207</v>
      </c>
    </row>
    <row r="652" spans="1:17" x14ac:dyDescent="0.3">
      <c r="A652" s="34" t="s">
        <v>6786</v>
      </c>
      <c r="B652" s="34" t="s">
        <v>765</v>
      </c>
      <c r="C652" t="s">
        <v>6513</v>
      </c>
      <c r="D652" s="46">
        <v>45538.748449074075</v>
      </c>
      <c r="E652" s="46">
        <v>45552.748449074075</v>
      </c>
      <c r="F652" s="27">
        <v>42589.11</v>
      </c>
      <c r="G652" s="34">
        <v>1</v>
      </c>
      <c r="H652" s="34">
        <v>1</v>
      </c>
      <c r="I652" t="s">
        <v>7038</v>
      </c>
      <c r="J652">
        <v>12</v>
      </c>
      <c r="Q652">
        <v>15.621847431100573</v>
      </c>
    </row>
    <row r="653" spans="1:17" x14ac:dyDescent="0.3">
      <c r="A653" s="34" t="s">
        <v>6787</v>
      </c>
      <c r="B653" s="34" t="s">
        <v>765</v>
      </c>
      <c r="C653" t="s">
        <v>6494</v>
      </c>
      <c r="D653" s="46">
        <v>45539.746840277781</v>
      </c>
      <c r="E653" s="46">
        <v>45552.746840277781</v>
      </c>
      <c r="F653" s="27">
        <v>42589.11</v>
      </c>
      <c r="G653" s="34">
        <v>1</v>
      </c>
      <c r="H653" s="34">
        <v>1</v>
      </c>
      <c r="I653" t="s">
        <v>7038</v>
      </c>
      <c r="J653">
        <v>10</v>
      </c>
      <c r="Q653">
        <v>45.92629679703326</v>
      </c>
    </row>
    <row r="654" spans="1:17" x14ac:dyDescent="0.3">
      <c r="A654" s="34" t="s">
        <v>6788</v>
      </c>
      <c r="B654" s="34" t="s">
        <v>765</v>
      </c>
      <c r="C654" t="s">
        <v>6494</v>
      </c>
      <c r="D654" s="46">
        <v>45537.749247685184</v>
      </c>
      <c r="E654" s="46">
        <v>45552.749247685184</v>
      </c>
      <c r="F654" s="27">
        <v>42589.11</v>
      </c>
      <c r="G654" s="34">
        <v>1</v>
      </c>
      <c r="H654" s="34">
        <v>1</v>
      </c>
      <c r="I654" t="s">
        <v>7038</v>
      </c>
      <c r="J654">
        <v>10</v>
      </c>
      <c r="Q654">
        <v>42.945321007001574</v>
      </c>
    </row>
    <row r="655" spans="1:17" x14ac:dyDescent="0.3">
      <c r="A655" s="34" t="s">
        <v>6789</v>
      </c>
      <c r="B655" s="34" t="s">
        <v>765</v>
      </c>
      <c r="C655" t="s">
        <v>6339</v>
      </c>
      <c r="D655" s="46">
        <v>45536.750034722223</v>
      </c>
      <c r="E655" s="46">
        <v>45552.750034722223</v>
      </c>
      <c r="F655" s="27">
        <v>42589.11</v>
      </c>
      <c r="G655" s="34">
        <v>1</v>
      </c>
      <c r="H655" s="34">
        <v>1</v>
      </c>
      <c r="I655" t="s">
        <v>7038</v>
      </c>
      <c r="J655">
        <v>3</v>
      </c>
      <c r="Q655">
        <v>48.435414753293486</v>
      </c>
    </row>
    <row r="656" spans="1:17" x14ac:dyDescent="0.3">
      <c r="A656" s="34" t="s">
        <v>6790</v>
      </c>
      <c r="B656" s="34" t="s">
        <v>765</v>
      </c>
      <c r="C656" t="s">
        <v>6513</v>
      </c>
      <c r="D656" s="46">
        <v>45541.750833333332</v>
      </c>
      <c r="E656" s="46">
        <v>45552.750833333332</v>
      </c>
      <c r="F656" s="27">
        <v>42589.11</v>
      </c>
      <c r="G656" s="34">
        <v>1</v>
      </c>
      <c r="H656" s="34">
        <v>1</v>
      </c>
      <c r="I656" t="s">
        <v>7038</v>
      </c>
      <c r="J656">
        <v>12</v>
      </c>
      <c r="Q656">
        <v>19.326755114038082</v>
      </c>
    </row>
    <row r="657" spans="1:17" x14ac:dyDescent="0.3">
      <c r="A657" s="34" t="s">
        <v>6791</v>
      </c>
      <c r="B657" s="34" t="s">
        <v>765</v>
      </c>
      <c r="C657" t="s">
        <v>6513</v>
      </c>
      <c r="D657" s="46">
        <v>45583.41777777778</v>
      </c>
      <c r="E657" s="46">
        <v>45597.41777777778</v>
      </c>
      <c r="F657" s="27">
        <v>42589.11</v>
      </c>
      <c r="G657" s="34">
        <v>1</v>
      </c>
      <c r="H657" s="34">
        <v>1</v>
      </c>
      <c r="I657" t="s">
        <v>7038</v>
      </c>
      <c r="J657">
        <v>12</v>
      </c>
      <c r="Q657">
        <v>19.306526700339933</v>
      </c>
    </row>
    <row r="658" spans="1:17" x14ac:dyDescent="0.3">
      <c r="A658" s="34" t="s">
        <v>6792</v>
      </c>
      <c r="B658" s="34" t="s">
        <v>765</v>
      </c>
      <c r="C658" t="s">
        <v>6464</v>
      </c>
      <c r="D658" s="46">
        <v>45562.709722222222</v>
      </c>
      <c r="E658" s="46">
        <v>45575.709722222222</v>
      </c>
      <c r="F658" s="27">
        <v>42589.11</v>
      </c>
      <c r="G658" s="34">
        <v>1</v>
      </c>
      <c r="H658" s="34">
        <v>1</v>
      </c>
      <c r="I658" t="s">
        <v>7038</v>
      </c>
      <c r="J658">
        <v>23</v>
      </c>
      <c r="Q658">
        <v>26.98016750841138</v>
      </c>
    </row>
    <row r="659" spans="1:17" x14ac:dyDescent="0.3">
      <c r="A659" s="34" t="s">
        <v>6793</v>
      </c>
      <c r="B659" s="34" t="s">
        <v>765</v>
      </c>
      <c r="C659" t="s">
        <v>6464</v>
      </c>
      <c r="D659" s="46">
        <v>45562.710497685184</v>
      </c>
      <c r="E659" s="46">
        <v>45575.710497685184</v>
      </c>
      <c r="F659" s="27">
        <v>42589.11</v>
      </c>
      <c r="G659" s="34">
        <v>1</v>
      </c>
      <c r="H659" s="34">
        <v>1</v>
      </c>
      <c r="I659" t="s">
        <v>7038</v>
      </c>
      <c r="J659">
        <v>23</v>
      </c>
      <c r="Q659">
        <v>27.126929025895269</v>
      </c>
    </row>
    <row r="660" spans="1:17" x14ac:dyDescent="0.3">
      <c r="A660" s="34" t="s">
        <v>6794</v>
      </c>
      <c r="B660" s="34" t="s">
        <v>765</v>
      </c>
      <c r="C660" t="s">
        <v>6464</v>
      </c>
      <c r="D660" s="46">
        <v>45537.751631944448</v>
      </c>
      <c r="E660" s="46">
        <v>45552.751631944448</v>
      </c>
      <c r="F660" s="27">
        <v>42589.11</v>
      </c>
      <c r="G660" s="34">
        <v>1</v>
      </c>
      <c r="H660" s="34">
        <v>1</v>
      </c>
      <c r="I660" t="s">
        <v>7038</v>
      </c>
      <c r="J660">
        <v>23</v>
      </c>
      <c r="Q660">
        <v>27.002427963631753</v>
      </c>
    </row>
    <row r="661" spans="1:17" x14ac:dyDescent="0.3">
      <c r="A661" s="34" t="s">
        <v>6795</v>
      </c>
      <c r="B661" s="34" t="s">
        <v>765</v>
      </c>
      <c r="C661" t="s">
        <v>6494</v>
      </c>
      <c r="D661" s="46">
        <v>45559.711273148147</v>
      </c>
      <c r="E661" s="46">
        <v>45575.711273148147</v>
      </c>
      <c r="F661" s="27">
        <v>42589.11</v>
      </c>
      <c r="G661" s="34">
        <v>1</v>
      </c>
      <c r="H661" s="34">
        <v>1</v>
      </c>
      <c r="I661" t="s">
        <v>7038</v>
      </c>
      <c r="J661">
        <v>10</v>
      </c>
      <c r="Q661">
        <v>46.526812322330706</v>
      </c>
    </row>
    <row r="662" spans="1:17" x14ac:dyDescent="0.3">
      <c r="A662" s="34" t="s">
        <v>6796</v>
      </c>
      <c r="B662" s="34" t="s">
        <v>765</v>
      </c>
      <c r="C662" t="s">
        <v>6513</v>
      </c>
      <c r="D662" s="46">
        <v>45541.752430555556</v>
      </c>
      <c r="E662" s="46">
        <v>45552.752430555556</v>
      </c>
      <c r="F662" s="27">
        <v>42589.11</v>
      </c>
      <c r="G662" s="34">
        <v>1</v>
      </c>
      <c r="H662" s="34">
        <v>1</v>
      </c>
      <c r="I662" t="s">
        <v>7038</v>
      </c>
      <c r="J662">
        <v>12</v>
      </c>
      <c r="Q662">
        <v>63.837140289464479</v>
      </c>
    </row>
    <row r="663" spans="1:17" x14ac:dyDescent="0.3">
      <c r="A663" s="34" t="s">
        <v>6797</v>
      </c>
      <c r="B663" s="34" t="s">
        <v>765</v>
      </c>
      <c r="C663" t="s">
        <v>6513</v>
      </c>
      <c r="D663" s="46">
        <v>45561.657442129632</v>
      </c>
      <c r="E663" s="46">
        <v>45575.657442129632</v>
      </c>
      <c r="F663" s="27">
        <v>42589.11</v>
      </c>
      <c r="G663" s="34">
        <v>1</v>
      </c>
      <c r="H663" s="34">
        <v>1</v>
      </c>
      <c r="I663" t="s">
        <v>7038</v>
      </c>
      <c r="J663">
        <v>12</v>
      </c>
      <c r="Q663">
        <v>68.690160889269052</v>
      </c>
    </row>
    <row r="664" spans="1:17" x14ac:dyDescent="0.3">
      <c r="A664" s="34" t="s">
        <v>6798</v>
      </c>
      <c r="B664" s="34" t="s">
        <v>765</v>
      </c>
      <c r="C664" t="s">
        <v>6494</v>
      </c>
      <c r="D664" s="46">
        <v>45539.753229166665</v>
      </c>
      <c r="E664" s="46">
        <v>45552.753229166665</v>
      </c>
      <c r="F664" s="27">
        <v>42589.11</v>
      </c>
      <c r="G664" s="34">
        <v>1</v>
      </c>
      <c r="H664" s="34">
        <v>1</v>
      </c>
      <c r="I664" t="s">
        <v>7038</v>
      </c>
      <c r="J664">
        <v>10</v>
      </c>
      <c r="Q664">
        <v>54.754317539119739</v>
      </c>
    </row>
    <row r="665" spans="1:17" x14ac:dyDescent="0.3">
      <c r="A665" s="34" t="s">
        <v>6799</v>
      </c>
      <c r="B665" s="34" t="s">
        <v>765</v>
      </c>
      <c r="C665" t="s">
        <v>6315</v>
      </c>
      <c r="D665" s="46">
        <v>45560.658229166664</v>
      </c>
      <c r="E665" s="46">
        <v>45575.658229166664</v>
      </c>
      <c r="F665" s="27">
        <v>42589.11</v>
      </c>
      <c r="G665" s="34">
        <v>1</v>
      </c>
      <c r="H665" s="34">
        <v>1</v>
      </c>
      <c r="I665" t="s">
        <v>7038</v>
      </c>
      <c r="J665">
        <v>1</v>
      </c>
      <c r="Q665">
        <v>52.480212855462561</v>
      </c>
    </row>
    <row r="666" spans="1:17" x14ac:dyDescent="0.3">
      <c r="A666" s="34" t="s">
        <v>6800</v>
      </c>
      <c r="B666" s="34" t="s">
        <v>765</v>
      </c>
      <c r="C666" t="s">
        <v>6494</v>
      </c>
      <c r="D666" s="46">
        <v>45536.754027777781</v>
      </c>
      <c r="E666" s="46">
        <v>45552.754027777781</v>
      </c>
      <c r="F666" s="27">
        <v>42589.11</v>
      </c>
      <c r="G666" s="34">
        <v>1</v>
      </c>
      <c r="H666" s="34">
        <v>1</v>
      </c>
      <c r="I666" t="s">
        <v>7038</v>
      </c>
      <c r="J666">
        <v>10</v>
      </c>
      <c r="Q666">
        <v>65.281577035309525</v>
      </c>
    </row>
    <row r="667" spans="1:17" x14ac:dyDescent="0.3">
      <c r="A667" s="34" t="s">
        <v>6801</v>
      </c>
      <c r="B667" s="34" t="s">
        <v>765</v>
      </c>
      <c r="C667" t="s">
        <v>6494</v>
      </c>
      <c r="D667" s="46">
        <v>45565.393460648149</v>
      </c>
      <c r="E667" s="46">
        <v>45576.393460648149</v>
      </c>
      <c r="F667" s="27">
        <v>42589.11</v>
      </c>
      <c r="G667" s="34">
        <v>1</v>
      </c>
      <c r="H667" s="34">
        <v>1</v>
      </c>
      <c r="I667" t="s">
        <v>7038</v>
      </c>
      <c r="J667">
        <v>10</v>
      </c>
      <c r="Q667">
        <v>35.006303152880406</v>
      </c>
    </row>
    <row r="668" spans="1:17" x14ac:dyDescent="0.3">
      <c r="A668" s="34" t="s">
        <v>6802</v>
      </c>
      <c r="B668" s="34" t="s">
        <v>765</v>
      </c>
      <c r="C668" t="s">
        <v>6494</v>
      </c>
      <c r="D668" s="46">
        <v>45567.361828703702</v>
      </c>
      <c r="E668" s="46">
        <v>45581.361828703702</v>
      </c>
      <c r="F668" s="27">
        <v>42589.11</v>
      </c>
      <c r="G668" s="34">
        <v>1</v>
      </c>
      <c r="H668" s="34">
        <v>1</v>
      </c>
      <c r="I668" t="s">
        <v>7038</v>
      </c>
      <c r="J668">
        <v>10</v>
      </c>
      <c r="Q668">
        <v>86.687329447562988</v>
      </c>
    </row>
    <row r="669" spans="1:17" x14ac:dyDescent="0.3">
      <c r="A669" s="34" t="s">
        <v>6803</v>
      </c>
      <c r="B669" s="34" t="s">
        <v>765</v>
      </c>
      <c r="C669" t="s">
        <v>6494</v>
      </c>
      <c r="D669" s="46">
        <v>45562.659004629626</v>
      </c>
      <c r="E669" s="46">
        <v>45575.659004629626</v>
      </c>
      <c r="F669" s="27">
        <v>42589.11</v>
      </c>
      <c r="G669" s="34">
        <v>1</v>
      </c>
      <c r="H669" s="34">
        <v>1</v>
      </c>
      <c r="I669" t="s">
        <v>7038</v>
      </c>
      <c r="J669">
        <v>10</v>
      </c>
      <c r="Q669">
        <v>86.697559902614444</v>
      </c>
    </row>
    <row r="670" spans="1:17" x14ac:dyDescent="0.3">
      <c r="A670" s="34" t="s">
        <v>6804</v>
      </c>
      <c r="B670" s="34" t="s">
        <v>765</v>
      </c>
      <c r="C670" t="s">
        <v>6494</v>
      </c>
      <c r="D670" s="46">
        <v>45562.712048611109</v>
      </c>
      <c r="E670" s="46">
        <v>45575.712048611109</v>
      </c>
      <c r="F670" s="27">
        <v>42589.11</v>
      </c>
      <c r="G670" s="34">
        <v>1</v>
      </c>
      <c r="H670" s="34">
        <v>1</v>
      </c>
      <c r="I670" t="s">
        <v>7038</v>
      </c>
      <c r="J670">
        <v>10</v>
      </c>
      <c r="Q670">
        <v>86.889908483259831</v>
      </c>
    </row>
    <row r="671" spans="1:17" x14ac:dyDescent="0.3">
      <c r="A671" s="34" t="s">
        <v>6805</v>
      </c>
      <c r="B671" s="34" t="s">
        <v>765</v>
      </c>
      <c r="C671" t="s">
        <v>6494</v>
      </c>
      <c r="D671" s="46">
        <v>45560.712824074071</v>
      </c>
      <c r="E671" s="46">
        <v>45575.712824074071</v>
      </c>
      <c r="F671" s="27">
        <v>42589.11</v>
      </c>
      <c r="G671" s="34">
        <v>1</v>
      </c>
      <c r="H671" s="34">
        <v>1</v>
      </c>
      <c r="I671" t="s">
        <v>7038</v>
      </c>
      <c r="J671">
        <v>10</v>
      </c>
      <c r="Q671">
        <v>86.678392958552735</v>
      </c>
    </row>
    <row r="672" spans="1:17" x14ac:dyDescent="0.3">
      <c r="A672" s="34" t="s">
        <v>6806</v>
      </c>
      <c r="B672" s="34" t="s">
        <v>765</v>
      </c>
      <c r="C672" t="s">
        <v>6494</v>
      </c>
      <c r="D672" s="46">
        <v>45559.713599537034</v>
      </c>
      <c r="E672" s="46">
        <v>45575.713599537034</v>
      </c>
      <c r="F672" s="27">
        <v>42589.11</v>
      </c>
      <c r="G672" s="34">
        <v>1</v>
      </c>
      <c r="H672" s="34">
        <v>1</v>
      </c>
      <c r="I672" t="s">
        <v>7038</v>
      </c>
      <c r="J672">
        <v>10</v>
      </c>
      <c r="Q672">
        <v>86.692283382018402</v>
      </c>
    </row>
    <row r="673" spans="1:17" x14ac:dyDescent="0.3">
      <c r="A673" s="34" t="s">
        <v>6807</v>
      </c>
      <c r="B673" s="34" t="s">
        <v>765</v>
      </c>
      <c r="C673" t="s">
        <v>6407</v>
      </c>
      <c r="D673" s="46">
        <v>45570.362835648149</v>
      </c>
      <c r="E673" s="46">
        <v>45581.362835648149</v>
      </c>
      <c r="F673" s="27">
        <v>42589.11</v>
      </c>
      <c r="G673" s="34">
        <v>1</v>
      </c>
      <c r="H673" s="34">
        <v>1</v>
      </c>
      <c r="I673" t="s">
        <v>7038</v>
      </c>
      <c r="J673">
        <v>20</v>
      </c>
      <c r="Q673">
        <v>20.369327490414687</v>
      </c>
    </row>
    <row r="674" spans="1:17" x14ac:dyDescent="0.3">
      <c r="A674" s="34" t="s">
        <v>6808</v>
      </c>
      <c r="B674" s="34" t="s">
        <v>765</v>
      </c>
      <c r="C674" t="s">
        <v>6440</v>
      </c>
      <c r="D674" s="46">
        <v>45561.659791666665</v>
      </c>
      <c r="E674" s="46">
        <v>45575.659791666665</v>
      </c>
      <c r="F674" s="27">
        <v>42589.11</v>
      </c>
      <c r="G674" s="34">
        <v>1</v>
      </c>
      <c r="H674" s="34">
        <v>1</v>
      </c>
      <c r="I674" t="s">
        <v>7038</v>
      </c>
      <c r="J674">
        <v>21</v>
      </c>
      <c r="Q674">
        <v>74.663767043503739</v>
      </c>
    </row>
    <row r="675" spans="1:17" x14ac:dyDescent="0.3">
      <c r="A675" s="34" t="s">
        <v>6809</v>
      </c>
      <c r="B675" s="34" t="s">
        <v>765</v>
      </c>
      <c r="C675" t="s">
        <v>6440</v>
      </c>
      <c r="D675" s="46">
        <v>45562.660567129627</v>
      </c>
      <c r="E675" s="46">
        <v>45575.660567129627</v>
      </c>
      <c r="F675" s="27">
        <v>42589.11</v>
      </c>
      <c r="G675" s="34">
        <v>1</v>
      </c>
      <c r="H675" s="34">
        <v>1</v>
      </c>
      <c r="I675" t="s">
        <v>7038</v>
      </c>
      <c r="J675">
        <v>21</v>
      </c>
      <c r="Q675">
        <v>74.804798112163581</v>
      </c>
    </row>
    <row r="676" spans="1:17" x14ac:dyDescent="0.3">
      <c r="A676" s="34" t="s">
        <v>6810</v>
      </c>
      <c r="B676" s="34" t="s">
        <v>765</v>
      </c>
      <c r="C676" t="s">
        <v>6440</v>
      </c>
      <c r="D676" s="46">
        <v>45561.394236111111</v>
      </c>
      <c r="E676" s="46">
        <v>45576.394236111111</v>
      </c>
      <c r="F676" s="27">
        <v>42589.11</v>
      </c>
      <c r="G676" s="34">
        <v>1</v>
      </c>
      <c r="H676" s="34">
        <v>1</v>
      </c>
      <c r="I676" t="s">
        <v>7038</v>
      </c>
      <c r="J676">
        <v>21</v>
      </c>
      <c r="Q676">
        <v>74.824945155238154</v>
      </c>
    </row>
    <row r="677" spans="1:17" x14ac:dyDescent="0.3">
      <c r="A677" s="34" t="s">
        <v>6811</v>
      </c>
      <c r="B677" s="34" t="s">
        <v>765</v>
      </c>
      <c r="C677" t="s">
        <v>6440</v>
      </c>
      <c r="D677" s="46">
        <v>45559.66134259259</v>
      </c>
      <c r="E677" s="46">
        <v>45575.66134259259</v>
      </c>
      <c r="F677" s="27">
        <v>42589.11</v>
      </c>
      <c r="G677" s="34">
        <v>1</v>
      </c>
      <c r="H677" s="34">
        <v>1</v>
      </c>
      <c r="I677" t="s">
        <v>7038</v>
      </c>
      <c r="J677">
        <v>21</v>
      </c>
      <c r="Q677">
        <v>74.782497745130243</v>
      </c>
    </row>
    <row r="678" spans="1:17" x14ac:dyDescent="0.3">
      <c r="A678" s="34" t="s">
        <v>6812</v>
      </c>
      <c r="B678" s="34" t="s">
        <v>765</v>
      </c>
      <c r="C678" t="s">
        <v>6440</v>
      </c>
      <c r="D678" s="46">
        <v>45564.714363425926</v>
      </c>
      <c r="E678" s="46">
        <v>45575.714363425926</v>
      </c>
      <c r="F678" s="27">
        <v>42589.11</v>
      </c>
      <c r="G678" s="34">
        <v>1</v>
      </c>
      <c r="H678" s="34">
        <v>1</v>
      </c>
      <c r="I678" t="s">
        <v>7038</v>
      </c>
      <c r="J678">
        <v>21</v>
      </c>
      <c r="Q678">
        <v>74.778960206864909</v>
      </c>
    </row>
    <row r="679" spans="1:17" x14ac:dyDescent="0.3">
      <c r="A679" s="34" t="s">
        <v>6813</v>
      </c>
      <c r="B679" s="34" t="s">
        <v>765</v>
      </c>
      <c r="C679" t="s">
        <v>6440</v>
      </c>
      <c r="D679" s="46">
        <v>45561.662118055552</v>
      </c>
      <c r="E679" s="46">
        <v>45575.662118055552</v>
      </c>
      <c r="F679" s="27">
        <v>42589.11</v>
      </c>
      <c r="G679" s="34">
        <v>1</v>
      </c>
      <c r="H679" s="34">
        <v>1</v>
      </c>
      <c r="I679" t="s">
        <v>7038</v>
      </c>
      <c r="J679">
        <v>21</v>
      </c>
      <c r="Q679">
        <v>74.76229862977722</v>
      </c>
    </row>
    <row r="680" spans="1:17" x14ac:dyDescent="0.3">
      <c r="A680" s="34" t="s">
        <v>6814</v>
      </c>
      <c r="B680" s="34" t="s">
        <v>765</v>
      </c>
      <c r="C680" t="s">
        <v>6494</v>
      </c>
      <c r="D680" s="46">
        <v>45562.662893518522</v>
      </c>
      <c r="E680" s="46">
        <v>45575.662893518522</v>
      </c>
      <c r="F680" s="27">
        <v>42589.11</v>
      </c>
      <c r="G680" s="34">
        <v>1</v>
      </c>
      <c r="H680" s="34">
        <v>1</v>
      </c>
      <c r="I680" t="s">
        <v>7038</v>
      </c>
      <c r="J680">
        <v>10</v>
      </c>
      <c r="Q680">
        <v>86.947421303255709</v>
      </c>
    </row>
    <row r="681" spans="1:17" x14ac:dyDescent="0.3">
      <c r="A681" s="34" t="s">
        <v>6815</v>
      </c>
      <c r="B681" s="34" t="s">
        <v>765</v>
      </c>
      <c r="C681" t="s">
        <v>6494</v>
      </c>
      <c r="D681" s="46">
        <v>45560.669548611113</v>
      </c>
      <c r="E681" s="46">
        <v>45575.669548611113</v>
      </c>
      <c r="F681" s="27">
        <v>42589.11</v>
      </c>
      <c r="G681" s="34">
        <v>1</v>
      </c>
      <c r="H681" s="34">
        <v>1</v>
      </c>
      <c r="I681" t="s">
        <v>7038</v>
      </c>
      <c r="J681">
        <v>10</v>
      </c>
      <c r="Q681">
        <v>86.865042680639831</v>
      </c>
    </row>
    <row r="682" spans="1:17" x14ac:dyDescent="0.3">
      <c r="A682" s="34" t="s">
        <v>6816</v>
      </c>
      <c r="B682" s="34" t="s">
        <v>765</v>
      </c>
      <c r="C682" t="s">
        <v>6494</v>
      </c>
      <c r="D682" s="46">
        <v>45559.715138888889</v>
      </c>
      <c r="E682" s="46">
        <v>45575.715138888889</v>
      </c>
      <c r="F682" s="27">
        <v>42589.11</v>
      </c>
      <c r="G682" s="34">
        <v>1</v>
      </c>
      <c r="H682" s="34">
        <v>1</v>
      </c>
      <c r="I682" t="s">
        <v>7038</v>
      </c>
      <c r="J682">
        <v>10</v>
      </c>
      <c r="Q682">
        <v>86.803039794256748</v>
      </c>
    </row>
    <row r="683" spans="1:17" x14ac:dyDescent="0.3">
      <c r="A683" s="34" t="s">
        <v>6817</v>
      </c>
      <c r="B683" s="34" t="s">
        <v>765</v>
      </c>
      <c r="C683" t="s">
        <v>6494</v>
      </c>
      <c r="D683" s="46">
        <v>45565.355543981481</v>
      </c>
      <c r="E683" s="46">
        <v>45576.355543981481</v>
      </c>
      <c r="F683" s="27">
        <v>42589.11</v>
      </c>
      <c r="G683" s="34">
        <v>1</v>
      </c>
      <c r="H683" s="34">
        <v>1</v>
      </c>
      <c r="I683" t="s">
        <v>7038</v>
      </c>
      <c r="J683">
        <v>10</v>
      </c>
      <c r="Q683">
        <v>86.799757623467571</v>
      </c>
    </row>
    <row r="684" spans="1:17" x14ac:dyDescent="0.3">
      <c r="A684" s="34" t="s">
        <v>6818</v>
      </c>
      <c r="B684" s="34" t="s">
        <v>765</v>
      </c>
      <c r="C684" t="s">
        <v>6494</v>
      </c>
      <c r="D684" s="46">
        <v>45562.356319444443</v>
      </c>
      <c r="E684" s="46">
        <v>45576.356319444443</v>
      </c>
      <c r="F684" s="27">
        <v>42589.11</v>
      </c>
      <c r="G684" s="34">
        <v>1</v>
      </c>
      <c r="H684" s="34">
        <v>1</v>
      </c>
      <c r="I684" t="s">
        <v>7038</v>
      </c>
      <c r="J684">
        <v>10</v>
      </c>
      <c r="Q684">
        <v>86.89890115672975</v>
      </c>
    </row>
    <row r="685" spans="1:17" x14ac:dyDescent="0.3">
      <c r="A685" s="34" t="s">
        <v>6819</v>
      </c>
      <c r="B685" s="34" t="s">
        <v>765</v>
      </c>
      <c r="C685" t="s">
        <v>6407</v>
      </c>
      <c r="D685" s="46">
        <v>45568.36383101852</v>
      </c>
      <c r="E685" s="46">
        <v>45581.36383101852</v>
      </c>
      <c r="F685" s="27">
        <v>42589.11</v>
      </c>
      <c r="G685" s="34">
        <v>1</v>
      </c>
      <c r="H685" s="34">
        <v>1</v>
      </c>
      <c r="I685" t="s">
        <v>7038</v>
      </c>
      <c r="J685">
        <v>20</v>
      </c>
      <c r="Q685">
        <v>20.236106434148898</v>
      </c>
    </row>
    <row r="686" spans="1:17" x14ac:dyDescent="0.3">
      <c r="A686" s="34" t="s">
        <v>6820</v>
      </c>
      <c r="B686" s="34" t="s">
        <v>765</v>
      </c>
      <c r="C686" t="s">
        <v>6407</v>
      </c>
      <c r="D686" s="46">
        <v>45568.36482638889</v>
      </c>
      <c r="E686" s="46">
        <v>45581.36482638889</v>
      </c>
      <c r="F686" s="27">
        <v>42589.11</v>
      </c>
      <c r="G686" s="34">
        <v>1</v>
      </c>
      <c r="H686" s="34">
        <v>1</v>
      </c>
      <c r="I686" t="s">
        <v>7038</v>
      </c>
      <c r="J686">
        <v>20</v>
      </c>
      <c r="Q686">
        <v>20.412077759730678</v>
      </c>
    </row>
    <row r="687" spans="1:17" x14ac:dyDescent="0.3">
      <c r="A687" s="34" t="s">
        <v>6821</v>
      </c>
      <c r="B687" s="34" t="s">
        <v>765</v>
      </c>
      <c r="C687" t="s">
        <v>6440</v>
      </c>
      <c r="D687" s="46">
        <v>45560.670324074075</v>
      </c>
      <c r="E687" s="46">
        <v>45575.670324074075</v>
      </c>
      <c r="F687" s="27">
        <v>42589.11</v>
      </c>
      <c r="G687" s="34">
        <v>1</v>
      </c>
      <c r="H687" s="34">
        <v>1</v>
      </c>
      <c r="I687" t="s">
        <v>7038</v>
      </c>
      <c r="J687">
        <v>21</v>
      </c>
      <c r="Q687">
        <v>74.865767759982631</v>
      </c>
    </row>
    <row r="688" spans="1:17" x14ac:dyDescent="0.3">
      <c r="A688" s="34" t="s">
        <v>6822</v>
      </c>
      <c r="B688" s="34" t="s">
        <v>765</v>
      </c>
      <c r="C688" t="s">
        <v>6440</v>
      </c>
      <c r="D688" s="46">
        <v>45559.671099537038</v>
      </c>
      <c r="E688" s="46">
        <v>45575.671099537038</v>
      </c>
      <c r="F688" s="27">
        <v>42589.11</v>
      </c>
      <c r="G688" s="34">
        <v>1</v>
      </c>
      <c r="H688" s="34">
        <v>1</v>
      </c>
      <c r="I688" t="s">
        <v>7038</v>
      </c>
      <c r="J688">
        <v>21</v>
      </c>
      <c r="Q688">
        <v>75.013370836361034</v>
      </c>
    </row>
    <row r="689" spans="1:17" x14ac:dyDescent="0.3">
      <c r="A689" s="34" t="s">
        <v>6823</v>
      </c>
      <c r="B689" s="34" t="s">
        <v>765</v>
      </c>
      <c r="C689" t="s">
        <v>6440</v>
      </c>
      <c r="D689" s="46">
        <v>45564.671909722223</v>
      </c>
      <c r="E689" s="46">
        <v>45575.671909722223</v>
      </c>
      <c r="F689" s="27">
        <v>42589.11</v>
      </c>
      <c r="G689" s="34">
        <v>1</v>
      </c>
      <c r="H689" s="34">
        <v>1</v>
      </c>
      <c r="I689" t="s">
        <v>7038</v>
      </c>
      <c r="J689">
        <v>21</v>
      </c>
      <c r="Q689">
        <v>74.963315068601958</v>
      </c>
    </row>
    <row r="690" spans="1:17" x14ac:dyDescent="0.3">
      <c r="A690" s="34" t="s">
        <v>6824</v>
      </c>
      <c r="B690" s="34" t="s">
        <v>765</v>
      </c>
      <c r="C690" t="s">
        <v>6440</v>
      </c>
      <c r="D690" s="46">
        <v>45567.365833333337</v>
      </c>
      <c r="E690" s="46">
        <v>45581.365833333337</v>
      </c>
      <c r="F690" s="27">
        <v>42589.11</v>
      </c>
      <c r="G690" s="34">
        <v>1</v>
      </c>
      <c r="H690" s="34">
        <v>1</v>
      </c>
      <c r="I690" t="s">
        <v>7038</v>
      </c>
      <c r="J690">
        <v>21</v>
      </c>
      <c r="Q690">
        <v>74.935235859428943</v>
      </c>
    </row>
    <row r="691" spans="1:17" x14ac:dyDescent="0.3">
      <c r="A691" s="34" t="s">
        <v>6825</v>
      </c>
      <c r="B691" s="34" t="s">
        <v>765</v>
      </c>
      <c r="C691" t="s">
        <v>6440</v>
      </c>
      <c r="D691" s="46">
        <v>45562.672696759262</v>
      </c>
      <c r="E691" s="46">
        <v>45575.672696759262</v>
      </c>
      <c r="F691" s="27">
        <v>42589.11</v>
      </c>
      <c r="G691" s="34">
        <v>1</v>
      </c>
      <c r="H691" s="34">
        <v>1</v>
      </c>
      <c r="I691" t="s">
        <v>7038</v>
      </c>
      <c r="J691">
        <v>21</v>
      </c>
      <c r="Q691">
        <v>74.964471021749304</v>
      </c>
    </row>
    <row r="692" spans="1:17" x14ac:dyDescent="0.3">
      <c r="A692" s="34" t="s">
        <v>6826</v>
      </c>
      <c r="B692" s="34" t="s">
        <v>765</v>
      </c>
      <c r="C692" t="s">
        <v>6407</v>
      </c>
      <c r="D692" s="46">
        <v>45581.709097222221</v>
      </c>
      <c r="E692" s="46">
        <v>45596.709097222221</v>
      </c>
      <c r="F692" s="27">
        <v>42589.11</v>
      </c>
      <c r="G692" s="34">
        <v>1</v>
      </c>
      <c r="H692" s="34">
        <v>1</v>
      </c>
      <c r="I692" t="s">
        <v>7038</v>
      </c>
      <c r="J692">
        <v>20</v>
      </c>
      <c r="Q692">
        <v>20.127556642374071</v>
      </c>
    </row>
    <row r="693" spans="1:17" x14ac:dyDescent="0.3">
      <c r="A693" s="34" t="s">
        <v>6827</v>
      </c>
      <c r="B693" s="34" t="s">
        <v>765</v>
      </c>
      <c r="C693" t="s">
        <v>6407</v>
      </c>
      <c r="D693" s="46">
        <v>45565.366875</v>
      </c>
      <c r="E693" s="46">
        <v>45581.366875</v>
      </c>
      <c r="F693" s="27">
        <v>42589.11</v>
      </c>
      <c r="G693" s="34">
        <v>1</v>
      </c>
      <c r="H693" s="34">
        <v>1</v>
      </c>
      <c r="I693" t="s">
        <v>7038</v>
      </c>
      <c r="J693">
        <v>20</v>
      </c>
      <c r="Q693">
        <v>20.209813608008862</v>
      </c>
    </row>
    <row r="694" spans="1:17" x14ac:dyDescent="0.3">
      <c r="A694" s="34" t="s">
        <v>6828</v>
      </c>
      <c r="B694" s="34" t="s">
        <v>765</v>
      </c>
      <c r="C694" t="s">
        <v>6407</v>
      </c>
      <c r="D694" s="46">
        <v>45570.367881944447</v>
      </c>
      <c r="E694" s="46">
        <v>45581.367881944447</v>
      </c>
      <c r="F694" s="27">
        <v>42589.11</v>
      </c>
      <c r="G694" s="34">
        <v>1</v>
      </c>
      <c r="H694" s="34">
        <v>1</v>
      </c>
      <c r="I694" t="s">
        <v>7038</v>
      </c>
      <c r="J694">
        <v>20</v>
      </c>
      <c r="Q694">
        <v>20.170182412165627</v>
      </c>
    </row>
    <row r="695" spans="1:17" x14ac:dyDescent="0.3">
      <c r="A695" s="34" t="s">
        <v>6829</v>
      </c>
      <c r="B695" s="34" t="s">
        <v>765</v>
      </c>
      <c r="C695" t="s">
        <v>6494</v>
      </c>
      <c r="D695" s="46">
        <v>45562.357083333336</v>
      </c>
      <c r="E695" s="46">
        <v>45576.357083333336</v>
      </c>
      <c r="F695" s="27">
        <v>42589.11</v>
      </c>
      <c r="G695" s="34">
        <v>1</v>
      </c>
      <c r="H695" s="34">
        <v>1</v>
      </c>
      <c r="I695" t="s">
        <v>7038</v>
      </c>
      <c r="J695">
        <v>10</v>
      </c>
      <c r="Q695">
        <v>63.129833899902842</v>
      </c>
    </row>
    <row r="696" spans="1:17" x14ac:dyDescent="0.3">
      <c r="A696" s="34" t="s">
        <v>6830</v>
      </c>
      <c r="B696" s="34" t="s">
        <v>765</v>
      </c>
      <c r="C696" t="s">
        <v>6494</v>
      </c>
      <c r="D696" s="46">
        <v>45583.710104166668</v>
      </c>
      <c r="E696" s="46">
        <v>45596.710104166668</v>
      </c>
      <c r="F696" s="27">
        <v>42589.11</v>
      </c>
      <c r="G696" s="34">
        <v>1</v>
      </c>
      <c r="H696" s="34">
        <v>1</v>
      </c>
      <c r="I696" t="s">
        <v>7038</v>
      </c>
      <c r="J696">
        <v>10</v>
      </c>
      <c r="Q696">
        <v>60.982854660079234</v>
      </c>
    </row>
    <row r="697" spans="1:17" x14ac:dyDescent="0.3">
      <c r="A697" s="34" t="s">
        <v>6831</v>
      </c>
      <c r="B697" s="34" t="s">
        <v>765</v>
      </c>
      <c r="C697" t="s">
        <v>6494</v>
      </c>
      <c r="D697" s="46">
        <v>45563.357858796298</v>
      </c>
      <c r="E697" s="46">
        <v>45576.357858796298</v>
      </c>
      <c r="F697" s="27">
        <v>42589.11</v>
      </c>
      <c r="G697" s="34">
        <v>1</v>
      </c>
      <c r="H697" s="34">
        <v>1</v>
      </c>
      <c r="I697" t="s">
        <v>7038</v>
      </c>
      <c r="J697">
        <v>10</v>
      </c>
      <c r="Q697">
        <v>81.261476200759077</v>
      </c>
    </row>
    <row r="698" spans="1:17" x14ac:dyDescent="0.3">
      <c r="A698" s="34" t="s">
        <v>6832</v>
      </c>
      <c r="B698" s="34" t="s">
        <v>765</v>
      </c>
      <c r="C698" t="s">
        <v>6440</v>
      </c>
      <c r="D698" s="46">
        <v>45560.673472222225</v>
      </c>
      <c r="E698" s="46">
        <v>45575.673472222225</v>
      </c>
      <c r="F698" s="27">
        <v>42589.11</v>
      </c>
      <c r="G698" s="34">
        <v>1</v>
      </c>
      <c r="H698" s="34">
        <v>1</v>
      </c>
      <c r="I698" t="s">
        <v>7038</v>
      </c>
      <c r="J698">
        <v>21</v>
      </c>
      <c r="Q698">
        <v>97.310449360425892</v>
      </c>
    </row>
    <row r="699" spans="1:17" x14ac:dyDescent="0.3">
      <c r="A699" s="34" t="s">
        <v>6833</v>
      </c>
      <c r="B699" s="34" t="s">
        <v>765</v>
      </c>
      <c r="C699" t="s">
        <v>6440</v>
      </c>
      <c r="D699" s="46">
        <v>45559.674247685187</v>
      </c>
      <c r="E699" s="46">
        <v>45575.674247685187</v>
      </c>
      <c r="F699" s="27">
        <v>42589.11</v>
      </c>
      <c r="G699" s="34">
        <v>1</v>
      </c>
      <c r="H699" s="34">
        <v>1</v>
      </c>
      <c r="I699" t="s">
        <v>7038</v>
      </c>
      <c r="J699">
        <v>21</v>
      </c>
      <c r="Q699">
        <v>97.324596872714835</v>
      </c>
    </row>
    <row r="700" spans="1:17" x14ac:dyDescent="0.3">
      <c r="A700" s="34" t="s">
        <v>6834</v>
      </c>
      <c r="B700" s="34" t="s">
        <v>765</v>
      </c>
      <c r="C700" t="s">
        <v>6440</v>
      </c>
      <c r="D700" s="46">
        <v>45564.675023148149</v>
      </c>
      <c r="E700" s="46">
        <v>45575.675023148149</v>
      </c>
      <c r="F700" s="27">
        <v>42589.11</v>
      </c>
      <c r="G700" s="34">
        <v>1</v>
      </c>
      <c r="H700" s="34">
        <v>1</v>
      </c>
      <c r="I700" t="s">
        <v>7038</v>
      </c>
      <c r="J700">
        <v>21</v>
      </c>
      <c r="Q700">
        <v>97.367503662282289</v>
      </c>
    </row>
    <row r="701" spans="1:17" x14ac:dyDescent="0.3">
      <c r="A701" s="34" t="s">
        <v>6835</v>
      </c>
      <c r="B701" s="34" t="s">
        <v>765</v>
      </c>
      <c r="C701" t="s">
        <v>6440</v>
      </c>
      <c r="D701" s="46">
        <v>45567.368888888886</v>
      </c>
      <c r="E701" s="46">
        <v>45581.368888888886</v>
      </c>
      <c r="F701" s="27">
        <v>42589.11</v>
      </c>
      <c r="G701" s="34">
        <v>1</v>
      </c>
      <c r="H701" s="34">
        <v>1</v>
      </c>
      <c r="I701" t="s">
        <v>7038</v>
      </c>
      <c r="J701">
        <v>21</v>
      </c>
      <c r="Q701">
        <v>97.423843252808226</v>
      </c>
    </row>
    <row r="702" spans="1:17" x14ac:dyDescent="0.3">
      <c r="A702" s="34" t="s">
        <v>6836</v>
      </c>
      <c r="B702" s="34" t="s">
        <v>765</v>
      </c>
      <c r="C702" t="s">
        <v>6440</v>
      </c>
      <c r="D702" s="46">
        <v>45563.35864583333</v>
      </c>
      <c r="E702" s="46">
        <v>45576.35864583333</v>
      </c>
      <c r="F702" s="27">
        <v>42589.11</v>
      </c>
      <c r="G702" s="34">
        <v>1</v>
      </c>
      <c r="H702" s="34">
        <v>1</v>
      </c>
      <c r="I702" t="s">
        <v>7038</v>
      </c>
      <c r="J702">
        <v>21</v>
      </c>
      <c r="Q702">
        <v>97.392918762837809</v>
      </c>
    </row>
    <row r="703" spans="1:17" x14ac:dyDescent="0.3">
      <c r="A703" s="34" t="s">
        <v>6837</v>
      </c>
      <c r="B703" s="34" t="s">
        <v>765</v>
      </c>
      <c r="C703" t="s">
        <v>6440</v>
      </c>
      <c r="D703" s="46">
        <v>45560.675810185188</v>
      </c>
      <c r="E703" s="46">
        <v>45575.675810185188</v>
      </c>
      <c r="F703" s="27">
        <v>42589.11</v>
      </c>
      <c r="G703" s="34">
        <v>1</v>
      </c>
      <c r="H703" s="34">
        <v>1</v>
      </c>
      <c r="I703" t="s">
        <v>7038</v>
      </c>
      <c r="J703">
        <v>21</v>
      </c>
      <c r="Q703">
        <v>97.342659667641215</v>
      </c>
    </row>
    <row r="704" spans="1:17" x14ac:dyDescent="0.3">
      <c r="A704" s="34" t="s">
        <v>6838</v>
      </c>
      <c r="B704" s="34" t="s">
        <v>765</v>
      </c>
      <c r="C704" t="s">
        <v>6440</v>
      </c>
      <c r="D704" s="46">
        <v>45580.711122685185</v>
      </c>
      <c r="E704" s="46">
        <v>45596.711122685185</v>
      </c>
      <c r="F704" s="27">
        <v>42589.11</v>
      </c>
      <c r="G704" s="34">
        <v>1</v>
      </c>
      <c r="H704" s="34">
        <v>1</v>
      </c>
      <c r="I704" t="s">
        <v>7038</v>
      </c>
      <c r="J704">
        <v>21</v>
      </c>
      <c r="Q704">
        <v>40.235664438198199</v>
      </c>
    </row>
    <row r="705" spans="1:17" x14ac:dyDescent="0.3">
      <c r="A705" s="34" t="s">
        <v>6839</v>
      </c>
      <c r="B705" s="34" t="s">
        <v>765</v>
      </c>
      <c r="C705" t="s">
        <v>6440</v>
      </c>
      <c r="D705" s="46">
        <v>45565.359409722223</v>
      </c>
      <c r="E705" s="46">
        <v>45576.359409722223</v>
      </c>
      <c r="F705" s="27">
        <v>42589.11</v>
      </c>
      <c r="G705" s="34">
        <v>1</v>
      </c>
      <c r="H705" s="34">
        <v>1</v>
      </c>
      <c r="I705" t="s">
        <v>7038</v>
      </c>
      <c r="J705">
        <v>21</v>
      </c>
      <c r="Q705">
        <v>40.285665147779497</v>
      </c>
    </row>
    <row r="706" spans="1:17" x14ac:dyDescent="0.3">
      <c r="A706" s="34" t="s">
        <v>6840</v>
      </c>
      <c r="B706" s="34" t="s">
        <v>765</v>
      </c>
      <c r="C706" t="s">
        <v>6440</v>
      </c>
      <c r="D706" s="46">
        <v>45561.676585648151</v>
      </c>
      <c r="E706" s="46">
        <v>45575.676585648151</v>
      </c>
      <c r="F706" s="27">
        <v>42589.11</v>
      </c>
      <c r="G706" s="34">
        <v>1</v>
      </c>
      <c r="H706" s="34">
        <v>1</v>
      </c>
      <c r="I706" t="s">
        <v>7038</v>
      </c>
      <c r="J706">
        <v>21</v>
      </c>
      <c r="Q706">
        <v>40.353266370096755</v>
      </c>
    </row>
    <row r="707" spans="1:17" x14ac:dyDescent="0.3">
      <c r="A707" s="34" t="s">
        <v>6841</v>
      </c>
      <c r="B707" s="34" t="s">
        <v>765</v>
      </c>
      <c r="C707" t="s">
        <v>6494</v>
      </c>
      <c r="D707" s="46">
        <v>45568.670902777776</v>
      </c>
      <c r="E707" s="46">
        <v>45581.670902777776</v>
      </c>
      <c r="F707" s="27">
        <v>42589.11</v>
      </c>
      <c r="G707" s="34">
        <v>1</v>
      </c>
      <c r="H707" s="34">
        <v>1</v>
      </c>
      <c r="I707" t="s">
        <v>7038</v>
      </c>
      <c r="J707">
        <v>10</v>
      </c>
      <c r="Q707">
        <v>50.514025664184778</v>
      </c>
    </row>
    <row r="708" spans="1:17" x14ac:dyDescent="0.3">
      <c r="A708" s="34" t="s">
        <v>6842</v>
      </c>
      <c r="B708" s="34" t="s">
        <v>765</v>
      </c>
      <c r="C708" t="s">
        <v>6494</v>
      </c>
      <c r="D708" s="46">
        <v>45561.360173611109</v>
      </c>
      <c r="E708" s="46">
        <v>45576.360173611109</v>
      </c>
      <c r="F708" s="27">
        <v>42589.11</v>
      </c>
      <c r="G708" s="34">
        <v>1</v>
      </c>
      <c r="H708" s="34">
        <v>1</v>
      </c>
      <c r="I708" t="s">
        <v>7038</v>
      </c>
      <c r="J708">
        <v>10</v>
      </c>
      <c r="Q708">
        <v>45.887105501004221</v>
      </c>
    </row>
    <row r="709" spans="1:17" x14ac:dyDescent="0.3">
      <c r="A709" s="34" t="s">
        <v>6843</v>
      </c>
      <c r="B709" s="34" t="s">
        <v>765</v>
      </c>
      <c r="C709" t="s">
        <v>6494</v>
      </c>
      <c r="D709" s="46">
        <v>45560.396331018521</v>
      </c>
      <c r="E709" s="46">
        <v>45576.396331018521</v>
      </c>
      <c r="F709" s="27">
        <v>42589.11</v>
      </c>
      <c r="G709" s="34">
        <v>1</v>
      </c>
      <c r="H709" s="34">
        <v>1</v>
      </c>
      <c r="I709" t="s">
        <v>7038</v>
      </c>
      <c r="J709">
        <v>10</v>
      </c>
      <c r="Q709">
        <v>87.214830763429902</v>
      </c>
    </row>
    <row r="710" spans="1:17" x14ac:dyDescent="0.3">
      <c r="A710" s="34" t="s">
        <v>6844</v>
      </c>
      <c r="B710" s="34" t="s">
        <v>765</v>
      </c>
      <c r="C710" t="s">
        <v>6494</v>
      </c>
      <c r="D710" s="46">
        <v>45564.678611111114</v>
      </c>
      <c r="E710" s="46">
        <v>45575.678611111114</v>
      </c>
      <c r="F710" s="27">
        <v>42589.11</v>
      </c>
      <c r="G710" s="34">
        <v>1</v>
      </c>
      <c r="H710" s="34">
        <v>1</v>
      </c>
      <c r="I710" t="s">
        <v>7038</v>
      </c>
      <c r="J710">
        <v>10</v>
      </c>
      <c r="Q710">
        <v>83.718858372841012</v>
      </c>
    </row>
    <row r="711" spans="1:17" x14ac:dyDescent="0.3">
      <c r="A711" s="34" t="s">
        <v>6845</v>
      </c>
      <c r="B711" s="34" t="s">
        <v>765</v>
      </c>
      <c r="C711" t="s">
        <v>6494</v>
      </c>
      <c r="D711" s="46">
        <v>45561.679386574076</v>
      </c>
      <c r="E711" s="46">
        <v>45575.679386574076</v>
      </c>
      <c r="F711" s="27">
        <v>42589.11</v>
      </c>
      <c r="G711" s="34">
        <v>1</v>
      </c>
      <c r="H711" s="34">
        <v>1</v>
      </c>
      <c r="I711" t="s">
        <v>7038</v>
      </c>
      <c r="J711">
        <v>10</v>
      </c>
      <c r="Q711">
        <v>83.445081597209523</v>
      </c>
    </row>
    <row r="712" spans="1:17" x14ac:dyDescent="0.3">
      <c r="A712" s="34" t="s">
        <v>6846</v>
      </c>
      <c r="B712" s="34" t="s">
        <v>765</v>
      </c>
      <c r="C712" t="s">
        <v>6407</v>
      </c>
      <c r="D712" s="46">
        <v>45568.36990740741</v>
      </c>
      <c r="E712" s="46">
        <v>45581.36990740741</v>
      </c>
      <c r="F712" s="27">
        <v>42589.11</v>
      </c>
      <c r="G712" s="34">
        <v>1</v>
      </c>
      <c r="H712" s="34">
        <v>1</v>
      </c>
      <c r="I712" t="s">
        <v>7038</v>
      </c>
      <c r="J712">
        <v>20</v>
      </c>
      <c r="Q712">
        <v>19.562770497119892</v>
      </c>
    </row>
    <row r="713" spans="1:17" x14ac:dyDescent="0.3">
      <c r="A713" s="34" t="s">
        <v>6847</v>
      </c>
      <c r="B713" s="34" t="s">
        <v>765</v>
      </c>
      <c r="C713" t="s">
        <v>6407</v>
      </c>
      <c r="D713" s="46">
        <v>45568.370891203704</v>
      </c>
      <c r="E713" s="46">
        <v>45581.370891203704</v>
      </c>
      <c r="F713" s="27">
        <v>42589.11</v>
      </c>
      <c r="G713" s="34">
        <v>1</v>
      </c>
      <c r="H713" s="34">
        <v>1</v>
      </c>
      <c r="I713" t="s">
        <v>7038</v>
      </c>
      <c r="J713">
        <v>20</v>
      </c>
      <c r="Q713">
        <v>19.343654433522367</v>
      </c>
    </row>
    <row r="714" spans="1:17" x14ac:dyDescent="0.3">
      <c r="A714" s="34" t="s">
        <v>6848</v>
      </c>
      <c r="B714" s="34" t="s">
        <v>765</v>
      </c>
      <c r="C714" t="s">
        <v>6494</v>
      </c>
      <c r="D714" s="46">
        <v>45566.371898148151</v>
      </c>
      <c r="E714" s="46">
        <v>45581.371898148151</v>
      </c>
      <c r="F714" s="27">
        <v>42589.11</v>
      </c>
      <c r="G714" s="34">
        <v>1</v>
      </c>
      <c r="H714" s="34">
        <v>1</v>
      </c>
      <c r="I714" t="s">
        <v>7038</v>
      </c>
      <c r="J714">
        <v>10</v>
      </c>
      <c r="Q714">
        <v>82.627865176073229</v>
      </c>
    </row>
    <row r="715" spans="1:17" x14ac:dyDescent="0.3">
      <c r="A715" s="34" t="s">
        <v>6849</v>
      </c>
      <c r="B715" s="34" t="s">
        <v>765</v>
      </c>
      <c r="C715" t="s">
        <v>6494</v>
      </c>
      <c r="D715" s="46">
        <v>45559.680162037039</v>
      </c>
      <c r="E715" s="46">
        <v>45575.680162037039</v>
      </c>
      <c r="F715" s="27">
        <v>42589.11</v>
      </c>
      <c r="G715" s="34">
        <v>1</v>
      </c>
      <c r="H715" s="34">
        <v>1</v>
      </c>
      <c r="I715" t="s">
        <v>7038</v>
      </c>
      <c r="J715">
        <v>10</v>
      </c>
      <c r="Q715">
        <v>88.32678868279784</v>
      </c>
    </row>
    <row r="716" spans="1:17" x14ac:dyDescent="0.3">
      <c r="A716" s="34" t="s">
        <v>6850</v>
      </c>
      <c r="B716" s="34" t="s">
        <v>765</v>
      </c>
      <c r="C716" t="s">
        <v>6494</v>
      </c>
      <c r="D716" s="46">
        <v>45564.680960648147</v>
      </c>
      <c r="E716" s="46">
        <v>45575.680960648147</v>
      </c>
      <c r="F716" s="27">
        <v>42589.11</v>
      </c>
      <c r="G716" s="34">
        <v>1</v>
      </c>
      <c r="H716" s="34">
        <v>1</v>
      </c>
      <c r="I716" t="s">
        <v>7038</v>
      </c>
      <c r="J716">
        <v>10</v>
      </c>
      <c r="Q716">
        <v>88.012245622981808</v>
      </c>
    </row>
    <row r="717" spans="1:17" x14ac:dyDescent="0.3">
      <c r="A717" s="34" t="s">
        <v>6851</v>
      </c>
      <c r="B717" s="34" t="s">
        <v>765</v>
      </c>
      <c r="C717" t="s">
        <v>6494</v>
      </c>
      <c r="D717" s="46">
        <v>45562.360949074071</v>
      </c>
      <c r="E717" s="46">
        <v>45576.360949074071</v>
      </c>
      <c r="F717" s="27">
        <v>42589.11</v>
      </c>
      <c r="G717" s="34">
        <v>1</v>
      </c>
      <c r="H717" s="34">
        <v>1</v>
      </c>
      <c r="I717" t="s">
        <v>7038</v>
      </c>
      <c r="J717">
        <v>10</v>
      </c>
      <c r="Q717">
        <v>81.483758519623606</v>
      </c>
    </row>
    <row r="718" spans="1:17" x14ac:dyDescent="0.3">
      <c r="A718" s="34" t="s">
        <v>6852</v>
      </c>
      <c r="B718" s="34" t="s">
        <v>765</v>
      </c>
      <c r="C718" t="s">
        <v>6407</v>
      </c>
      <c r="D718" s="46">
        <v>45568.37290509259</v>
      </c>
      <c r="E718" s="46">
        <v>45581.37290509259</v>
      </c>
      <c r="F718" s="27">
        <v>42589.11</v>
      </c>
      <c r="G718" s="34">
        <v>1</v>
      </c>
      <c r="H718" s="34">
        <v>1</v>
      </c>
      <c r="I718" t="s">
        <v>7038</v>
      </c>
      <c r="J718">
        <v>20</v>
      </c>
      <c r="Q718">
        <v>19.7789215279623</v>
      </c>
    </row>
    <row r="719" spans="1:17" x14ac:dyDescent="0.3">
      <c r="A719" s="34" t="s">
        <v>6853</v>
      </c>
      <c r="B719" s="34" t="s">
        <v>765</v>
      </c>
      <c r="C719" t="s">
        <v>6407</v>
      </c>
      <c r="D719" s="46">
        <v>45566.373888888891</v>
      </c>
      <c r="E719" s="46">
        <v>45581.373888888891</v>
      </c>
      <c r="F719" s="27">
        <v>42589.11</v>
      </c>
      <c r="G719" s="34">
        <v>1</v>
      </c>
      <c r="H719" s="34">
        <v>1</v>
      </c>
      <c r="I719" t="s">
        <v>7038</v>
      </c>
      <c r="J719">
        <v>20</v>
      </c>
      <c r="Q719">
        <v>20.075415480051678</v>
      </c>
    </row>
    <row r="720" spans="1:17" x14ac:dyDescent="0.3">
      <c r="A720" s="34" t="s">
        <v>6854</v>
      </c>
      <c r="B720" s="34" t="s">
        <v>765</v>
      </c>
      <c r="C720" t="s">
        <v>6440</v>
      </c>
      <c r="D720" s="46">
        <v>45559.68173611111</v>
      </c>
      <c r="E720" s="46">
        <v>45575.68173611111</v>
      </c>
      <c r="F720" s="27">
        <v>42589.11</v>
      </c>
      <c r="G720" s="34">
        <v>1</v>
      </c>
      <c r="H720" s="34">
        <v>1</v>
      </c>
      <c r="I720" t="s">
        <v>7038</v>
      </c>
      <c r="J720">
        <v>21</v>
      </c>
      <c r="Q720">
        <v>40.201984132024208</v>
      </c>
    </row>
    <row r="721" spans="1:17" x14ac:dyDescent="0.3">
      <c r="A721" s="34" t="s">
        <v>6855</v>
      </c>
      <c r="B721" s="34" t="s">
        <v>765</v>
      </c>
      <c r="C721" t="s">
        <v>6440</v>
      </c>
      <c r="D721" s="46">
        <v>45564.682511574072</v>
      </c>
      <c r="E721" s="46">
        <v>45575.682511574072</v>
      </c>
      <c r="F721" s="27">
        <v>42589.11</v>
      </c>
      <c r="G721" s="34">
        <v>1</v>
      </c>
      <c r="H721" s="34">
        <v>1</v>
      </c>
      <c r="I721" t="s">
        <v>7038</v>
      </c>
      <c r="J721">
        <v>21</v>
      </c>
      <c r="Q721">
        <v>40.126912629454672</v>
      </c>
    </row>
    <row r="722" spans="1:17" x14ac:dyDescent="0.3">
      <c r="A722" s="34" t="s">
        <v>6856</v>
      </c>
      <c r="B722" s="34" t="s">
        <v>765</v>
      </c>
      <c r="C722" t="s">
        <v>6440</v>
      </c>
      <c r="D722" s="46">
        <v>45561.683287037034</v>
      </c>
      <c r="E722" s="46">
        <v>45575.683287037034</v>
      </c>
      <c r="F722" s="27">
        <v>42589.11</v>
      </c>
      <c r="G722" s="34">
        <v>1</v>
      </c>
      <c r="H722" s="34">
        <v>1</v>
      </c>
      <c r="I722" t="s">
        <v>7038</v>
      </c>
      <c r="J722">
        <v>21</v>
      </c>
      <c r="Q722">
        <v>40.1588044602194</v>
      </c>
    </row>
    <row r="723" spans="1:17" x14ac:dyDescent="0.3">
      <c r="A723" s="34" t="s">
        <v>6857</v>
      </c>
      <c r="B723" s="34" t="s">
        <v>765</v>
      </c>
      <c r="C723" t="s">
        <v>6440</v>
      </c>
      <c r="D723" s="46">
        <v>45562.684062499997</v>
      </c>
      <c r="E723" s="46">
        <v>45575.684062499997</v>
      </c>
      <c r="F723" s="27">
        <v>42589.11</v>
      </c>
      <c r="G723" s="34">
        <v>1</v>
      </c>
      <c r="H723" s="34">
        <v>1</v>
      </c>
      <c r="I723" t="s">
        <v>7038</v>
      </c>
      <c r="J723">
        <v>21</v>
      </c>
      <c r="Q723">
        <v>39.996864002623965</v>
      </c>
    </row>
    <row r="724" spans="1:17" x14ac:dyDescent="0.3">
      <c r="A724" s="34" t="s">
        <v>6858</v>
      </c>
      <c r="B724" s="34" t="s">
        <v>765</v>
      </c>
      <c r="C724" t="s">
        <v>6440</v>
      </c>
      <c r="D724" s="46">
        <v>45562.684837962966</v>
      </c>
      <c r="E724" s="46">
        <v>45575.684837962966</v>
      </c>
      <c r="F724" s="27">
        <v>42589.11</v>
      </c>
      <c r="G724" s="34">
        <v>1</v>
      </c>
      <c r="H724" s="34">
        <v>1</v>
      </c>
      <c r="I724" t="s">
        <v>7038</v>
      </c>
      <c r="J724">
        <v>21</v>
      </c>
      <c r="Q724">
        <v>40.31538284875743</v>
      </c>
    </row>
    <row r="725" spans="1:17" x14ac:dyDescent="0.3">
      <c r="A725" s="34" t="s">
        <v>6859</v>
      </c>
      <c r="B725" s="34" t="s">
        <v>765</v>
      </c>
      <c r="C725" t="s">
        <v>6440</v>
      </c>
      <c r="D725" s="46">
        <v>45560.685613425929</v>
      </c>
      <c r="E725" s="46">
        <v>45575.685613425929</v>
      </c>
      <c r="F725" s="27">
        <v>42589.11</v>
      </c>
      <c r="G725" s="34">
        <v>1</v>
      </c>
      <c r="H725" s="34">
        <v>1</v>
      </c>
      <c r="I725" t="s">
        <v>7038</v>
      </c>
      <c r="J725">
        <v>21</v>
      </c>
      <c r="Q725">
        <v>40.287784348760724</v>
      </c>
    </row>
    <row r="726" spans="1:17" x14ac:dyDescent="0.3">
      <c r="A726" s="34" t="s">
        <v>6860</v>
      </c>
      <c r="B726" s="34" t="s">
        <v>765</v>
      </c>
      <c r="C726" t="s">
        <v>6440</v>
      </c>
      <c r="D726" s="46">
        <v>45559.686388888891</v>
      </c>
      <c r="E726" s="46">
        <v>45575.686388888891</v>
      </c>
      <c r="F726" s="27">
        <v>42589.11</v>
      </c>
      <c r="G726" s="34">
        <v>1</v>
      </c>
      <c r="H726" s="34">
        <v>1</v>
      </c>
      <c r="I726" t="s">
        <v>7038</v>
      </c>
      <c r="J726">
        <v>21</v>
      </c>
      <c r="Q726">
        <v>40.073325626302847</v>
      </c>
    </row>
    <row r="727" spans="1:17" x14ac:dyDescent="0.3">
      <c r="A727" s="34" t="s">
        <v>6861</v>
      </c>
      <c r="B727" s="34" t="s">
        <v>765</v>
      </c>
      <c r="C727" t="s">
        <v>6494</v>
      </c>
      <c r="D727" s="46">
        <v>45564.6871875</v>
      </c>
      <c r="E727" s="46">
        <v>45575.6871875</v>
      </c>
      <c r="F727" s="27">
        <v>42589.11</v>
      </c>
      <c r="G727" s="34">
        <v>1</v>
      </c>
      <c r="H727" s="34">
        <v>1</v>
      </c>
      <c r="I727" t="s">
        <v>7038</v>
      </c>
      <c r="J727">
        <v>10</v>
      </c>
      <c r="Q727">
        <v>38.421435330553606</v>
      </c>
    </row>
    <row r="728" spans="1:17" x14ac:dyDescent="0.3">
      <c r="A728" s="34" t="s">
        <v>6862</v>
      </c>
      <c r="B728" s="34" t="s">
        <v>765</v>
      </c>
      <c r="C728" t="s">
        <v>6494</v>
      </c>
      <c r="D728" s="46">
        <v>45561.687962962962</v>
      </c>
      <c r="E728" s="46">
        <v>45575.687962962962</v>
      </c>
      <c r="F728" s="27">
        <v>42589.11</v>
      </c>
      <c r="G728" s="34">
        <v>1</v>
      </c>
      <c r="H728" s="34">
        <v>1</v>
      </c>
      <c r="I728" t="s">
        <v>7038</v>
      </c>
      <c r="J728">
        <v>10</v>
      </c>
      <c r="Q728">
        <v>32.484794585736097</v>
      </c>
    </row>
    <row r="729" spans="1:17" x14ac:dyDescent="0.3">
      <c r="A729" s="34" t="s">
        <v>6863</v>
      </c>
      <c r="B729" s="34" t="s">
        <v>765</v>
      </c>
      <c r="C729" t="s">
        <v>6494</v>
      </c>
      <c r="D729" s="46">
        <v>45562.688738425924</v>
      </c>
      <c r="E729" s="46">
        <v>45575.688738425924</v>
      </c>
      <c r="F729" s="27">
        <v>42589.11</v>
      </c>
      <c r="G729" s="34">
        <v>1</v>
      </c>
      <c r="H729" s="34">
        <v>1</v>
      </c>
      <c r="I729" t="s">
        <v>7038</v>
      </c>
      <c r="J729">
        <v>10</v>
      </c>
      <c r="Q729">
        <v>88.25084564038508</v>
      </c>
    </row>
    <row r="730" spans="1:17" x14ac:dyDescent="0.3">
      <c r="A730" s="34" t="s">
        <v>6864</v>
      </c>
      <c r="B730" s="34" t="s">
        <v>765</v>
      </c>
      <c r="C730" t="s">
        <v>6494</v>
      </c>
      <c r="D730" s="46">
        <v>45560.689525462964</v>
      </c>
      <c r="E730" s="46">
        <v>45575.689525462964</v>
      </c>
      <c r="F730" s="27">
        <v>42589.11</v>
      </c>
      <c r="G730" s="34">
        <v>1</v>
      </c>
      <c r="H730" s="34">
        <v>1</v>
      </c>
      <c r="I730" t="s">
        <v>7038</v>
      </c>
      <c r="J730">
        <v>10</v>
      </c>
      <c r="Q730">
        <v>86.678207456675622</v>
      </c>
    </row>
    <row r="731" spans="1:17" x14ac:dyDescent="0.3">
      <c r="A731" s="34" t="s">
        <v>6865</v>
      </c>
      <c r="B731" s="34" t="s">
        <v>765</v>
      </c>
      <c r="C731" t="s">
        <v>6407</v>
      </c>
      <c r="D731" s="46">
        <v>45560.361712962964</v>
      </c>
      <c r="E731" s="46">
        <v>45576.361712962964</v>
      </c>
      <c r="F731" s="27">
        <v>42589.11</v>
      </c>
      <c r="G731" s="34">
        <v>1</v>
      </c>
      <c r="H731" s="34">
        <v>1</v>
      </c>
      <c r="I731" t="s">
        <v>7038</v>
      </c>
      <c r="J731">
        <v>20</v>
      </c>
      <c r="Q731">
        <v>19.320309694437469</v>
      </c>
    </row>
    <row r="732" spans="1:17" x14ac:dyDescent="0.3">
      <c r="A732" s="34" t="s">
        <v>6866</v>
      </c>
      <c r="B732" s="34" t="s">
        <v>765</v>
      </c>
      <c r="C732" t="s">
        <v>6407</v>
      </c>
      <c r="D732" s="46">
        <v>45565.362476851849</v>
      </c>
      <c r="E732" s="46">
        <v>45576.362476851849</v>
      </c>
      <c r="F732" s="27">
        <v>42589.11</v>
      </c>
      <c r="G732" s="34">
        <v>1</v>
      </c>
      <c r="H732" s="34">
        <v>1</v>
      </c>
      <c r="I732" t="s">
        <v>7038</v>
      </c>
      <c r="J732">
        <v>20</v>
      </c>
      <c r="Q732">
        <v>19.01409543521747</v>
      </c>
    </row>
    <row r="733" spans="1:17" x14ac:dyDescent="0.3">
      <c r="A733" s="34" t="s">
        <v>6867</v>
      </c>
      <c r="B733" s="34" t="s">
        <v>765</v>
      </c>
      <c r="C733" t="s">
        <v>6494</v>
      </c>
      <c r="D733" s="46">
        <v>45561.690300925926</v>
      </c>
      <c r="E733" s="46">
        <v>45575.690300925926</v>
      </c>
      <c r="F733" s="27">
        <v>42589.11</v>
      </c>
      <c r="G733" s="34">
        <v>1</v>
      </c>
      <c r="H733" s="34">
        <v>1</v>
      </c>
      <c r="I733" t="s">
        <v>7038</v>
      </c>
      <c r="J733">
        <v>10</v>
      </c>
      <c r="Q733">
        <v>89.10228511553332</v>
      </c>
    </row>
    <row r="734" spans="1:17" x14ac:dyDescent="0.3">
      <c r="A734" s="34" t="s">
        <v>6868</v>
      </c>
      <c r="B734" s="34" t="s">
        <v>765</v>
      </c>
      <c r="C734" t="s">
        <v>6494</v>
      </c>
      <c r="D734" s="46">
        <v>45562.691076388888</v>
      </c>
      <c r="E734" s="46">
        <v>45575.691076388888</v>
      </c>
      <c r="F734" s="27">
        <v>42589.11</v>
      </c>
      <c r="G734" s="34">
        <v>1</v>
      </c>
      <c r="H734" s="34">
        <v>1</v>
      </c>
      <c r="I734" t="s">
        <v>7038</v>
      </c>
      <c r="J734">
        <v>10</v>
      </c>
      <c r="Q734">
        <v>89.349279562103675</v>
      </c>
    </row>
    <row r="735" spans="1:17" x14ac:dyDescent="0.3">
      <c r="A735" s="34" t="s">
        <v>6869</v>
      </c>
      <c r="B735" s="34" t="s">
        <v>765</v>
      </c>
      <c r="C735" t="s">
        <v>6407</v>
      </c>
      <c r="D735" s="46">
        <v>45561.363240740742</v>
      </c>
      <c r="E735" s="46">
        <v>45576.363240740742</v>
      </c>
      <c r="F735" s="27">
        <v>42589.11</v>
      </c>
      <c r="G735" s="34">
        <v>1</v>
      </c>
      <c r="H735" s="34">
        <v>1</v>
      </c>
      <c r="I735" t="s">
        <v>7038</v>
      </c>
      <c r="J735">
        <v>20</v>
      </c>
      <c r="Q735">
        <v>20.395925156864426</v>
      </c>
    </row>
    <row r="736" spans="1:17" x14ac:dyDescent="0.3">
      <c r="A736" s="34" t="s">
        <v>6870</v>
      </c>
      <c r="B736" s="34" t="s">
        <v>765</v>
      </c>
      <c r="C736" t="s">
        <v>6407</v>
      </c>
      <c r="D736" s="46">
        <v>45560.364016203705</v>
      </c>
      <c r="E736" s="46">
        <v>45576.364016203705</v>
      </c>
      <c r="F736" s="27">
        <v>42589.11</v>
      </c>
      <c r="G736" s="34">
        <v>1</v>
      </c>
      <c r="H736" s="34">
        <v>1</v>
      </c>
      <c r="I736" t="s">
        <v>7038</v>
      </c>
      <c r="J736">
        <v>20</v>
      </c>
      <c r="Q736">
        <v>20.651041204155014</v>
      </c>
    </row>
    <row r="737" spans="1:17" x14ac:dyDescent="0.3">
      <c r="A737" s="34" t="s">
        <v>6871</v>
      </c>
      <c r="B737" s="34" t="s">
        <v>765</v>
      </c>
      <c r="C737" t="s">
        <v>6510</v>
      </c>
      <c r="D737" s="46">
        <v>45565.364791666667</v>
      </c>
      <c r="E737" s="46">
        <v>45576.364791666667</v>
      </c>
      <c r="F737" s="27">
        <v>42589.11</v>
      </c>
      <c r="G737" s="34">
        <v>1</v>
      </c>
      <c r="H737" s="34">
        <v>1</v>
      </c>
      <c r="I737" t="s">
        <v>7038</v>
      </c>
      <c r="J737">
        <v>26</v>
      </c>
      <c r="Q737">
        <v>86.985350399180064</v>
      </c>
    </row>
    <row r="738" spans="1:17" x14ac:dyDescent="0.3">
      <c r="A738" s="34" t="s">
        <v>6872</v>
      </c>
      <c r="B738" s="34" t="s">
        <v>765</v>
      </c>
      <c r="C738" t="s">
        <v>6510</v>
      </c>
      <c r="D738" s="46">
        <v>45561.691851851851</v>
      </c>
      <c r="E738" s="46">
        <v>45575.691851851851</v>
      </c>
      <c r="F738" s="27">
        <v>42589.11</v>
      </c>
      <c r="G738" s="34">
        <v>1</v>
      </c>
      <c r="H738" s="34">
        <v>1</v>
      </c>
      <c r="I738" t="s">
        <v>7038</v>
      </c>
      <c r="J738">
        <v>26</v>
      </c>
      <c r="Q738">
        <v>86.91090319035662</v>
      </c>
    </row>
    <row r="739" spans="1:17" x14ac:dyDescent="0.3">
      <c r="A739" s="34" t="s">
        <v>6873</v>
      </c>
      <c r="B739" s="34" t="s">
        <v>765</v>
      </c>
      <c r="C739" t="s">
        <v>6510</v>
      </c>
      <c r="D739" s="46">
        <v>45563.365555555552</v>
      </c>
      <c r="E739" s="46">
        <v>45576.365555555552</v>
      </c>
      <c r="F739" s="27">
        <v>42589.11</v>
      </c>
      <c r="G739" s="34">
        <v>1</v>
      </c>
      <c r="H739" s="34">
        <v>1</v>
      </c>
      <c r="I739" t="s">
        <v>7038</v>
      </c>
      <c r="J739">
        <v>26</v>
      </c>
      <c r="Q739">
        <v>86.894784255919447</v>
      </c>
    </row>
    <row r="740" spans="1:17" x14ac:dyDescent="0.3">
      <c r="A740" s="34" t="s">
        <v>6874</v>
      </c>
      <c r="B740" s="34" t="s">
        <v>765</v>
      </c>
      <c r="C740" t="s">
        <v>6510</v>
      </c>
      <c r="D740" s="46">
        <v>45568.374872685185</v>
      </c>
      <c r="E740" s="46">
        <v>45581.374872685185</v>
      </c>
      <c r="F740" s="27">
        <v>42589.11</v>
      </c>
      <c r="G740" s="34">
        <v>1</v>
      </c>
      <c r="H740" s="34">
        <v>1</v>
      </c>
      <c r="I740" t="s">
        <v>7038</v>
      </c>
      <c r="J740">
        <v>26</v>
      </c>
      <c r="Q740">
        <v>86.904204274910498</v>
      </c>
    </row>
    <row r="741" spans="1:17" x14ac:dyDescent="0.3">
      <c r="A741" s="34" t="s">
        <v>6875</v>
      </c>
      <c r="B741" s="34" t="s">
        <v>765</v>
      </c>
      <c r="C741" t="s">
        <v>6510</v>
      </c>
      <c r="D741" s="46">
        <v>45561.366331018522</v>
      </c>
      <c r="E741" s="46">
        <v>45576.366331018522</v>
      </c>
      <c r="F741" s="27">
        <v>42589.11</v>
      </c>
      <c r="G741" s="34">
        <v>1</v>
      </c>
      <c r="H741" s="34">
        <v>1</v>
      </c>
      <c r="I741" t="s">
        <v>7038</v>
      </c>
      <c r="J741">
        <v>26</v>
      </c>
      <c r="Q741">
        <v>86.891814511024592</v>
      </c>
    </row>
    <row r="742" spans="1:17" x14ac:dyDescent="0.3">
      <c r="A742" s="34" t="s">
        <v>6876</v>
      </c>
      <c r="B742" s="34" t="s">
        <v>765</v>
      </c>
      <c r="C742" t="s">
        <v>6510</v>
      </c>
      <c r="D742" s="46">
        <v>45580.712152777778</v>
      </c>
      <c r="E742" s="46">
        <v>45596.712152777778</v>
      </c>
      <c r="F742" s="27">
        <v>42589.11</v>
      </c>
      <c r="G742" s="34">
        <v>1</v>
      </c>
      <c r="H742" s="34">
        <v>1</v>
      </c>
      <c r="I742" t="s">
        <v>7038</v>
      </c>
      <c r="J742">
        <v>26</v>
      </c>
      <c r="Q742">
        <v>86.950032675095855</v>
      </c>
    </row>
    <row r="743" spans="1:17" x14ac:dyDescent="0.3">
      <c r="A743" s="34" t="s">
        <v>6877</v>
      </c>
      <c r="B743" s="34" t="s">
        <v>765</v>
      </c>
      <c r="C743" t="s">
        <v>6510</v>
      </c>
      <c r="D743" s="46">
        <v>45564.692627314813</v>
      </c>
      <c r="E743" s="46">
        <v>45575.692627314813</v>
      </c>
      <c r="F743" s="27">
        <v>42589.11</v>
      </c>
      <c r="G743" s="34">
        <v>1</v>
      </c>
      <c r="H743" s="34">
        <v>1</v>
      </c>
      <c r="I743" t="s">
        <v>7038</v>
      </c>
      <c r="J743">
        <v>26</v>
      </c>
      <c r="Q743">
        <v>86.992556900451618</v>
      </c>
    </row>
    <row r="744" spans="1:17" x14ac:dyDescent="0.3">
      <c r="A744" s="34" t="s">
        <v>6878</v>
      </c>
      <c r="B744" s="34" t="s">
        <v>765</v>
      </c>
      <c r="C744" t="s">
        <v>6510</v>
      </c>
      <c r="D744" s="46">
        <v>45561.693402777775</v>
      </c>
      <c r="E744" s="46">
        <v>45575.693402777775</v>
      </c>
      <c r="F744" s="27">
        <v>42589.11</v>
      </c>
      <c r="G744" s="34">
        <v>1</v>
      </c>
      <c r="H744" s="34">
        <v>1</v>
      </c>
      <c r="I744" t="s">
        <v>7038</v>
      </c>
      <c r="J744">
        <v>26</v>
      </c>
      <c r="Q744">
        <v>86.974503554713792</v>
      </c>
    </row>
    <row r="745" spans="1:17" x14ac:dyDescent="0.3">
      <c r="A745" s="34" t="s">
        <v>6879</v>
      </c>
      <c r="B745" s="34" t="s">
        <v>765</v>
      </c>
      <c r="C745" t="s">
        <v>6510</v>
      </c>
      <c r="D745" s="46">
        <v>45562.694178240738</v>
      </c>
      <c r="E745" s="46">
        <v>45575.694178240738</v>
      </c>
      <c r="F745" s="27">
        <v>42589.11</v>
      </c>
      <c r="G745" s="34">
        <v>1</v>
      </c>
      <c r="H745" s="34">
        <v>1</v>
      </c>
      <c r="I745" t="s">
        <v>7038</v>
      </c>
      <c r="J745">
        <v>26</v>
      </c>
      <c r="Q745">
        <v>86.994129177422153</v>
      </c>
    </row>
    <row r="746" spans="1:17" x14ac:dyDescent="0.3">
      <c r="A746" s="34" t="s">
        <v>6880</v>
      </c>
      <c r="B746" s="34" t="s">
        <v>765</v>
      </c>
      <c r="C746" t="s">
        <v>6510</v>
      </c>
      <c r="D746" s="46">
        <v>45560.694965277777</v>
      </c>
      <c r="E746" s="46">
        <v>45575.694965277777</v>
      </c>
      <c r="F746" s="27">
        <v>42589.11</v>
      </c>
      <c r="G746" s="34">
        <v>1</v>
      </c>
      <c r="H746" s="34">
        <v>1</v>
      </c>
      <c r="I746" t="s">
        <v>7038</v>
      </c>
      <c r="J746">
        <v>26</v>
      </c>
      <c r="Q746">
        <v>86.962501763490792</v>
      </c>
    </row>
    <row r="747" spans="1:17" x14ac:dyDescent="0.3">
      <c r="A747" s="34" t="s">
        <v>6881</v>
      </c>
      <c r="B747" s="34" t="s">
        <v>765</v>
      </c>
      <c r="C747" t="s">
        <v>6510</v>
      </c>
      <c r="D747" s="46">
        <v>45565.375879629632</v>
      </c>
      <c r="E747" s="46">
        <v>45581.375879629632</v>
      </c>
      <c r="F747" s="27">
        <v>42589.11</v>
      </c>
      <c r="G747" s="34">
        <v>1</v>
      </c>
      <c r="H747" s="34">
        <v>1</v>
      </c>
      <c r="I747" t="s">
        <v>7038</v>
      </c>
      <c r="J747">
        <v>26</v>
      </c>
      <c r="Q747">
        <v>86.975749217345779</v>
      </c>
    </row>
    <row r="748" spans="1:17" x14ac:dyDescent="0.3">
      <c r="A748" s="34" t="s">
        <v>6882</v>
      </c>
      <c r="B748" s="34" t="s">
        <v>765</v>
      </c>
      <c r="C748" t="s">
        <v>6510</v>
      </c>
      <c r="D748" s="46">
        <v>45564.695740740739</v>
      </c>
      <c r="E748" s="46">
        <v>45575.695740740739</v>
      </c>
      <c r="F748" s="27">
        <v>42589.11</v>
      </c>
      <c r="G748" s="34">
        <v>1</v>
      </c>
      <c r="H748" s="34">
        <v>1</v>
      </c>
      <c r="I748" t="s">
        <v>7038</v>
      </c>
      <c r="J748">
        <v>26</v>
      </c>
      <c r="Q748">
        <v>87.015066552073904</v>
      </c>
    </row>
    <row r="749" spans="1:17" x14ac:dyDescent="0.3">
      <c r="A749" s="34" t="s">
        <v>6883</v>
      </c>
      <c r="B749" s="34" t="s">
        <v>765</v>
      </c>
      <c r="C749" t="s">
        <v>6437</v>
      </c>
      <c r="D749" s="46">
        <v>45561.696516203701</v>
      </c>
      <c r="E749" s="46">
        <v>45575.696516203701</v>
      </c>
      <c r="F749" s="27">
        <v>42589.11</v>
      </c>
      <c r="G749" s="34">
        <v>1</v>
      </c>
      <c r="H749" s="34">
        <v>1</v>
      </c>
      <c r="I749" t="s">
        <v>7038</v>
      </c>
      <c r="J749">
        <v>7</v>
      </c>
      <c r="Q749">
        <v>54.65717619849255</v>
      </c>
    </row>
    <row r="750" spans="1:17" x14ac:dyDescent="0.3">
      <c r="A750" s="34" t="s">
        <v>6884</v>
      </c>
      <c r="B750" s="34" t="s">
        <v>765</v>
      </c>
      <c r="C750" t="s">
        <v>6437</v>
      </c>
      <c r="D750" s="46">
        <v>45568.376898148148</v>
      </c>
      <c r="E750" s="46">
        <v>45581.376898148148</v>
      </c>
      <c r="F750" s="27">
        <v>42589.11</v>
      </c>
      <c r="G750" s="34">
        <v>1</v>
      </c>
      <c r="H750" s="34">
        <v>1</v>
      </c>
      <c r="I750" t="s">
        <v>7038</v>
      </c>
      <c r="J750">
        <v>7</v>
      </c>
      <c r="Q750">
        <v>59.885995050059208</v>
      </c>
    </row>
    <row r="751" spans="1:17" x14ac:dyDescent="0.3">
      <c r="A751" s="34" t="s">
        <v>6885</v>
      </c>
      <c r="B751" s="34" t="s">
        <v>765</v>
      </c>
      <c r="C751" t="s">
        <v>6494</v>
      </c>
      <c r="D751" s="46">
        <v>45562.697291666664</v>
      </c>
      <c r="E751" s="46">
        <v>45575.697291666664</v>
      </c>
      <c r="F751" s="27">
        <v>42589.11</v>
      </c>
      <c r="G751" s="34">
        <v>1</v>
      </c>
      <c r="H751" s="34">
        <v>1</v>
      </c>
      <c r="I751" t="s">
        <v>7038</v>
      </c>
      <c r="J751">
        <v>10</v>
      </c>
      <c r="Q751">
        <v>83.05686548441227</v>
      </c>
    </row>
    <row r="752" spans="1:17" x14ac:dyDescent="0.3">
      <c r="A752" s="34" t="s">
        <v>6886</v>
      </c>
      <c r="B752" s="34" t="s">
        <v>765</v>
      </c>
      <c r="C752" t="s">
        <v>6494</v>
      </c>
      <c r="D752" s="46">
        <v>45560.698055555556</v>
      </c>
      <c r="E752" s="46">
        <v>45575.698055555556</v>
      </c>
      <c r="F752" s="27">
        <v>42589.11</v>
      </c>
      <c r="G752" s="34">
        <v>1</v>
      </c>
      <c r="H752" s="34">
        <v>1</v>
      </c>
      <c r="I752" t="s">
        <v>7038</v>
      </c>
      <c r="J752">
        <v>10</v>
      </c>
      <c r="Q752">
        <v>84.57979410124004</v>
      </c>
    </row>
    <row r="753" spans="1:17" x14ac:dyDescent="0.3">
      <c r="A753" s="34" t="s">
        <v>6887</v>
      </c>
      <c r="B753" s="34" t="s">
        <v>765</v>
      </c>
      <c r="C753" t="s">
        <v>6407</v>
      </c>
      <c r="D753" s="46">
        <v>45565.377893518518</v>
      </c>
      <c r="E753" s="46">
        <v>45581.377893518518</v>
      </c>
      <c r="F753" s="27">
        <v>42589.11</v>
      </c>
      <c r="G753" s="34">
        <v>1</v>
      </c>
      <c r="H753" s="34">
        <v>1</v>
      </c>
      <c r="I753" t="s">
        <v>7038</v>
      </c>
      <c r="J753">
        <v>20</v>
      </c>
      <c r="Q753">
        <v>22.195915634445257</v>
      </c>
    </row>
    <row r="754" spans="1:17" x14ac:dyDescent="0.3">
      <c r="A754" s="34" t="s">
        <v>6888</v>
      </c>
      <c r="B754" s="34" t="s">
        <v>765</v>
      </c>
      <c r="C754" t="s">
        <v>6407</v>
      </c>
      <c r="D754" s="46">
        <v>45570.378900462965</v>
      </c>
      <c r="E754" s="46">
        <v>45581.378900462965</v>
      </c>
      <c r="F754" s="27">
        <v>42589.11</v>
      </c>
      <c r="G754" s="34">
        <v>1</v>
      </c>
      <c r="H754" s="34">
        <v>1</v>
      </c>
      <c r="I754" t="s">
        <v>7038</v>
      </c>
      <c r="J754">
        <v>20</v>
      </c>
      <c r="Q754">
        <v>22.224738209881664</v>
      </c>
    </row>
    <row r="755" spans="1:17" x14ac:dyDescent="0.3">
      <c r="A755" s="34" t="s">
        <v>6889</v>
      </c>
      <c r="B755" s="34" t="s">
        <v>765</v>
      </c>
      <c r="C755" t="s">
        <v>6407</v>
      </c>
      <c r="D755" s="46">
        <v>45567.379907407405</v>
      </c>
      <c r="E755" s="46">
        <v>45581.379907407405</v>
      </c>
      <c r="F755" s="27">
        <v>42589.11</v>
      </c>
      <c r="G755" s="34">
        <v>1</v>
      </c>
      <c r="H755" s="34">
        <v>1</v>
      </c>
      <c r="I755" t="s">
        <v>7038</v>
      </c>
      <c r="J755">
        <v>20</v>
      </c>
      <c r="Q755">
        <v>22.152900458098365</v>
      </c>
    </row>
    <row r="756" spans="1:17" x14ac:dyDescent="0.3">
      <c r="A756" s="34" t="s">
        <v>6890</v>
      </c>
      <c r="B756" s="34" t="s">
        <v>765</v>
      </c>
      <c r="C756" t="s">
        <v>6437</v>
      </c>
      <c r="D756" s="46">
        <v>45568.380902777775</v>
      </c>
      <c r="E756" s="46">
        <v>45581.380902777775</v>
      </c>
      <c r="F756" s="27">
        <v>42589.11</v>
      </c>
      <c r="G756" s="34">
        <v>1</v>
      </c>
      <c r="H756" s="34">
        <v>1</v>
      </c>
      <c r="I756" t="s">
        <v>7038</v>
      </c>
      <c r="J756">
        <v>7</v>
      </c>
      <c r="Q756">
        <v>66.278855467724</v>
      </c>
    </row>
    <row r="757" spans="1:17" x14ac:dyDescent="0.3">
      <c r="A757" s="34" t="s">
        <v>6891</v>
      </c>
      <c r="B757" s="34" t="s">
        <v>765</v>
      </c>
      <c r="C757" t="s">
        <v>6494</v>
      </c>
      <c r="D757" s="46">
        <v>45560.698831018519</v>
      </c>
      <c r="E757" s="46">
        <v>45575.698831018519</v>
      </c>
      <c r="F757" s="27">
        <v>42589.11</v>
      </c>
      <c r="G757" s="34">
        <v>1</v>
      </c>
      <c r="H757" s="34">
        <v>1</v>
      </c>
      <c r="I757" t="s">
        <v>7038</v>
      </c>
      <c r="J757">
        <v>10</v>
      </c>
      <c r="Q757">
        <v>74.646391526070587</v>
      </c>
    </row>
    <row r="758" spans="1:17" x14ac:dyDescent="0.3">
      <c r="A758" s="34" t="s">
        <v>6892</v>
      </c>
      <c r="B758" s="34" t="s">
        <v>765</v>
      </c>
      <c r="C758" t="s">
        <v>6494</v>
      </c>
      <c r="D758" s="46">
        <v>45559.699618055558</v>
      </c>
      <c r="E758" s="46">
        <v>45575.699618055558</v>
      </c>
      <c r="F758" s="27">
        <v>42589.11</v>
      </c>
      <c r="G758" s="34">
        <v>1</v>
      </c>
      <c r="H758" s="34">
        <v>1</v>
      </c>
      <c r="I758" t="s">
        <v>7038</v>
      </c>
      <c r="J758">
        <v>10</v>
      </c>
      <c r="Q758">
        <v>82.953015355094649</v>
      </c>
    </row>
    <row r="759" spans="1:17" x14ac:dyDescent="0.3">
      <c r="A759" s="34" t="s">
        <v>6893</v>
      </c>
      <c r="B759" s="34" t="s">
        <v>765</v>
      </c>
      <c r="C759" t="s">
        <v>6407</v>
      </c>
      <c r="D759" s="46">
        <v>45570.381886574076</v>
      </c>
      <c r="E759" s="46">
        <v>45581.381886574076</v>
      </c>
      <c r="F759" s="27">
        <v>42589.11</v>
      </c>
      <c r="G759" s="34">
        <v>1</v>
      </c>
      <c r="H759" s="34">
        <v>1</v>
      </c>
      <c r="I759" t="s">
        <v>7038</v>
      </c>
      <c r="J759">
        <v>20</v>
      </c>
      <c r="Q759">
        <v>22.467691004638603</v>
      </c>
    </row>
    <row r="760" spans="1:17" x14ac:dyDescent="0.3">
      <c r="A760" s="34" t="s">
        <v>6894</v>
      </c>
      <c r="B760" s="34" t="s">
        <v>765</v>
      </c>
      <c r="C760" t="s">
        <v>6407</v>
      </c>
      <c r="D760" s="46">
        <v>45567.382893518516</v>
      </c>
      <c r="E760" s="46">
        <v>45581.382893518516</v>
      </c>
      <c r="F760" s="27">
        <v>42589.11</v>
      </c>
      <c r="G760" s="34">
        <v>1</v>
      </c>
      <c r="H760" s="34">
        <v>1</v>
      </c>
      <c r="I760" t="s">
        <v>7038</v>
      </c>
      <c r="J760">
        <v>20</v>
      </c>
      <c r="Q760">
        <v>22.572354767448022</v>
      </c>
    </row>
    <row r="761" spans="1:17" x14ac:dyDescent="0.3">
      <c r="A761" s="34" t="s">
        <v>6895</v>
      </c>
      <c r="B761" s="34" t="s">
        <v>765</v>
      </c>
      <c r="C761" t="s">
        <v>6407</v>
      </c>
      <c r="D761" s="46">
        <v>45568.383888888886</v>
      </c>
      <c r="E761" s="46">
        <v>45581.383888888886</v>
      </c>
      <c r="F761" s="27">
        <v>42589.11</v>
      </c>
      <c r="G761" s="34">
        <v>1</v>
      </c>
      <c r="H761" s="34">
        <v>1</v>
      </c>
      <c r="I761" t="s">
        <v>7038</v>
      </c>
      <c r="J761">
        <v>20</v>
      </c>
      <c r="Q761">
        <v>22.732706854264375</v>
      </c>
    </row>
    <row r="762" spans="1:17" x14ac:dyDescent="0.3">
      <c r="A762" s="34" t="s">
        <v>6896</v>
      </c>
      <c r="B762" s="34" t="s">
        <v>765</v>
      </c>
      <c r="C762" t="s">
        <v>6413</v>
      </c>
      <c r="D762" s="46">
        <v>45560.70039351852</v>
      </c>
      <c r="E762" s="46">
        <v>45575.70039351852</v>
      </c>
      <c r="F762" s="27">
        <v>42589.11</v>
      </c>
      <c r="G762" s="34">
        <v>1</v>
      </c>
      <c r="H762" s="34">
        <v>1</v>
      </c>
      <c r="I762" t="s">
        <v>7038</v>
      </c>
      <c r="J762">
        <v>6</v>
      </c>
      <c r="Q762">
        <v>50.890910757645877</v>
      </c>
    </row>
    <row r="763" spans="1:17" x14ac:dyDescent="0.3">
      <c r="A763" s="34" t="s">
        <v>6897</v>
      </c>
      <c r="B763" s="34" t="s">
        <v>765</v>
      </c>
      <c r="C763" t="s">
        <v>6413</v>
      </c>
      <c r="D763" s="46">
        <v>45560.367094907408</v>
      </c>
      <c r="E763" s="46">
        <v>45576.367094907408</v>
      </c>
      <c r="F763" s="27">
        <v>42589.11</v>
      </c>
      <c r="G763" s="34">
        <v>1</v>
      </c>
      <c r="H763" s="34">
        <v>1</v>
      </c>
      <c r="I763" t="s">
        <v>7038</v>
      </c>
      <c r="J763">
        <v>6</v>
      </c>
      <c r="Q763">
        <v>50.843586745525045</v>
      </c>
    </row>
    <row r="764" spans="1:17" x14ac:dyDescent="0.3">
      <c r="A764" s="34" t="s">
        <v>6898</v>
      </c>
      <c r="B764" s="34" t="s">
        <v>765</v>
      </c>
      <c r="C764" t="s">
        <v>6413</v>
      </c>
      <c r="D764" s="46">
        <v>45565.36787037037</v>
      </c>
      <c r="E764" s="46">
        <v>45576.36787037037</v>
      </c>
      <c r="F764" s="27">
        <v>42589.11</v>
      </c>
      <c r="G764" s="34">
        <v>1</v>
      </c>
      <c r="H764" s="34">
        <v>1</v>
      </c>
      <c r="I764" t="s">
        <v>7038</v>
      </c>
      <c r="J764">
        <v>6</v>
      </c>
      <c r="Q764">
        <v>50.808268630069065</v>
      </c>
    </row>
    <row r="765" spans="1:17" x14ac:dyDescent="0.3">
      <c r="A765" s="34" t="s">
        <v>6899</v>
      </c>
      <c r="B765" s="34" t="s">
        <v>765</v>
      </c>
      <c r="C765" t="s">
        <v>6413</v>
      </c>
      <c r="D765" s="46">
        <v>45561.701180555552</v>
      </c>
      <c r="E765" s="46">
        <v>45575.701180555552</v>
      </c>
      <c r="F765" s="27">
        <v>42589.11</v>
      </c>
      <c r="G765" s="34">
        <v>1</v>
      </c>
      <c r="H765" s="34">
        <v>1</v>
      </c>
      <c r="I765" t="s">
        <v>7038</v>
      </c>
      <c r="J765">
        <v>6</v>
      </c>
      <c r="Q765">
        <v>50.76064161561758</v>
      </c>
    </row>
    <row r="766" spans="1:17" x14ac:dyDescent="0.3">
      <c r="A766" s="34" t="s">
        <v>6900</v>
      </c>
      <c r="B766" s="34" t="s">
        <v>765</v>
      </c>
      <c r="C766" t="s">
        <v>6413</v>
      </c>
      <c r="D766" s="46">
        <v>45562.701956018522</v>
      </c>
      <c r="E766" s="46">
        <v>45575.701956018522</v>
      </c>
      <c r="F766" s="27">
        <v>42589.11</v>
      </c>
      <c r="G766" s="34">
        <v>1</v>
      </c>
      <c r="H766" s="34">
        <v>1</v>
      </c>
      <c r="I766" t="s">
        <v>7038</v>
      </c>
      <c r="J766">
        <v>6</v>
      </c>
      <c r="Q766">
        <v>50.971794764921881</v>
      </c>
    </row>
    <row r="767" spans="1:17" x14ac:dyDescent="0.3">
      <c r="A767" s="34" t="s">
        <v>6901</v>
      </c>
      <c r="B767" s="34" t="s">
        <v>765</v>
      </c>
      <c r="C767" t="s">
        <v>6437</v>
      </c>
      <c r="D767" s="46">
        <v>45562.702743055554</v>
      </c>
      <c r="E767" s="46">
        <v>45575.702743055554</v>
      </c>
      <c r="F767" s="27">
        <v>42589.11</v>
      </c>
      <c r="G767" s="34">
        <v>1</v>
      </c>
      <c r="H767" s="34">
        <v>1</v>
      </c>
      <c r="I767" t="s">
        <v>7038</v>
      </c>
      <c r="J767">
        <v>7</v>
      </c>
      <c r="Q767">
        <v>53.2304055618661</v>
      </c>
    </row>
    <row r="768" spans="1:17" x14ac:dyDescent="0.3">
      <c r="A768" s="34" t="s">
        <v>6902</v>
      </c>
      <c r="B768" s="34" t="s">
        <v>765</v>
      </c>
      <c r="C768" t="s">
        <v>6407</v>
      </c>
      <c r="D768" s="46">
        <v>45561.368657407409</v>
      </c>
      <c r="E768" s="46">
        <v>45576.368657407409</v>
      </c>
      <c r="F768" s="27">
        <v>42589.11</v>
      </c>
      <c r="G768" s="34">
        <v>1</v>
      </c>
      <c r="H768" s="34">
        <v>1</v>
      </c>
      <c r="I768" t="s">
        <v>7038</v>
      </c>
      <c r="J768">
        <v>20</v>
      </c>
      <c r="Q768">
        <v>21.25645322607312</v>
      </c>
    </row>
    <row r="769" spans="1:17" x14ac:dyDescent="0.3">
      <c r="A769" s="34" t="s">
        <v>6903</v>
      </c>
      <c r="B769" s="34" t="s">
        <v>765</v>
      </c>
      <c r="C769" t="s">
        <v>6494</v>
      </c>
      <c r="D769" s="46">
        <v>45559.703518518516</v>
      </c>
      <c r="E769" s="46">
        <v>45575.703518518516</v>
      </c>
      <c r="F769" s="27">
        <v>42589.11</v>
      </c>
      <c r="G769" s="34">
        <v>1</v>
      </c>
      <c r="H769" s="34">
        <v>1</v>
      </c>
      <c r="I769" t="s">
        <v>7038</v>
      </c>
      <c r="J769">
        <v>10</v>
      </c>
      <c r="Q769">
        <v>60.843009010349391</v>
      </c>
    </row>
    <row r="770" spans="1:17" x14ac:dyDescent="0.3">
      <c r="A770" s="34" t="s">
        <v>6904</v>
      </c>
      <c r="B770" s="34" t="s">
        <v>765</v>
      </c>
      <c r="C770" t="s">
        <v>6494</v>
      </c>
      <c r="D770" s="46">
        <v>45564.704293981478</v>
      </c>
      <c r="E770" s="46">
        <v>45575.704293981478</v>
      </c>
      <c r="F770" s="27">
        <v>42589.11</v>
      </c>
      <c r="G770" s="34">
        <v>1</v>
      </c>
      <c r="H770" s="34">
        <v>1</v>
      </c>
      <c r="I770" t="s">
        <v>7038</v>
      </c>
      <c r="J770">
        <v>10</v>
      </c>
      <c r="Q770">
        <v>67.398456186761564</v>
      </c>
    </row>
    <row r="771" spans="1:17" x14ac:dyDescent="0.3">
      <c r="A771" s="34" t="s">
        <v>6905</v>
      </c>
      <c r="B771" s="34" t="s">
        <v>765</v>
      </c>
      <c r="C771" t="s">
        <v>6407</v>
      </c>
      <c r="D771" s="46">
        <v>45567.384895833333</v>
      </c>
      <c r="E771" s="46">
        <v>45581.384895833333</v>
      </c>
      <c r="F771" s="27">
        <v>42589.11</v>
      </c>
      <c r="G771" s="34">
        <v>1</v>
      </c>
      <c r="H771" s="34">
        <v>1</v>
      </c>
      <c r="I771" t="s">
        <v>7038</v>
      </c>
      <c r="J771">
        <v>20</v>
      </c>
      <c r="Q771">
        <v>21.611917155817718</v>
      </c>
    </row>
    <row r="772" spans="1:17" x14ac:dyDescent="0.3">
      <c r="A772" s="34" t="s">
        <v>6906</v>
      </c>
      <c r="B772" s="34" t="s">
        <v>765</v>
      </c>
      <c r="C772" t="s">
        <v>6413</v>
      </c>
      <c r="D772" s="46">
        <v>45562.705069444448</v>
      </c>
      <c r="E772" s="46">
        <v>45575.705069444448</v>
      </c>
      <c r="F772" s="27">
        <v>42589.11</v>
      </c>
      <c r="G772" s="34">
        <v>1</v>
      </c>
      <c r="H772" s="34">
        <v>1</v>
      </c>
      <c r="I772" t="s">
        <v>7038</v>
      </c>
      <c r="J772">
        <v>6</v>
      </c>
      <c r="Q772">
        <v>51.055790800190863</v>
      </c>
    </row>
    <row r="773" spans="1:17" x14ac:dyDescent="0.3">
      <c r="A773" s="34" t="s">
        <v>6907</v>
      </c>
      <c r="B773" s="34" t="s">
        <v>765</v>
      </c>
      <c r="C773" t="s">
        <v>6413</v>
      </c>
      <c r="D773" s="46">
        <v>45561.369421296295</v>
      </c>
      <c r="E773" s="46">
        <v>45576.369421296295</v>
      </c>
      <c r="F773" s="27">
        <v>42589.11</v>
      </c>
      <c r="G773" s="34">
        <v>1</v>
      </c>
      <c r="H773" s="34">
        <v>1</v>
      </c>
      <c r="I773" t="s">
        <v>7038</v>
      </c>
      <c r="J773">
        <v>6</v>
      </c>
      <c r="Q773">
        <v>50.990705492047773</v>
      </c>
    </row>
    <row r="774" spans="1:17" x14ac:dyDescent="0.3">
      <c r="A774" s="34" t="s">
        <v>6908</v>
      </c>
      <c r="B774" s="34" t="s">
        <v>765</v>
      </c>
      <c r="C774" t="s">
        <v>6413</v>
      </c>
      <c r="D774" s="46">
        <v>45560.370196759257</v>
      </c>
      <c r="E774" s="46">
        <v>45576.370196759257</v>
      </c>
      <c r="F774" s="27">
        <v>42589.11</v>
      </c>
      <c r="G774" s="34">
        <v>1</v>
      </c>
      <c r="H774" s="34">
        <v>1</v>
      </c>
      <c r="I774" t="s">
        <v>7038</v>
      </c>
      <c r="J774">
        <v>6</v>
      </c>
      <c r="Q774">
        <v>50.942658752769873</v>
      </c>
    </row>
    <row r="775" spans="1:17" x14ac:dyDescent="0.3">
      <c r="A775" s="34" t="s">
        <v>6909</v>
      </c>
      <c r="B775" s="34" t="s">
        <v>765</v>
      </c>
      <c r="C775" t="s">
        <v>6413</v>
      </c>
      <c r="D775" s="46">
        <v>45585.713159722225</v>
      </c>
      <c r="E775" s="46">
        <v>45596.713159722225</v>
      </c>
      <c r="F775" s="27">
        <v>42589.11</v>
      </c>
      <c r="G775" s="34">
        <v>1</v>
      </c>
      <c r="H775" s="34">
        <v>1</v>
      </c>
      <c r="I775" t="s">
        <v>7038</v>
      </c>
      <c r="J775">
        <v>6</v>
      </c>
      <c r="Q775">
        <v>50.997827638759937</v>
      </c>
    </row>
    <row r="776" spans="1:17" x14ac:dyDescent="0.3">
      <c r="A776" s="34" t="s">
        <v>6910</v>
      </c>
      <c r="B776" s="34" t="s">
        <v>765</v>
      </c>
      <c r="C776" t="s">
        <v>6413</v>
      </c>
      <c r="D776" s="46">
        <v>45562.397106481483</v>
      </c>
      <c r="E776" s="46">
        <v>45576.397106481483</v>
      </c>
      <c r="F776" s="27">
        <v>42589.11</v>
      </c>
      <c r="G776" s="34">
        <v>1</v>
      </c>
      <c r="H776" s="34">
        <v>1</v>
      </c>
      <c r="I776" t="s">
        <v>7038</v>
      </c>
      <c r="J776">
        <v>6</v>
      </c>
      <c r="Q776">
        <v>51.020213769228498</v>
      </c>
    </row>
    <row r="777" spans="1:17" x14ac:dyDescent="0.3">
      <c r="A777" s="34" t="s">
        <v>6911</v>
      </c>
      <c r="B777" s="34" t="s">
        <v>765</v>
      </c>
      <c r="C777" t="s">
        <v>6413</v>
      </c>
      <c r="D777" s="46">
        <v>45562.70584490741</v>
      </c>
      <c r="E777" s="46">
        <v>45575.70584490741</v>
      </c>
      <c r="F777" s="27">
        <v>42589.11</v>
      </c>
      <c r="G777" s="34">
        <v>1</v>
      </c>
      <c r="H777" s="34">
        <v>1</v>
      </c>
      <c r="I777" t="s">
        <v>7038</v>
      </c>
      <c r="J777">
        <v>6</v>
      </c>
      <c r="Q777">
        <v>51.056732142981275</v>
      </c>
    </row>
    <row r="778" spans="1:17" x14ac:dyDescent="0.3">
      <c r="A778" s="34" t="s">
        <v>6912</v>
      </c>
      <c r="B778" s="34" t="s">
        <v>765</v>
      </c>
      <c r="C778" t="s">
        <v>6494</v>
      </c>
      <c r="D778" s="46">
        <v>45594.601666666669</v>
      </c>
      <c r="E778" s="46">
        <v>45607.601666666669</v>
      </c>
      <c r="F778" s="27">
        <v>42589.11</v>
      </c>
      <c r="G778" s="34">
        <v>1</v>
      </c>
      <c r="H778" s="34">
        <v>1</v>
      </c>
      <c r="I778" t="s">
        <v>7038</v>
      </c>
      <c r="J778">
        <v>10</v>
      </c>
      <c r="Q778">
        <v>26.059926270263077</v>
      </c>
    </row>
    <row r="779" spans="1:17" x14ac:dyDescent="0.3">
      <c r="A779" s="34" t="s">
        <v>6913</v>
      </c>
      <c r="B779" s="34" t="s">
        <v>765</v>
      </c>
      <c r="C779" t="s">
        <v>6478</v>
      </c>
      <c r="D779" s="46">
        <v>45566.38590277778</v>
      </c>
      <c r="E779" s="46">
        <v>45581.38590277778</v>
      </c>
      <c r="F779" s="27">
        <v>42589.11</v>
      </c>
      <c r="G779" s="34">
        <v>1</v>
      </c>
      <c r="H779" s="34">
        <v>1</v>
      </c>
      <c r="I779" t="s">
        <v>7038</v>
      </c>
      <c r="J779">
        <v>25</v>
      </c>
      <c r="Q779">
        <v>12.801843508815242</v>
      </c>
    </row>
    <row r="780" spans="1:17" x14ac:dyDescent="0.3">
      <c r="A780" s="34" t="s">
        <v>6914</v>
      </c>
      <c r="B780" s="34" t="s">
        <v>765</v>
      </c>
      <c r="C780" t="s">
        <v>6478</v>
      </c>
      <c r="D780" s="46">
        <v>45565.38689814815</v>
      </c>
      <c r="E780" s="46">
        <v>45581.38689814815</v>
      </c>
      <c r="F780" s="27">
        <v>42589.11</v>
      </c>
      <c r="G780" s="34">
        <v>1</v>
      </c>
      <c r="H780" s="34">
        <v>1</v>
      </c>
      <c r="I780" t="s">
        <v>7038</v>
      </c>
      <c r="J780">
        <v>25</v>
      </c>
      <c r="Q780">
        <v>12.783381778756434</v>
      </c>
    </row>
    <row r="781" spans="1:17" x14ac:dyDescent="0.3">
      <c r="A781" s="34" t="s">
        <v>6915</v>
      </c>
      <c r="B781" s="34" t="s">
        <v>765</v>
      </c>
      <c r="C781" t="s">
        <v>6407</v>
      </c>
      <c r="D781" s="46">
        <v>45570.38789351852</v>
      </c>
      <c r="E781" s="46">
        <v>45581.38789351852</v>
      </c>
      <c r="F781" s="27">
        <v>42589.11</v>
      </c>
      <c r="G781" s="34">
        <v>1</v>
      </c>
      <c r="H781" s="34">
        <v>1</v>
      </c>
      <c r="I781" t="s">
        <v>7038</v>
      </c>
      <c r="J781">
        <v>20</v>
      </c>
      <c r="Q781">
        <v>19.449572359837191</v>
      </c>
    </row>
    <row r="782" spans="1:17" x14ac:dyDescent="0.3">
      <c r="A782" s="34" t="s">
        <v>6916</v>
      </c>
      <c r="B782" s="34" t="s">
        <v>765</v>
      </c>
      <c r="C782" t="s">
        <v>6407</v>
      </c>
      <c r="D782" s="46">
        <v>45582.714166666665</v>
      </c>
      <c r="E782" s="46">
        <v>45596.714166666665</v>
      </c>
      <c r="F782" s="27">
        <v>42589.11</v>
      </c>
      <c r="G782" s="34">
        <v>1</v>
      </c>
      <c r="H782" s="34">
        <v>1</v>
      </c>
      <c r="I782" t="s">
        <v>7038</v>
      </c>
      <c r="J782">
        <v>20</v>
      </c>
      <c r="Q782">
        <v>22.984139181135227</v>
      </c>
    </row>
    <row r="783" spans="1:17" x14ac:dyDescent="0.3">
      <c r="A783" s="34" t="s">
        <v>6917</v>
      </c>
      <c r="B783" s="34" t="s">
        <v>765</v>
      </c>
      <c r="C783" t="s">
        <v>6494</v>
      </c>
      <c r="D783" s="46">
        <v>45568.388888888891</v>
      </c>
      <c r="E783" s="46">
        <v>45581.388888888891</v>
      </c>
      <c r="F783" s="27">
        <v>42589.11</v>
      </c>
      <c r="G783" s="34">
        <v>1</v>
      </c>
      <c r="H783" s="34">
        <v>1</v>
      </c>
      <c r="I783" t="s">
        <v>7038</v>
      </c>
      <c r="J783">
        <v>10</v>
      </c>
      <c r="Q783">
        <v>58.372922966539406</v>
      </c>
    </row>
    <row r="784" spans="1:17" x14ac:dyDescent="0.3">
      <c r="A784" s="34" t="s">
        <v>6918</v>
      </c>
      <c r="B784" s="34" t="s">
        <v>765</v>
      </c>
      <c r="C784" t="s">
        <v>6413</v>
      </c>
      <c r="D784" s="46">
        <v>45581.715162037035</v>
      </c>
      <c r="E784" s="46">
        <v>45596.715162037035</v>
      </c>
      <c r="F784" s="27">
        <v>42589.11</v>
      </c>
      <c r="G784" s="34">
        <v>1</v>
      </c>
      <c r="H784" s="34">
        <v>1</v>
      </c>
      <c r="I784" t="s">
        <v>7038</v>
      </c>
      <c r="J784">
        <v>6</v>
      </c>
      <c r="Q784">
        <v>79.730799773881941</v>
      </c>
    </row>
    <row r="785" spans="1:17" x14ac:dyDescent="0.3">
      <c r="A785" s="34" t="s">
        <v>6919</v>
      </c>
      <c r="B785" s="34" t="s">
        <v>765</v>
      </c>
      <c r="C785" t="s">
        <v>6413</v>
      </c>
      <c r="D785" s="46">
        <v>45560.397881944446</v>
      </c>
      <c r="E785" s="46">
        <v>45576.397881944446</v>
      </c>
      <c r="F785" s="27">
        <v>42589.11</v>
      </c>
      <c r="G785" s="34">
        <v>1</v>
      </c>
      <c r="H785" s="34">
        <v>1</v>
      </c>
      <c r="I785" t="s">
        <v>7038</v>
      </c>
      <c r="J785">
        <v>6</v>
      </c>
      <c r="Q785">
        <v>79.717764846628469</v>
      </c>
    </row>
    <row r="786" spans="1:17" x14ac:dyDescent="0.3">
      <c r="A786" s="34" t="s">
        <v>6920</v>
      </c>
      <c r="B786" s="34" t="s">
        <v>765</v>
      </c>
      <c r="C786" t="s">
        <v>6413</v>
      </c>
      <c r="D786" s="46">
        <v>45565.398657407408</v>
      </c>
      <c r="E786" s="46">
        <v>45576.398657407408</v>
      </c>
      <c r="F786" s="27">
        <v>42589.11</v>
      </c>
      <c r="G786" s="34">
        <v>1</v>
      </c>
      <c r="H786" s="34">
        <v>1</v>
      </c>
      <c r="I786" t="s">
        <v>7038</v>
      </c>
      <c r="J786">
        <v>6</v>
      </c>
      <c r="Q786">
        <v>305.40182344456736</v>
      </c>
    </row>
    <row r="787" spans="1:17" x14ac:dyDescent="0.3">
      <c r="A787" s="34" t="s">
        <v>6921</v>
      </c>
      <c r="B787" s="34" t="s">
        <v>765</v>
      </c>
      <c r="C787" t="s">
        <v>6413</v>
      </c>
      <c r="D787" s="46">
        <v>45562.39943287037</v>
      </c>
      <c r="E787" s="46">
        <v>45576.39943287037</v>
      </c>
      <c r="F787" s="27">
        <v>42589.11</v>
      </c>
      <c r="G787" s="34">
        <v>1</v>
      </c>
      <c r="H787" s="34">
        <v>1</v>
      </c>
      <c r="I787" t="s">
        <v>7038</v>
      </c>
      <c r="J787">
        <v>6</v>
      </c>
      <c r="Q787">
        <v>305.36344323815536</v>
      </c>
    </row>
    <row r="788" spans="1:17" x14ac:dyDescent="0.3">
      <c r="A788" s="34" t="s">
        <v>6922</v>
      </c>
      <c r="B788" s="34" t="s">
        <v>765</v>
      </c>
      <c r="C788" t="s">
        <v>6413</v>
      </c>
      <c r="D788" s="46">
        <v>45568.389907407407</v>
      </c>
      <c r="E788" s="46">
        <v>45581.389907407407</v>
      </c>
      <c r="F788" s="27">
        <v>42589.11</v>
      </c>
      <c r="G788" s="34">
        <v>1</v>
      </c>
      <c r="H788" s="34">
        <v>1</v>
      </c>
      <c r="I788" t="s">
        <v>7038</v>
      </c>
      <c r="J788">
        <v>6</v>
      </c>
      <c r="Q788">
        <v>79.673444876020767</v>
      </c>
    </row>
    <row r="789" spans="1:17" x14ac:dyDescent="0.3">
      <c r="A789" s="34" t="s">
        <v>6923</v>
      </c>
      <c r="B789" s="34" t="s">
        <v>765</v>
      </c>
      <c r="C789" t="s">
        <v>6494</v>
      </c>
      <c r="D789" s="46">
        <v>45561.400196759256</v>
      </c>
      <c r="E789" s="46">
        <v>45576.400196759256</v>
      </c>
      <c r="F789" s="27">
        <v>42589.11</v>
      </c>
      <c r="G789" s="34">
        <v>1</v>
      </c>
      <c r="H789" s="34">
        <v>1</v>
      </c>
      <c r="I789" t="s">
        <v>7038</v>
      </c>
      <c r="J789">
        <v>10</v>
      </c>
      <c r="Q789">
        <v>74.607861722763332</v>
      </c>
    </row>
    <row r="790" spans="1:17" x14ac:dyDescent="0.3">
      <c r="A790" s="34" t="s">
        <v>6924</v>
      </c>
      <c r="B790" s="34" t="s">
        <v>765</v>
      </c>
      <c r="C790" t="s">
        <v>6407</v>
      </c>
      <c r="D790" s="46">
        <v>45565.390902777777</v>
      </c>
      <c r="E790" s="46">
        <v>45581.390902777777</v>
      </c>
      <c r="F790" s="27">
        <v>42589.11</v>
      </c>
      <c r="G790" s="34">
        <v>1</v>
      </c>
      <c r="H790" s="34">
        <v>1</v>
      </c>
      <c r="I790" t="s">
        <v>7038</v>
      </c>
      <c r="J790">
        <v>20</v>
      </c>
      <c r="Q790">
        <v>17.842822160730126</v>
      </c>
    </row>
    <row r="791" spans="1:17" x14ac:dyDescent="0.3">
      <c r="A791" s="34" t="s">
        <v>6925</v>
      </c>
      <c r="B791" s="34" t="s">
        <v>765</v>
      </c>
      <c r="C791" t="s">
        <v>6413</v>
      </c>
      <c r="D791" s="46">
        <v>45570.391898148147</v>
      </c>
      <c r="E791" s="46">
        <v>45581.391898148147</v>
      </c>
      <c r="F791" s="27">
        <v>42589.11</v>
      </c>
      <c r="G791" s="34">
        <v>1</v>
      </c>
      <c r="H791" s="34">
        <v>1</v>
      </c>
      <c r="I791" t="s">
        <v>7038</v>
      </c>
      <c r="J791">
        <v>6</v>
      </c>
      <c r="Q791">
        <v>129.71267165697915</v>
      </c>
    </row>
    <row r="792" spans="1:17" x14ac:dyDescent="0.3">
      <c r="A792" s="34" t="s">
        <v>6926</v>
      </c>
      <c r="B792" s="34" t="s">
        <v>765</v>
      </c>
      <c r="C792" t="s">
        <v>6413</v>
      </c>
      <c r="D792" s="46">
        <v>45562.400983796295</v>
      </c>
      <c r="E792" s="46">
        <v>45576.400983796295</v>
      </c>
      <c r="F792" s="27">
        <v>42589.11</v>
      </c>
      <c r="G792" s="34">
        <v>1</v>
      </c>
      <c r="H792" s="34">
        <v>1</v>
      </c>
      <c r="I792" t="s">
        <v>7038</v>
      </c>
      <c r="J792">
        <v>6</v>
      </c>
      <c r="Q792">
        <v>129.683160481767</v>
      </c>
    </row>
    <row r="793" spans="1:17" x14ac:dyDescent="0.3">
      <c r="A793" s="34" t="s">
        <v>6927</v>
      </c>
      <c r="B793" s="34" t="s">
        <v>765</v>
      </c>
      <c r="C793" t="s">
        <v>6413</v>
      </c>
      <c r="D793" s="46">
        <v>45563.401759259257</v>
      </c>
      <c r="E793" s="46">
        <v>45576.401759259257</v>
      </c>
      <c r="F793" s="27">
        <v>42589.11</v>
      </c>
      <c r="G793" s="34">
        <v>1</v>
      </c>
      <c r="H793" s="34">
        <v>1</v>
      </c>
      <c r="I793" t="s">
        <v>7038</v>
      </c>
      <c r="J793">
        <v>6</v>
      </c>
      <c r="Q793">
        <v>129.69704487762053</v>
      </c>
    </row>
    <row r="794" spans="1:17" x14ac:dyDescent="0.3">
      <c r="A794" s="34" t="s">
        <v>6928</v>
      </c>
      <c r="B794" s="34" t="s">
        <v>765</v>
      </c>
      <c r="C794" t="s">
        <v>6413</v>
      </c>
      <c r="D794" s="46">
        <v>45563.40253472222</v>
      </c>
      <c r="E794" s="46">
        <v>45576.40253472222</v>
      </c>
      <c r="F794" s="27">
        <v>42589.11</v>
      </c>
      <c r="G794" s="34">
        <v>1</v>
      </c>
      <c r="H794" s="34">
        <v>1</v>
      </c>
      <c r="I794" t="s">
        <v>7038</v>
      </c>
      <c r="J794">
        <v>6</v>
      </c>
      <c r="Q794">
        <v>129.72185890456672</v>
      </c>
    </row>
    <row r="795" spans="1:17" x14ac:dyDescent="0.3">
      <c r="A795" s="34" t="s">
        <v>6929</v>
      </c>
      <c r="B795" s="34" t="s">
        <v>765</v>
      </c>
      <c r="C795" t="s">
        <v>6413</v>
      </c>
      <c r="D795" s="46">
        <v>45561.403310185182</v>
      </c>
      <c r="E795" s="46">
        <v>45576.403310185182</v>
      </c>
      <c r="F795" s="27">
        <v>42589.11</v>
      </c>
      <c r="G795" s="34">
        <v>1</v>
      </c>
      <c r="H795" s="34">
        <v>1</v>
      </c>
      <c r="I795" t="s">
        <v>7038</v>
      </c>
      <c r="J795">
        <v>6</v>
      </c>
      <c r="Q795">
        <v>79.759546292677342</v>
      </c>
    </row>
    <row r="796" spans="1:17" x14ac:dyDescent="0.3">
      <c r="A796" s="34" t="s">
        <v>6930</v>
      </c>
      <c r="B796" s="34" t="s">
        <v>765</v>
      </c>
      <c r="C796" t="s">
        <v>6413</v>
      </c>
      <c r="D796" s="46">
        <v>45560.404097222221</v>
      </c>
      <c r="E796" s="46">
        <v>45576.404097222221</v>
      </c>
      <c r="F796" s="27">
        <v>42589.11</v>
      </c>
      <c r="G796" s="34">
        <v>1</v>
      </c>
      <c r="H796" s="34">
        <v>1</v>
      </c>
      <c r="I796" t="s">
        <v>7038</v>
      </c>
      <c r="J796">
        <v>6</v>
      </c>
      <c r="Q796">
        <v>79.739293774394326</v>
      </c>
    </row>
    <row r="797" spans="1:17" x14ac:dyDescent="0.3">
      <c r="A797" s="34" t="s">
        <v>6931</v>
      </c>
      <c r="B797" s="34" t="s">
        <v>765</v>
      </c>
      <c r="C797" t="s">
        <v>6494</v>
      </c>
      <c r="D797" s="46">
        <v>45565.404872685183</v>
      </c>
      <c r="E797" s="46">
        <v>45576.404872685183</v>
      </c>
      <c r="F797" s="27">
        <v>42589.11</v>
      </c>
      <c r="G797" s="34">
        <v>1</v>
      </c>
      <c r="H797" s="34">
        <v>1</v>
      </c>
      <c r="I797" t="s">
        <v>7038</v>
      </c>
      <c r="J797">
        <v>10</v>
      </c>
      <c r="Q797">
        <v>11.623389662642291</v>
      </c>
    </row>
    <row r="798" spans="1:17" x14ac:dyDescent="0.3">
      <c r="A798" s="34" t="s">
        <v>6932</v>
      </c>
      <c r="B798" s="34" t="s">
        <v>765</v>
      </c>
      <c r="C798" t="s">
        <v>6494</v>
      </c>
      <c r="D798" s="46">
        <v>45582.716180555559</v>
      </c>
      <c r="E798" s="46">
        <v>45596.716180555559</v>
      </c>
      <c r="F798" s="27">
        <v>42589.11</v>
      </c>
      <c r="G798" s="34">
        <v>1</v>
      </c>
      <c r="H798" s="34">
        <v>1</v>
      </c>
      <c r="I798" t="s">
        <v>7038</v>
      </c>
      <c r="J798">
        <v>10</v>
      </c>
      <c r="Q798">
        <v>40.4926303236658</v>
      </c>
    </row>
    <row r="799" spans="1:17" x14ac:dyDescent="0.3">
      <c r="A799" s="34" t="s">
        <v>6933</v>
      </c>
      <c r="B799" s="34" t="s">
        <v>765</v>
      </c>
      <c r="C799" t="s">
        <v>6494</v>
      </c>
      <c r="D799" s="46">
        <v>45583.717175925929</v>
      </c>
      <c r="E799" s="46">
        <v>45596.717175925929</v>
      </c>
      <c r="F799" s="27">
        <v>42589.11</v>
      </c>
      <c r="G799" s="34">
        <v>1</v>
      </c>
      <c r="H799" s="34">
        <v>1</v>
      </c>
      <c r="I799" t="s">
        <v>7038</v>
      </c>
      <c r="J799">
        <v>10</v>
      </c>
      <c r="Q799">
        <v>37.438086159107151</v>
      </c>
    </row>
    <row r="800" spans="1:17" x14ac:dyDescent="0.3">
      <c r="A800" s="34" t="s">
        <v>6934</v>
      </c>
      <c r="B800" s="34" t="s">
        <v>765</v>
      </c>
      <c r="C800" t="s">
        <v>6347</v>
      </c>
      <c r="D800" s="46">
        <v>45566.392928240741</v>
      </c>
      <c r="E800" s="46">
        <v>45581.392928240741</v>
      </c>
      <c r="F800" s="27">
        <v>42589.11</v>
      </c>
      <c r="G800" s="34">
        <v>1</v>
      </c>
      <c r="H800" s="34">
        <v>1</v>
      </c>
      <c r="I800" t="s">
        <v>7038</v>
      </c>
      <c r="J800">
        <v>16</v>
      </c>
      <c r="Q800">
        <v>13.008873447431334</v>
      </c>
    </row>
    <row r="801" spans="1:17" x14ac:dyDescent="0.3">
      <c r="A801" s="34" t="s">
        <v>6935</v>
      </c>
      <c r="B801" s="34" t="s">
        <v>765</v>
      </c>
      <c r="C801" t="s">
        <v>6347</v>
      </c>
      <c r="D801" s="46">
        <v>45565.393935185188</v>
      </c>
      <c r="E801" s="46">
        <v>45581.393935185188</v>
      </c>
      <c r="F801" s="27">
        <v>42589.11</v>
      </c>
      <c r="G801" s="34">
        <v>1</v>
      </c>
      <c r="H801" s="34">
        <v>1</v>
      </c>
      <c r="I801" t="s">
        <v>7038</v>
      </c>
      <c r="J801">
        <v>16</v>
      </c>
      <c r="Q801">
        <v>17.118712571161272</v>
      </c>
    </row>
    <row r="802" spans="1:17" x14ac:dyDescent="0.3">
      <c r="A802" s="34" t="s">
        <v>6936</v>
      </c>
      <c r="B802" s="34" t="s">
        <v>765</v>
      </c>
      <c r="C802" t="s">
        <v>6413</v>
      </c>
      <c r="D802" s="46">
        <v>45570.66982638889</v>
      </c>
      <c r="E802" s="46">
        <v>45581.66982638889</v>
      </c>
      <c r="F802" s="27">
        <v>42589.11</v>
      </c>
      <c r="G802" s="34">
        <v>1</v>
      </c>
      <c r="H802" s="34">
        <v>1</v>
      </c>
      <c r="I802" t="s">
        <v>7038</v>
      </c>
      <c r="J802">
        <v>6</v>
      </c>
      <c r="Q802">
        <v>102.78287253801811</v>
      </c>
    </row>
    <row r="803" spans="1:17" x14ac:dyDescent="0.3">
      <c r="A803" s="34" t="s">
        <v>6937</v>
      </c>
      <c r="B803" s="34" t="s">
        <v>765</v>
      </c>
      <c r="C803" t="s">
        <v>6413</v>
      </c>
      <c r="D803" s="46">
        <v>45567.394930555558</v>
      </c>
      <c r="E803" s="46">
        <v>45581.394930555558</v>
      </c>
      <c r="F803" s="27">
        <v>42589.11</v>
      </c>
      <c r="G803" s="34">
        <v>1</v>
      </c>
      <c r="H803" s="34">
        <v>1</v>
      </c>
      <c r="I803" t="s">
        <v>7038</v>
      </c>
      <c r="J803">
        <v>6</v>
      </c>
      <c r="Q803">
        <v>103.05065836825402</v>
      </c>
    </row>
    <row r="804" spans="1:17" x14ac:dyDescent="0.3">
      <c r="A804" s="34" t="s">
        <v>6938</v>
      </c>
      <c r="B804" s="34" t="s">
        <v>765</v>
      </c>
      <c r="C804" t="s">
        <v>6413</v>
      </c>
      <c r="D804" s="46">
        <v>45568.395949074074</v>
      </c>
      <c r="E804" s="46">
        <v>45581.395949074074</v>
      </c>
      <c r="F804" s="27">
        <v>42589.11</v>
      </c>
      <c r="G804" s="34">
        <v>1</v>
      </c>
      <c r="H804" s="34">
        <v>1</v>
      </c>
      <c r="I804" t="s">
        <v>7038</v>
      </c>
      <c r="J804">
        <v>6</v>
      </c>
      <c r="Q804">
        <v>103.12186820938896</v>
      </c>
    </row>
    <row r="805" spans="1:17" x14ac:dyDescent="0.3">
      <c r="A805" s="34" t="s">
        <v>6939</v>
      </c>
      <c r="B805" s="34" t="s">
        <v>765</v>
      </c>
      <c r="C805" t="s">
        <v>6347</v>
      </c>
      <c r="D805" s="46">
        <v>45568.396956018521</v>
      </c>
      <c r="E805" s="46">
        <v>45581.396956018521</v>
      </c>
      <c r="F805" s="27">
        <v>42589.11</v>
      </c>
      <c r="G805" s="34">
        <v>1</v>
      </c>
      <c r="H805" s="34">
        <v>1</v>
      </c>
      <c r="I805" t="s">
        <v>7038</v>
      </c>
      <c r="J805">
        <v>16</v>
      </c>
      <c r="Q805">
        <v>12.828283562200768</v>
      </c>
    </row>
    <row r="806" spans="1:17" x14ac:dyDescent="0.3">
      <c r="A806" s="34" t="s">
        <v>6940</v>
      </c>
      <c r="B806" s="34" t="s">
        <v>765</v>
      </c>
      <c r="C806" t="s">
        <v>6413</v>
      </c>
      <c r="D806" s="46">
        <v>45566.397951388892</v>
      </c>
      <c r="E806" s="46">
        <v>45581.397951388892</v>
      </c>
      <c r="F806" s="27">
        <v>42589.11</v>
      </c>
      <c r="G806" s="34">
        <v>1</v>
      </c>
      <c r="H806" s="34">
        <v>1</v>
      </c>
      <c r="I806" t="s">
        <v>7038</v>
      </c>
      <c r="J806">
        <v>6</v>
      </c>
      <c r="Q806">
        <v>75.598164370496562</v>
      </c>
    </row>
    <row r="807" spans="1:17" x14ac:dyDescent="0.3">
      <c r="A807" s="34" t="s">
        <v>6941</v>
      </c>
      <c r="B807" s="34" t="s">
        <v>765</v>
      </c>
      <c r="C807" t="s">
        <v>6377</v>
      </c>
      <c r="D807" s="46">
        <v>45560.405648148146</v>
      </c>
      <c r="E807" s="46">
        <v>45576.405648148146</v>
      </c>
      <c r="F807" s="27">
        <v>42589.11</v>
      </c>
      <c r="G807" s="34">
        <v>1</v>
      </c>
      <c r="H807" s="34">
        <v>1</v>
      </c>
      <c r="I807" t="s">
        <v>7038</v>
      </c>
      <c r="J807">
        <v>5</v>
      </c>
      <c r="Q807">
        <v>38.012581607710509</v>
      </c>
    </row>
    <row r="808" spans="1:17" x14ac:dyDescent="0.3">
      <c r="A808" s="34" t="s">
        <v>6942</v>
      </c>
      <c r="B808" s="34" t="s">
        <v>765</v>
      </c>
      <c r="C808" t="s">
        <v>6377</v>
      </c>
      <c r="D808" s="46">
        <v>45585.718194444446</v>
      </c>
      <c r="E808" s="46">
        <v>45596.718194444446</v>
      </c>
      <c r="F808" s="27">
        <v>42589.11</v>
      </c>
      <c r="G808" s="34">
        <v>1</v>
      </c>
      <c r="H808" s="34">
        <v>1</v>
      </c>
      <c r="I808" t="s">
        <v>7038</v>
      </c>
      <c r="J808">
        <v>5</v>
      </c>
      <c r="Q808">
        <v>31.867845611302858</v>
      </c>
    </row>
    <row r="809" spans="1:17" x14ac:dyDescent="0.3">
      <c r="A809" s="34" t="s">
        <v>6943</v>
      </c>
      <c r="B809" s="34" t="s">
        <v>765</v>
      </c>
      <c r="C809" t="s">
        <v>6494</v>
      </c>
      <c r="D809" s="46">
        <v>45562.370972222219</v>
      </c>
      <c r="E809" s="46">
        <v>45576.370972222219</v>
      </c>
      <c r="F809" s="27">
        <v>42589.11</v>
      </c>
      <c r="G809" s="34">
        <v>1</v>
      </c>
      <c r="H809" s="34">
        <v>1</v>
      </c>
      <c r="I809" t="s">
        <v>7038</v>
      </c>
      <c r="J809">
        <v>10</v>
      </c>
      <c r="Q809">
        <v>86.998165656154612</v>
      </c>
    </row>
    <row r="810" spans="1:17" x14ac:dyDescent="0.3">
      <c r="A810" s="34" t="s">
        <v>6944</v>
      </c>
      <c r="B810" s="34" t="s">
        <v>765</v>
      </c>
      <c r="C810" t="s">
        <v>6494</v>
      </c>
      <c r="D810" s="46">
        <v>45563.371747685182</v>
      </c>
      <c r="E810" s="46">
        <v>45576.371747685182</v>
      </c>
      <c r="F810" s="27">
        <v>42589.11</v>
      </c>
      <c r="G810" s="34">
        <v>1</v>
      </c>
      <c r="H810" s="34">
        <v>1</v>
      </c>
      <c r="I810" t="s">
        <v>7038</v>
      </c>
      <c r="J810">
        <v>10</v>
      </c>
      <c r="Q810">
        <v>87.112334673970594</v>
      </c>
    </row>
    <row r="811" spans="1:17" x14ac:dyDescent="0.3">
      <c r="A811" s="34" t="s">
        <v>6945</v>
      </c>
      <c r="B811" s="34" t="s">
        <v>765</v>
      </c>
      <c r="C811" t="s">
        <v>6494</v>
      </c>
      <c r="D811" s="46">
        <v>45561.372523148151</v>
      </c>
      <c r="E811" s="46">
        <v>45576.372523148151</v>
      </c>
      <c r="F811" s="27">
        <v>42589.11</v>
      </c>
      <c r="G811" s="34">
        <v>1</v>
      </c>
      <c r="H811" s="34">
        <v>1</v>
      </c>
      <c r="I811" t="s">
        <v>7038</v>
      </c>
      <c r="J811">
        <v>10</v>
      </c>
      <c r="Q811">
        <v>87.360544561011508</v>
      </c>
    </row>
    <row r="812" spans="1:17" x14ac:dyDescent="0.3">
      <c r="A812" s="34" t="s">
        <v>6946</v>
      </c>
      <c r="B812" s="34" t="s">
        <v>765</v>
      </c>
      <c r="C812" t="s">
        <v>6494</v>
      </c>
      <c r="D812" s="46">
        <v>45560.373298611114</v>
      </c>
      <c r="E812" s="46">
        <v>45576.373298611114</v>
      </c>
      <c r="F812" s="27">
        <v>42589.11</v>
      </c>
      <c r="G812" s="34">
        <v>1</v>
      </c>
      <c r="H812" s="34">
        <v>1</v>
      </c>
      <c r="I812" t="s">
        <v>7038</v>
      </c>
      <c r="J812">
        <v>10</v>
      </c>
      <c r="Q812">
        <v>87.305581814119151</v>
      </c>
    </row>
    <row r="813" spans="1:17" x14ac:dyDescent="0.3">
      <c r="A813" s="34" t="s">
        <v>6947</v>
      </c>
      <c r="B813" s="34" t="s">
        <v>765</v>
      </c>
      <c r="C813" t="s">
        <v>6413</v>
      </c>
      <c r="D813" s="46">
        <v>45570.398958333331</v>
      </c>
      <c r="E813" s="46">
        <v>45581.398958333331</v>
      </c>
      <c r="F813" s="27">
        <v>42589.11</v>
      </c>
      <c r="G813" s="34">
        <v>1</v>
      </c>
      <c r="H813" s="34">
        <v>1</v>
      </c>
      <c r="I813" t="s">
        <v>7038</v>
      </c>
      <c r="J813">
        <v>6</v>
      </c>
      <c r="Q813">
        <v>60.019450852268989</v>
      </c>
    </row>
    <row r="814" spans="1:17" x14ac:dyDescent="0.3">
      <c r="A814" s="34" t="s">
        <v>6948</v>
      </c>
      <c r="B814" s="34" t="s">
        <v>765</v>
      </c>
      <c r="C814" t="s">
        <v>6377</v>
      </c>
      <c r="D814" s="46">
        <v>45562.374074074076</v>
      </c>
      <c r="E814" s="46">
        <v>45576.374074074076</v>
      </c>
      <c r="F814" s="27">
        <v>42589.11</v>
      </c>
      <c r="G814" s="34">
        <v>1</v>
      </c>
      <c r="H814" s="34">
        <v>1</v>
      </c>
      <c r="I814" t="s">
        <v>7038</v>
      </c>
      <c r="J814">
        <v>5</v>
      </c>
      <c r="Q814">
        <v>18.016122106795006</v>
      </c>
    </row>
    <row r="815" spans="1:17" x14ac:dyDescent="0.3">
      <c r="A815" s="34" t="s">
        <v>6949</v>
      </c>
      <c r="B815" s="34" t="s">
        <v>765</v>
      </c>
      <c r="C815" t="s">
        <v>6377</v>
      </c>
      <c r="D815" s="46">
        <v>45563.374849537038</v>
      </c>
      <c r="E815" s="46">
        <v>45576.374849537038</v>
      </c>
      <c r="F815" s="27">
        <v>42589.11</v>
      </c>
      <c r="G815" s="34">
        <v>1</v>
      </c>
      <c r="H815" s="34">
        <v>1</v>
      </c>
      <c r="I815" t="s">
        <v>7038</v>
      </c>
      <c r="J815">
        <v>5</v>
      </c>
      <c r="Q815">
        <v>17.271646556276256</v>
      </c>
    </row>
    <row r="816" spans="1:17" x14ac:dyDescent="0.3">
      <c r="A816" s="34" t="s">
        <v>6950</v>
      </c>
      <c r="B816" s="34" t="s">
        <v>765</v>
      </c>
      <c r="C816" t="s">
        <v>6377</v>
      </c>
      <c r="D816" s="46">
        <v>45561.375625000001</v>
      </c>
      <c r="E816" s="46">
        <v>45576.375625000001</v>
      </c>
      <c r="F816" s="27">
        <v>42589.11</v>
      </c>
      <c r="G816" s="34">
        <v>1</v>
      </c>
      <c r="H816" s="34">
        <v>1</v>
      </c>
      <c r="I816" t="s">
        <v>7038</v>
      </c>
      <c r="J816">
        <v>5</v>
      </c>
      <c r="Q816">
        <v>17.202983839221076</v>
      </c>
    </row>
    <row r="817" spans="1:17" x14ac:dyDescent="0.3">
      <c r="A817" s="34" t="s">
        <v>6951</v>
      </c>
      <c r="B817" s="34" t="s">
        <v>765</v>
      </c>
      <c r="C817" t="s">
        <v>6377</v>
      </c>
      <c r="D817" s="46">
        <v>45560.376400462963</v>
      </c>
      <c r="E817" s="46">
        <v>45576.376400462963</v>
      </c>
      <c r="F817" s="27">
        <v>42589.11</v>
      </c>
      <c r="G817" s="34">
        <v>1</v>
      </c>
      <c r="H817" s="34">
        <v>1</v>
      </c>
      <c r="I817" t="s">
        <v>7038</v>
      </c>
      <c r="J817">
        <v>5</v>
      </c>
      <c r="Q817">
        <v>38.002090631485409</v>
      </c>
    </row>
    <row r="818" spans="1:17" x14ac:dyDescent="0.3">
      <c r="A818" s="34" t="s">
        <v>6952</v>
      </c>
      <c r="B818" s="34" t="s">
        <v>765</v>
      </c>
      <c r="C818" t="s">
        <v>6448</v>
      </c>
      <c r="D818" s="46">
        <v>45565.377164351848</v>
      </c>
      <c r="E818" s="46">
        <v>45576.377164351848</v>
      </c>
      <c r="F818" s="27">
        <v>42589.11</v>
      </c>
      <c r="G818" s="34">
        <v>1</v>
      </c>
      <c r="H818" s="34">
        <v>1</v>
      </c>
      <c r="I818" t="s">
        <v>7038</v>
      </c>
      <c r="J818">
        <v>8</v>
      </c>
      <c r="Q818">
        <v>41.936454132143929</v>
      </c>
    </row>
    <row r="819" spans="1:17" x14ac:dyDescent="0.3">
      <c r="A819" s="34" t="s">
        <v>6953</v>
      </c>
      <c r="B819" s="34" t="s">
        <v>765</v>
      </c>
      <c r="C819" t="s">
        <v>6448</v>
      </c>
      <c r="D819" s="46">
        <v>45562.377939814818</v>
      </c>
      <c r="E819" s="46">
        <v>45576.377939814818</v>
      </c>
      <c r="F819" s="27">
        <v>42589.11</v>
      </c>
      <c r="G819" s="34">
        <v>1</v>
      </c>
      <c r="H819" s="34">
        <v>1</v>
      </c>
      <c r="I819" t="s">
        <v>7038</v>
      </c>
      <c r="J819">
        <v>8</v>
      </c>
      <c r="Q819">
        <v>36.453370154387422</v>
      </c>
    </row>
    <row r="820" spans="1:17" x14ac:dyDescent="0.3">
      <c r="A820" s="34" t="s">
        <v>6954</v>
      </c>
      <c r="B820" s="34" t="s">
        <v>765</v>
      </c>
      <c r="C820" t="s">
        <v>6448</v>
      </c>
      <c r="D820" s="46">
        <v>45563.37871527778</v>
      </c>
      <c r="E820" s="46">
        <v>45576.37871527778</v>
      </c>
      <c r="F820" s="27">
        <v>42589.11</v>
      </c>
      <c r="G820" s="34">
        <v>1</v>
      </c>
      <c r="H820" s="34">
        <v>1</v>
      </c>
      <c r="I820" t="s">
        <v>7038</v>
      </c>
      <c r="J820">
        <v>8</v>
      </c>
      <c r="Q820">
        <v>43.073061583649462</v>
      </c>
    </row>
    <row r="821" spans="1:17" x14ac:dyDescent="0.3">
      <c r="A821" s="34" t="s">
        <v>6955</v>
      </c>
      <c r="B821" s="34" t="s">
        <v>765</v>
      </c>
      <c r="C821" t="s">
        <v>6448</v>
      </c>
      <c r="D821" s="46">
        <v>45563.379513888889</v>
      </c>
      <c r="E821" s="46">
        <v>45576.379513888889</v>
      </c>
      <c r="F821" s="27">
        <v>42589.11</v>
      </c>
      <c r="G821" s="34">
        <v>1</v>
      </c>
      <c r="H821" s="34">
        <v>1</v>
      </c>
      <c r="I821" t="s">
        <v>7038</v>
      </c>
      <c r="J821">
        <v>8</v>
      </c>
      <c r="Q821">
        <v>20.951704830946706</v>
      </c>
    </row>
    <row r="822" spans="1:17" x14ac:dyDescent="0.3">
      <c r="A822" s="34" t="s">
        <v>6956</v>
      </c>
      <c r="B822" s="34" t="s">
        <v>765</v>
      </c>
      <c r="C822" t="s">
        <v>6448</v>
      </c>
      <c r="D822" s="46">
        <v>45561.380300925928</v>
      </c>
      <c r="E822" s="46">
        <v>45576.380300925928</v>
      </c>
      <c r="F822" s="27">
        <v>42589.11</v>
      </c>
      <c r="G822" s="34">
        <v>1</v>
      </c>
      <c r="H822" s="34">
        <v>1</v>
      </c>
      <c r="I822" t="s">
        <v>7038</v>
      </c>
      <c r="J822">
        <v>8</v>
      </c>
      <c r="Q822">
        <v>5.9757806789043935</v>
      </c>
    </row>
    <row r="823" spans="1:17" x14ac:dyDescent="0.3">
      <c r="A823" s="34" t="s">
        <v>6957</v>
      </c>
      <c r="B823" s="34" t="s">
        <v>765</v>
      </c>
      <c r="C823" t="s">
        <v>6377</v>
      </c>
      <c r="D823" s="46">
        <v>45560.381076388891</v>
      </c>
      <c r="E823" s="46">
        <v>45576.381076388891</v>
      </c>
      <c r="F823" s="27">
        <v>42589.11</v>
      </c>
      <c r="G823" s="34">
        <v>1</v>
      </c>
      <c r="H823" s="34">
        <v>1</v>
      </c>
      <c r="I823" t="s">
        <v>7038</v>
      </c>
      <c r="J823">
        <v>5</v>
      </c>
      <c r="Q823">
        <v>19.563210140530884</v>
      </c>
    </row>
    <row r="824" spans="1:17" x14ac:dyDescent="0.3">
      <c r="A824" s="34" t="s">
        <v>6958</v>
      </c>
      <c r="B824" s="34" t="s">
        <v>765</v>
      </c>
      <c r="C824" t="s">
        <v>6377</v>
      </c>
      <c r="D824" s="46">
        <v>45585.719236111108</v>
      </c>
      <c r="E824" s="46">
        <v>45596.719236111108</v>
      </c>
      <c r="F824" s="27">
        <v>42589.11</v>
      </c>
      <c r="G824" s="34">
        <v>1</v>
      </c>
      <c r="H824" s="34">
        <v>1</v>
      </c>
      <c r="I824" t="s">
        <v>7038</v>
      </c>
      <c r="J824">
        <v>5</v>
      </c>
      <c r="Q824">
        <v>18.643945034028729</v>
      </c>
    </row>
    <row r="825" spans="1:17" x14ac:dyDescent="0.3">
      <c r="A825" s="34" t="s">
        <v>6959</v>
      </c>
      <c r="B825" s="34" t="s">
        <v>765</v>
      </c>
      <c r="C825" t="s">
        <v>6377</v>
      </c>
      <c r="D825" s="46">
        <v>45562.381851851853</v>
      </c>
      <c r="E825" s="46">
        <v>45576.381851851853</v>
      </c>
      <c r="F825" s="27">
        <v>42589.11</v>
      </c>
      <c r="G825" s="34">
        <v>1</v>
      </c>
      <c r="H825" s="34">
        <v>1</v>
      </c>
      <c r="I825" t="s">
        <v>7038</v>
      </c>
      <c r="J825">
        <v>5</v>
      </c>
      <c r="Q825">
        <v>18.171150105758269</v>
      </c>
    </row>
    <row r="826" spans="1:17" x14ac:dyDescent="0.3">
      <c r="A826" s="34" t="s">
        <v>6960</v>
      </c>
      <c r="B826" s="34" t="s">
        <v>765</v>
      </c>
      <c r="C826" t="s">
        <v>6510</v>
      </c>
      <c r="D826" s="46">
        <v>45568.399953703702</v>
      </c>
      <c r="E826" s="46">
        <v>45581.399953703702</v>
      </c>
      <c r="F826" s="27">
        <v>42589.11</v>
      </c>
      <c r="G826" s="34">
        <v>1</v>
      </c>
      <c r="H826" s="34">
        <v>1</v>
      </c>
      <c r="I826" t="s">
        <v>7038</v>
      </c>
      <c r="J826">
        <v>26</v>
      </c>
      <c r="Q826">
        <v>146.31716216373752</v>
      </c>
    </row>
    <row r="827" spans="1:17" x14ac:dyDescent="0.3">
      <c r="A827" s="34" t="s">
        <v>6961</v>
      </c>
      <c r="B827" s="34" t="s">
        <v>765</v>
      </c>
      <c r="C827" t="s">
        <v>6510</v>
      </c>
      <c r="D827" s="46">
        <v>45566.400960648149</v>
      </c>
      <c r="E827" s="46">
        <v>45581.400960648149</v>
      </c>
      <c r="F827" s="27">
        <v>42589.11</v>
      </c>
      <c r="G827" s="34">
        <v>1</v>
      </c>
      <c r="H827" s="34">
        <v>1</v>
      </c>
      <c r="I827" t="s">
        <v>7038</v>
      </c>
      <c r="J827">
        <v>26</v>
      </c>
      <c r="Q827">
        <v>146.31827269380562</v>
      </c>
    </row>
    <row r="828" spans="1:17" x14ac:dyDescent="0.3">
      <c r="A828" s="34" t="s">
        <v>6962</v>
      </c>
      <c r="B828" s="34" t="s">
        <v>765</v>
      </c>
      <c r="C828" t="s">
        <v>6510</v>
      </c>
      <c r="D828" s="46">
        <v>45565.401944444442</v>
      </c>
      <c r="E828" s="46">
        <v>45581.401944444442</v>
      </c>
      <c r="F828" s="27">
        <v>42589.11</v>
      </c>
      <c r="G828" s="34">
        <v>1</v>
      </c>
      <c r="H828" s="34">
        <v>1</v>
      </c>
      <c r="I828" t="s">
        <v>7038</v>
      </c>
      <c r="J828">
        <v>26</v>
      </c>
      <c r="Q828">
        <v>144.02414809797315</v>
      </c>
    </row>
    <row r="829" spans="1:17" x14ac:dyDescent="0.3">
      <c r="A829" s="34" t="s">
        <v>6963</v>
      </c>
      <c r="B829" s="34" t="s">
        <v>765</v>
      </c>
      <c r="C829" t="s">
        <v>6510</v>
      </c>
      <c r="D829" s="46">
        <v>45570.402939814812</v>
      </c>
      <c r="E829" s="46">
        <v>45581.402939814812</v>
      </c>
      <c r="F829" s="27">
        <v>42589.11</v>
      </c>
      <c r="G829" s="34">
        <v>1</v>
      </c>
      <c r="H829" s="34">
        <v>1</v>
      </c>
      <c r="I829" t="s">
        <v>7038</v>
      </c>
      <c r="J829">
        <v>26</v>
      </c>
      <c r="Q829">
        <v>144.03677736087133</v>
      </c>
    </row>
    <row r="830" spans="1:17" x14ac:dyDescent="0.3">
      <c r="A830" s="34" t="s">
        <v>6964</v>
      </c>
      <c r="B830" s="34" t="s">
        <v>765</v>
      </c>
      <c r="C830" t="s">
        <v>6510</v>
      </c>
      <c r="D830" s="46">
        <v>45567.403958333336</v>
      </c>
      <c r="E830" s="46">
        <v>45581.403958333336</v>
      </c>
      <c r="F830" s="27">
        <v>42589.11</v>
      </c>
      <c r="G830" s="34">
        <v>1</v>
      </c>
      <c r="H830" s="34">
        <v>1</v>
      </c>
      <c r="I830" t="s">
        <v>7038</v>
      </c>
      <c r="J830">
        <v>26</v>
      </c>
      <c r="Q830">
        <v>144.03878084088669</v>
      </c>
    </row>
    <row r="831" spans="1:17" x14ac:dyDescent="0.3">
      <c r="A831" s="34" t="s">
        <v>6965</v>
      </c>
      <c r="B831" s="34" t="s">
        <v>765</v>
      </c>
      <c r="C831" t="s">
        <v>6528</v>
      </c>
      <c r="D831" s="46">
        <v>45563.382627314815</v>
      </c>
      <c r="E831" s="46">
        <v>45576.382627314815</v>
      </c>
      <c r="F831" s="27">
        <v>42589.11</v>
      </c>
      <c r="G831" s="34">
        <v>1</v>
      </c>
      <c r="H831" s="34">
        <v>1</v>
      </c>
      <c r="I831" t="s">
        <v>7038</v>
      </c>
      <c r="J831">
        <v>13</v>
      </c>
      <c r="Q831">
        <v>95.939729019535648</v>
      </c>
    </row>
    <row r="832" spans="1:17" x14ac:dyDescent="0.3">
      <c r="A832" s="34" t="s">
        <v>6966</v>
      </c>
      <c r="B832" s="34" t="s">
        <v>765</v>
      </c>
      <c r="C832" t="s">
        <v>6448</v>
      </c>
      <c r="D832" s="46">
        <v>45563.383402777778</v>
      </c>
      <c r="E832" s="46">
        <v>45576.383402777778</v>
      </c>
      <c r="F832" s="27">
        <v>42589.11</v>
      </c>
      <c r="G832" s="34">
        <v>1</v>
      </c>
      <c r="H832" s="34">
        <v>1</v>
      </c>
      <c r="I832" t="s">
        <v>7038</v>
      </c>
      <c r="J832">
        <v>8</v>
      </c>
      <c r="Q832">
        <v>25.261997772609238</v>
      </c>
    </row>
    <row r="833" spans="1:17" x14ac:dyDescent="0.3">
      <c r="A833" s="34" t="s">
        <v>6967</v>
      </c>
      <c r="B833" s="34" t="s">
        <v>765</v>
      </c>
      <c r="C833" t="s">
        <v>6448</v>
      </c>
      <c r="D833" s="46">
        <v>45561.38417824074</v>
      </c>
      <c r="E833" s="46">
        <v>45576.38417824074</v>
      </c>
      <c r="F833" s="27">
        <v>42589.11</v>
      </c>
      <c r="G833" s="34">
        <v>1</v>
      </c>
      <c r="H833" s="34">
        <v>1</v>
      </c>
      <c r="I833" t="s">
        <v>7038</v>
      </c>
      <c r="J833">
        <v>8</v>
      </c>
      <c r="Q833">
        <v>20.827446098698125</v>
      </c>
    </row>
    <row r="834" spans="1:17" x14ac:dyDescent="0.3">
      <c r="A834" s="34" t="s">
        <v>6968</v>
      </c>
      <c r="B834" s="34" t="s">
        <v>765</v>
      </c>
      <c r="C834" t="s">
        <v>6524</v>
      </c>
      <c r="D834" s="46">
        <v>45560.384953703702</v>
      </c>
      <c r="E834" s="46">
        <v>45576.384953703702</v>
      </c>
      <c r="F834" s="27">
        <v>42589.11</v>
      </c>
      <c r="G834" s="34">
        <v>1</v>
      </c>
      <c r="H834" s="34">
        <v>1</v>
      </c>
      <c r="I834" t="s">
        <v>7038</v>
      </c>
      <c r="J834">
        <v>27</v>
      </c>
      <c r="Q834">
        <v>23.375576568560792</v>
      </c>
    </row>
    <row r="835" spans="1:17" x14ac:dyDescent="0.3">
      <c r="A835" s="34" t="s">
        <v>6969</v>
      </c>
      <c r="B835" s="34" t="s">
        <v>765</v>
      </c>
      <c r="C835" t="s">
        <v>6524</v>
      </c>
      <c r="D835" s="46">
        <v>45570.404942129629</v>
      </c>
      <c r="E835" s="46">
        <v>45581.404942129629</v>
      </c>
      <c r="F835" s="27">
        <v>42589.11</v>
      </c>
      <c r="G835" s="34">
        <v>1</v>
      </c>
      <c r="H835" s="34">
        <v>1</v>
      </c>
      <c r="I835" t="s">
        <v>7038</v>
      </c>
      <c r="J835">
        <v>27</v>
      </c>
      <c r="Q835">
        <v>24.697899983821564</v>
      </c>
    </row>
    <row r="836" spans="1:17" x14ac:dyDescent="0.3">
      <c r="A836" s="34" t="s">
        <v>6970</v>
      </c>
      <c r="B836" s="34" t="s">
        <v>765</v>
      </c>
      <c r="C836" t="s">
        <v>6524</v>
      </c>
      <c r="D836" s="46">
        <v>45562.385729166665</v>
      </c>
      <c r="E836" s="46">
        <v>45576.385729166665</v>
      </c>
      <c r="F836" s="27">
        <v>42589.11</v>
      </c>
      <c r="G836" s="34">
        <v>1</v>
      </c>
      <c r="H836" s="34">
        <v>1</v>
      </c>
      <c r="I836" t="s">
        <v>7038</v>
      </c>
      <c r="J836">
        <v>27</v>
      </c>
      <c r="Q836">
        <v>24.143938718444893</v>
      </c>
    </row>
    <row r="837" spans="1:17" x14ac:dyDescent="0.3">
      <c r="A837" s="34" t="s">
        <v>6971</v>
      </c>
      <c r="B837" s="34" t="s">
        <v>765</v>
      </c>
      <c r="C837" t="s">
        <v>6568</v>
      </c>
      <c r="D837" s="46">
        <v>45583.720254629632</v>
      </c>
      <c r="E837" s="46">
        <v>45596.720254629632</v>
      </c>
      <c r="F837" s="27">
        <v>42589.11</v>
      </c>
      <c r="G837" s="34">
        <v>1</v>
      </c>
      <c r="H837" s="34">
        <v>1</v>
      </c>
      <c r="I837" t="s">
        <v>7038</v>
      </c>
      <c r="J837">
        <v>29</v>
      </c>
      <c r="Q837">
        <v>17.427410337540891</v>
      </c>
    </row>
    <row r="838" spans="1:17" x14ac:dyDescent="0.3">
      <c r="A838" s="34" t="s">
        <v>6972</v>
      </c>
      <c r="B838" s="34" t="s">
        <v>765</v>
      </c>
      <c r="C838" t="s">
        <v>6448</v>
      </c>
      <c r="D838" s="46">
        <v>45561.386504629627</v>
      </c>
      <c r="E838" s="46">
        <v>45576.386504629627</v>
      </c>
      <c r="F838" s="27">
        <v>42589.11</v>
      </c>
      <c r="G838" s="34">
        <v>1</v>
      </c>
      <c r="H838" s="34">
        <v>1</v>
      </c>
      <c r="I838" t="s">
        <v>7038</v>
      </c>
      <c r="J838">
        <v>8</v>
      </c>
      <c r="Q838">
        <v>30.801616745898937</v>
      </c>
    </row>
    <row r="839" spans="1:17" x14ac:dyDescent="0.3">
      <c r="A839" s="34" t="s">
        <v>6973</v>
      </c>
      <c r="B839" s="34" t="s">
        <v>765</v>
      </c>
      <c r="C839" t="s">
        <v>6448</v>
      </c>
      <c r="D839" s="46">
        <v>45560.387291666666</v>
      </c>
      <c r="E839" s="46">
        <v>45576.387291666666</v>
      </c>
      <c r="F839" s="27">
        <v>42589.11</v>
      </c>
      <c r="G839" s="34">
        <v>1</v>
      </c>
      <c r="H839" s="34">
        <v>1</v>
      </c>
      <c r="I839" t="s">
        <v>7038</v>
      </c>
      <c r="J839">
        <v>8</v>
      </c>
      <c r="Q839">
        <v>36.187026446099651</v>
      </c>
    </row>
    <row r="840" spans="1:17" x14ac:dyDescent="0.3">
      <c r="A840" s="34" t="s">
        <v>6974</v>
      </c>
      <c r="B840" s="34" t="s">
        <v>765</v>
      </c>
      <c r="C840" t="s">
        <v>6568</v>
      </c>
      <c r="D840" s="46">
        <v>45570.4059375</v>
      </c>
      <c r="E840" s="46">
        <v>45581.4059375</v>
      </c>
      <c r="F840" s="27">
        <v>42589.11</v>
      </c>
      <c r="G840" s="34">
        <v>1</v>
      </c>
      <c r="H840" s="34">
        <v>1</v>
      </c>
      <c r="I840" t="s">
        <v>7038</v>
      </c>
      <c r="J840">
        <v>29</v>
      </c>
      <c r="Q840">
        <v>11.746943614109217</v>
      </c>
    </row>
    <row r="841" spans="1:17" x14ac:dyDescent="0.3">
      <c r="A841" s="34" t="s">
        <v>6975</v>
      </c>
      <c r="B841" s="34" t="s">
        <v>765</v>
      </c>
      <c r="C841" t="s">
        <v>6448</v>
      </c>
      <c r="D841" s="46">
        <v>45562.406412037039</v>
      </c>
      <c r="E841" s="46">
        <v>45576.406412037039</v>
      </c>
      <c r="F841" s="27">
        <v>42589.11</v>
      </c>
      <c r="G841" s="34">
        <v>1</v>
      </c>
      <c r="H841" s="34">
        <v>1</v>
      </c>
      <c r="I841" t="s">
        <v>7038</v>
      </c>
      <c r="J841">
        <v>8</v>
      </c>
      <c r="Q841">
        <v>25.797333479385735</v>
      </c>
    </row>
    <row r="842" spans="1:17" x14ac:dyDescent="0.3">
      <c r="A842" s="34" t="s">
        <v>6976</v>
      </c>
      <c r="B842" s="34" t="s">
        <v>765</v>
      </c>
      <c r="C842" t="s">
        <v>6377</v>
      </c>
      <c r="D842" s="46">
        <v>45563.388055555559</v>
      </c>
      <c r="E842" s="46">
        <v>45576.388055555559</v>
      </c>
      <c r="F842" s="27">
        <v>42589.11</v>
      </c>
      <c r="G842" s="34">
        <v>1</v>
      </c>
      <c r="H842" s="34">
        <v>1</v>
      </c>
      <c r="I842" t="s">
        <v>7038</v>
      </c>
      <c r="J842">
        <v>5</v>
      </c>
      <c r="Q842">
        <v>21.401987125421712</v>
      </c>
    </row>
    <row r="843" spans="1:17" x14ac:dyDescent="0.3">
      <c r="A843" s="34" t="s">
        <v>6977</v>
      </c>
      <c r="B843" s="34" t="s">
        <v>765</v>
      </c>
      <c r="C843" t="s">
        <v>6377</v>
      </c>
      <c r="D843" s="46">
        <v>45561.388831018521</v>
      </c>
      <c r="E843" s="46">
        <v>45576.388831018521</v>
      </c>
      <c r="F843" s="27">
        <v>42589.11</v>
      </c>
      <c r="G843" s="34">
        <v>1</v>
      </c>
      <c r="H843" s="34">
        <v>1</v>
      </c>
      <c r="I843" t="s">
        <v>7038</v>
      </c>
      <c r="J843">
        <v>5</v>
      </c>
      <c r="Q843">
        <v>18.954333468868544</v>
      </c>
    </row>
    <row r="844" spans="1:17" x14ac:dyDescent="0.3">
      <c r="A844" s="34" t="s">
        <v>6978</v>
      </c>
      <c r="B844" s="34" t="s">
        <v>765</v>
      </c>
      <c r="C844" t="s">
        <v>6377</v>
      </c>
      <c r="D844" s="46">
        <v>45560.389606481483</v>
      </c>
      <c r="E844" s="46">
        <v>45576.389606481483</v>
      </c>
      <c r="F844" s="27">
        <v>42589.11</v>
      </c>
      <c r="G844" s="34">
        <v>1</v>
      </c>
      <c r="H844" s="34">
        <v>1</v>
      </c>
      <c r="I844" t="s">
        <v>7038</v>
      </c>
      <c r="J844">
        <v>5</v>
      </c>
      <c r="Q844">
        <v>22.522242104013092</v>
      </c>
    </row>
    <row r="845" spans="1:17" x14ac:dyDescent="0.3">
      <c r="A845" s="34" t="s">
        <v>6979</v>
      </c>
      <c r="B845" s="34" t="s">
        <v>765</v>
      </c>
      <c r="C845" t="s">
        <v>6448</v>
      </c>
      <c r="D845" s="46">
        <v>45565.390381944446</v>
      </c>
      <c r="E845" s="46">
        <v>45576.390381944446</v>
      </c>
      <c r="F845" s="27">
        <v>42589.11</v>
      </c>
      <c r="G845" s="34">
        <v>1</v>
      </c>
      <c r="H845" s="34">
        <v>1</v>
      </c>
      <c r="I845" t="s">
        <v>7038</v>
      </c>
      <c r="J845">
        <v>8</v>
      </c>
      <c r="Q845">
        <v>31.221158173682856</v>
      </c>
    </row>
    <row r="846" spans="1:17" x14ac:dyDescent="0.3">
      <c r="A846" s="34" t="s">
        <v>6980</v>
      </c>
      <c r="B846" s="34" t="s">
        <v>765</v>
      </c>
      <c r="C846" t="s">
        <v>6494</v>
      </c>
      <c r="D846" s="46">
        <v>45538.735347222224</v>
      </c>
      <c r="E846" s="46">
        <v>45552.735347222224</v>
      </c>
      <c r="F846" s="27">
        <v>42589.11</v>
      </c>
      <c r="G846" s="34">
        <v>1</v>
      </c>
      <c r="H846" s="34">
        <v>1</v>
      </c>
      <c r="I846" t="s">
        <v>7038</v>
      </c>
      <c r="J846">
        <v>10</v>
      </c>
      <c r="Q846">
        <v>57.471182497576137</v>
      </c>
    </row>
    <row r="847" spans="1:17" x14ac:dyDescent="0.3">
      <c r="A847" s="34" t="s">
        <v>6981</v>
      </c>
      <c r="B847" s="34" t="s">
        <v>765</v>
      </c>
      <c r="C847" t="s">
        <v>6510</v>
      </c>
      <c r="D847" s="46">
        <v>45583.721284722225</v>
      </c>
      <c r="E847" s="46">
        <v>45596.721284722225</v>
      </c>
      <c r="F847" s="27">
        <v>42589.11</v>
      </c>
      <c r="G847" s="34">
        <v>1</v>
      </c>
      <c r="H847" s="34">
        <v>1</v>
      </c>
      <c r="I847" t="s">
        <v>7038</v>
      </c>
      <c r="J847">
        <v>26</v>
      </c>
      <c r="Q847">
        <v>113.14781724526807</v>
      </c>
    </row>
    <row r="848" spans="1:17" x14ac:dyDescent="0.3">
      <c r="A848" s="34" t="s">
        <v>6982</v>
      </c>
      <c r="B848" s="34" t="s">
        <v>765</v>
      </c>
      <c r="C848" t="s">
        <v>6448</v>
      </c>
      <c r="D848" s="46">
        <v>45583.722303240742</v>
      </c>
      <c r="E848" s="46">
        <v>45596.722303240742</v>
      </c>
      <c r="F848" s="27">
        <v>42589.11</v>
      </c>
      <c r="G848" s="34">
        <v>1</v>
      </c>
      <c r="H848" s="34">
        <v>1</v>
      </c>
      <c r="I848" t="s">
        <v>7038</v>
      </c>
      <c r="J848">
        <v>8</v>
      </c>
      <c r="Q848">
        <v>30.916742528837919</v>
      </c>
    </row>
    <row r="849" spans="1:17" x14ac:dyDescent="0.3">
      <c r="A849" s="34" t="s">
        <v>6983</v>
      </c>
      <c r="B849" s="34" t="s">
        <v>765</v>
      </c>
      <c r="C849" t="s">
        <v>920</v>
      </c>
      <c r="D849" s="46">
        <v>45582.418854166666</v>
      </c>
      <c r="E849" s="46">
        <v>45597.418854166666</v>
      </c>
      <c r="F849" s="27">
        <v>42589.11</v>
      </c>
      <c r="G849" s="34">
        <v>1</v>
      </c>
      <c r="H849" s="34">
        <v>1</v>
      </c>
      <c r="I849" t="s">
        <v>7038</v>
      </c>
      <c r="J849">
        <v>15</v>
      </c>
      <c r="Q849">
        <v>568.13103580785526</v>
      </c>
    </row>
    <row r="850" spans="1:17" x14ac:dyDescent="0.3">
      <c r="A850" s="34" t="s">
        <v>6984</v>
      </c>
      <c r="B850" s="34" t="s">
        <v>765</v>
      </c>
      <c r="C850" t="s">
        <v>6448</v>
      </c>
      <c r="D850" s="46">
        <v>45581.419930555552</v>
      </c>
      <c r="E850" s="46">
        <v>45597.419930555552</v>
      </c>
      <c r="F850" s="27">
        <v>42589.11</v>
      </c>
      <c r="G850" s="34">
        <v>1</v>
      </c>
      <c r="H850" s="34">
        <v>1</v>
      </c>
      <c r="I850" t="s">
        <v>7038</v>
      </c>
      <c r="J850">
        <v>8</v>
      </c>
      <c r="Q850">
        <v>6.2561673773339521</v>
      </c>
    </row>
    <row r="851" spans="1:17" x14ac:dyDescent="0.3">
      <c r="A851" s="34" t="s">
        <v>6985</v>
      </c>
      <c r="B851" s="34" t="s">
        <v>765</v>
      </c>
      <c r="C851" t="s">
        <v>6524</v>
      </c>
      <c r="D851" s="46">
        <v>45586.420949074076</v>
      </c>
      <c r="E851" s="46">
        <v>45597.420949074076</v>
      </c>
      <c r="F851" s="27">
        <v>42589.11</v>
      </c>
      <c r="G851" s="34">
        <v>1</v>
      </c>
      <c r="H851" s="34">
        <v>1</v>
      </c>
      <c r="I851" t="s">
        <v>7038</v>
      </c>
      <c r="J851">
        <v>27</v>
      </c>
      <c r="Q851">
        <v>32.776674166148993</v>
      </c>
    </row>
    <row r="852" spans="1:17" x14ac:dyDescent="0.3">
      <c r="A852" s="34" t="s">
        <v>6986</v>
      </c>
      <c r="B852" s="34" t="s">
        <v>765</v>
      </c>
      <c r="C852" t="s">
        <v>6494</v>
      </c>
      <c r="D852" s="46">
        <v>45583.421967592592</v>
      </c>
      <c r="E852" s="46">
        <v>45597.421967592592</v>
      </c>
      <c r="F852" s="27">
        <v>42589.11</v>
      </c>
      <c r="G852" s="34">
        <v>1</v>
      </c>
      <c r="H852" s="34">
        <v>1</v>
      </c>
      <c r="I852" t="s">
        <v>7038</v>
      </c>
      <c r="J852">
        <v>10</v>
      </c>
      <c r="Q852">
        <v>62.950798188292602</v>
      </c>
    </row>
    <row r="853" spans="1:17" x14ac:dyDescent="0.3">
      <c r="A853" s="34" t="s">
        <v>6987</v>
      </c>
      <c r="B853" s="34" t="s">
        <v>765</v>
      </c>
      <c r="C853" t="s">
        <v>6448</v>
      </c>
      <c r="D853" s="46">
        <v>45584.422997685186</v>
      </c>
      <c r="E853" s="46">
        <v>45597.422997685186</v>
      </c>
      <c r="F853" s="27">
        <v>42589.11</v>
      </c>
      <c r="G853" s="34">
        <v>1</v>
      </c>
      <c r="H853" s="34">
        <v>1</v>
      </c>
      <c r="I853" t="s">
        <v>7038</v>
      </c>
      <c r="J853">
        <v>8</v>
      </c>
      <c r="Q853">
        <v>6.8885002622905507</v>
      </c>
    </row>
    <row r="854" spans="1:17" x14ac:dyDescent="0.3">
      <c r="A854" s="34" t="s">
        <v>6988</v>
      </c>
      <c r="B854" s="34" t="s">
        <v>765</v>
      </c>
      <c r="C854" t="s">
        <v>6448</v>
      </c>
      <c r="D854" s="46">
        <v>45582.424050925925</v>
      </c>
      <c r="E854" s="46">
        <v>45597.424050925925</v>
      </c>
      <c r="F854" s="27">
        <v>42589.11</v>
      </c>
      <c r="G854" s="34">
        <v>1</v>
      </c>
      <c r="H854" s="34">
        <v>1</v>
      </c>
      <c r="I854" t="s">
        <v>7038</v>
      </c>
      <c r="J854">
        <v>8</v>
      </c>
      <c r="Q854">
        <v>35.130265502285702</v>
      </c>
    </row>
    <row r="855" spans="1:17" x14ac:dyDescent="0.3">
      <c r="A855" s="34" t="s">
        <v>6989</v>
      </c>
      <c r="B855" s="34" t="s">
        <v>765</v>
      </c>
      <c r="C855" t="s">
        <v>6448</v>
      </c>
      <c r="D855" s="46">
        <v>45581.425069444442</v>
      </c>
      <c r="E855" s="46">
        <v>45597.425069444442</v>
      </c>
      <c r="F855" s="27">
        <v>42589.11</v>
      </c>
      <c r="G855" s="34">
        <v>1</v>
      </c>
      <c r="H855" s="34">
        <v>1</v>
      </c>
      <c r="I855" t="s">
        <v>7038</v>
      </c>
      <c r="J855">
        <v>8</v>
      </c>
      <c r="Q855">
        <v>7.3718780428466477</v>
      </c>
    </row>
    <row r="856" spans="1:17" x14ac:dyDescent="0.3">
      <c r="A856" s="34" t="s">
        <v>6990</v>
      </c>
      <c r="B856" s="34" t="s">
        <v>765</v>
      </c>
      <c r="C856" t="s">
        <v>6367</v>
      </c>
      <c r="D856" s="46">
        <v>45586.426111111112</v>
      </c>
      <c r="E856" s="46">
        <v>45597.426111111112</v>
      </c>
      <c r="F856" s="27">
        <v>42589.11</v>
      </c>
      <c r="G856" s="34">
        <v>1</v>
      </c>
      <c r="H856" s="34">
        <v>1</v>
      </c>
      <c r="I856" t="s">
        <v>7038</v>
      </c>
      <c r="J856">
        <v>17</v>
      </c>
      <c r="Q856">
        <v>43.252957235086321</v>
      </c>
    </row>
    <row r="857" spans="1:17" x14ac:dyDescent="0.3">
      <c r="A857" s="34" t="s">
        <v>6991</v>
      </c>
      <c r="B857" s="34" t="s">
        <v>765</v>
      </c>
      <c r="C857" t="s">
        <v>6448</v>
      </c>
      <c r="D857" s="46">
        <v>45583.427141203705</v>
      </c>
      <c r="E857" s="46">
        <v>45597.427141203705</v>
      </c>
      <c r="F857" s="27">
        <v>42589.11</v>
      </c>
      <c r="G857" s="34">
        <v>1</v>
      </c>
      <c r="H857" s="34">
        <v>1</v>
      </c>
      <c r="I857" t="s">
        <v>7038</v>
      </c>
      <c r="J857">
        <v>8</v>
      </c>
      <c r="Q857">
        <v>25.577316804268609</v>
      </c>
    </row>
    <row r="858" spans="1:17" x14ac:dyDescent="0.3">
      <c r="A858" s="34" t="s">
        <v>6992</v>
      </c>
      <c r="B858" s="34" t="s">
        <v>765</v>
      </c>
      <c r="C858" t="s">
        <v>6528</v>
      </c>
      <c r="D858" s="46">
        <v>45584.428194444445</v>
      </c>
      <c r="E858" s="46">
        <v>45597.428194444445</v>
      </c>
      <c r="F858" s="27">
        <v>42589.11</v>
      </c>
      <c r="G858" s="34">
        <v>1</v>
      </c>
      <c r="H858" s="34">
        <v>1</v>
      </c>
      <c r="I858" t="s">
        <v>7038</v>
      </c>
      <c r="J858">
        <v>13</v>
      </c>
      <c r="Q858">
        <v>32.072468181393234</v>
      </c>
    </row>
    <row r="859" spans="1:17" x14ac:dyDescent="0.3">
      <c r="A859" s="34" t="s">
        <v>6993</v>
      </c>
      <c r="B859" s="34" t="s">
        <v>765</v>
      </c>
      <c r="C859" t="s">
        <v>6448</v>
      </c>
      <c r="D859" s="46">
        <v>45584.429212962961</v>
      </c>
      <c r="E859" s="46">
        <v>45597.429212962961</v>
      </c>
      <c r="F859" s="27">
        <v>42589.11</v>
      </c>
      <c r="G859" s="34">
        <v>1</v>
      </c>
      <c r="H859" s="34">
        <v>1</v>
      </c>
      <c r="I859" t="s">
        <v>7038</v>
      </c>
      <c r="J859">
        <v>8</v>
      </c>
      <c r="Q859">
        <v>29.781133869816532</v>
      </c>
    </row>
    <row r="860" spans="1:17" x14ac:dyDescent="0.3">
      <c r="A860" s="34" t="s">
        <v>6994</v>
      </c>
      <c r="B860" s="34" t="s">
        <v>765</v>
      </c>
      <c r="C860" t="s">
        <v>6524</v>
      </c>
      <c r="D860" s="46">
        <v>45582.430219907408</v>
      </c>
      <c r="E860" s="46">
        <v>45597.430219907408</v>
      </c>
      <c r="F860" s="27">
        <v>42589.11</v>
      </c>
      <c r="G860" s="34">
        <v>1</v>
      </c>
      <c r="H860" s="34">
        <v>1</v>
      </c>
      <c r="I860" t="s">
        <v>7038</v>
      </c>
      <c r="J860">
        <v>27</v>
      </c>
      <c r="Q860">
        <v>23.614214191707127</v>
      </c>
    </row>
    <row r="861" spans="1:17" x14ac:dyDescent="0.3">
      <c r="A861" s="34" t="s">
        <v>6995</v>
      </c>
      <c r="B861" s="34" t="s">
        <v>765</v>
      </c>
      <c r="C861" t="s">
        <v>6399</v>
      </c>
      <c r="D861" s="46">
        <v>45581.431238425925</v>
      </c>
      <c r="E861" s="46">
        <v>45597.431238425925</v>
      </c>
      <c r="F861" s="27">
        <v>42589.11</v>
      </c>
      <c r="G861" s="34">
        <v>1</v>
      </c>
      <c r="H861" s="34">
        <v>1</v>
      </c>
      <c r="I861" t="s">
        <v>7038</v>
      </c>
      <c r="J861">
        <v>18</v>
      </c>
      <c r="Q861">
        <v>16.705836966787729</v>
      </c>
    </row>
    <row r="862" spans="1:17" x14ac:dyDescent="0.3">
      <c r="A862" s="34" t="s">
        <v>6996</v>
      </c>
      <c r="B862" s="34" t="s">
        <v>765</v>
      </c>
      <c r="C862" t="s">
        <v>6454</v>
      </c>
      <c r="D862" s="46">
        <v>45586.432256944441</v>
      </c>
      <c r="E862" s="46">
        <v>45597.432256944441</v>
      </c>
      <c r="F862" s="27">
        <v>42589.11</v>
      </c>
      <c r="G862" s="34">
        <v>1</v>
      </c>
      <c r="H862" s="34">
        <v>1</v>
      </c>
      <c r="I862" t="s">
        <v>7038</v>
      </c>
      <c r="J862">
        <v>22</v>
      </c>
      <c r="Q862">
        <v>6.0237409295343625</v>
      </c>
    </row>
    <row r="863" spans="1:17" x14ac:dyDescent="0.3">
      <c r="A863" s="34" t="s">
        <v>6997</v>
      </c>
      <c r="B863" s="34" t="s">
        <v>765</v>
      </c>
      <c r="C863" t="s">
        <v>6528</v>
      </c>
      <c r="D863" s="46">
        <v>45583.433275462965</v>
      </c>
      <c r="E863" s="46">
        <v>45597.433275462965</v>
      </c>
      <c r="F863" s="27">
        <v>42589.11</v>
      </c>
      <c r="G863" s="34">
        <v>1</v>
      </c>
      <c r="H863" s="34">
        <v>1</v>
      </c>
      <c r="I863" t="s">
        <v>7038</v>
      </c>
      <c r="J863">
        <v>13</v>
      </c>
      <c r="Q863">
        <v>71.775067265775178</v>
      </c>
    </row>
    <row r="864" spans="1:17" x14ac:dyDescent="0.3">
      <c r="A864" s="34" t="s">
        <v>6998</v>
      </c>
      <c r="B864" s="34" t="s">
        <v>765</v>
      </c>
      <c r="C864" t="s">
        <v>6377</v>
      </c>
      <c r="D864" s="46">
        <v>45584.434305555558</v>
      </c>
      <c r="E864" s="46">
        <v>45597.434305555558</v>
      </c>
      <c r="F864" s="27">
        <v>42589.11</v>
      </c>
      <c r="G864" s="34">
        <v>1</v>
      </c>
      <c r="H864" s="34">
        <v>1</v>
      </c>
      <c r="I864" t="s">
        <v>7038</v>
      </c>
      <c r="J864">
        <v>5</v>
      </c>
      <c r="Q864">
        <v>17.382503840484176</v>
      </c>
    </row>
    <row r="865" spans="1:17" x14ac:dyDescent="0.3">
      <c r="A865" s="34" t="s">
        <v>6999</v>
      </c>
      <c r="B865" s="34" t="s">
        <v>765</v>
      </c>
      <c r="C865" t="s">
        <v>6448</v>
      </c>
      <c r="D865" s="46">
        <v>45582.435324074075</v>
      </c>
      <c r="E865" s="46">
        <v>45597.435324074075</v>
      </c>
      <c r="F865" s="27">
        <v>42589.11</v>
      </c>
      <c r="G865" s="34">
        <v>1</v>
      </c>
      <c r="H865" s="34">
        <v>1</v>
      </c>
      <c r="I865" t="s">
        <v>7038</v>
      </c>
      <c r="J865">
        <v>8</v>
      </c>
      <c r="Q865">
        <v>59.379153540183808</v>
      </c>
    </row>
    <row r="866" spans="1:17" x14ac:dyDescent="0.3">
      <c r="A866" s="34" t="s">
        <v>7000</v>
      </c>
      <c r="B866" s="34" t="s">
        <v>765</v>
      </c>
      <c r="C866" t="s">
        <v>6448</v>
      </c>
      <c r="D866" s="46">
        <v>45581.436377314814</v>
      </c>
      <c r="E866" s="46">
        <v>45597.436377314814</v>
      </c>
      <c r="F866" s="27">
        <v>42589.11</v>
      </c>
      <c r="G866" s="34">
        <v>1</v>
      </c>
      <c r="H866" s="34">
        <v>1</v>
      </c>
      <c r="I866" t="s">
        <v>7038</v>
      </c>
      <c r="J866">
        <v>8</v>
      </c>
      <c r="Q866">
        <v>55.432293904498742</v>
      </c>
    </row>
    <row r="867" spans="1:17" x14ac:dyDescent="0.3">
      <c r="A867" s="34" t="s">
        <v>7001</v>
      </c>
      <c r="B867" s="34" t="s">
        <v>765</v>
      </c>
      <c r="C867" t="s">
        <v>6448</v>
      </c>
      <c r="D867" s="46">
        <v>45586.437395833331</v>
      </c>
      <c r="E867" s="46">
        <v>45597.437395833331</v>
      </c>
      <c r="F867" s="27">
        <v>42589.11</v>
      </c>
      <c r="G867" s="34">
        <v>1</v>
      </c>
      <c r="H867" s="34">
        <v>1</v>
      </c>
      <c r="I867" t="s">
        <v>7038</v>
      </c>
      <c r="J867">
        <v>8</v>
      </c>
      <c r="Q867">
        <v>56.245917348052295</v>
      </c>
    </row>
    <row r="868" spans="1:17" x14ac:dyDescent="0.3">
      <c r="A868" s="34" t="s">
        <v>7002</v>
      </c>
      <c r="B868" s="34" t="s">
        <v>765</v>
      </c>
      <c r="C868" t="s">
        <v>6448</v>
      </c>
      <c r="D868" s="46">
        <v>45583.438414351855</v>
      </c>
      <c r="E868" s="46">
        <v>45597.438414351855</v>
      </c>
      <c r="F868" s="27">
        <v>42589.11</v>
      </c>
      <c r="G868" s="34">
        <v>1</v>
      </c>
      <c r="H868" s="34">
        <v>1</v>
      </c>
      <c r="I868" t="s">
        <v>7038</v>
      </c>
      <c r="J868">
        <v>8</v>
      </c>
      <c r="Q868">
        <v>55.851279297079166</v>
      </c>
    </row>
    <row r="869" spans="1:17" x14ac:dyDescent="0.3">
      <c r="A869" s="34" t="s">
        <v>7003</v>
      </c>
      <c r="B869" s="34" t="s">
        <v>765</v>
      </c>
      <c r="C869" t="s">
        <v>6448</v>
      </c>
      <c r="D869" s="46">
        <v>45584.439432870371</v>
      </c>
      <c r="E869" s="46">
        <v>45597.439432870371</v>
      </c>
      <c r="F869" s="27">
        <v>42589.11</v>
      </c>
      <c r="G869" s="34">
        <v>1</v>
      </c>
      <c r="H869" s="34">
        <v>1</v>
      </c>
      <c r="I869" t="s">
        <v>7038</v>
      </c>
      <c r="J869">
        <v>8</v>
      </c>
      <c r="Q869">
        <v>55.120129535080956</v>
      </c>
    </row>
    <row r="870" spans="1:17" x14ac:dyDescent="0.3">
      <c r="A870" s="34" t="s">
        <v>7004</v>
      </c>
      <c r="B870" s="34" t="s">
        <v>765</v>
      </c>
      <c r="C870" t="s">
        <v>6448</v>
      </c>
      <c r="D870" s="46">
        <v>45582.440474537034</v>
      </c>
      <c r="E870" s="46">
        <v>45597.440474537034</v>
      </c>
      <c r="F870" s="27">
        <v>42589.11</v>
      </c>
      <c r="G870" s="34">
        <v>1</v>
      </c>
      <c r="H870" s="34">
        <v>1</v>
      </c>
      <c r="I870" t="s">
        <v>7038</v>
      </c>
      <c r="J870">
        <v>8</v>
      </c>
      <c r="Q870">
        <v>58.630467808221745</v>
      </c>
    </row>
    <row r="871" spans="1:17" x14ac:dyDescent="0.3">
      <c r="A871" s="34" t="s">
        <v>7005</v>
      </c>
      <c r="B871" s="34" t="s">
        <v>765</v>
      </c>
      <c r="C871" t="s">
        <v>6448</v>
      </c>
      <c r="D871" s="46">
        <v>45581.441516203704</v>
      </c>
      <c r="E871" s="46">
        <v>45597.441516203704</v>
      </c>
      <c r="F871" s="27">
        <v>42589.11</v>
      </c>
      <c r="G871" s="34">
        <v>1</v>
      </c>
      <c r="H871" s="34">
        <v>1</v>
      </c>
      <c r="I871" t="s">
        <v>7038</v>
      </c>
      <c r="J871">
        <v>8</v>
      </c>
      <c r="Q871">
        <v>57.492356305114811</v>
      </c>
    </row>
    <row r="872" spans="1:17" x14ac:dyDescent="0.3">
      <c r="A872" s="34" t="s">
        <v>7006</v>
      </c>
      <c r="B872" s="34" t="s">
        <v>765</v>
      </c>
      <c r="C872" t="s">
        <v>6448</v>
      </c>
      <c r="D872" s="46">
        <v>45586.44253472222</v>
      </c>
      <c r="E872" s="46">
        <v>45597.44253472222</v>
      </c>
      <c r="F872" s="27">
        <v>42589.11</v>
      </c>
      <c r="G872" s="34">
        <v>1</v>
      </c>
      <c r="H872" s="34">
        <v>1</v>
      </c>
      <c r="I872" t="s">
        <v>7038</v>
      </c>
      <c r="J872">
        <v>8</v>
      </c>
      <c r="Q872">
        <v>54.228120187322872</v>
      </c>
    </row>
    <row r="873" spans="1:17" x14ac:dyDescent="0.3">
      <c r="A873" s="34" t="s">
        <v>7007</v>
      </c>
      <c r="B873" s="34" t="s">
        <v>765</v>
      </c>
      <c r="C873" t="s">
        <v>6440</v>
      </c>
      <c r="D873" s="46">
        <v>45583.443576388891</v>
      </c>
      <c r="E873" s="46">
        <v>45597.443576388891</v>
      </c>
      <c r="F873" s="27">
        <v>42589.11</v>
      </c>
      <c r="G873" s="34">
        <v>1</v>
      </c>
      <c r="H873" s="34">
        <v>1</v>
      </c>
      <c r="I873" t="s">
        <v>7038</v>
      </c>
      <c r="J873">
        <v>21</v>
      </c>
      <c r="Q873">
        <v>103.17677373078354</v>
      </c>
    </row>
    <row r="874" spans="1:17" x14ac:dyDescent="0.3">
      <c r="A874" s="34" t="s">
        <v>7008</v>
      </c>
      <c r="B874" s="34" t="s">
        <v>765</v>
      </c>
      <c r="C874" t="s">
        <v>6440</v>
      </c>
      <c r="D874" s="46">
        <v>45594.602673611109</v>
      </c>
      <c r="E874" s="46">
        <v>45607.602673611109</v>
      </c>
      <c r="F874" s="27">
        <v>42589.11</v>
      </c>
      <c r="G874" s="34">
        <v>1</v>
      </c>
      <c r="H874" s="34">
        <v>1</v>
      </c>
      <c r="I874" t="s">
        <v>7038</v>
      </c>
      <c r="J874">
        <v>21</v>
      </c>
      <c r="Q874">
        <v>103.25398713137592</v>
      </c>
    </row>
    <row r="875" spans="1:17" x14ac:dyDescent="0.3">
      <c r="A875" s="34" t="s">
        <v>7009</v>
      </c>
      <c r="B875" s="34" t="s">
        <v>765</v>
      </c>
      <c r="C875" t="s">
        <v>6440</v>
      </c>
      <c r="D875" s="46">
        <v>45594.603668981479</v>
      </c>
      <c r="E875" s="46">
        <v>45607.603668981479</v>
      </c>
      <c r="F875" s="27">
        <v>42589.11</v>
      </c>
      <c r="G875" s="34">
        <v>1</v>
      </c>
      <c r="H875" s="34">
        <v>1</v>
      </c>
      <c r="I875" t="s">
        <v>7038</v>
      </c>
      <c r="J875">
        <v>21</v>
      </c>
      <c r="Q875">
        <v>103.17102868684408</v>
      </c>
    </row>
    <row r="876" spans="1:17" x14ac:dyDescent="0.3">
      <c r="A876" s="34" t="s">
        <v>7010</v>
      </c>
      <c r="B876" s="34" t="s">
        <v>765</v>
      </c>
      <c r="C876" t="s">
        <v>6448</v>
      </c>
      <c r="D876" s="46">
        <v>45582.44458333333</v>
      </c>
      <c r="E876" s="46">
        <v>45597.44458333333</v>
      </c>
      <c r="F876" s="27">
        <v>42589.11</v>
      </c>
      <c r="G876" s="34">
        <v>1</v>
      </c>
      <c r="H876" s="34">
        <v>1</v>
      </c>
      <c r="I876" t="s">
        <v>7038</v>
      </c>
      <c r="J876">
        <v>8</v>
      </c>
      <c r="Q876">
        <v>51.28794850638284</v>
      </c>
    </row>
    <row r="877" spans="1:17" x14ac:dyDescent="0.3">
      <c r="A877" s="34" t="s">
        <v>7011</v>
      </c>
      <c r="B877" s="34" t="s">
        <v>765</v>
      </c>
      <c r="C877" t="s">
        <v>6448</v>
      </c>
      <c r="D877" s="46">
        <v>45581.445590277777</v>
      </c>
      <c r="E877" s="46">
        <v>45597.445590277777</v>
      </c>
      <c r="F877" s="27">
        <v>42589.11</v>
      </c>
      <c r="G877" s="34">
        <v>1</v>
      </c>
      <c r="H877" s="34">
        <v>1</v>
      </c>
      <c r="I877" t="s">
        <v>7038</v>
      </c>
      <c r="J877">
        <v>8</v>
      </c>
      <c r="Q877">
        <v>51.270296441669643</v>
      </c>
    </row>
    <row r="878" spans="1:17" x14ac:dyDescent="0.3">
      <c r="A878" s="34" t="s">
        <v>7012</v>
      </c>
      <c r="B878" s="34" t="s">
        <v>765</v>
      </c>
      <c r="C878" t="s">
        <v>6448</v>
      </c>
      <c r="D878" s="46">
        <v>45586.446597222224</v>
      </c>
      <c r="E878" s="46">
        <v>45597.446597222224</v>
      </c>
      <c r="F878" s="27">
        <v>42589.11</v>
      </c>
      <c r="G878" s="34">
        <v>1</v>
      </c>
      <c r="H878" s="34">
        <v>1</v>
      </c>
      <c r="I878" t="s">
        <v>7038</v>
      </c>
      <c r="J878">
        <v>8</v>
      </c>
      <c r="Q878">
        <v>58.73671284352455</v>
      </c>
    </row>
    <row r="879" spans="1:17" x14ac:dyDescent="0.3">
      <c r="A879" s="34" t="s">
        <v>7013</v>
      </c>
      <c r="B879" s="34" t="s">
        <v>765</v>
      </c>
      <c r="C879" t="s">
        <v>6448</v>
      </c>
      <c r="D879" s="46">
        <v>45583.447627314818</v>
      </c>
      <c r="E879" s="46">
        <v>45597.447627314818</v>
      </c>
      <c r="F879" s="27">
        <v>42589.11</v>
      </c>
      <c r="G879" s="34">
        <v>1</v>
      </c>
      <c r="H879" s="34">
        <v>1</v>
      </c>
      <c r="I879" t="s">
        <v>7038</v>
      </c>
      <c r="J879">
        <v>8</v>
      </c>
      <c r="Q879">
        <v>71.315214927477754</v>
      </c>
    </row>
    <row r="880" spans="1:17" x14ac:dyDescent="0.3">
      <c r="A880" s="34" t="s">
        <v>7014</v>
      </c>
      <c r="B880" s="34" t="s">
        <v>765</v>
      </c>
      <c r="C880" t="s">
        <v>6448</v>
      </c>
      <c r="D880" s="46">
        <v>45584.448657407411</v>
      </c>
      <c r="E880" s="46">
        <v>45597.448657407411</v>
      </c>
      <c r="F880" s="27">
        <v>42589.11</v>
      </c>
      <c r="G880" s="34">
        <v>1</v>
      </c>
      <c r="H880" s="34">
        <v>1</v>
      </c>
      <c r="I880" t="s">
        <v>7038</v>
      </c>
      <c r="J880">
        <v>8</v>
      </c>
      <c r="Q880">
        <v>72.042268171498918</v>
      </c>
    </row>
    <row r="881" spans="1:17" x14ac:dyDescent="0.3">
      <c r="A881" s="34" t="s">
        <v>7015</v>
      </c>
      <c r="B881" s="34" t="s">
        <v>765</v>
      </c>
      <c r="C881" t="s">
        <v>6448</v>
      </c>
      <c r="D881" s="46">
        <v>45582.449687499997</v>
      </c>
      <c r="E881" s="46">
        <v>45597.449687499997</v>
      </c>
      <c r="F881" s="27">
        <v>42589.11</v>
      </c>
      <c r="G881" s="34">
        <v>1</v>
      </c>
      <c r="H881" s="34">
        <v>1</v>
      </c>
      <c r="I881" t="s">
        <v>7038</v>
      </c>
      <c r="J881">
        <v>8</v>
      </c>
      <c r="Q881">
        <v>58.434049270903998</v>
      </c>
    </row>
    <row r="882" spans="1:17" x14ac:dyDescent="0.3">
      <c r="A882" s="34" t="s">
        <v>7016</v>
      </c>
      <c r="B882" s="34" t="s">
        <v>765</v>
      </c>
      <c r="C882" t="s">
        <v>6448</v>
      </c>
      <c r="D882" s="46">
        <v>45581.450706018521</v>
      </c>
      <c r="E882" s="46">
        <v>45597.450706018521</v>
      </c>
      <c r="F882" s="27">
        <v>42589.11</v>
      </c>
      <c r="G882" s="34">
        <v>1</v>
      </c>
      <c r="H882" s="34">
        <v>1</v>
      </c>
      <c r="I882" t="s">
        <v>7038</v>
      </c>
      <c r="J882">
        <v>8</v>
      </c>
      <c r="Q882">
        <v>58.552624788372754</v>
      </c>
    </row>
    <row r="883" spans="1:17" x14ac:dyDescent="0.3">
      <c r="A883" s="34" t="s">
        <v>7017</v>
      </c>
      <c r="B883" s="34" t="s">
        <v>765</v>
      </c>
      <c r="C883" t="s">
        <v>6448</v>
      </c>
      <c r="D883" s="46">
        <v>45586.451747685183</v>
      </c>
      <c r="E883" s="46">
        <v>45597.451747685183</v>
      </c>
      <c r="F883" s="27">
        <v>42589.11</v>
      </c>
      <c r="G883" s="34">
        <v>1</v>
      </c>
      <c r="H883" s="34">
        <v>1</v>
      </c>
      <c r="I883" t="s">
        <v>7038</v>
      </c>
      <c r="J883">
        <v>8</v>
      </c>
      <c r="Q883">
        <v>50.11209414588162</v>
      </c>
    </row>
    <row r="884" spans="1:17" x14ac:dyDescent="0.3">
      <c r="A884" s="34" t="s">
        <v>7018</v>
      </c>
      <c r="B884" s="34" t="s">
        <v>765</v>
      </c>
      <c r="C884" t="s">
        <v>6448</v>
      </c>
      <c r="D884" s="46">
        <v>45583.452766203707</v>
      </c>
      <c r="E884" s="46">
        <v>45597.452766203707</v>
      </c>
      <c r="F884" s="27">
        <v>42589.11</v>
      </c>
      <c r="G884" s="34">
        <v>1</v>
      </c>
      <c r="H884" s="34">
        <v>1</v>
      </c>
      <c r="I884" t="s">
        <v>7038</v>
      </c>
      <c r="J884">
        <v>8</v>
      </c>
      <c r="Q884">
        <v>50.842695430755981</v>
      </c>
    </row>
    <row r="885" spans="1:17" x14ac:dyDescent="0.3">
      <c r="A885" s="34" t="s">
        <v>7019</v>
      </c>
      <c r="B885" s="34" t="s">
        <v>765</v>
      </c>
      <c r="C885" t="s">
        <v>6448</v>
      </c>
      <c r="D885" s="46">
        <v>45584.453784722224</v>
      </c>
      <c r="E885" s="46">
        <v>45597.453784722224</v>
      </c>
      <c r="F885" s="27">
        <v>42589.11</v>
      </c>
      <c r="G885" s="34">
        <v>1</v>
      </c>
      <c r="H885" s="34">
        <v>1</v>
      </c>
      <c r="I885" t="s">
        <v>7038</v>
      </c>
      <c r="J885">
        <v>8</v>
      </c>
      <c r="Q885">
        <v>50.43606229839078</v>
      </c>
    </row>
    <row r="886" spans="1:17" x14ac:dyDescent="0.3">
      <c r="A886" s="34" t="s">
        <v>7020</v>
      </c>
      <c r="B886" s="34" t="s">
        <v>765</v>
      </c>
      <c r="C886" t="s">
        <v>6448</v>
      </c>
      <c r="D886" s="46">
        <v>45584.454814814817</v>
      </c>
      <c r="E886" s="46">
        <v>45597.454814814817</v>
      </c>
      <c r="F886" s="27">
        <v>42589.11</v>
      </c>
      <c r="G886" s="34">
        <v>1</v>
      </c>
      <c r="H886" s="34">
        <v>1</v>
      </c>
      <c r="I886" t="s">
        <v>7038</v>
      </c>
      <c r="J886">
        <v>8</v>
      </c>
      <c r="Q886">
        <v>67.035633878068467</v>
      </c>
    </row>
    <row r="887" spans="1:17" x14ac:dyDescent="0.3">
      <c r="A887" s="34" t="s">
        <v>7021</v>
      </c>
      <c r="B887" s="34" t="s">
        <v>765</v>
      </c>
      <c r="C887" t="s">
        <v>6448</v>
      </c>
      <c r="D887" s="46">
        <v>45582.45584490741</v>
      </c>
      <c r="E887" s="46">
        <v>45597.45584490741</v>
      </c>
      <c r="F887" s="27">
        <v>42589.11</v>
      </c>
      <c r="G887" s="34">
        <v>1</v>
      </c>
      <c r="H887" s="34">
        <v>1</v>
      </c>
      <c r="I887" t="s">
        <v>7038</v>
      </c>
      <c r="J887">
        <v>8</v>
      </c>
      <c r="Q887">
        <v>73.033208947087559</v>
      </c>
    </row>
    <row r="888" spans="1:17" x14ac:dyDescent="0.3">
      <c r="A888" s="34" t="s">
        <v>7022</v>
      </c>
      <c r="B888" s="34" t="s">
        <v>765</v>
      </c>
      <c r="C888" t="s">
        <v>6448</v>
      </c>
      <c r="D888" s="46">
        <v>45581.456875000003</v>
      </c>
      <c r="E888" s="46">
        <v>45597.456875000003</v>
      </c>
      <c r="F888" s="27">
        <v>42589.11</v>
      </c>
      <c r="G888" s="34">
        <v>1</v>
      </c>
      <c r="H888" s="34">
        <v>1</v>
      </c>
      <c r="I888" t="s">
        <v>7038</v>
      </c>
      <c r="J888">
        <v>8</v>
      </c>
      <c r="Q888">
        <v>58.890534630397944</v>
      </c>
    </row>
    <row r="889" spans="1:17" x14ac:dyDescent="0.3">
      <c r="A889" s="34" t="s">
        <v>7023</v>
      </c>
      <c r="B889" s="34" t="s">
        <v>765</v>
      </c>
      <c r="C889" t="s">
        <v>6448</v>
      </c>
      <c r="D889" s="46">
        <v>45596.604710648149</v>
      </c>
      <c r="E889" s="46">
        <v>45607.604710648149</v>
      </c>
      <c r="F889" s="27">
        <v>42589.11</v>
      </c>
      <c r="G889" s="34">
        <v>1</v>
      </c>
      <c r="H889" s="34">
        <v>1</v>
      </c>
      <c r="I889" t="s">
        <v>7038</v>
      </c>
      <c r="J889">
        <v>8</v>
      </c>
      <c r="Q889">
        <v>58.511161056034048</v>
      </c>
    </row>
    <row r="890" spans="1:17" x14ac:dyDescent="0.3">
      <c r="A890" s="34" t="s">
        <v>7024</v>
      </c>
      <c r="B890" s="34" t="s">
        <v>765</v>
      </c>
      <c r="C890" t="s">
        <v>6448</v>
      </c>
      <c r="D890" s="46">
        <v>45593.605729166666</v>
      </c>
      <c r="E890" s="46">
        <v>45607.605729166666</v>
      </c>
      <c r="F890" s="27">
        <v>42589.11</v>
      </c>
      <c r="G890" s="34">
        <v>1</v>
      </c>
      <c r="H890" s="34">
        <v>1</v>
      </c>
      <c r="I890" t="s">
        <v>7038</v>
      </c>
      <c r="J890">
        <v>8</v>
      </c>
      <c r="Q890">
        <v>51.920123350319294</v>
      </c>
    </row>
    <row r="891" spans="1:17" x14ac:dyDescent="0.3">
      <c r="A891" s="34" t="s">
        <v>7025</v>
      </c>
      <c r="B891" s="34" t="s">
        <v>765</v>
      </c>
      <c r="C891" t="s">
        <v>6448</v>
      </c>
      <c r="D891" s="46">
        <v>45594.606747685182</v>
      </c>
      <c r="E891" s="46">
        <v>45607.606747685182</v>
      </c>
      <c r="F891" s="27">
        <v>42589.11</v>
      </c>
      <c r="G891" s="34">
        <v>1</v>
      </c>
      <c r="H891" s="34">
        <v>1</v>
      </c>
      <c r="I891" t="s">
        <v>7038</v>
      </c>
      <c r="J891">
        <v>8</v>
      </c>
      <c r="Q891">
        <v>62.945094054852568</v>
      </c>
    </row>
    <row r="892" spans="1:17" x14ac:dyDescent="0.3">
      <c r="A892" s="34" t="s">
        <v>7026</v>
      </c>
      <c r="B892" s="34" t="s">
        <v>765</v>
      </c>
      <c r="C892" t="s">
        <v>6405</v>
      </c>
      <c r="D892" s="46">
        <v>45592.615601851852</v>
      </c>
      <c r="E892" s="46">
        <v>45607.615601851852</v>
      </c>
      <c r="F892" s="27">
        <v>42589.11</v>
      </c>
      <c r="G892" s="34">
        <v>1</v>
      </c>
      <c r="H892" s="34">
        <v>1</v>
      </c>
      <c r="I892" t="s">
        <v>7038</v>
      </c>
      <c r="J892">
        <v>19</v>
      </c>
      <c r="Q892">
        <v>24.154939457183207</v>
      </c>
    </row>
    <row r="893" spans="1:17" x14ac:dyDescent="0.3">
      <c r="A893" s="34" t="s">
        <v>7027</v>
      </c>
      <c r="B893" s="34" t="s">
        <v>765</v>
      </c>
      <c r="C893" t="s">
        <v>6454</v>
      </c>
      <c r="D893" s="46">
        <v>45581.457905092589</v>
      </c>
      <c r="E893" s="46">
        <v>45597.457905092589</v>
      </c>
      <c r="F893" s="27">
        <v>42589.11</v>
      </c>
      <c r="G893" s="34">
        <v>1</v>
      </c>
      <c r="H893" s="34">
        <v>1</v>
      </c>
      <c r="I893" t="s">
        <v>7038</v>
      </c>
      <c r="J893">
        <v>22</v>
      </c>
      <c r="Q893">
        <v>61.244704142351338</v>
      </c>
    </row>
    <row r="894" spans="1:17" x14ac:dyDescent="0.3">
      <c r="A894" s="34" t="s">
        <v>7028</v>
      </c>
      <c r="B894" s="34" t="s">
        <v>765</v>
      </c>
      <c r="C894" t="s">
        <v>6440</v>
      </c>
      <c r="D894" s="46">
        <v>45603.340428240743</v>
      </c>
      <c r="E894" s="46">
        <v>45614.340428240743</v>
      </c>
      <c r="F894" s="27">
        <v>71642.3</v>
      </c>
      <c r="G894" s="34">
        <v>1</v>
      </c>
      <c r="H894" s="34">
        <v>1</v>
      </c>
      <c r="I894" t="s">
        <v>7038</v>
      </c>
      <c r="J894">
        <v>21</v>
      </c>
      <c r="Q894">
        <v>40.231558982509242</v>
      </c>
    </row>
    <row r="895" spans="1:17" x14ac:dyDescent="0.3">
      <c r="A895" s="34" t="s">
        <v>7029</v>
      </c>
      <c r="B895" s="34" t="s">
        <v>765</v>
      </c>
      <c r="C895" t="s">
        <v>6440</v>
      </c>
      <c r="D895" s="46">
        <v>45600.418587962966</v>
      </c>
      <c r="E895" s="46">
        <v>45614.418587962966</v>
      </c>
      <c r="F895" s="27">
        <v>71642.3</v>
      </c>
      <c r="G895" s="34">
        <v>1</v>
      </c>
      <c r="H895" s="34">
        <v>1</v>
      </c>
      <c r="I895" t="s">
        <v>7038</v>
      </c>
      <c r="J895">
        <v>21</v>
      </c>
      <c r="Q895">
        <v>75.003283299428233</v>
      </c>
    </row>
    <row r="896" spans="1:17" x14ac:dyDescent="0.3">
      <c r="A896" s="34" t="s">
        <v>7030</v>
      </c>
      <c r="B896" s="34" t="s">
        <v>765</v>
      </c>
      <c r="C896" t="s">
        <v>6440</v>
      </c>
      <c r="D896" s="46">
        <v>45594.616608796299</v>
      </c>
      <c r="E896" s="46">
        <v>45607.616608796299</v>
      </c>
      <c r="F896" s="27">
        <v>71642.3</v>
      </c>
      <c r="G896" s="34">
        <v>1</v>
      </c>
      <c r="H896" s="34">
        <v>1</v>
      </c>
      <c r="I896" t="s">
        <v>7038</v>
      </c>
      <c r="J896">
        <v>21</v>
      </c>
      <c r="Q896">
        <v>75.000833041870479</v>
      </c>
    </row>
    <row r="897" spans="1:17" x14ac:dyDescent="0.3">
      <c r="A897" s="34" t="s">
        <v>7031</v>
      </c>
      <c r="B897" s="34" t="s">
        <v>765</v>
      </c>
      <c r="C897" t="s">
        <v>6440</v>
      </c>
      <c r="D897" s="46">
        <v>45592.617604166669</v>
      </c>
      <c r="E897" s="46">
        <v>45607.617604166669</v>
      </c>
      <c r="F897" s="27">
        <v>71642.3</v>
      </c>
      <c r="G897" s="34">
        <v>1</v>
      </c>
      <c r="H897" s="34">
        <v>1</v>
      </c>
      <c r="I897" t="s">
        <v>7038</v>
      </c>
      <c r="J897">
        <v>21</v>
      </c>
      <c r="Q897">
        <v>97.334699433465914</v>
      </c>
    </row>
    <row r="898" spans="1:17" x14ac:dyDescent="0.3">
      <c r="A898" s="34" t="s">
        <v>7032</v>
      </c>
      <c r="B898" s="34" t="s">
        <v>765</v>
      </c>
      <c r="C898" t="s">
        <v>6510</v>
      </c>
      <c r="D898" s="46">
        <v>45598.34642361111</v>
      </c>
      <c r="E898" s="46">
        <v>45614.34642361111</v>
      </c>
      <c r="F898" s="27">
        <v>71642.3</v>
      </c>
      <c r="G898" s="34">
        <v>1</v>
      </c>
      <c r="H898" s="34">
        <v>1</v>
      </c>
      <c r="I898" t="s">
        <v>7038</v>
      </c>
      <c r="J898">
        <v>26</v>
      </c>
      <c r="Q898">
        <v>86.916878566928759</v>
      </c>
    </row>
    <row r="899" spans="1:17" x14ac:dyDescent="0.3">
      <c r="A899" s="34" t="s">
        <v>7033</v>
      </c>
      <c r="B899" s="34" t="s">
        <v>765</v>
      </c>
      <c r="C899" t="s">
        <v>6413</v>
      </c>
      <c r="D899" s="46">
        <v>45582.617245370369</v>
      </c>
      <c r="E899" s="46">
        <v>45593.617245370369</v>
      </c>
      <c r="F899" s="27">
        <v>71642.3</v>
      </c>
      <c r="G899" s="34">
        <v>1</v>
      </c>
      <c r="H899" s="34">
        <v>1</v>
      </c>
      <c r="I899" t="s">
        <v>7038</v>
      </c>
      <c r="J899">
        <v>6</v>
      </c>
      <c r="Q899">
        <v>50.854958039789786</v>
      </c>
    </row>
    <row r="900" spans="1:17" x14ac:dyDescent="0.3">
      <c r="A900" s="34" t="s">
        <v>7034</v>
      </c>
      <c r="B900" s="34" t="s">
        <v>765</v>
      </c>
      <c r="C900" t="s">
        <v>6413</v>
      </c>
      <c r="D900" s="46">
        <v>45600.348657407405</v>
      </c>
      <c r="E900" s="46">
        <v>45614.348657407405</v>
      </c>
      <c r="F900" s="27">
        <v>71642.3</v>
      </c>
      <c r="G900" s="34">
        <v>1</v>
      </c>
      <c r="H900" s="34">
        <v>1</v>
      </c>
      <c r="I900" t="s">
        <v>7038</v>
      </c>
      <c r="J900">
        <v>6</v>
      </c>
      <c r="Q900">
        <v>79.633627246020282</v>
      </c>
    </row>
    <row r="901" spans="1:17" x14ac:dyDescent="0.3">
      <c r="A901" s="34" t="s">
        <v>7035</v>
      </c>
      <c r="B901" s="34" t="s">
        <v>765</v>
      </c>
      <c r="C901" t="s">
        <v>6512</v>
      </c>
      <c r="D901" s="46">
        <v>45594.618622685186</v>
      </c>
      <c r="E901" s="46">
        <v>45607.618622685186</v>
      </c>
      <c r="F901" s="27">
        <v>42589.11</v>
      </c>
      <c r="G901" s="34">
        <v>1</v>
      </c>
      <c r="H901" s="34">
        <v>1</v>
      </c>
      <c r="I901" t="s">
        <v>7038</v>
      </c>
      <c r="J901">
        <v>11</v>
      </c>
      <c r="Q901">
        <v>21.289319909772576</v>
      </c>
    </row>
    <row r="902" spans="1:17" x14ac:dyDescent="0.3">
      <c r="A902" s="34" t="s">
        <v>7036</v>
      </c>
      <c r="B902" s="34" t="s">
        <v>765</v>
      </c>
      <c r="C902" t="s">
        <v>6413</v>
      </c>
      <c r="D902" s="46">
        <v>45594.619629629633</v>
      </c>
      <c r="E902" s="46">
        <v>45607.619629629633</v>
      </c>
      <c r="F902" s="27">
        <v>71642.3</v>
      </c>
      <c r="G902" s="34">
        <v>1</v>
      </c>
      <c r="H902" s="34">
        <v>1</v>
      </c>
      <c r="I902" t="s">
        <v>7038</v>
      </c>
      <c r="J902">
        <v>6</v>
      </c>
      <c r="Q902">
        <v>44.614027725515278</v>
      </c>
    </row>
    <row r="903" spans="1:17" x14ac:dyDescent="0.3">
      <c r="A903" s="34" t="s">
        <v>7037</v>
      </c>
      <c r="B903" s="34" t="s">
        <v>765</v>
      </c>
      <c r="C903" t="s">
        <v>6528</v>
      </c>
      <c r="D903" s="46">
        <v>45592.620636574073</v>
      </c>
      <c r="E903" s="46">
        <v>45607.620636574073</v>
      </c>
      <c r="F903" s="27">
        <v>42589.11</v>
      </c>
      <c r="G903" s="34">
        <v>1</v>
      </c>
      <c r="H903" s="34">
        <v>1</v>
      </c>
      <c r="I903" t="s">
        <v>7038</v>
      </c>
      <c r="J903">
        <v>13</v>
      </c>
      <c r="Q903">
        <v>63.268979433056892</v>
      </c>
    </row>
  </sheetData>
  <conditionalFormatting sqref="A1:A1048576">
    <cfRule type="duplicateValues" dxfId="2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B2D5-B90F-4DD5-99EE-B1BCEC94D64C}">
  <dimension ref="A1:Y451"/>
  <sheetViews>
    <sheetView workbookViewId="0">
      <selection activeCell="E1" sqref="E1:F1048576"/>
    </sheetView>
  </sheetViews>
  <sheetFormatPr defaultRowHeight="14.4" x14ac:dyDescent="0.3"/>
  <cols>
    <col min="1" max="1" width="10" bestFit="1" customWidth="1"/>
    <col min="2" max="2" width="9.88671875" bestFit="1" customWidth="1"/>
    <col min="3" max="3" width="26.33203125" bestFit="1" customWidth="1"/>
    <col min="4" max="4" width="43.33203125" bestFit="1" customWidth="1"/>
    <col min="5" max="5" width="15.44140625" style="51" bestFit="1" customWidth="1"/>
    <col min="6" max="6" width="13.88671875" style="51" bestFit="1" customWidth="1"/>
    <col min="7" max="7" width="22.6640625" style="51" bestFit="1" customWidth="1"/>
    <col min="8" max="8" width="12.5546875" bestFit="1" customWidth="1"/>
    <col min="9" max="9" width="11.33203125" bestFit="1" customWidth="1"/>
    <col min="10" max="10" width="14" bestFit="1" customWidth="1"/>
    <col min="11" max="11" width="13" bestFit="1" customWidth="1"/>
    <col min="12" max="12" width="14.33203125" bestFit="1" customWidth="1"/>
    <col min="13" max="13" width="15.5546875" bestFit="1" customWidth="1"/>
    <col min="14" max="14" width="14.6640625" bestFit="1" customWidth="1"/>
    <col min="15" max="15" width="14.33203125" bestFit="1" customWidth="1"/>
    <col min="16" max="16" width="16" bestFit="1" customWidth="1"/>
    <col min="17" max="17" width="7.109375" bestFit="1" customWidth="1"/>
    <col min="18" max="18" width="8.33203125" bestFit="1" customWidth="1"/>
    <col min="19" max="19" width="16.33203125" bestFit="1" customWidth="1"/>
    <col min="20" max="20" width="16.5546875" bestFit="1" customWidth="1"/>
    <col min="21" max="22" width="10.109375" bestFit="1" customWidth="1"/>
    <col min="23" max="23" width="11.109375" bestFit="1" customWidth="1"/>
    <col min="24" max="24" width="9.44140625" bestFit="1" customWidth="1"/>
    <col min="25" max="25" width="9.109375" bestFit="1" customWidth="1"/>
  </cols>
  <sheetData>
    <row r="1" spans="1:25" s="25" customFormat="1" x14ac:dyDescent="0.3">
      <c r="A1" s="25" t="s">
        <v>16</v>
      </c>
      <c r="B1" s="25" t="s">
        <v>120</v>
      </c>
      <c r="C1" s="25" t="s">
        <v>17</v>
      </c>
      <c r="D1" s="25" t="s">
        <v>121</v>
      </c>
      <c r="E1" s="50" t="s">
        <v>122</v>
      </c>
      <c r="F1" s="50" t="s">
        <v>123</v>
      </c>
      <c r="G1" s="50" t="s">
        <v>124</v>
      </c>
      <c r="H1" s="25" t="s">
        <v>125</v>
      </c>
      <c r="I1" s="25" t="s">
        <v>126</v>
      </c>
      <c r="J1" s="25" t="s">
        <v>127</v>
      </c>
      <c r="K1" s="25" t="s">
        <v>128</v>
      </c>
      <c r="L1" s="25" t="s">
        <v>129</v>
      </c>
      <c r="M1" s="25" t="s">
        <v>130</v>
      </c>
      <c r="N1" s="25" t="s">
        <v>131</v>
      </c>
      <c r="O1" s="25" t="s">
        <v>132</v>
      </c>
      <c r="P1" s="25" t="s">
        <v>133</v>
      </c>
      <c r="Q1" s="25" t="s">
        <v>134</v>
      </c>
      <c r="R1" s="25" t="s">
        <v>135</v>
      </c>
      <c r="S1" s="25" t="s">
        <v>136</v>
      </c>
      <c r="T1" s="25" t="s">
        <v>137</v>
      </c>
      <c r="U1" s="25" t="s">
        <v>762</v>
      </c>
      <c r="V1" s="25" t="s">
        <v>763</v>
      </c>
      <c r="W1" s="25" t="s">
        <v>764</v>
      </c>
      <c r="X1" s="25" t="s">
        <v>138</v>
      </c>
      <c r="Y1" s="25" t="s">
        <v>139</v>
      </c>
    </row>
    <row r="2" spans="1:25" x14ac:dyDescent="0.3">
      <c r="A2">
        <v>402301057</v>
      </c>
      <c r="B2" t="s">
        <v>765</v>
      </c>
      <c r="C2" t="s">
        <v>766</v>
      </c>
      <c r="D2" t="s">
        <v>767</v>
      </c>
      <c r="E2" s="26">
        <v>45436.387141203704</v>
      </c>
      <c r="F2" s="26">
        <v>45447.387141203704</v>
      </c>
      <c r="G2" s="51">
        <v>45916</v>
      </c>
      <c r="H2">
        <v>45200.37999999999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2</v>
      </c>
      <c r="T2">
        <v>0.9</v>
      </c>
      <c r="U2">
        <v>0</v>
      </c>
      <c r="V2">
        <v>1</v>
      </c>
      <c r="W2">
        <v>0</v>
      </c>
      <c r="X2">
        <v>0</v>
      </c>
      <c r="Y2">
        <v>0</v>
      </c>
    </row>
    <row r="3" spans="1:25" x14ac:dyDescent="0.3">
      <c r="A3">
        <v>402301073</v>
      </c>
      <c r="B3" t="s">
        <v>765</v>
      </c>
      <c r="C3" t="s">
        <v>766</v>
      </c>
      <c r="D3" t="s">
        <v>768</v>
      </c>
      <c r="E3" s="26">
        <v>45445.697465277779</v>
      </c>
      <c r="F3" s="26">
        <v>45457.697465277779</v>
      </c>
      <c r="G3" s="51">
        <v>45916</v>
      </c>
      <c r="H3">
        <v>45200.369999999995</v>
      </c>
      <c r="I3" t="s">
        <v>18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2</v>
      </c>
      <c r="T3">
        <v>0.9</v>
      </c>
      <c r="U3">
        <v>0</v>
      </c>
      <c r="V3">
        <v>1</v>
      </c>
      <c r="W3">
        <v>0</v>
      </c>
      <c r="X3">
        <v>0</v>
      </c>
      <c r="Y3">
        <v>0</v>
      </c>
    </row>
    <row r="4" spans="1:25" x14ac:dyDescent="0.3">
      <c r="A4">
        <v>402301111</v>
      </c>
      <c r="B4" t="s">
        <v>765</v>
      </c>
      <c r="C4" t="s">
        <v>766</v>
      </c>
      <c r="D4" t="s">
        <v>768</v>
      </c>
      <c r="E4" s="26">
        <v>45447.662604166668</v>
      </c>
      <c r="F4" s="26">
        <v>45460.662604166668</v>
      </c>
      <c r="G4" s="51">
        <v>45916</v>
      </c>
      <c r="H4">
        <v>45200.38</v>
      </c>
      <c r="I4" t="s">
        <v>18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2</v>
      </c>
      <c r="T4">
        <v>0.9</v>
      </c>
      <c r="U4">
        <v>0</v>
      </c>
      <c r="V4">
        <v>1</v>
      </c>
      <c r="W4">
        <v>0</v>
      </c>
      <c r="X4">
        <v>0</v>
      </c>
      <c r="Y4">
        <v>0</v>
      </c>
    </row>
    <row r="5" spans="1:25" x14ac:dyDescent="0.3">
      <c r="A5">
        <v>402301015</v>
      </c>
      <c r="B5" t="s">
        <v>765</v>
      </c>
      <c r="C5" t="s">
        <v>766</v>
      </c>
      <c r="D5" t="s">
        <v>769</v>
      </c>
      <c r="E5" s="26">
        <v>45299.633703703701</v>
      </c>
      <c r="F5" s="26">
        <v>45314.633703703701</v>
      </c>
      <c r="G5" s="51">
        <v>45916</v>
      </c>
      <c r="H5">
        <v>44601.099999999991</v>
      </c>
      <c r="I5" t="s">
        <v>18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2</v>
      </c>
      <c r="T5">
        <v>0.9</v>
      </c>
      <c r="U5">
        <v>0</v>
      </c>
      <c r="V5">
        <v>1</v>
      </c>
      <c r="W5">
        <v>0</v>
      </c>
      <c r="X5">
        <v>0</v>
      </c>
      <c r="Y5">
        <v>0</v>
      </c>
    </row>
    <row r="6" spans="1:25" x14ac:dyDescent="0.3">
      <c r="A6">
        <v>402301013</v>
      </c>
      <c r="B6" t="s">
        <v>765</v>
      </c>
      <c r="C6" t="s">
        <v>766</v>
      </c>
      <c r="D6" t="s">
        <v>770</v>
      </c>
      <c r="E6" s="26">
        <v>45298.603113425925</v>
      </c>
      <c r="F6" s="26">
        <v>45314.603113425925</v>
      </c>
      <c r="G6" s="51">
        <v>45916</v>
      </c>
      <c r="H6">
        <v>45005.57</v>
      </c>
      <c r="I6" t="s">
        <v>18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2</v>
      </c>
      <c r="T6">
        <v>0.9</v>
      </c>
      <c r="U6">
        <v>0</v>
      </c>
      <c r="V6">
        <v>1</v>
      </c>
      <c r="W6">
        <v>0</v>
      </c>
      <c r="X6">
        <v>0</v>
      </c>
      <c r="Y6">
        <v>0</v>
      </c>
    </row>
    <row r="7" spans="1:25" x14ac:dyDescent="0.3">
      <c r="A7">
        <v>402301012</v>
      </c>
      <c r="B7" t="s">
        <v>765</v>
      </c>
      <c r="C7" t="s">
        <v>766</v>
      </c>
      <c r="D7" t="s">
        <v>771</v>
      </c>
      <c r="E7" s="26">
        <v>45303.598402777781</v>
      </c>
      <c r="F7" s="26">
        <v>45314.598402777781</v>
      </c>
      <c r="G7" s="51">
        <v>45916</v>
      </c>
      <c r="H7">
        <v>45005.56</v>
      </c>
      <c r="I7" t="s">
        <v>18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2</v>
      </c>
      <c r="T7">
        <v>0.9</v>
      </c>
      <c r="U7">
        <v>0</v>
      </c>
      <c r="V7">
        <v>1</v>
      </c>
      <c r="W7">
        <v>0</v>
      </c>
      <c r="X7">
        <v>0</v>
      </c>
      <c r="Y7">
        <v>0</v>
      </c>
    </row>
    <row r="8" spans="1:25" x14ac:dyDescent="0.3">
      <c r="A8">
        <v>402301072</v>
      </c>
      <c r="B8" t="s">
        <v>765</v>
      </c>
      <c r="C8" t="s">
        <v>766</v>
      </c>
      <c r="D8" t="s">
        <v>768</v>
      </c>
      <c r="E8" s="26">
        <v>45445.662835648145</v>
      </c>
      <c r="F8" s="26">
        <v>45457.662835648145</v>
      </c>
      <c r="G8" s="51">
        <v>45916</v>
      </c>
      <c r="H8">
        <v>45200.379999999983</v>
      </c>
      <c r="I8" t="s">
        <v>18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2</v>
      </c>
      <c r="T8">
        <v>0.9</v>
      </c>
      <c r="U8">
        <v>0</v>
      </c>
      <c r="V8">
        <v>1</v>
      </c>
      <c r="W8">
        <v>0</v>
      </c>
      <c r="X8">
        <v>0</v>
      </c>
      <c r="Y8">
        <v>0</v>
      </c>
    </row>
    <row r="9" spans="1:25" x14ac:dyDescent="0.3">
      <c r="A9">
        <v>402301056</v>
      </c>
      <c r="B9" t="s">
        <v>765</v>
      </c>
      <c r="C9" t="s">
        <v>766</v>
      </c>
      <c r="D9" t="s">
        <v>772</v>
      </c>
      <c r="E9" s="26">
        <v>45443.453564814816</v>
      </c>
      <c r="F9" s="26">
        <v>45456.453564814816</v>
      </c>
      <c r="G9" s="51">
        <v>45916</v>
      </c>
      <c r="H9">
        <v>45200.369999999995</v>
      </c>
      <c r="I9" t="s">
        <v>18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2</v>
      </c>
      <c r="T9">
        <v>0.9</v>
      </c>
      <c r="U9">
        <v>0</v>
      </c>
      <c r="V9">
        <v>1</v>
      </c>
      <c r="W9">
        <v>0</v>
      </c>
      <c r="X9">
        <v>0</v>
      </c>
      <c r="Y9">
        <v>0</v>
      </c>
    </row>
    <row r="10" spans="1:25" x14ac:dyDescent="0.3">
      <c r="A10">
        <v>402301070</v>
      </c>
      <c r="B10" t="s">
        <v>765</v>
      </c>
      <c r="C10" t="s">
        <v>766</v>
      </c>
      <c r="D10" t="s">
        <v>773</v>
      </c>
      <c r="E10" s="26">
        <v>45442.63758101852</v>
      </c>
      <c r="F10" s="26">
        <v>45457.63758101852</v>
      </c>
      <c r="G10" s="51">
        <v>45916</v>
      </c>
      <c r="H10">
        <v>45200.37999999999</v>
      </c>
      <c r="I10" t="s">
        <v>18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2</v>
      </c>
      <c r="T10">
        <v>0.9</v>
      </c>
      <c r="U10">
        <v>0</v>
      </c>
      <c r="V10">
        <v>1</v>
      </c>
      <c r="W10">
        <v>0</v>
      </c>
      <c r="X10">
        <v>0</v>
      </c>
      <c r="Y10">
        <v>0</v>
      </c>
    </row>
    <row r="11" spans="1:25" x14ac:dyDescent="0.3">
      <c r="A11">
        <v>402301017</v>
      </c>
      <c r="B11" t="s">
        <v>765</v>
      </c>
      <c r="C11" t="s">
        <v>766</v>
      </c>
      <c r="D11" t="s">
        <v>774</v>
      </c>
      <c r="E11" s="26">
        <v>45305.615914351853</v>
      </c>
      <c r="F11" s="26">
        <v>45316.615914351853</v>
      </c>
      <c r="G11" s="51">
        <v>45916</v>
      </c>
      <c r="H11">
        <v>45005.569999999992</v>
      </c>
      <c r="I11" t="s">
        <v>18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2</v>
      </c>
      <c r="T11">
        <v>0.9</v>
      </c>
      <c r="U11">
        <v>0</v>
      </c>
      <c r="V11">
        <v>1</v>
      </c>
      <c r="W11">
        <v>0</v>
      </c>
      <c r="X11">
        <v>0</v>
      </c>
      <c r="Y11">
        <v>0</v>
      </c>
    </row>
    <row r="12" spans="1:25" x14ac:dyDescent="0.3">
      <c r="A12">
        <v>402301069</v>
      </c>
      <c r="B12" t="s">
        <v>765</v>
      </c>
      <c r="C12" t="s">
        <v>766</v>
      </c>
      <c r="D12" t="s">
        <v>775</v>
      </c>
      <c r="E12" s="26">
        <v>45436.680891203701</v>
      </c>
      <c r="F12" s="26">
        <v>45448.680891203701</v>
      </c>
      <c r="G12" s="51">
        <v>45916</v>
      </c>
      <c r="H12">
        <v>45200.37</v>
      </c>
      <c r="I12" t="s">
        <v>18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2</v>
      </c>
      <c r="T12">
        <v>0.9</v>
      </c>
      <c r="U12">
        <v>0</v>
      </c>
      <c r="V12">
        <v>1</v>
      </c>
      <c r="W12">
        <v>0</v>
      </c>
      <c r="X12">
        <v>0</v>
      </c>
      <c r="Y12">
        <v>0</v>
      </c>
    </row>
    <row r="13" spans="1:25" x14ac:dyDescent="0.3">
      <c r="A13">
        <v>402301016</v>
      </c>
      <c r="B13" t="s">
        <v>765</v>
      </c>
      <c r="C13" t="s">
        <v>766</v>
      </c>
      <c r="D13" t="s">
        <v>776</v>
      </c>
      <c r="E13" s="26">
        <v>45303.609166666669</v>
      </c>
      <c r="F13" s="26">
        <v>45316.609166666669</v>
      </c>
      <c r="G13" s="51">
        <v>45916</v>
      </c>
      <c r="H13">
        <v>45005.55999999999</v>
      </c>
      <c r="I13" t="s">
        <v>18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2</v>
      </c>
      <c r="T13">
        <v>0.9</v>
      </c>
      <c r="U13">
        <v>0</v>
      </c>
      <c r="V13">
        <v>1</v>
      </c>
      <c r="W13">
        <v>0</v>
      </c>
      <c r="X13">
        <v>0</v>
      </c>
      <c r="Y13">
        <v>0</v>
      </c>
    </row>
    <row r="14" spans="1:25" x14ac:dyDescent="0.3">
      <c r="A14">
        <v>402301109</v>
      </c>
      <c r="B14" t="s">
        <v>765</v>
      </c>
      <c r="C14" t="s">
        <v>766</v>
      </c>
      <c r="D14" t="s">
        <v>777</v>
      </c>
      <c r="E14" s="26">
        <v>45445.637280092589</v>
      </c>
      <c r="F14" s="26">
        <v>45460.637280092589</v>
      </c>
      <c r="G14" s="51">
        <v>45916</v>
      </c>
      <c r="H14">
        <v>45200.37000000001</v>
      </c>
      <c r="I14" t="s">
        <v>18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2</v>
      </c>
      <c r="T14">
        <v>0.9</v>
      </c>
      <c r="U14">
        <v>0</v>
      </c>
      <c r="V14">
        <v>1</v>
      </c>
      <c r="W14">
        <v>0</v>
      </c>
      <c r="X14">
        <v>0</v>
      </c>
      <c r="Y14">
        <v>0</v>
      </c>
    </row>
    <row r="15" spans="1:25" x14ac:dyDescent="0.3">
      <c r="A15">
        <v>402301110</v>
      </c>
      <c r="B15" t="s">
        <v>765</v>
      </c>
      <c r="C15" t="s">
        <v>766</v>
      </c>
      <c r="D15" t="s">
        <v>777</v>
      </c>
      <c r="E15" s="26">
        <v>45444.647199074076</v>
      </c>
      <c r="F15" s="26">
        <v>45460.647199074076</v>
      </c>
      <c r="G15" s="51">
        <v>45916</v>
      </c>
      <c r="H15">
        <v>45200.37999999999</v>
      </c>
      <c r="I15" t="s">
        <v>18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2</v>
      </c>
      <c r="T15">
        <v>0.9</v>
      </c>
      <c r="U15">
        <v>0</v>
      </c>
      <c r="V15">
        <v>1</v>
      </c>
      <c r="W15">
        <v>0</v>
      </c>
      <c r="X15">
        <v>0</v>
      </c>
      <c r="Y15">
        <v>0</v>
      </c>
    </row>
    <row r="16" spans="1:25" x14ac:dyDescent="0.3">
      <c r="A16">
        <v>402301065</v>
      </c>
      <c r="B16" t="s">
        <v>765</v>
      </c>
      <c r="C16" t="s">
        <v>766</v>
      </c>
      <c r="D16" t="s">
        <v>778</v>
      </c>
      <c r="E16" s="26">
        <v>45446.587395833332</v>
      </c>
      <c r="F16" s="26">
        <v>45457.587395833332</v>
      </c>
      <c r="G16" s="51">
        <v>45916</v>
      </c>
      <c r="H16">
        <v>45200.380000000019</v>
      </c>
      <c r="I16" t="s">
        <v>18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2</v>
      </c>
      <c r="T16">
        <v>0.9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3">
      <c r="A17">
        <v>402301035</v>
      </c>
      <c r="B17" t="s">
        <v>765</v>
      </c>
      <c r="C17" t="s">
        <v>766</v>
      </c>
      <c r="D17" t="s">
        <v>779</v>
      </c>
      <c r="E17" s="26">
        <v>45304.662638888891</v>
      </c>
      <c r="F17" s="26">
        <v>45316.662638888891</v>
      </c>
      <c r="G17" s="51">
        <v>45916</v>
      </c>
      <c r="H17">
        <v>45225.439999999973</v>
      </c>
      <c r="I17" t="s">
        <v>18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2</v>
      </c>
      <c r="T17">
        <v>0.9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 x14ac:dyDescent="0.3">
      <c r="A18">
        <v>402301036</v>
      </c>
      <c r="B18" t="s">
        <v>765</v>
      </c>
      <c r="C18" t="s">
        <v>766</v>
      </c>
      <c r="D18" t="s">
        <v>780</v>
      </c>
      <c r="E18" s="26">
        <v>45385.412453703706</v>
      </c>
      <c r="F18" s="26">
        <v>45398.412453703706</v>
      </c>
      <c r="G18" s="51">
        <v>45916</v>
      </c>
      <c r="H18">
        <v>45225.43</v>
      </c>
      <c r="I18" t="s">
        <v>18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2</v>
      </c>
      <c r="T18">
        <v>0.9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x14ac:dyDescent="0.3">
      <c r="A19">
        <v>402301061</v>
      </c>
      <c r="B19" t="s">
        <v>765</v>
      </c>
      <c r="C19" t="s">
        <v>766</v>
      </c>
      <c r="D19" t="s">
        <v>781</v>
      </c>
      <c r="E19" s="26">
        <v>45442.393692129626</v>
      </c>
      <c r="F19" s="26">
        <v>45457.393692129626</v>
      </c>
      <c r="G19" s="51">
        <v>45916</v>
      </c>
      <c r="H19">
        <v>45200.369999999981</v>
      </c>
      <c r="I19" t="s">
        <v>18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2</v>
      </c>
      <c r="T19">
        <v>0.9</v>
      </c>
      <c r="U19">
        <v>0</v>
      </c>
      <c r="V19">
        <v>1</v>
      </c>
      <c r="W19">
        <v>0</v>
      </c>
      <c r="X19">
        <v>0</v>
      </c>
      <c r="Y19">
        <v>0</v>
      </c>
    </row>
    <row r="20" spans="1:25" x14ac:dyDescent="0.3">
      <c r="A20">
        <v>402301062</v>
      </c>
      <c r="B20" t="s">
        <v>765</v>
      </c>
      <c r="C20" t="s">
        <v>766</v>
      </c>
      <c r="D20" t="s">
        <v>782</v>
      </c>
      <c r="E20" s="26">
        <v>45446.423275462963</v>
      </c>
      <c r="F20" s="26">
        <v>45457.423275462963</v>
      </c>
      <c r="G20" s="51">
        <v>45916</v>
      </c>
      <c r="H20">
        <v>45200.38</v>
      </c>
      <c r="I20" t="s">
        <v>18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2</v>
      </c>
      <c r="T20">
        <v>0.9</v>
      </c>
      <c r="U20">
        <v>0</v>
      </c>
      <c r="V20">
        <v>1</v>
      </c>
      <c r="W20">
        <v>0</v>
      </c>
      <c r="X20">
        <v>0</v>
      </c>
      <c r="Y20">
        <v>0</v>
      </c>
    </row>
    <row r="21" spans="1:25" x14ac:dyDescent="0.3">
      <c r="A21">
        <v>402301040</v>
      </c>
      <c r="B21" t="s">
        <v>765</v>
      </c>
      <c r="C21" t="s">
        <v>766</v>
      </c>
      <c r="D21" t="s">
        <v>773</v>
      </c>
      <c r="E21" s="26">
        <v>45428.463449074072</v>
      </c>
      <c r="F21" s="26">
        <v>45440.463449074072</v>
      </c>
      <c r="G21" s="51">
        <v>45916</v>
      </c>
      <c r="H21">
        <v>44271.659999999989</v>
      </c>
      <c r="I21" t="s">
        <v>18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2</v>
      </c>
      <c r="T21">
        <v>0.9</v>
      </c>
      <c r="U21">
        <v>0</v>
      </c>
      <c r="V21">
        <v>1</v>
      </c>
      <c r="W21">
        <v>0</v>
      </c>
      <c r="X21">
        <v>0</v>
      </c>
      <c r="Y21">
        <v>0</v>
      </c>
    </row>
    <row r="22" spans="1:25" x14ac:dyDescent="0.3">
      <c r="A22">
        <v>402301049</v>
      </c>
      <c r="B22" t="s">
        <v>765</v>
      </c>
      <c r="C22" t="s">
        <v>766</v>
      </c>
      <c r="D22" t="s">
        <v>778</v>
      </c>
      <c r="E22" s="26">
        <v>45435.648773148147</v>
      </c>
      <c r="F22" s="26">
        <v>45448.648773148147</v>
      </c>
      <c r="G22" s="51">
        <v>45916</v>
      </c>
      <c r="H22">
        <v>45200.369999999988</v>
      </c>
      <c r="I22" t="s">
        <v>18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2</v>
      </c>
      <c r="T22">
        <v>0.9</v>
      </c>
      <c r="U22">
        <v>0</v>
      </c>
      <c r="V22">
        <v>1</v>
      </c>
      <c r="W22">
        <v>0</v>
      </c>
      <c r="X22">
        <v>0</v>
      </c>
      <c r="Y22">
        <v>0</v>
      </c>
    </row>
    <row r="23" spans="1:25" x14ac:dyDescent="0.3">
      <c r="A23">
        <v>402301059</v>
      </c>
      <c r="B23" t="s">
        <v>765</v>
      </c>
      <c r="C23" t="s">
        <v>766</v>
      </c>
      <c r="D23" t="s">
        <v>783</v>
      </c>
      <c r="E23" s="26">
        <v>45442.369629629633</v>
      </c>
      <c r="F23" s="26">
        <v>45457.369629629633</v>
      </c>
      <c r="G23" s="51">
        <v>45916</v>
      </c>
      <c r="H23">
        <v>45200.38</v>
      </c>
      <c r="I23" t="s">
        <v>18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2</v>
      </c>
      <c r="T23">
        <v>0.9</v>
      </c>
      <c r="U23">
        <v>0</v>
      </c>
      <c r="V23">
        <v>1</v>
      </c>
      <c r="W23">
        <v>0</v>
      </c>
      <c r="X23">
        <v>0</v>
      </c>
      <c r="Y23">
        <v>0</v>
      </c>
    </row>
    <row r="24" spans="1:25" x14ac:dyDescent="0.3">
      <c r="A24">
        <v>402301068</v>
      </c>
      <c r="B24" t="s">
        <v>765</v>
      </c>
      <c r="C24" t="s">
        <v>766</v>
      </c>
      <c r="D24" t="s">
        <v>784</v>
      </c>
      <c r="E24" s="26">
        <v>45441.629895833335</v>
      </c>
      <c r="F24" s="26">
        <v>45457.629895833335</v>
      </c>
      <c r="G24" s="51">
        <v>45916</v>
      </c>
      <c r="H24">
        <v>45200.369999999988</v>
      </c>
      <c r="I24" t="s">
        <v>18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2</v>
      </c>
      <c r="T24">
        <v>0.9</v>
      </c>
      <c r="U24">
        <v>0</v>
      </c>
      <c r="V24">
        <v>1</v>
      </c>
      <c r="W24">
        <v>0</v>
      </c>
      <c r="X24">
        <v>0</v>
      </c>
      <c r="Y24">
        <v>0</v>
      </c>
    </row>
    <row r="25" spans="1:25" x14ac:dyDescent="0.3">
      <c r="A25">
        <v>402301058</v>
      </c>
      <c r="B25" t="s">
        <v>765</v>
      </c>
      <c r="C25" t="s">
        <v>766</v>
      </c>
      <c r="D25" t="s">
        <v>768</v>
      </c>
      <c r="E25" s="26">
        <v>45445.470543981479</v>
      </c>
      <c r="F25" s="26">
        <v>45456.470543981479</v>
      </c>
      <c r="G25" s="51">
        <v>45916</v>
      </c>
      <c r="H25">
        <v>45200.379999999983</v>
      </c>
      <c r="I25" t="s">
        <v>18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2</v>
      </c>
      <c r="T25">
        <v>0.9</v>
      </c>
      <c r="U25">
        <v>0</v>
      </c>
      <c r="V25">
        <v>1</v>
      </c>
      <c r="W25">
        <v>0</v>
      </c>
      <c r="X25">
        <v>0</v>
      </c>
      <c r="Y25">
        <v>0</v>
      </c>
    </row>
    <row r="26" spans="1:25" x14ac:dyDescent="0.3">
      <c r="A26">
        <v>402300999</v>
      </c>
      <c r="B26" t="s">
        <v>765</v>
      </c>
      <c r="C26" t="s">
        <v>766</v>
      </c>
      <c r="D26" t="s">
        <v>768</v>
      </c>
      <c r="E26" s="26">
        <v>45385.676562499997</v>
      </c>
      <c r="F26" s="26">
        <v>45397.676562499997</v>
      </c>
      <c r="G26" s="51">
        <v>45916</v>
      </c>
      <c r="H26">
        <v>45017.739999999983</v>
      </c>
      <c r="I26" t="s">
        <v>18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2</v>
      </c>
      <c r="T26">
        <v>0.9</v>
      </c>
      <c r="U26">
        <v>0</v>
      </c>
      <c r="V26">
        <v>1</v>
      </c>
      <c r="W26">
        <v>0</v>
      </c>
      <c r="X26">
        <v>0</v>
      </c>
      <c r="Y26">
        <v>0</v>
      </c>
    </row>
    <row r="27" spans="1:25" x14ac:dyDescent="0.3">
      <c r="A27">
        <v>402301014</v>
      </c>
      <c r="B27" t="s">
        <v>765</v>
      </c>
      <c r="C27" t="s">
        <v>766</v>
      </c>
      <c r="D27" t="s">
        <v>785</v>
      </c>
      <c r="E27" s="26">
        <v>45301.611122685186</v>
      </c>
      <c r="F27" s="26">
        <v>45314.611122685186</v>
      </c>
      <c r="G27" s="51">
        <v>45916</v>
      </c>
      <c r="H27">
        <v>45005.569999999985</v>
      </c>
      <c r="I27" t="s">
        <v>18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2</v>
      </c>
      <c r="T27">
        <v>0.9</v>
      </c>
      <c r="U27">
        <v>0</v>
      </c>
      <c r="V27">
        <v>1</v>
      </c>
      <c r="W27">
        <v>0</v>
      </c>
      <c r="X27">
        <v>0</v>
      </c>
      <c r="Y27">
        <v>0</v>
      </c>
    </row>
    <row r="28" spans="1:25" x14ac:dyDescent="0.3">
      <c r="A28">
        <v>402301063</v>
      </c>
      <c r="B28" t="s">
        <v>765</v>
      </c>
      <c r="C28" t="s">
        <v>766</v>
      </c>
      <c r="D28" t="s">
        <v>786</v>
      </c>
      <c r="E28" s="26">
        <v>45442.443020833336</v>
      </c>
      <c r="F28" s="26">
        <v>45457.443020833336</v>
      </c>
      <c r="G28" s="51">
        <v>45916</v>
      </c>
      <c r="H28">
        <v>45200.369999999981</v>
      </c>
      <c r="I28" t="s">
        <v>18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2</v>
      </c>
      <c r="T28">
        <v>0.9</v>
      </c>
      <c r="U28">
        <v>0</v>
      </c>
      <c r="V28">
        <v>1</v>
      </c>
      <c r="W28">
        <v>0</v>
      </c>
      <c r="X28">
        <v>0</v>
      </c>
      <c r="Y28">
        <v>0</v>
      </c>
    </row>
    <row r="29" spans="1:25" x14ac:dyDescent="0.3">
      <c r="A29">
        <v>402301060</v>
      </c>
      <c r="B29" t="s">
        <v>765</v>
      </c>
      <c r="C29" t="s">
        <v>766</v>
      </c>
      <c r="D29" t="s">
        <v>787</v>
      </c>
      <c r="E29" s="26">
        <v>45446.382662037038</v>
      </c>
      <c r="F29" s="26">
        <v>45457.382662037038</v>
      </c>
      <c r="G29" s="51">
        <v>45916</v>
      </c>
      <c r="H29">
        <v>45200.379999999983</v>
      </c>
      <c r="I29" t="s">
        <v>18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2</v>
      </c>
      <c r="T29">
        <v>0.9</v>
      </c>
      <c r="U29">
        <v>0</v>
      </c>
      <c r="V29">
        <v>1</v>
      </c>
      <c r="W29">
        <v>0</v>
      </c>
      <c r="X29">
        <v>0</v>
      </c>
      <c r="Y29">
        <v>0</v>
      </c>
    </row>
    <row r="30" spans="1:25" x14ac:dyDescent="0.3">
      <c r="A30">
        <v>402301071</v>
      </c>
      <c r="B30" t="s">
        <v>765</v>
      </c>
      <c r="C30" t="s">
        <v>766</v>
      </c>
      <c r="D30" t="s">
        <v>788</v>
      </c>
      <c r="E30" s="26">
        <v>45445.648715277777</v>
      </c>
      <c r="F30" s="26">
        <v>45457.648715277777</v>
      </c>
      <c r="G30" s="51">
        <v>45916</v>
      </c>
      <c r="H30">
        <v>45200.369999999995</v>
      </c>
      <c r="I30" t="s">
        <v>18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2</v>
      </c>
      <c r="T30">
        <v>0.9</v>
      </c>
      <c r="U30">
        <v>0</v>
      </c>
      <c r="V30">
        <v>1</v>
      </c>
      <c r="W30">
        <v>0</v>
      </c>
      <c r="X30">
        <v>0</v>
      </c>
      <c r="Y30">
        <v>0</v>
      </c>
    </row>
    <row r="31" spans="1:25" x14ac:dyDescent="0.3">
      <c r="A31">
        <v>402301067</v>
      </c>
      <c r="B31" t="s">
        <v>765</v>
      </c>
      <c r="C31" t="s">
        <v>766</v>
      </c>
      <c r="D31" t="s">
        <v>789</v>
      </c>
      <c r="E31" s="26">
        <v>45444.618113425924</v>
      </c>
      <c r="F31" s="26">
        <v>45457.618113425924</v>
      </c>
      <c r="G31" s="51">
        <v>45916</v>
      </c>
      <c r="H31">
        <v>45200.380000000012</v>
      </c>
      <c r="I31" t="s">
        <v>18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2</v>
      </c>
      <c r="T31">
        <v>0.9</v>
      </c>
      <c r="U31">
        <v>0</v>
      </c>
      <c r="V31">
        <v>1</v>
      </c>
      <c r="W31">
        <v>0</v>
      </c>
      <c r="X31">
        <v>0</v>
      </c>
      <c r="Y31">
        <v>0</v>
      </c>
    </row>
    <row r="32" spans="1:25" x14ac:dyDescent="0.3">
      <c r="A32">
        <v>402301064</v>
      </c>
      <c r="B32" t="s">
        <v>765</v>
      </c>
      <c r="C32" t="s">
        <v>766</v>
      </c>
      <c r="D32" t="s">
        <v>790</v>
      </c>
      <c r="E32" s="26">
        <v>45442.452222222222</v>
      </c>
      <c r="F32" s="26">
        <v>45457.452222222222</v>
      </c>
      <c r="G32" s="51">
        <v>45916</v>
      </c>
      <c r="H32">
        <v>45200.37</v>
      </c>
      <c r="I32" t="s">
        <v>18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2</v>
      </c>
      <c r="T32">
        <v>0.9</v>
      </c>
      <c r="U32">
        <v>0</v>
      </c>
      <c r="V32">
        <v>1</v>
      </c>
      <c r="W32">
        <v>0</v>
      </c>
      <c r="X32">
        <v>0</v>
      </c>
      <c r="Y32">
        <v>0</v>
      </c>
    </row>
    <row r="33" spans="1:25" x14ac:dyDescent="0.3">
      <c r="A33">
        <v>402301055</v>
      </c>
      <c r="B33" t="s">
        <v>765</v>
      </c>
      <c r="C33" t="s">
        <v>766</v>
      </c>
      <c r="D33" t="s">
        <v>791</v>
      </c>
      <c r="E33" s="26">
        <v>45432.661620370367</v>
      </c>
      <c r="F33" s="26">
        <v>45448.661620370367</v>
      </c>
      <c r="G33" s="51">
        <v>45916</v>
      </c>
      <c r="H33">
        <v>45200.37999999999</v>
      </c>
      <c r="I33" t="s">
        <v>18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2</v>
      </c>
      <c r="T33">
        <v>0.9</v>
      </c>
      <c r="U33">
        <v>0</v>
      </c>
      <c r="V33">
        <v>1</v>
      </c>
      <c r="W33">
        <v>0</v>
      </c>
      <c r="X33">
        <v>0</v>
      </c>
      <c r="Y33">
        <v>0</v>
      </c>
    </row>
    <row r="34" spans="1:25" x14ac:dyDescent="0.3">
      <c r="A34">
        <v>402301066</v>
      </c>
      <c r="B34" t="s">
        <v>765</v>
      </c>
      <c r="C34" t="s">
        <v>766</v>
      </c>
      <c r="D34" t="s">
        <v>792</v>
      </c>
      <c r="E34" s="26">
        <v>45446.603414351855</v>
      </c>
      <c r="F34" s="26">
        <v>45457.603414351855</v>
      </c>
      <c r="G34" s="51">
        <v>45916</v>
      </c>
      <c r="H34">
        <v>45200.369999999995</v>
      </c>
      <c r="I34" t="s">
        <v>18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2</v>
      </c>
      <c r="T34">
        <v>0.9</v>
      </c>
      <c r="U34">
        <v>0</v>
      </c>
      <c r="V34">
        <v>1</v>
      </c>
      <c r="W34">
        <v>0</v>
      </c>
      <c r="X34">
        <v>0</v>
      </c>
      <c r="Y34">
        <v>0</v>
      </c>
    </row>
    <row r="35" spans="1:25" x14ac:dyDescent="0.3">
      <c r="A35">
        <v>402301010</v>
      </c>
      <c r="B35" t="s">
        <v>765</v>
      </c>
      <c r="C35" t="s">
        <v>766</v>
      </c>
      <c r="D35" t="s">
        <v>792</v>
      </c>
      <c r="E35" s="26">
        <v>45302.443865740737</v>
      </c>
      <c r="F35" s="26">
        <v>45314.443865740737</v>
      </c>
      <c r="G35" s="51">
        <v>45916</v>
      </c>
      <c r="H35">
        <v>45005.56</v>
      </c>
      <c r="I35" t="s">
        <v>18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  <c r="T35">
        <v>0.9</v>
      </c>
      <c r="U35">
        <v>0</v>
      </c>
      <c r="V35">
        <v>1</v>
      </c>
      <c r="W35">
        <v>0</v>
      </c>
      <c r="X35">
        <v>0</v>
      </c>
      <c r="Y35">
        <v>0</v>
      </c>
    </row>
    <row r="36" spans="1:25" x14ac:dyDescent="0.3">
      <c r="A36">
        <v>402301009</v>
      </c>
      <c r="B36" t="s">
        <v>765</v>
      </c>
      <c r="C36" t="s">
        <v>766</v>
      </c>
      <c r="D36" t="s">
        <v>793</v>
      </c>
      <c r="E36" s="26">
        <v>45301.391550925924</v>
      </c>
      <c r="F36" s="26">
        <v>45314.391550925924</v>
      </c>
      <c r="G36" s="51">
        <v>45916</v>
      </c>
      <c r="H36">
        <v>45005.560000000005</v>
      </c>
      <c r="I36" t="s">
        <v>18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2</v>
      </c>
      <c r="T36">
        <v>0.9</v>
      </c>
      <c r="U36">
        <v>0</v>
      </c>
      <c r="V36">
        <v>1</v>
      </c>
      <c r="W36">
        <v>0</v>
      </c>
      <c r="X36">
        <v>0</v>
      </c>
      <c r="Y36">
        <v>0</v>
      </c>
    </row>
    <row r="37" spans="1:25" x14ac:dyDescent="0.3">
      <c r="A37">
        <v>402301048</v>
      </c>
      <c r="B37" t="s">
        <v>765</v>
      </c>
      <c r="C37" t="s">
        <v>766</v>
      </c>
      <c r="D37" t="s">
        <v>794</v>
      </c>
      <c r="E37" s="26">
        <v>45433.638043981482</v>
      </c>
      <c r="F37" s="26">
        <v>45448.638043981482</v>
      </c>
      <c r="G37" s="51">
        <v>45916</v>
      </c>
      <c r="H37">
        <v>45200.380000000005</v>
      </c>
      <c r="I37" t="s">
        <v>18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2</v>
      </c>
      <c r="T37">
        <v>0.9</v>
      </c>
      <c r="U37">
        <v>0</v>
      </c>
      <c r="V37">
        <v>1</v>
      </c>
      <c r="W37">
        <v>0</v>
      </c>
      <c r="X37">
        <v>0</v>
      </c>
      <c r="Y37">
        <v>0</v>
      </c>
    </row>
    <row r="38" spans="1:25" x14ac:dyDescent="0.3">
      <c r="A38">
        <v>402301002</v>
      </c>
      <c r="B38" t="s">
        <v>765</v>
      </c>
      <c r="C38" t="s">
        <v>766</v>
      </c>
      <c r="D38" t="s">
        <v>795</v>
      </c>
      <c r="E38" s="26">
        <v>45302.370763888888</v>
      </c>
      <c r="F38" s="26">
        <v>45313.370763888888</v>
      </c>
      <c r="G38" s="51">
        <v>45916</v>
      </c>
      <c r="H38">
        <v>45005.569999999992</v>
      </c>
      <c r="I38" t="s">
        <v>18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2</v>
      </c>
      <c r="T38">
        <v>0.9</v>
      </c>
      <c r="U38">
        <v>0</v>
      </c>
      <c r="V38">
        <v>1</v>
      </c>
      <c r="W38">
        <v>0</v>
      </c>
      <c r="X38">
        <v>0</v>
      </c>
      <c r="Y38">
        <v>0</v>
      </c>
    </row>
    <row r="39" spans="1:25" x14ac:dyDescent="0.3">
      <c r="A39">
        <v>402301011</v>
      </c>
      <c r="B39" t="s">
        <v>765</v>
      </c>
      <c r="C39" t="s">
        <v>766</v>
      </c>
      <c r="D39" t="s">
        <v>796</v>
      </c>
      <c r="E39" s="26">
        <v>45302.480023148149</v>
      </c>
      <c r="F39" s="26">
        <v>45314.480023148149</v>
      </c>
      <c r="G39" s="51">
        <v>45916</v>
      </c>
      <c r="H39">
        <v>45005.57</v>
      </c>
      <c r="I39" t="s">
        <v>18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2</v>
      </c>
      <c r="T39">
        <v>0.9</v>
      </c>
      <c r="U39">
        <v>0</v>
      </c>
      <c r="V39">
        <v>1</v>
      </c>
      <c r="W39">
        <v>0</v>
      </c>
      <c r="X39">
        <v>0</v>
      </c>
      <c r="Y39">
        <v>0</v>
      </c>
    </row>
    <row r="40" spans="1:25" x14ac:dyDescent="0.3">
      <c r="A40">
        <v>402301000</v>
      </c>
      <c r="B40" t="s">
        <v>765</v>
      </c>
      <c r="C40" t="s">
        <v>766</v>
      </c>
      <c r="D40" t="s">
        <v>793</v>
      </c>
      <c r="E40" s="26">
        <v>45300.365300925929</v>
      </c>
      <c r="F40" s="26">
        <v>45313.365300925929</v>
      </c>
      <c r="G40" s="51">
        <v>45916</v>
      </c>
      <c r="H40">
        <v>45005.559999999983</v>
      </c>
      <c r="I40" t="s">
        <v>18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2</v>
      </c>
      <c r="T40">
        <v>0.9</v>
      </c>
      <c r="U40">
        <v>0</v>
      </c>
      <c r="V40">
        <v>1</v>
      </c>
      <c r="W40">
        <v>0</v>
      </c>
      <c r="X40">
        <v>0</v>
      </c>
      <c r="Y40">
        <v>0</v>
      </c>
    </row>
    <row r="41" spans="1:25" x14ac:dyDescent="0.3">
      <c r="A41">
        <v>402301034</v>
      </c>
      <c r="B41" t="s">
        <v>765</v>
      </c>
      <c r="C41" t="s">
        <v>766</v>
      </c>
      <c r="D41" t="s">
        <v>797</v>
      </c>
      <c r="E41" s="26">
        <v>45301.625277777777</v>
      </c>
      <c r="F41" s="26">
        <v>45316.625277777777</v>
      </c>
      <c r="G41" s="51">
        <v>45916</v>
      </c>
      <c r="H41">
        <v>45225.439999999988</v>
      </c>
      <c r="I41" t="s">
        <v>18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2</v>
      </c>
      <c r="T41">
        <v>0.9</v>
      </c>
      <c r="U41">
        <v>0</v>
      </c>
      <c r="V41">
        <v>1</v>
      </c>
      <c r="W41">
        <v>0</v>
      </c>
      <c r="X41">
        <v>0</v>
      </c>
      <c r="Y41">
        <v>0</v>
      </c>
    </row>
    <row r="42" spans="1:25" x14ac:dyDescent="0.3">
      <c r="A42">
        <v>402301003</v>
      </c>
      <c r="B42" t="s">
        <v>765</v>
      </c>
      <c r="C42" t="s">
        <v>766</v>
      </c>
      <c r="D42" t="s">
        <v>798</v>
      </c>
      <c r="E42" s="26">
        <v>45297.411168981482</v>
      </c>
      <c r="F42" s="26">
        <v>45313.411168981482</v>
      </c>
      <c r="G42" s="51">
        <v>45916</v>
      </c>
      <c r="H42">
        <v>45005.55999999999</v>
      </c>
      <c r="I42" t="s">
        <v>18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2</v>
      </c>
      <c r="T42">
        <v>0.9</v>
      </c>
      <c r="U42">
        <v>0</v>
      </c>
      <c r="V42">
        <v>1</v>
      </c>
      <c r="W42">
        <v>0</v>
      </c>
      <c r="X42">
        <v>0</v>
      </c>
      <c r="Y42">
        <v>0</v>
      </c>
    </row>
    <row r="43" spans="1:25" x14ac:dyDescent="0.3">
      <c r="A43">
        <v>402301004</v>
      </c>
      <c r="B43" t="s">
        <v>765</v>
      </c>
      <c r="C43" t="s">
        <v>766</v>
      </c>
      <c r="D43" t="s">
        <v>799</v>
      </c>
      <c r="E43" s="26">
        <v>45302.418171296296</v>
      </c>
      <c r="F43" s="26">
        <v>45313.418171296296</v>
      </c>
      <c r="G43" s="51">
        <v>45916</v>
      </c>
      <c r="H43">
        <v>45005.569999999992</v>
      </c>
      <c r="I43" t="s">
        <v>18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0.9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 x14ac:dyDescent="0.3">
      <c r="A44">
        <v>402301005</v>
      </c>
      <c r="B44" t="s">
        <v>765</v>
      </c>
      <c r="C44" t="s">
        <v>766</v>
      </c>
      <c r="D44" t="s">
        <v>793</v>
      </c>
      <c r="E44" s="26">
        <v>45301.437824074077</v>
      </c>
      <c r="F44" s="26">
        <v>45313.437824074077</v>
      </c>
      <c r="G44" s="51">
        <v>45916</v>
      </c>
      <c r="H44">
        <v>45005.559999999983</v>
      </c>
      <c r="I44" t="s">
        <v>18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2</v>
      </c>
      <c r="T44">
        <v>0.9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 x14ac:dyDescent="0.3">
      <c r="A45">
        <v>402301006</v>
      </c>
      <c r="B45" t="s">
        <v>765</v>
      </c>
      <c r="C45" t="s">
        <v>766</v>
      </c>
      <c r="D45" t="s">
        <v>792</v>
      </c>
      <c r="E45" s="26">
        <v>45300.601469907408</v>
      </c>
      <c r="F45" s="26">
        <v>45313.601469907408</v>
      </c>
      <c r="G45" s="51">
        <v>45916</v>
      </c>
      <c r="H45">
        <v>45005.569999999992</v>
      </c>
      <c r="I45" t="s">
        <v>18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2</v>
      </c>
      <c r="T45">
        <v>0.9</v>
      </c>
      <c r="U45">
        <v>0</v>
      </c>
      <c r="V45">
        <v>1</v>
      </c>
      <c r="W45">
        <v>0</v>
      </c>
      <c r="X45">
        <v>0</v>
      </c>
      <c r="Y45">
        <v>0</v>
      </c>
    </row>
    <row r="46" spans="1:25" x14ac:dyDescent="0.3">
      <c r="A46">
        <v>402301007</v>
      </c>
      <c r="B46" t="s">
        <v>765</v>
      </c>
      <c r="C46" t="s">
        <v>766</v>
      </c>
      <c r="D46" t="s">
        <v>800</v>
      </c>
      <c r="E46" s="26">
        <v>45298.608715277776</v>
      </c>
      <c r="F46" s="26">
        <v>45313.608715277776</v>
      </c>
      <c r="G46" s="51">
        <v>45916</v>
      </c>
      <c r="H46">
        <v>45005.560000000005</v>
      </c>
      <c r="I46" t="s">
        <v>18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2</v>
      </c>
      <c r="T46">
        <v>0.9</v>
      </c>
      <c r="U46">
        <v>0</v>
      </c>
      <c r="V46">
        <v>1</v>
      </c>
      <c r="W46">
        <v>0</v>
      </c>
      <c r="X46">
        <v>0</v>
      </c>
      <c r="Y46">
        <v>0</v>
      </c>
    </row>
    <row r="47" spans="1:25" x14ac:dyDescent="0.3">
      <c r="A47">
        <v>402301080</v>
      </c>
      <c r="B47" t="s">
        <v>765</v>
      </c>
      <c r="C47" t="s">
        <v>766</v>
      </c>
      <c r="D47" t="s">
        <v>801</v>
      </c>
      <c r="E47" s="26">
        <v>45300</v>
      </c>
      <c r="F47" s="26">
        <v>45311</v>
      </c>
      <c r="G47" s="51">
        <v>45922</v>
      </c>
      <c r="H47">
        <v>45225.43</v>
      </c>
      <c r="I47" t="s">
        <v>18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  <c r="S47">
        <v>2</v>
      </c>
      <c r="T47">
        <v>0.9</v>
      </c>
      <c r="U47">
        <v>0</v>
      </c>
      <c r="V47">
        <v>1</v>
      </c>
      <c r="W47">
        <v>0</v>
      </c>
      <c r="X47">
        <v>0</v>
      </c>
      <c r="Y47">
        <v>0</v>
      </c>
    </row>
    <row r="48" spans="1:25" x14ac:dyDescent="0.3">
      <c r="A48">
        <v>402301116</v>
      </c>
      <c r="B48" t="s">
        <v>765</v>
      </c>
      <c r="C48" t="s">
        <v>766</v>
      </c>
      <c r="D48" t="s">
        <v>802</v>
      </c>
      <c r="E48" s="26">
        <v>45302</v>
      </c>
      <c r="F48" s="26">
        <v>45314</v>
      </c>
      <c r="G48" s="51">
        <v>45922</v>
      </c>
      <c r="H48">
        <v>45225.440000000002</v>
      </c>
      <c r="I48" t="s">
        <v>18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2</v>
      </c>
      <c r="T48">
        <v>0.9</v>
      </c>
      <c r="U48">
        <v>0</v>
      </c>
      <c r="V48">
        <v>1</v>
      </c>
      <c r="W48">
        <v>0</v>
      </c>
      <c r="X48">
        <v>0</v>
      </c>
      <c r="Y48">
        <v>0</v>
      </c>
    </row>
    <row r="49" spans="1:25" x14ac:dyDescent="0.3">
      <c r="A49">
        <v>502300591</v>
      </c>
      <c r="B49" t="s">
        <v>765</v>
      </c>
      <c r="C49" t="s">
        <v>803</v>
      </c>
      <c r="D49" t="s">
        <v>804</v>
      </c>
      <c r="E49" s="26">
        <v>45293</v>
      </c>
      <c r="F49" s="26">
        <v>45306</v>
      </c>
      <c r="G49" s="51">
        <v>45922</v>
      </c>
      <c r="H49">
        <v>45350.17</v>
      </c>
      <c r="I49" t="s">
        <v>18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2</v>
      </c>
      <c r="T49">
        <v>0.9</v>
      </c>
      <c r="U49">
        <v>0</v>
      </c>
      <c r="V49">
        <v>1</v>
      </c>
      <c r="W49">
        <v>0</v>
      </c>
      <c r="X49">
        <v>0</v>
      </c>
      <c r="Y49">
        <v>0</v>
      </c>
    </row>
    <row r="50" spans="1:25" x14ac:dyDescent="0.3">
      <c r="A50">
        <v>402301117</v>
      </c>
      <c r="B50" t="s">
        <v>765</v>
      </c>
      <c r="C50" t="s">
        <v>766</v>
      </c>
      <c r="D50" t="s">
        <v>805</v>
      </c>
      <c r="E50" s="26">
        <v>45301</v>
      </c>
      <c r="F50" s="26">
        <v>45316</v>
      </c>
      <c r="G50" s="51">
        <v>45922</v>
      </c>
      <c r="H50">
        <v>44296.17</v>
      </c>
      <c r="I50" t="s">
        <v>18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2</v>
      </c>
      <c r="T50">
        <v>0.9</v>
      </c>
      <c r="U50">
        <v>0</v>
      </c>
      <c r="V50">
        <v>1</v>
      </c>
      <c r="W50">
        <v>0</v>
      </c>
      <c r="X50">
        <v>0</v>
      </c>
      <c r="Y50">
        <v>0</v>
      </c>
    </row>
    <row r="51" spans="1:25" x14ac:dyDescent="0.3">
      <c r="A51">
        <v>402301127</v>
      </c>
      <c r="B51" t="s">
        <v>765</v>
      </c>
      <c r="C51" t="s">
        <v>766</v>
      </c>
      <c r="D51" t="s">
        <v>806</v>
      </c>
      <c r="E51" s="26">
        <v>45432</v>
      </c>
      <c r="F51" s="26">
        <v>45448</v>
      </c>
      <c r="G51" s="51">
        <v>45922</v>
      </c>
      <c r="H51">
        <v>45200.38</v>
      </c>
      <c r="I51" t="s">
        <v>18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2</v>
      </c>
      <c r="T51">
        <v>0.9</v>
      </c>
      <c r="U51">
        <v>0</v>
      </c>
      <c r="V51">
        <v>1</v>
      </c>
      <c r="W51">
        <v>0</v>
      </c>
      <c r="X51">
        <v>0</v>
      </c>
      <c r="Y51">
        <v>0</v>
      </c>
    </row>
    <row r="52" spans="1:25" x14ac:dyDescent="0.3">
      <c r="A52">
        <v>402301129</v>
      </c>
      <c r="B52" t="s">
        <v>765</v>
      </c>
      <c r="C52" t="s">
        <v>766</v>
      </c>
      <c r="D52" t="s">
        <v>807</v>
      </c>
      <c r="E52" s="26">
        <v>45437</v>
      </c>
      <c r="F52" s="26">
        <v>45448</v>
      </c>
      <c r="G52" s="51">
        <v>45922</v>
      </c>
      <c r="H52">
        <v>45200.37</v>
      </c>
      <c r="I52" t="s">
        <v>18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2</v>
      </c>
      <c r="T52">
        <v>0.9</v>
      </c>
      <c r="U52">
        <v>0</v>
      </c>
      <c r="V52">
        <v>1</v>
      </c>
      <c r="W52">
        <v>0</v>
      </c>
      <c r="X52">
        <v>0</v>
      </c>
      <c r="Y52">
        <v>0</v>
      </c>
    </row>
    <row r="53" spans="1:25" x14ac:dyDescent="0.3">
      <c r="A53">
        <v>402301108</v>
      </c>
      <c r="B53" t="s">
        <v>765</v>
      </c>
      <c r="C53" t="s">
        <v>766</v>
      </c>
      <c r="D53" t="s">
        <v>768</v>
      </c>
      <c r="E53" s="26">
        <v>45448</v>
      </c>
      <c r="F53" s="26">
        <v>45460</v>
      </c>
      <c r="G53" s="51">
        <v>45922</v>
      </c>
      <c r="H53">
        <v>45200.37</v>
      </c>
      <c r="I53" t="s">
        <v>18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2</v>
      </c>
      <c r="T53">
        <v>0.9</v>
      </c>
      <c r="U53">
        <v>0</v>
      </c>
      <c r="V53">
        <v>1</v>
      </c>
      <c r="W53">
        <v>0</v>
      </c>
      <c r="X53">
        <v>0</v>
      </c>
      <c r="Y53">
        <v>0</v>
      </c>
    </row>
    <row r="54" spans="1:25" x14ac:dyDescent="0.3">
      <c r="A54">
        <v>402301128</v>
      </c>
      <c r="B54" t="s">
        <v>765</v>
      </c>
      <c r="C54" t="s">
        <v>766</v>
      </c>
      <c r="D54" t="s">
        <v>808</v>
      </c>
      <c r="E54" s="26">
        <v>45435</v>
      </c>
      <c r="F54" s="26">
        <v>45448</v>
      </c>
      <c r="G54" s="51">
        <v>45922</v>
      </c>
      <c r="H54">
        <v>45200.38</v>
      </c>
      <c r="I54" t="s">
        <v>18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2</v>
      </c>
      <c r="T54">
        <v>0.9</v>
      </c>
      <c r="U54">
        <v>0</v>
      </c>
      <c r="V54">
        <v>1</v>
      </c>
      <c r="W54">
        <v>0</v>
      </c>
      <c r="X54">
        <v>0</v>
      </c>
      <c r="Y54">
        <v>0</v>
      </c>
    </row>
    <row r="55" spans="1:25" x14ac:dyDescent="0.3">
      <c r="A55">
        <v>402301081</v>
      </c>
      <c r="B55" t="s">
        <v>765</v>
      </c>
      <c r="C55" t="s">
        <v>766</v>
      </c>
      <c r="D55" t="s">
        <v>809</v>
      </c>
      <c r="E55" s="26">
        <v>45298</v>
      </c>
      <c r="F55" s="26">
        <v>45313</v>
      </c>
      <c r="G55" s="51">
        <v>45922</v>
      </c>
      <c r="H55">
        <v>45225.43</v>
      </c>
      <c r="I55" t="s">
        <v>18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2</v>
      </c>
      <c r="T55">
        <v>0.9</v>
      </c>
      <c r="U55">
        <v>0</v>
      </c>
      <c r="V55">
        <v>1</v>
      </c>
      <c r="W55">
        <v>0</v>
      </c>
      <c r="X55">
        <v>0</v>
      </c>
      <c r="Y55">
        <v>0</v>
      </c>
    </row>
    <row r="56" spans="1:25" x14ac:dyDescent="0.3">
      <c r="A56">
        <v>502300593</v>
      </c>
      <c r="B56" t="s">
        <v>765</v>
      </c>
      <c r="C56" t="s">
        <v>803</v>
      </c>
      <c r="D56" t="s">
        <v>810</v>
      </c>
      <c r="E56" s="26">
        <v>45300</v>
      </c>
      <c r="F56" s="26">
        <v>45311</v>
      </c>
      <c r="G56" s="51">
        <v>45922</v>
      </c>
      <c r="H56">
        <v>45350.18</v>
      </c>
      <c r="I56" t="s">
        <v>18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2</v>
      </c>
      <c r="T56">
        <v>0.9</v>
      </c>
      <c r="U56">
        <v>0</v>
      </c>
      <c r="V56">
        <v>1</v>
      </c>
      <c r="W56">
        <v>0</v>
      </c>
      <c r="X56">
        <v>0</v>
      </c>
      <c r="Y56">
        <v>0</v>
      </c>
    </row>
    <row r="57" spans="1:25" x14ac:dyDescent="0.3">
      <c r="A57">
        <v>502300590</v>
      </c>
      <c r="B57" t="s">
        <v>765</v>
      </c>
      <c r="C57" t="s">
        <v>803</v>
      </c>
      <c r="D57" t="s">
        <v>811</v>
      </c>
      <c r="E57" s="26">
        <v>45294</v>
      </c>
      <c r="F57" s="26">
        <v>45306</v>
      </c>
      <c r="G57" s="51">
        <v>45922</v>
      </c>
      <c r="H57">
        <v>45379.55</v>
      </c>
      <c r="I57" t="s">
        <v>18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2</v>
      </c>
      <c r="T57">
        <v>0.9</v>
      </c>
      <c r="U57">
        <v>0</v>
      </c>
      <c r="V57">
        <v>1</v>
      </c>
      <c r="W57">
        <v>0</v>
      </c>
      <c r="X57">
        <v>0</v>
      </c>
      <c r="Y57">
        <v>0</v>
      </c>
    </row>
    <row r="58" spans="1:25" x14ac:dyDescent="0.3">
      <c r="A58">
        <v>502300600</v>
      </c>
      <c r="B58" t="s">
        <v>765</v>
      </c>
      <c r="C58" t="s">
        <v>803</v>
      </c>
      <c r="D58" t="s">
        <v>812</v>
      </c>
      <c r="E58" s="26">
        <v>45435</v>
      </c>
      <c r="F58" s="26">
        <v>45448</v>
      </c>
      <c r="G58" s="51">
        <v>45922</v>
      </c>
      <c r="H58">
        <v>44803.39</v>
      </c>
      <c r="I58" t="s">
        <v>18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2</v>
      </c>
      <c r="T58">
        <v>0.9</v>
      </c>
      <c r="U58">
        <v>0</v>
      </c>
      <c r="V58">
        <v>1</v>
      </c>
      <c r="W58">
        <v>0</v>
      </c>
      <c r="X58">
        <v>0</v>
      </c>
      <c r="Y58">
        <v>0</v>
      </c>
    </row>
    <row r="59" spans="1:25" x14ac:dyDescent="0.3">
      <c r="A59">
        <v>502300596</v>
      </c>
      <c r="B59" t="s">
        <v>765</v>
      </c>
      <c r="C59" t="s">
        <v>803</v>
      </c>
      <c r="D59" t="s">
        <v>813</v>
      </c>
      <c r="E59" s="26">
        <v>45299</v>
      </c>
      <c r="F59" s="26">
        <v>45314</v>
      </c>
      <c r="G59" s="51">
        <v>45922</v>
      </c>
      <c r="H59">
        <v>45350.18</v>
      </c>
      <c r="I59" t="s">
        <v>18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2</v>
      </c>
      <c r="S59">
        <v>2</v>
      </c>
      <c r="T59">
        <v>0.9</v>
      </c>
      <c r="U59">
        <v>0</v>
      </c>
      <c r="V59">
        <v>1</v>
      </c>
      <c r="W59">
        <v>0</v>
      </c>
      <c r="X59">
        <v>0</v>
      </c>
      <c r="Y59">
        <v>0</v>
      </c>
    </row>
    <row r="60" spans="1:25" x14ac:dyDescent="0.3">
      <c r="A60">
        <v>402301119</v>
      </c>
      <c r="B60" t="s">
        <v>765</v>
      </c>
      <c r="C60" t="s">
        <v>766</v>
      </c>
      <c r="D60" t="s">
        <v>814</v>
      </c>
      <c r="E60" s="26">
        <v>45382</v>
      </c>
      <c r="F60" s="26">
        <v>45398</v>
      </c>
      <c r="G60" s="51">
        <v>45922</v>
      </c>
      <c r="H60">
        <v>45225.440000000002</v>
      </c>
      <c r="I60" t="s">
        <v>18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2</v>
      </c>
      <c r="T60">
        <v>0.9</v>
      </c>
      <c r="U60">
        <v>0</v>
      </c>
      <c r="V60">
        <v>1</v>
      </c>
      <c r="W60">
        <v>0</v>
      </c>
      <c r="X60">
        <v>0</v>
      </c>
      <c r="Y60">
        <v>0</v>
      </c>
    </row>
    <row r="61" spans="1:25" x14ac:dyDescent="0.3">
      <c r="A61">
        <v>502300597</v>
      </c>
      <c r="B61" t="s">
        <v>765</v>
      </c>
      <c r="C61" t="s">
        <v>803</v>
      </c>
      <c r="D61" t="s">
        <v>810</v>
      </c>
      <c r="E61" s="26">
        <v>45388</v>
      </c>
      <c r="F61" s="26">
        <v>45399</v>
      </c>
      <c r="G61" s="51">
        <v>45922</v>
      </c>
      <c r="H61">
        <v>45350.18</v>
      </c>
      <c r="I61" t="s">
        <v>18</v>
      </c>
      <c r="J61">
        <v>1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2</v>
      </c>
      <c r="T61">
        <v>0.9</v>
      </c>
      <c r="U61">
        <v>0</v>
      </c>
      <c r="V61">
        <v>1</v>
      </c>
      <c r="W61">
        <v>0</v>
      </c>
      <c r="X61">
        <v>0</v>
      </c>
      <c r="Y61">
        <v>0</v>
      </c>
    </row>
    <row r="62" spans="1:25" x14ac:dyDescent="0.3">
      <c r="A62">
        <v>502300598</v>
      </c>
      <c r="B62" t="s">
        <v>765</v>
      </c>
      <c r="C62" t="s">
        <v>803</v>
      </c>
      <c r="D62" t="s">
        <v>810</v>
      </c>
      <c r="E62" s="26">
        <v>45387</v>
      </c>
      <c r="F62" s="26">
        <v>45399</v>
      </c>
      <c r="G62" s="51">
        <v>45922</v>
      </c>
      <c r="H62">
        <v>45350.18</v>
      </c>
      <c r="I62" t="s">
        <v>18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2</v>
      </c>
      <c r="T62">
        <v>0.9</v>
      </c>
      <c r="U62">
        <v>0</v>
      </c>
      <c r="V62">
        <v>1</v>
      </c>
      <c r="W62">
        <v>0</v>
      </c>
      <c r="X62">
        <v>0</v>
      </c>
      <c r="Y62">
        <v>0</v>
      </c>
    </row>
    <row r="63" spans="1:25" x14ac:dyDescent="0.3">
      <c r="A63">
        <v>502300599</v>
      </c>
      <c r="B63" t="s">
        <v>765</v>
      </c>
      <c r="C63" t="s">
        <v>803</v>
      </c>
      <c r="D63" t="s">
        <v>815</v>
      </c>
      <c r="E63" s="26">
        <v>45434</v>
      </c>
      <c r="F63" s="26">
        <v>45447</v>
      </c>
      <c r="G63" s="51">
        <v>45922</v>
      </c>
      <c r="H63">
        <v>45325.120000000003</v>
      </c>
      <c r="I63" t="s">
        <v>18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2</v>
      </c>
      <c r="S63">
        <v>2</v>
      </c>
      <c r="T63">
        <v>0.9</v>
      </c>
      <c r="U63">
        <v>0</v>
      </c>
      <c r="V63">
        <v>1</v>
      </c>
      <c r="W63">
        <v>0</v>
      </c>
      <c r="X63">
        <v>0</v>
      </c>
      <c r="Y63">
        <v>0</v>
      </c>
    </row>
    <row r="64" spans="1:25" x14ac:dyDescent="0.3">
      <c r="A64">
        <v>402301126</v>
      </c>
      <c r="B64" t="s">
        <v>765</v>
      </c>
      <c r="C64" t="s">
        <v>766</v>
      </c>
      <c r="D64" t="s">
        <v>816</v>
      </c>
      <c r="E64" s="26">
        <v>45432</v>
      </c>
      <c r="F64" s="26">
        <v>45447</v>
      </c>
      <c r="G64" s="51">
        <v>45922</v>
      </c>
      <c r="H64">
        <v>45200.37</v>
      </c>
      <c r="I64" t="s">
        <v>18</v>
      </c>
      <c r="J64">
        <v>1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2</v>
      </c>
      <c r="T64">
        <v>0.9</v>
      </c>
      <c r="U64">
        <v>0</v>
      </c>
      <c r="V64">
        <v>1</v>
      </c>
      <c r="W64">
        <v>0</v>
      </c>
      <c r="X64">
        <v>0</v>
      </c>
      <c r="Y64">
        <v>0</v>
      </c>
    </row>
    <row r="65" spans="1:25" x14ac:dyDescent="0.3">
      <c r="A65">
        <v>502300592</v>
      </c>
      <c r="B65" t="s">
        <v>765</v>
      </c>
      <c r="C65" t="s">
        <v>803</v>
      </c>
      <c r="D65" t="s">
        <v>804</v>
      </c>
      <c r="E65" s="26">
        <v>45300</v>
      </c>
      <c r="F65" s="26">
        <v>45311</v>
      </c>
      <c r="G65" s="51">
        <v>45922</v>
      </c>
      <c r="H65">
        <v>45350.18</v>
      </c>
      <c r="I65" t="s">
        <v>18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2</v>
      </c>
      <c r="S65">
        <v>2</v>
      </c>
      <c r="T65">
        <v>0.9</v>
      </c>
      <c r="U65">
        <v>0</v>
      </c>
      <c r="V65">
        <v>1</v>
      </c>
      <c r="W65">
        <v>0</v>
      </c>
      <c r="X65">
        <v>0</v>
      </c>
      <c r="Y65">
        <v>0</v>
      </c>
    </row>
    <row r="66" spans="1:25" x14ac:dyDescent="0.3">
      <c r="A66">
        <v>402301114</v>
      </c>
      <c r="B66" t="s">
        <v>765</v>
      </c>
      <c r="C66" t="s">
        <v>766</v>
      </c>
      <c r="D66" t="s">
        <v>817</v>
      </c>
      <c r="E66" s="26">
        <v>45301</v>
      </c>
      <c r="F66" s="26">
        <v>45313</v>
      </c>
      <c r="G66" s="51">
        <v>45922</v>
      </c>
      <c r="H66">
        <v>45225.43</v>
      </c>
      <c r="I66" t="s">
        <v>18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2</v>
      </c>
      <c r="T66">
        <v>0.9</v>
      </c>
      <c r="U66">
        <v>0</v>
      </c>
      <c r="V66">
        <v>1</v>
      </c>
      <c r="W66">
        <v>0</v>
      </c>
      <c r="X66">
        <v>0</v>
      </c>
      <c r="Y66">
        <v>0</v>
      </c>
    </row>
    <row r="67" spans="1:25" x14ac:dyDescent="0.3">
      <c r="A67">
        <v>402301115</v>
      </c>
      <c r="B67" t="s">
        <v>765</v>
      </c>
      <c r="C67" t="s">
        <v>766</v>
      </c>
      <c r="D67" t="s">
        <v>818</v>
      </c>
      <c r="E67" s="26">
        <v>45301</v>
      </c>
      <c r="F67" s="26">
        <v>45314</v>
      </c>
      <c r="G67" s="51">
        <v>45922</v>
      </c>
      <c r="H67">
        <v>45225.440000000002</v>
      </c>
      <c r="I67" t="s">
        <v>18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2</v>
      </c>
      <c r="T67">
        <v>0.9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 x14ac:dyDescent="0.3">
      <c r="A68">
        <v>402301122</v>
      </c>
      <c r="B68" t="s">
        <v>765</v>
      </c>
      <c r="C68" t="s">
        <v>766</v>
      </c>
      <c r="D68" t="s">
        <v>819</v>
      </c>
      <c r="E68" s="26">
        <v>45384</v>
      </c>
      <c r="F68" s="26">
        <v>45399</v>
      </c>
      <c r="G68" s="51">
        <v>45922</v>
      </c>
      <c r="H68">
        <v>45225.440000000002</v>
      </c>
      <c r="I68" t="s">
        <v>18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2</v>
      </c>
      <c r="T68">
        <v>0.9</v>
      </c>
      <c r="U68">
        <v>0</v>
      </c>
      <c r="V68">
        <v>1</v>
      </c>
      <c r="W68">
        <v>0</v>
      </c>
      <c r="X68">
        <v>0</v>
      </c>
      <c r="Y68">
        <v>0</v>
      </c>
    </row>
    <row r="69" spans="1:25" x14ac:dyDescent="0.3">
      <c r="A69">
        <v>402301118</v>
      </c>
      <c r="B69" t="s">
        <v>765</v>
      </c>
      <c r="C69" t="s">
        <v>766</v>
      </c>
      <c r="D69" t="s">
        <v>820</v>
      </c>
      <c r="E69" s="26">
        <v>45300</v>
      </c>
      <c r="F69" s="26">
        <v>45316</v>
      </c>
      <c r="G69" s="51">
        <v>45922</v>
      </c>
      <c r="H69">
        <v>44296.160000000003</v>
      </c>
      <c r="I69" t="s">
        <v>18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2</v>
      </c>
      <c r="S69">
        <v>2</v>
      </c>
      <c r="T69">
        <v>0.9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 x14ac:dyDescent="0.3">
      <c r="A70">
        <v>402301083</v>
      </c>
      <c r="B70" t="s">
        <v>765</v>
      </c>
      <c r="C70" t="s">
        <v>766</v>
      </c>
      <c r="D70" t="s">
        <v>821</v>
      </c>
      <c r="E70" s="26">
        <v>45302</v>
      </c>
      <c r="F70" s="26">
        <v>45313</v>
      </c>
      <c r="G70" s="51">
        <v>45922</v>
      </c>
      <c r="H70">
        <v>45225.440000000002</v>
      </c>
      <c r="I70" t="s">
        <v>18</v>
      </c>
      <c r="J70">
        <v>1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2</v>
      </c>
      <c r="S70">
        <v>2</v>
      </c>
      <c r="T70">
        <v>0.9</v>
      </c>
      <c r="U70">
        <v>0</v>
      </c>
      <c r="V70">
        <v>1</v>
      </c>
      <c r="W70">
        <v>0</v>
      </c>
      <c r="X70">
        <v>0</v>
      </c>
      <c r="Y70">
        <v>0</v>
      </c>
    </row>
    <row r="71" spans="1:25" x14ac:dyDescent="0.3">
      <c r="A71">
        <v>502300595</v>
      </c>
      <c r="B71" t="s">
        <v>765</v>
      </c>
      <c r="C71" t="s">
        <v>803</v>
      </c>
      <c r="D71" t="s">
        <v>822</v>
      </c>
      <c r="E71" s="26">
        <v>45437</v>
      </c>
      <c r="F71" s="26">
        <v>45449</v>
      </c>
      <c r="G71" s="51">
        <v>45922</v>
      </c>
      <c r="H71">
        <v>45198.65</v>
      </c>
      <c r="I71" t="s">
        <v>18</v>
      </c>
      <c r="J71">
        <v>1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2</v>
      </c>
      <c r="T71">
        <v>0.9</v>
      </c>
      <c r="U71">
        <v>0</v>
      </c>
      <c r="V71">
        <v>1</v>
      </c>
      <c r="W71">
        <v>0</v>
      </c>
      <c r="X71">
        <v>0</v>
      </c>
      <c r="Y71">
        <v>0</v>
      </c>
    </row>
    <row r="72" spans="1:25" x14ac:dyDescent="0.3">
      <c r="A72">
        <v>402301113</v>
      </c>
      <c r="B72" t="s">
        <v>765</v>
      </c>
      <c r="C72" t="s">
        <v>766</v>
      </c>
      <c r="D72" t="s">
        <v>823</v>
      </c>
      <c r="E72" s="26">
        <v>45436</v>
      </c>
      <c r="F72" s="26">
        <v>45449</v>
      </c>
      <c r="G72" s="51">
        <v>45922</v>
      </c>
      <c r="H72">
        <v>45200.37</v>
      </c>
      <c r="I72" t="s">
        <v>18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2</v>
      </c>
      <c r="T72">
        <v>0.9</v>
      </c>
      <c r="U72">
        <v>0</v>
      </c>
      <c r="V72">
        <v>1</v>
      </c>
      <c r="W72">
        <v>0</v>
      </c>
      <c r="X72">
        <v>0</v>
      </c>
      <c r="Y72">
        <v>0</v>
      </c>
    </row>
    <row r="73" spans="1:25" x14ac:dyDescent="0.3">
      <c r="A73">
        <v>402301096</v>
      </c>
      <c r="B73" t="s">
        <v>765</v>
      </c>
      <c r="C73" t="s">
        <v>766</v>
      </c>
      <c r="D73" t="s">
        <v>793</v>
      </c>
      <c r="E73" s="26">
        <v>45384</v>
      </c>
      <c r="F73" s="26">
        <v>45399</v>
      </c>
      <c r="G73" s="51">
        <v>45922</v>
      </c>
      <c r="H73">
        <v>45225.440000000002</v>
      </c>
      <c r="I73" t="s">
        <v>18</v>
      </c>
      <c r="J73">
        <v>1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2</v>
      </c>
      <c r="T73">
        <v>0.9</v>
      </c>
      <c r="U73">
        <v>0</v>
      </c>
      <c r="V73">
        <v>1</v>
      </c>
      <c r="W73">
        <v>0</v>
      </c>
      <c r="X73">
        <v>0</v>
      </c>
      <c r="Y73">
        <v>0</v>
      </c>
    </row>
    <row r="74" spans="1:25" x14ac:dyDescent="0.3">
      <c r="A74">
        <v>402301082</v>
      </c>
      <c r="B74" t="s">
        <v>765</v>
      </c>
      <c r="C74" t="s">
        <v>766</v>
      </c>
      <c r="D74" t="s">
        <v>824</v>
      </c>
      <c r="E74" s="26">
        <v>45302</v>
      </c>
      <c r="F74" s="26">
        <v>45313</v>
      </c>
      <c r="G74" s="51">
        <v>45922</v>
      </c>
      <c r="H74">
        <v>45225.43</v>
      </c>
      <c r="I74" t="s">
        <v>18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2</v>
      </c>
      <c r="T74">
        <v>0.9</v>
      </c>
      <c r="U74">
        <v>0</v>
      </c>
      <c r="V74">
        <v>1</v>
      </c>
      <c r="W74">
        <v>0</v>
      </c>
      <c r="X74">
        <v>0</v>
      </c>
      <c r="Y74">
        <v>0</v>
      </c>
    </row>
    <row r="75" spans="1:25" x14ac:dyDescent="0.3">
      <c r="A75">
        <v>402301112</v>
      </c>
      <c r="B75" t="s">
        <v>765</v>
      </c>
      <c r="C75" t="s">
        <v>766</v>
      </c>
      <c r="D75" t="s">
        <v>825</v>
      </c>
      <c r="E75" s="26">
        <v>45437</v>
      </c>
      <c r="F75" s="26">
        <v>45449</v>
      </c>
      <c r="G75" s="51">
        <v>45922</v>
      </c>
      <c r="H75">
        <v>45200.38</v>
      </c>
      <c r="I75" t="s">
        <v>18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2</v>
      </c>
      <c r="T75">
        <v>0.9</v>
      </c>
      <c r="U75">
        <v>0</v>
      </c>
      <c r="V75">
        <v>1</v>
      </c>
      <c r="W75">
        <v>0</v>
      </c>
      <c r="X75">
        <v>0</v>
      </c>
      <c r="Y75">
        <v>0</v>
      </c>
    </row>
    <row r="76" spans="1:25" x14ac:dyDescent="0.3">
      <c r="A76">
        <v>402301079</v>
      </c>
      <c r="B76" t="s">
        <v>765</v>
      </c>
      <c r="C76" t="s">
        <v>766</v>
      </c>
      <c r="D76" t="s">
        <v>826</v>
      </c>
      <c r="E76" s="26">
        <v>45298</v>
      </c>
      <c r="F76" s="26">
        <v>45311</v>
      </c>
      <c r="G76" s="51">
        <v>45922</v>
      </c>
      <c r="H76">
        <v>45225.440000000002</v>
      </c>
      <c r="I76" t="s">
        <v>18</v>
      </c>
      <c r="J76">
        <v>1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2</v>
      </c>
      <c r="T76">
        <v>0.9</v>
      </c>
      <c r="U76">
        <v>0</v>
      </c>
      <c r="V76">
        <v>1</v>
      </c>
      <c r="W76">
        <v>0</v>
      </c>
      <c r="X76">
        <v>0</v>
      </c>
      <c r="Y76">
        <v>0</v>
      </c>
    </row>
    <row r="77" spans="1:25" x14ac:dyDescent="0.3">
      <c r="A77">
        <v>402301086</v>
      </c>
      <c r="B77" t="s">
        <v>765</v>
      </c>
      <c r="C77" t="s">
        <v>766</v>
      </c>
      <c r="D77" t="s">
        <v>827</v>
      </c>
      <c r="E77" s="26">
        <v>45299</v>
      </c>
      <c r="F77" s="26">
        <v>45314</v>
      </c>
      <c r="G77" s="51">
        <v>45922</v>
      </c>
      <c r="H77">
        <v>45225.43</v>
      </c>
      <c r="I77" t="s">
        <v>18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2</v>
      </c>
      <c r="T77">
        <v>0.9</v>
      </c>
      <c r="U77">
        <v>0</v>
      </c>
      <c r="V77">
        <v>1</v>
      </c>
      <c r="W77">
        <v>0</v>
      </c>
      <c r="X77">
        <v>0</v>
      </c>
      <c r="Y77">
        <v>0</v>
      </c>
    </row>
    <row r="78" spans="1:25" x14ac:dyDescent="0.3">
      <c r="A78">
        <v>402301085</v>
      </c>
      <c r="B78" t="s">
        <v>765</v>
      </c>
      <c r="C78" t="s">
        <v>766</v>
      </c>
      <c r="D78" t="s">
        <v>819</v>
      </c>
      <c r="E78" s="26">
        <v>45298</v>
      </c>
      <c r="F78" s="26">
        <v>45314</v>
      </c>
      <c r="G78" s="51">
        <v>45922</v>
      </c>
      <c r="H78">
        <v>45225.43</v>
      </c>
      <c r="I78" t="s">
        <v>18</v>
      </c>
      <c r="J78">
        <v>1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2</v>
      </c>
      <c r="T78">
        <v>0.9</v>
      </c>
      <c r="U78">
        <v>0</v>
      </c>
      <c r="V78">
        <v>1</v>
      </c>
      <c r="W78">
        <v>0</v>
      </c>
      <c r="X78">
        <v>0</v>
      </c>
      <c r="Y78">
        <v>0</v>
      </c>
    </row>
    <row r="79" spans="1:25" x14ac:dyDescent="0.3">
      <c r="A79">
        <v>402301152</v>
      </c>
      <c r="B79" t="s">
        <v>765</v>
      </c>
      <c r="C79" t="s">
        <v>766</v>
      </c>
      <c r="D79" t="s">
        <v>828</v>
      </c>
      <c r="E79" s="26">
        <v>45388</v>
      </c>
      <c r="F79" s="26">
        <v>45399</v>
      </c>
      <c r="G79" s="51">
        <v>45922</v>
      </c>
      <c r="H79">
        <v>45225.440000000002</v>
      </c>
      <c r="I79" t="s">
        <v>18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2</v>
      </c>
      <c r="T79">
        <v>0.9</v>
      </c>
      <c r="U79">
        <v>0</v>
      </c>
      <c r="V79">
        <v>1</v>
      </c>
      <c r="W79">
        <v>0</v>
      </c>
      <c r="X79">
        <v>0</v>
      </c>
      <c r="Y79">
        <v>0</v>
      </c>
    </row>
    <row r="80" spans="1:25" x14ac:dyDescent="0.3">
      <c r="A80">
        <v>502300611</v>
      </c>
      <c r="B80" t="s">
        <v>765</v>
      </c>
      <c r="C80" t="s">
        <v>803</v>
      </c>
      <c r="D80" t="s">
        <v>811</v>
      </c>
      <c r="E80" s="26">
        <v>45299</v>
      </c>
      <c r="F80" s="26">
        <v>45311</v>
      </c>
      <c r="G80" s="51">
        <v>45922</v>
      </c>
      <c r="H80">
        <v>45350.18</v>
      </c>
      <c r="I80" t="s">
        <v>18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2</v>
      </c>
      <c r="S80">
        <v>2</v>
      </c>
      <c r="T80">
        <v>0.9</v>
      </c>
      <c r="U80">
        <v>0</v>
      </c>
      <c r="V80">
        <v>1</v>
      </c>
      <c r="W80">
        <v>0</v>
      </c>
      <c r="X80">
        <v>0</v>
      </c>
      <c r="Y80">
        <v>0</v>
      </c>
    </row>
    <row r="81" spans="1:25" x14ac:dyDescent="0.3">
      <c r="A81">
        <v>402301231</v>
      </c>
      <c r="B81" t="s">
        <v>765</v>
      </c>
      <c r="C81" t="s">
        <v>766</v>
      </c>
      <c r="D81" t="s">
        <v>829</v>
      </c>
      <c r="E81" s="26">
        <v>45448</v>
      </c>
      <c r="F81" s="26">
        <v>45461</v>
      </c>
      <c r="G81" s="51">
        <v>45922</v>
      </c>
      <c r="H81">
        <v>43975.17</v>
      </c>
      <c r="I81" t="s">
        <v>18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2</v>
      </c>
      <c r="T81">
        <v>0.9</v>
      </c>
      <c r="U81">
        <v>0</v>
      </c>
      <c r="V81">
        <v>1</v>
      </c>
      <c r="W81">
        <v>0</v>
      </c>
      <c r="X81">
        <v>0</v>
      </c>
      <c r="Y81">
        <v>0</v>
      </c>
    </row>
    <row r="82" spans="1:25" x14ac:dyDescent="0.3">
      <c r="A82">
        <v>402301238</v>
      </c>
      <c r="B82" t="s">
        <v>765</v>
      </c>
      <c r="C82" t="s">
        <v>766</v>
      </c>
      <c r="D82" t="s">
        <v>829</v>
      </c>
      <c r="E82" s="26">
        <v>45448</v>
      </c>
      <c r="F82" s="26">
        <v>45463</v>
      </c>
      <c r="G82" s="51">
        <v>45922</v>
      </c>
      <c r="H82">
        <v>44721.25</v>
      </c>
      <c r="I82" t="s">
        <v>18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2</v>
      </c>
      <c r="S82">
        <v>2</v>
      </c>
      <c r="T82">
        <v>0.9</v>
      </c>
      <c r="U82">
        <v>0</v>
      </c>
      <c r="V82">
        <v>1</v>
      </c>
      <c r="W82">
        <v>0</v>
      </c>
      <c r="X82">
        <v>0</v>
      </c>
      <c r="Y82">
        <v>0</v>
      </c>
    </row>
    <row r="83" spans="1:25" x14ac:dyDescent="0.3">
      <c r="A83">
        <v>402301229</v>
      </c>
      <c r="B83" t="s">
        <v>765</v>
      </c>
      <c r="C83" t="s">
        <v>766</v>
      </c>
      <c r="D83" t="s">
        <v>830</v>
      </c>
      <c r="E83" s="26">
        <v>45450</v>
      </c>
      <c r="F83" s="26">
        <v>45461</v>
      </c>
      <c r="G83" s="51">
        <v>45922</v>
      </c>
      <c r="H83">
        <v>44271.1</v>
      </c>
      <c r="I83" t="s">
        <v>18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2</v>
      </c>
      <c r="T83">
        <v>0.9</v>
      </c>
      <c r="U83">
        <v>0</v>
      </c>
      <c r="V83">
        <v>1</v>
      </c>
      <c r="W83">
        <v>0</v>
      </c>
      <c r="X83">
        <v>0</v>
      </c>
      <c r="Y83">
        <v>0</v>
      </c>
    </row>
    <row r="84" spans="1:25" x14ac:dyDescent="0.3">
      <c r="A84">
        <v>402301237</v>
      </c>
      <c r="B84" t="s">
        <v>765</v>
      </c>
      <c r="C84" t="s">
        <v>766</v>
      </c>
      <c r="D84" t="s">
        <v>831</v>
      </c>
      <c r="E84" s="26">
        <v>45451</v>
      </c>
      <c r="F84" s="26">
        <v>45463</v>
      </c>
      <c r="G84" s="51">
        <v>45922</v>
      </c>
      <c r="H84">
        <v>44899.49</v>
      </c>
      <c r="I84" t="s">
        <v>18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2</v>
      </c>
      <c r="T84">
        <v>0.9</v>
      </c>
      <c r="U84">
        <v>0</v>
      </c>
      <c r="V84">
        <v>1</v>
      </c>
      <c r="W84">
        <v>0</v>
      </c>
      <c r="X84">
        <v>0</v>
      </c>
      <c r="Y84">
        <v>0</v>
      </c>
    </row>
    <row r="85" spans="1:25" x14ac:dyDescent="0.3">
      <c r="A85">
        <v>402301230</v>
      </c>
      <c r="B85" t="s">
        <v>765</v>
      </c>
      <c r="C85" t="s">
        <v>766</v>
      </c>
      <c r="D85" t="s">
        <v>832</v>
      </c>
      <c r="E85" s="26">
        <v>45448</v>
      </c>
      <c r="F85" s="26">
        <v>45461</v>
      </c>
      <c r="G85" s="51">
        <v>45922</v>
      </c>
      <c r="H85">
        <v>44721.25</v>
      </c>
      <c r="I85" t="s">
        <v>18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2</v>
      </c>
      <c r="T85">
        <v>0.9</v>
      </c>
      <c r="U85">
        <v>0</v>
      </c>
      <c r="V85">
        <v>1</v>
      </c>
      <c r="W85">
        <v>0</v>
      </c>
      <c r="X85">
        <v>0</v>
      </c>
      <c r="Y85">
        <v>0</v>
      </c>
    </row>
    <row r="86" spans="1:25" x14ac:dyDescent="0.3">
      <c r="A86">
        <v>402301233</v>
      </c>
      <c r="B86" t="s">
        <v>765</v>
      </c>
      <c r="C86" t="s">
        <v>766</v>
      </c>
      <c r="D86" t="s">
        <v>833</v>
      </c>
      <c r="E86" s="26">
        <v>45447</v>
      </c>
      <c r="F86" s="26">
        <v>45462</v>
      </c>
      <c r="G86" s="51">
        <v>45922</v>
      </c>
      <c r="H86">
        <v>44744.5</v>
      </c>
      <c r="I86" t="s">
        <v>18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2</v>
      </c>
      <c r="T86">
        <v>0.9</v>
      </c>
      <c r="U86">
        <v>0</v>
      </c>
      <c r="V86">
        <v>1</v>
      </c>
      <c r="W86">
        <v>0</v>
      </c>
      <c r="X86">
        <v>0</v>
      </c>
      <c r="Y86">
        <v>0</v>
      </c>
    </row>
    <row r="87" spans="1:25" x14ac:dyDescent="0.3">
      <c r="A87">
        <v>402301239</v>
      </c>
      <c r="B87" t="s">
        <v>765</v>
      </c>
      <c r="C87" t="s">
        <v>766</v>
      </c>
      <c r="D87" t="s">
        <v>834</v>
      </c>
      <c r="E87" s="26">
        <v>45447</v>
      </c>
      <c r="F87" s="26">
        <v>45463</v>
      </c>
      <c r="G87" s="51">
        <v>45922</v>
      </c>
      <c r="H87">
        <v>44003.07</v>
      </c>
      <c r="I87" t="s">
        <v>18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2</v>
      </c>
      <c r="S87">
        <v>2</v>
      </c>
      <c r="T87">
        <v>0.9</v>
      </c>
      <c r="U87">
        <v>0</v>
      </c>
      <c r="V87">
        <v>1</v>
      </c>
      <c r="W87">
        <v>0</v>
      </c>
      <c r="X87">
        <v>0</v>
      </c>
      <c r="Y87">
        <v>0</v>
      </c>
    </row>
    <row r="88" spans="1:25" x14ac:dyDescent="0.3">
      <c r="A88">
        <v>402301234</v>
      </c>
      <c r="B88" t="s">
        <v>765</v>
      </c>
      <c r="C88" t="s">
        <v>766</v>
      </c>
      <c r="D88" t="s">
        <v>835</v>
      </c>
      <c r="E88" s="26">
        <v>45451</v>
      </c>
      <c r="F88" s="26">
        <v>45462</v>
      </c>
      <c r="G88" s="51">
        <v>45922</v>
      </c>
      <c r="H88">
        <v>44733.64</v>
      </c>
      <c r="I88" t="s">
        <v>18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2</v>
      </c>
      <c r="T88">
        <v>0.9</v>
      </c>
      <c r="U88">
        <v>0</v>
      </c>
      <c r="V88">
        <v>1</v>
      </c>
      <c r="W88">
        <v>0</v>
      </c>
      <c r="X88">
        <v>0</v>
      </c>
      <c r="Y88">
        <v>0</v>
      </c>
    </row>
    <row r="89" spans="1:25" x14ac:dyDescent="0.3">
      <c r="A89">
        <v>402301226</v>
      </c>
      <c r="B89" t="s">
        <v>765</v>
      </c>
      <c r="C89" t="s">
        <v>766</v>
      </c>
      <c r="D89" t="s">
        <v>836</v>
      </c>
      <c r="E89" s="26">
        <v>45448</v>
      </c>
      <c r="F89" s="26">
        <v>45460</v>
      </c>
      <c r="G89" s="51">
        <v>45922</v>
      </c>
      <c r="H89">
        <v>47131.12</v>
      </c>
      <c r="I89" t="s">
        <v>18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2</v>
      </c>
      <c r="T89">
        <v>0.9</v>
      </c>
      <c r="U89">
        <v>0</v>
      </c>
      <c r="V89">
        <v>1</v>
      </c>
      <c r="W89">
        <v>0</v>
      </c>
      <c r="X89">
        <v>0</v>
      </c>
      <c r="Y89">
        <v>0</v>
      </c>
    </row>
    <row r="90" spans="1:25" x14ac:dyDescent="0.3">
      <c r="A90">
        <v>402301240</v>
      </c>
      <c r="B90" t="s">
        <v>765</v>
      </c>
      <c r="C90" t="s">
        <v>766</v>
      </c>
      <c r="D90" t="s">
        <v>837</v>
      </c>
      <c r="E90" s="26">
        <v>45450</v>
      </c>
      <c r="F90" s="26">
        <v>45463</v>
      </c>
      <c r="G90" s="51">
        <v>45922</v>
      </c>
      <c r="H90">
        <v>43979.81</v>
      </c>
      <c r="I90" t="s">
        <v>18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2</v>
      </c>
      <c r="T90">
        <v>0.9</v>
      </c>
      <c r="U90">
        <v>0</v>
      </c>
      <c r="V90">
        <v>1</v>
      </c>
      <c r="W90">
        <v>0</v>
      </c>
      <c r="X90">
        <v>0</v>
      </c>
      <c r="Y90">
        <v>0</v>
      </c>
    </row>
    <row r="91" spans="1:25" x14ac:dyDescent="0.3">
      <c r="A91">
        <v>402301228</v>
      </c>
      <c r="B91" t="s">
        <v>765</v>
      </c>
      <c r="C91" t="s">
        <v>766</v>
      </c>
      <c r="D91" t="s">
        <v>786</v>
      </c>
      <c r="E91" s="26">
        <v>45446</v>
      </c>
      <c r="F91" s="26">
        <v>45461</v>
      </c>
      <c r="G91" s="51">
        <v>45922</v>
      </c>
      <c r="H91">
        <v>47131.12</v>
      </c>
      <c r="I91" t="s">
        <v>18</v>
      </c>
      <c r="J91">
        <v>1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2</v>
      </c>
      <c r="T91">
        <v>0.9</v>
      </c>
      <c r="U91">
        <v>0</v>
      </c>
      <c r="V91">
        <v>1</v>
      </c>
      <c r="W91">
        <v>0</v>
      </c>
      <c r="X91">
        <v>0</v>
      </c>
      <c r="Y91">
        <v>0</v>
      </c>
    </row>
    <row r="92" spans="1:25" x14ac:dyDescent="0.3">
      <c r="A92">
        <v>402301218</v>
      </c>
      <c r="B92" t="s">
        <v>765</v>
      </c>
      <c r="C92" t="s">
        <v>766</v>
      </c>
      <c r="D92" t="s">
        <v>838</v>
      </c>
      <c r="E92" s="26">
        <v>45443</v>
      </c>
      <c r="F92" s="26">
        <v>45454</v>
      </c>
      <c r="G92" s="51">
        <v>45922</v>
      </c>
      <c r="H92">
        <v>46738.29</v>
      </c>
      <c r="I92" t="s">
        <v>18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  <c r="S92">
        <v>2</v>
      </c>
      <c r="T92">
        <v>0.9</v>
      </c>
      <c r="U92">
        <v>0</v>
      </c>
      <c r="V92">
        <v>1</v>
      </c>
      <c r="W92">
        <v>0</v>
      </c>
      <c r="X92">
        <v>0</v>
      </c>
      <c r="Y92">
        <v>0</v>
      </c>
    </row>
    <row r="93" spans="1:25" x14ac:dyDescent="0.3">
      <c r="A93">
        <v>402301217</v>
      </c>
      <c r="B93" t="s">
        <v>765</v>
      </c>
      <c r="C93" t="s">
        <v>766</v>
      </c>
      <c r="D93" t="s">
        <v>839</v>
      </c>
      <c r="E93" s="26">
        <v>45442</v>
      </c>
      <c r="F93" s="26">
        <v>45454</v>
      </c>
      <c r="G93" s="51">
        <v>45922</v>
      </c>
      <c r="H93">
        <v>46738.29</v>
      </c>
      <c r="I93" t="s">
        <v>18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2</v>
      </c>
      <c r="S93">
        <v>2</v>
      </c>
      <c r="T93">
        <v>0.9</v>
      </c>
      <c r="U93">
        <v>0</v>
      </c>
      <c r="V93">
        <v>1</v>
      </c>
      <c r="W93">
        <v>0</v>
      </c>
      <c r="X93">
        <v>0</v>
      </c>
      <c r="Y93">
        <v>0</v>
      </c>
    </row>
    <row r="94" spans="1:25" x14ac:dyDescent="0.3">
      <c r="A94">
        <v>402301204</v>
      </c>
      <c r="B94" t="s">
        <v>765</v>
      </c>
      <c r="C94" t="s">
        <v>766</v>
      </c>
      <c r="D94" t="s">
        <v>838</v>
      </c>
      <c r="E94" s="26">
        <v>45441</v>
      </c>
      <c r="F94" s="26">
        <v>45454</v>
      </c>
      <c r="G94" s="51">
        <v>45922</v>
      </c>
      <c r="H94">
        <v>46738.29</v>
      </c>
      <c r="I94" t="s">
        <v>18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2</v>
      </c>
      <c r="T94">
        <v>0.9</v>
      </c>
      <c r="U94">
        <v>0</v>
      </c>
      <c r="V94">
        <v>1</v>
      </c>
      <c r="W94">
        <v>0</v>
      </c>
      <c r="X94">
        <v>0</v>
      </c>
      <c r="Y94">
        <v>0</v>
      </c>
    </row>
    <row r="95" spans="1:25" x14ac:dyDescent="0.3">
      <c r="A95">
        <v>402301203</v>
      </c>
      <c r="B95" t="s">
        <v>765</v>
      </c>
      <c r="C95" t="s">
        <v>766</v>
      </c>
      <c r="D95" t="s">
        <v>825</v>
      </c>
      <c r="E95" s="26">
        <v>45439</v>
      </c>
      <c r="F95" s="26">
        <v>45454</v>
      </c>
      <c r="G95" s="51">
        <v>45922</v>
      </c>
      <c r="H95">
        <v>46738.29</v>
      </c>
      <c r="I95" t="s">
        <v>18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2</v>
      </c>
      <c r="T95">
        <v>0.9</v>
      </c>
      <c r="U95">
        <v>0</v>
      </c>
      <c r="V95">
        <v>1</v>
      </c>
      <c r="W95">
        <v>0</v>
      </c>
      <c r="X95">
        <v>0</v>
      </c>
      <c r="Y95">
        <v>0</v>
      </c>
    </row>
    <row r="96" spans="1:25" x14ac:dyDescent="0.3">
      <c r="A96">
        <v>402301196</v>
      </c>
      <c r="B96" t="s">
        <v>765</v>
      </c>
      <c r="C96" t="s">
        <v>766</v>
      </c>
      <c r="D96" t="s">
        <v>840</v>
      </c>
      <c r="E96" s="26">
        <v>45434</v>
      </c>
      <c r="F96" s="26">
        <v>45450</v>
      </c>
      <c r="G96" s="51">
        <v>45922</v>
      </c>
      <c r="H96">
        <v>45200.37</v>
      </c>
      <c r="I96" t="s">
        <v>18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2</v>
      </c>
      <c r="T96">
        <v>0.9</v>
      </c>
      <c r="U96">
        <v>0</v>
      </c>
      <c r="V96">
        <v>1</v>
      </c>
      <c r="W96">
        <v>0</v>
      </c>
      <c r="X96">
        <v>0</v>
      </c>
      <c r="Y96">
        <v>0</v>
      </c>
    </row>
    <row r="97" spans="1:25" x14ac:dyDescent="0.3">
      <c r="A97">
        <v>402301201</v>
      </c>
      <c r="B97" t="s">
        <v>765</v>
      </c>
      <c r="C97" t="s">
        <v>766</v>
      </c>
      <c r="D97" t="s">
        <v>841</v>
      </c>
      <c r="E97" s="26">
        <v>45442</v>
      </c>
      <c r="F97" s="26">
        <v>45453</v>
      </c>
      <c r="G97" s="51">
        <v>45922</v>
      </c>
      <c r="H97">
        <v>45200.38</v>
      </c>
      <c r="I97" t="s">
        <v>18</v>
      </c>
      <c r="J97">
        <v>1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2</v>
      </c>
      <c r="T97">
        <v>0.9</v>
      </c>
      <c r="U97">
        <v>0</v>
      </c>
      <c r="V97">
        <v>1</v>
      </c>
      <c r="W97">
        <v>0</v>
      </c>
      <c r="X97">
        <v>0</v>
      </c>
      <c r="Y97">
        <v>0</v>
      </c>
    </row>
    <row r="98" spans="1:25" x14ac:dyDescent="0.3">
      <c r="A98">
        <v>402301202</v>
      </c>
      <c r="B98" t="s">
        <v>765</v>
      </c>
      <c r="C98" t="s">
        <v>766</v>
      </c>
      <c r="D98" t="s">
        <v>842</v>
      </c>
      <c r="E98" s="26">
        <v>45441</v>
      </c>
      <c r="F98" s="26">
        <v>45453</v>
      </c>
      <c r="G98" s="51">
        <v>45922</v>
      </c>
      <c r="H98">
        <v>45200.38</v>
      </c>
      <c r="I98" t="s">
        <v>18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2</v>
      </c>
      <c r="T98">
        <v>0.9</v>
      </c>
      <c r="U98">
        <v>0</v>
      </c>
      <c r="V98">
        <v>1</v>
      </c>
      <c r="W98">
        <v>0</v>
      </c>
      <c r="X98">
        <v>0</v>
      </c>
      <c r="Y98">
        <v>0</v>
      </c>
    </row>
    <row r="99" spans="1:25" x14ac:dyDescent="0.3">
      <c r="A99">
        <v>402301205</v>
      </c>
      <c r="B99" t="s">
        <v>765</v>
      </c>
      <c r="C99" t="s">
        <v>766</v>
      </c>
      <c r="D99" t="s">
        <v>843</v>
      </c>
      <c r="E99" s="26">
        <v>45441</v>
      </c>
      <c r="F99" s="26">
        <v>45454</v>
      </c>
      <c r="G99" s="51">
        <v>45922</v>
      </c>
      <c r="H99">
        <v>46738.29</v>
      </c>
      <c r="I99" t="s">
        <v>18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2</v>
      </c>
      <c r="T99">
        <v>0.9</v>
      </c>
      <c r="U99">
        <v>0</v>
      </c>
      <c r="V99">
        <v>1</v>
      </c>
      <c r="W99">
        <v>0</v>
      </c>
      <c r="X99">
        <v>0</v>
      </c>
      <c r="Y99">
        <v>0</v>
      </c>
    </row>
    <row r="100" spans="1:25" x14ac:dyDescent="0.3">
      <c r="A100">
        <v>402301219</v>
      </c>
      <c r="B100" t="s">
        <v>765</v>
      </c>
      <c r="C100" t="s">
        <v>766</v>
      </c>
      <c r="D100" t="s">
        <v>844</v>
      </c>
      <c r="E100" s="26">
        <v>45439</v>
      </c>
      <c r="F100" s="26">
        <v>45454</v>
      </c>
      <c r="G100" s="51">
        <v>45922</v>
      </c>
      <c r="H100">
        <v>46738.29</v>
      </c>
      <c r="I100" t="s">
        <v>18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</v>
      </c>
      <c r="S100">
        <v>2</v>
      </c>
      <c r="T100">
        <v>0.9</v>
      </c>
      <c r="U100">
        <v>0</v>
      </c>
      <c r="V100">
        <v>1</v>
      </c>
      <c r="W100">
        <v>0</v>
      </c>
      <c r="X100">
        <v>0</v>
      </c>
      <c r="Y100">
        <v>0</v>
      </c>
    </row>
    <row r="101" spans="1:25" x14ac:dyDescent="0.3">
      <c r="A101">
        <v>402301227</v>
      </c>
      <c r="B101" t="s">
        <v>765</v>
      </c>
      <c r="C101" t="s">
        <v>766</v>
      </c>
      <c r="D101" t="s">
        <v>845</v>
      </c>
      <c r="E101" s="26">
        <v>45450</v>
      </c>
      <c r="F101" s="26">
        <v>45461</v>
      </c>
      <c r="G101" s="51">
        <v>45922</v>
      </c>
      <c r="H101">
        <v>47131.12</v>
      </c>
      <c r="I101" t="s">
        <v>18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2</v>
      </c>
      <c r="T101">
        <v>0.9</v>
      </c>
      <c r="U101">
        <v>0</v>
      </c>
      <c r="V101">
        <v>1</v>
      </c>
      <c r="W101">
        <v>0</v>
      </c>
      <c r="X101">
        <v>0</v>
      </c>
      <c r="Y101">
        <v>0</v>
      </c>
    </row>
    <row r="102" spans="1:25" x14ac:dyDescent="0.3">
      <c r="A102">
        <v>402301220</v>
      </c>
      <c r="B102" t="s">
        <v>765</v>
      </c>
      <c r="C102" t="s">
        <v>766</v>
      </c>
      <c r="D102" t="s">
        <v>846</v>
      </c>
      <c r="E102" s="26">
        <v>45442</v>
      </c>
      <c r="F102" s="26">
        <v>45454</v>
      </c>
      <c r="G102" s="51">
        <v>45922</v>
      </c>
      <c r="H102">
        <v>46738.29</v>
      </c>
      <c r="I102" t="s">
        <v>18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2</v>
      </c>
      <c r="T102">
        <v>0.9</v>
      </c>
      <c r="U102">
        <v>0</v>
      </c>
      <c r="V102">
        <v>1</v>
      </c>
      <c r="W102">
        <v>0</v>
      </c>
      <c r="X102">
        <v>0</v>
      </c>
      <c r="Y102">
        <v>0</v>
      </c>
    </row>
    <row r="103" spans="1:25" x14ac:dyDescent="0.3">
      <c r="A103">
        <v>402301225</v>
      </c>
      <c r="B103" t="s">
        <v>765</v>
      </c>
      <c r="C103" t="s">
        <v>766</v>
      </c>
      <c r="D103" t="s">
        <v>843</v>
      </c>
      <c r="E103" s="26">
        <v>45447</v>
      </c>
      <c r="F103" s="26">
        <v>45460</v>
      </c>
      <c r="G103" s="51">
        <v>45922</v>
      </c>
      <c r="H103">
        <v>46738.29</v>
      </c>
      <c r="I103" t="s">
        <v>18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2</v>
      </c>
      <c r="T103">
        <v>0.9</v>
      </c>
      <c r="U103">
        <v>0</v>
      </c>
      <c r="V103">
        <v>1</v>
      </c>
      <c r="W103">
        <v>0</v>
      </c>
      <c r="X103">
        <v>0</v>
      </c>
      <c r="Y103">
        <v>0</v>
      </c>
    </row>
    <row r="104" spans="1:25" x14ac:dyDescent="0.3">
      <c r="A104">
        <v>402301206</v>
      </c>
      <c r="B104" t="s">
        <v>765</v>
      </c>
      <c r="C104" t="s">
        <v>766</v>
      </c>
      <c r="D104" t="s">
        <v>847</v>
      </c>
      <c r="E104" s="26">
        <v>45439</v>
      </c>
      <c r="F104" s="26">
        <v>45454</v>
      </c>
      <c r="G104" s="51">
        <v>45922</v>
      </c>
      <c r="H104">
        <v>46738.29</v>
      </c>
      <c r="I104" t="s">
        <v>18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2</v>
      </c>
      <c r="T104">
        <v>0.9</v>
      </c>
      <c r="U104">
        <v>0</v>
      </c>
      <c r="V104">
        <v>1</v>
      </c>
      <c r="W104">
        <v>0</v>
      </c>
      <c r="X104">
        <v>0</v>
      </c>
      <c r="Y104">
        <v>0</v>
      </c>
    </row>
    <row r="105" spans="1:25" x14ac:dyDescent="0.3">
      <c r="A105">
        <v>402301221</v>
      </c>
      <c r="B105" t="s">
        <v>765</v>
      </c>
      <c r="C105" t="s">
        <v>766</v>
      </c>
      <c r="D105" t="s">
        <v>848</v>
      </c>
      <c r="E105" s="26">
        <v>45430</v>
      </c>
      <c r="F105" s="26">
        <v>45446</v>
      </c>
      <c r="G105" s="51">
        <v>45922</v>
      </c>
      <c r="H105">
        <v>46738.29</v>
      </c>
      <c r="I105" t="s">
        <v>18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2</v>
      </c>
      <c r="T105">
        <v>0.9</v>
      </c>
      <c r="U105">
        <v>0</v>
      </c>
      <c r="V105">
        <v>1</v>
      </c>
      <c r="W105">
        <v>0</v>
      </c>
      <c r="X105">
        <v>0</v>
      </c>
      <c r="Y105">
        <v>0</v>
      </c>
    </row>
    <row r="106" spans="1:25" x14ac:dyDescent="0.3">
      <c r="A106">
        <v>402301222</v>
      </c>
      <c r="B106" t="s">
        <v>765</v>
      </c>
      <c r="C106" t="s">
        <v>766</v>
      </c>
      <c r="D106" t="s">
        <v>849</v>
      </c>
      <c r="E106" s="26">
        <v>45445</v>
      </c>
      <c r="F106" s="26">
        <v>45456</v>
      </c>
      <c r="G106" s="51">
        <v>45922</v>
      </c>
      <c r="H106">
        <v>46738.29</v>
      </c>
      <c r="I106" t="s">
        <v>18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2</v>
      </c>
      <c r="T106">
        <v>0.9</v>
      </c>
      <c r="U106">
        <v>0</v>
      </c>
      <c r="V106">
        <v>1</v>
      </c>
      <c r="W106">
        <v>0</v>
      </c>
      <c r="X106">
        <v>0</v>
      </c>
      <c r="Y106">
        <v>0</v>
      </c>
    </row>
    <row r="107" spans="1:25" x14ac:dyDescent="0.3">
      <c r="A107">
        <v>402301223</v>
      </c>
      <c r="B107" t="s">
        <v>765</v>
      </c>
      <c r="C107" t="s">
        <v>766</v>
      </c>
      <c r="D107" t="s">
        <v>850</v>
      </c>
      <c r="E107" s="26">
        <v>45448</v>
      </c>
      <c r="F107" s="26">
        <v>45460</v>
      </c>
      <c r="G107" s="51">
        <v>45922</v>
      </c>
      <c r="H107">
        <v>46738.29</v>
      </c>
      <c r="I107" t="s">
        <v>18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2</v>
      </c>
      <c r="T107">
        <v>0.9</v>
      </c>
      <c r="U107">
        <v>0</v>
      </c>
      <c r="V107">
        <v>1</v>
      </c>
      <c r="W107">
        <v>0</v>
      </c>
      <c r="X107">
        <v>0</v>
      </c>
      <c r="Y107">
        <v>0</v>
      </c>
    </row>
    <row r="108" spans="1:25" x14ac:dyDescent="0.3">
      <c r="A108">
        <v>402301224</v>
      </c>
      <c r="B108" t="s">
        <v>765</v>
      </c>
      <c r="C108" t="s">
        <v>766</v>
      </c>
      <c r="D108" t="s">
        <v>825</v>
      </c>
      <c r="E108" s="26">
        <v>45447</v>
      </c>
      <c r="F108" s="26">
        <v>45460</v>
      </c>
      <c r="G108" s="51">
        <v>45922</v>
      </c>
      <c r="H108">
        <v>46738.29</v>
      </c>
      <c r="I108" t="s">
        <v>18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2</v>
      </c>
      <c r="T108">
        <v>0.9</v>
      </c>
      <c r="U108">
        <v>0</v>
      </c>
      <c r="V108">
        <v>1</v>
      </c>
      <c r="W108">
        <v>0</v>
      </c>
      <c r="X108">
        <v>0</v>
      </c>
      <c r="Y108">
        <v>0</v>
      </c>
    </row>
    <row r="109" spans="1:25" x14ac:dyDescent="0.3">
      <c r="A109">
        <v>402301198</v>
      </c>
      <c r="B109" t="s">
        <v>765</v>
      </c>
      <c r="C109" t="s">
        <v>766</v>
      </c>
      <c r="D109" t="s">
        <v>768</v>
      </c>
      <c r="E109" s="26">
        <v>45435</v>
      </c>
      <c r="F109" s="26">
        <v>45450</v>
      </c>
      <c r="G109" s="51">
        <v>45922</v>
      </c>
      <c r="H109">
        <v>45200.38</v>
      </c>
      <c r="I109" t="s">
        <v>18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2</v>
      </c>
      <c r="T109">
        <v>0.9</v>
      </c>
      <c r="U109">
        <v>0</v>
      </c>
      <c r="V109">
        <v>1</v>
      </c>
      <c r="W109">
        <v>0</v>
      </c>
      <c r="X109">
        <v>0</v>
      </c>
      <c r="Y109">
        <v>0</v>
      </c>
    </row>
    <row r="110" spans="1:25" x14ac:dyDescent="0.3">
      <c r="A110">
        <v>402301241</v>
      </c>
      <c r="B110" t="s">
        <v>765</v>
      </c>
      <c r="C110" t="s">
        <v>766</v>
      </c>
      <c r="D110" t="s">
        <v>851</v>
      </c>
      <c r="E110" s="26">
        <v>45454</v>
      </c>
      <c r="F110" s="26">
        <v>45465</v>
      </c>
      <c r="G110" s="51">
        <v>45922</v>
      </c>
      <c r="H110">
        <v>44797.2</v>
      </c>
      <c r="I110" t="s">
        <v>18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2</v>
      </c>
      <c r="T110">
        <v>0.9</v>
      </c>
      <c r="U110">
        <v>0</v>
      </c>
      <c r="V110">
        <v>1</v>
      </c>
      <c r="W110">
        <v>0</v>
      </c>
      <c r="X110">
        <v>0</v>
      </c>
      <c r="Y110">
        <v>0</v>
      </c>
    </row>
    <row r="111" spans="1:25" x14ac:dyDescent="0.3">
      <c r="A111">
        <v>402301255</v>
      </c>
      <c r="B111" t="s">
        <v>765</v>
      </c>
      <c r="C111" t="s">
        <v>766</v>
      </c>
      <c r="D111" t="s">
        <v>852</v>
      </c>
      <c r="E111" s="26">
        <v>45452</v>
      </c>
      <c r="F111" s="26">
        <v>45464</v>
      </c>
      <c r="G111" s="51">
        <v>45922</v>
      </c>
      <c r="H111">
        <v>44753.79</v>
      </c>
      <c r="I111" t="s">
        <v>18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2</v>
      </c>
      <c r="T111">
        <v>0.9</v>
      </c>
      <c r="U111">
        <v>0</v>
      </c>
      <c r="V111">
        <v>1</v>
      </c>
      <c r="W111">
        <v>0</v>
      </c>
      <c r="X111">
        <v>0</v>
      </c>
      <c r="Y111">
        <v>0</v>
      </c>
    </row>
    <row r="112" spans="1:25" x14ac:dyDescent="0.3">
      <c r="A112">
        <v>402301251</v>
      </c>
      <c r="B112" t="s">
        <v>765</v>
      </c>
      <c r="C112" t="s">
        <v>766</v>
      </c>
      <c r="D112" t="s">
        <v>853</v>
      </c>
      <c r="E112" s="26">
        <v>45450</v>
      </c>
      <c r="F112" s="26">
        <v>45463</v>
      </c>
      <c r="G112" s="51">
        <v>45922</v>
      </c>
      <c r="H112">
        <v>43803.37</v>
      </c>
      <c r="I112" t="s">
        <v>18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2</v>
      </c>
      <c r="T112">
        <v>0.9</v>
      </c>
      <c r="U112">
        <v>0</v>
      </c>
      <c r="V112">
        <v>1</v>
      </c>
      <c r="W112">
        <v>0</v>
      </c>
      <c r="X112">
        <v>0</v>
      </c>
      <c r="Y112">
        <v>0</v>
      </c>
    </row>
    <row r="113" spans="1:25" x14ac:dyDescent="0.3">
      <c r="A113">
        <v>402301256</v>
      </c>
      <c r="B113" t="s">
        <v>765</v>
      </c>
      <c r="C113" t="s">
        <v>766</v>
      </c>
      <c r="D113" t="s">
        <v>854</v>
      </c>
      <c r="E113" s="26">
        <v>45449</v>
      </c>
      <c r="F113" s="26">
        <v>45464</v>
      </c>
      <c r="G113" s="51">
        <v>45922</v>
      </c>
      <c r="H113">
        <v>43979.81</v>
      </c>
      <c r="I113" t="s">
        <v>18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2</v>
      </c>
      <c r="T113">
        <v>0.9</v>
      </c>
      <c r="U113">
        <v>0</v>
      </c>
      <c r="V113">
        <v>1</v>
      </c>
      <c r="W113">
        <v>0</v>
      </c>
      <c r="X113">
        <v>0</v>
      </c>
      <c r="Y113">
        <v>0</v>
      </c>
    </row>
    <row r="114" spans="1:25" x14ac:dyDescent="0.3">
      <c r="A114">
        <v>402301265</v>
      </c>
      <c r="B114" t="s">
        <v>765</v>
      </c>
      <c r="C114" t="s">
        <v>766</v>
      </c>
      <c r="D114" t="s">
        <v>829</v>
      </c>
      <c r="E114" s="26">
        <v>45448</v>
      </c>
      <c r="F114" s="26">
        <v>45464</v>
      </c>
      <c r="G114" s="51">
        <v>45922</v>
      </c>
      <c r="H114">
        <v>44085.22</v>
      </c>
      <c r="I114" t="s">
        <v>18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2</v>
      </c>
      <c r="T114">
        <v>0.9</v>
      </c>
      <c r="U114">
        <v>0</v>
      </c>
      <c r="V114">
        <v>1</v>
      </c>
      <c r="W114">
        <v>0</v>
      </c>
      <c r="X114">
        <v>0</v>
      </c>
      <c r="Y114">
        <v>0</v>
      </c>
    </row>
    <row r="115" spans="1:25" x14ac:dyDescent="0.3">
      <c r="A115">
        <v>402301261</v>
      </c>
      <c r="B115" t="s">
        <v>765</v>
      </c>
      <c r="C115" t="s">
        <v>766</v>
      </c>
      <c r="D115" t="s">
        <v>855</v>
      </c>
      <c r="E115" s="26">
        <v>45453</v>
      </c>
      <c r="F115" s="26">
        <v>45464</v>
      </c>
      <c r="G115" s="51">
        <v>45922</v>
      </c>
      <c r="H115">
        <v>44088.31</v>
      </c>
      <c r="I115" t="s">
        <v>18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2</v>
      </c>
      <c r="T115">
        <v>0.9</v>
      </c>
      <c r="U115">
        <v>0</v>
      </c>
      <c r="V115">
        <v>1</v>
      </c>
      <c r="W115">
        <v>0</v>
      </c>
      <c r="X115">
        <v>0</v>
      </c>
      <c r="Y115">
        <v>0</v>
      </c>
    </row>
    <row r="116" spans="1:25" x14ac:dyDescent="0.3">
      <c r="A116">
        <v>402301267</v>
      </c>
      <c r="B116" t="s">
        <v>765</v>
      </c>
      <c r="C116" t="s">
        <v>766</v>
      </c>
      <c r="D116" t="s">
        <v>856</v>
      </c>
      <c r="E116" s="26">
        <v>45453</v>
      </c>
      <c r="F116" s="26">
        <v>45465</v>
      </c>
      <c r="G116" s="51">
        <v>45922</v>
      </c>
      <c r="H116">
        <v>44800.3</v>
      </c>
      <c r="I116" t="s">
        <v>18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2</v>
      </c>
      <c r="T116">
        <v>0.9</v>
      </c>
      <c r="U116">
        <v>0</v>
      </c>
      <c r="V116">
        <v>1</v>
      </c>
      <c r="W116">
        <v>0</v>
      </c>
      <c r="X116">
        <v>0</v>
      </c>
      <c r="Y116">
        <v>0</v>
      </c>
    </row>
    <row r="117" spans="1:25" x14ac:dyDescent="0.3">
      <c r="A117">
        <v>402301269</v>
      </c>
      <c r="B117" t="s">
        <v>765</v>
      </c>
      <c r="C117" t="s">
        <v>766</v>
      </c>
      <c r="D117" t="s">
        <v>857</v>
      </c>
      <c r="E117" s="26">
        <v>45452</v>
      </c>
      <c r="F117" s="26">
        <v>45465</v>
      </c>
      <c r="G117" s="51">
        <v>45922</v>
      </c>
      <c r="H117">
        <v>44154.96</v>
      </c>
      <c r="I117" t="s">
        <v>18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2</v>
      </c>
      <c r="T117">
        <v>0.9</v>
      </c>
      <c r="U117">
        <v>0</v>
      </c>
      <c r="V117">
        <v>1</v>
      </c>
      <c r="W117">
        <v>0</v>
      </c>
      <c r="X117">
        <v>0</v>
      </c>
      <c r="Y117">
        <v>0</v>
      </c>
    </row>
    <row r="118" spans="1:25" x14ac:dyDescent="0.3">
      <c r="A118">
        <v>402301271</v>
      </c>
      <c r="B118" t="s">
        <v>765</v>
      </c>
      <c r="C118" t="s">
        <v>766</v>
      </c>
      <c r="D118" t="s">
        <v>858</v>
      </c>
      <c r="E118" s="26">
        <v>45450</v>
      </c>
      <c r="F118" s="26">
        <v>45465</v>
      </c>
      <c r="G118" s="51">
        <v>45922</v>
      </c>
      <c r="H118">
        <v>44826.64</v>
      </c>
      <c r="I118" t="s">
        <v>18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2</v>
      </c>
      <c r="T118">
        <v>0.9</v>
      </c>
      <c r="U118">
        <v>0</v>
      </c>
      <c r="V118">
        <v>1</v>
      </c>
      <c r="W118">
        <v>0</v>
      </c>
      <c r="X118">
        <v>0</v>
      </c>
      <c r="Y118">
        <v>0</v>
      </c>
    </row>
    <row r="119" spans="1:25" x14ac:dyDescent="0.3">
      <c r="A119">
        <v>402301270</v>
      </c>
      <c r="B119" t="s">
        <v>765</v>
      </c>
      <c r="C119" t="s">
        <v>766</v>
      </c>
      <c r="D119" t="s">
        <v>859</v>
      </c>
      <c r="E119" s="26">
        <v>45454</v>
      </c>
      <c r="F119" s="26">
        <v>45465</v>
      </c>
      <c r="G119" s="51">
        <v>45922</v>
      </c>
      <c r="H119">
        <v>44823.55</v>
      </c>
      <c r="I119" t="s">
        <v>18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2</v>
      </c>
      <c r="T119">
        <v>0.9</v>
      </c>
      <c r="U119">
        <v>0</v>
      </c>
      <c r="V119">
        <v>1</v>
      </c>
      <c r="W119">
        <v>0</v>
      </c>
      <c r="X119">
        <v>0</v>
      </c>
      <c r="Y119">
        <v>0</v>
      </c>
    </row>
    <row r="120" spans="1:25" x14ac:dyDescent="0.3">
      <c r="A120">
        <v>402301243</v>
      </c>
      <c r="B120" t="s">
        <v>765</v>
      </c>
      <c r="C120" t="s">
        <v>766</v>
      </c>
      <c r="D120" t="s">
        <v>860</v>
      </c>
      <c r="E120" s="26">
        <v>45441</v>
      </c>
      <c r="F120" s="26">
        <v>45453</v>
      </c>
      <c r="G120" s="51">
        <v>45922</v>
      </c>
      <c r="H120">
        <v>44309.97</v>
      </c>
      <c r="I120" t="s">
        <v>18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2</v>
      </c>
      <c r="T120">
        <v>0.9</v>
      </c>
      <c r="U120">
        <v>0</v>
      </c>
      <c r="V120">
        <v>1</v>
      </c>
      <c r="W120">
        <v>0</v>
      </c>
      <c r="X120">
        <v>0</v>
      </c>
      <c r="Y120">
        <v>0</v>
      </c>
    </row>
    <row r="121" spans="1:25" x14ac:dyDescent="0.3">
      <c r="A121">
        <v>402301236</v>
      </c>
      <c r="B121" t="s">
        <v>765</v>
      </c>
      <c r="C121" t="s">
        <v>766</v>
      </c>
      <c r="D121" t="s">
        <v>844</v>
      </c>
      <c r="E121" s="26">
        <v>45450</v>
      </c>
      <c r="F121" s="26">
        <v>45463</v>
      </c>
      <c r="G121" s="51">
        <v>45922</v>
      </c>
      <c r="H121">
        <v>44038.71</v>
      </c>
      <c r="I121" t="s">
        <v>18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2</v>
      </c>
      <c r="T121">
        <v>0.9</v>
      </c>
      <c r="U121">
        <v>0</v>
      </c>
      <c r="V121">
        <v>1</v>
      </c>
      <c r="W121">
        <v>0</v>
      </c>
      <c r="X121">
        <v>0</v>
      </c>
      <c r="Y121">
        <v>0</v>
      </c>
    </row>
    <row r="122" spans="1:25" x14ac:dyDescent="0.3">
      <c r="A122">
        <v>402301235</v>
      </c>
      <c r="B122" t="s">
        <v>765</v>
      </c>
      <c r="C122" t="s">
        <v>766</v>
      </c>
      <c r="D122" t="s">
        <v>835</v>
      </c>
      <c r="E122" s="26">
        <v>45447</v>
      </c>
      <c r="F122" s="26">
        <v>45462</v>
      </c>
      <c r="G122" s="51">
        <v>45922</v>
      </c>
      <c r="H122">
        <v>44137.919999999998</v>
      </c>
      <c r="I122" t="s">
        <v>18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2</v>
      </c>
      <c r="T122">
        <v>0.9</v>
      </c>
      <c r="U122">
        <v>0</v>
      </c>
      <c r="V122">
        <v>1</v>
      </c>
      <c r="W122">
        <v>0</v>
      </c>
      <c r="X122">
        <v>0</v>
      </c>
      <c r="Y122">
        <v>0</v>
      </c>
    </row>
    <row r="123" spans="1:25" x14ac:dyDescent="0.3">
      <c r="A123">
        <v>402301232</v>
      </c>
      <c r="B123" t="s">
        <v>765</v>
      </c>
      <c r="C123" t="s">
        <v>766</v>
      </c>
      <c r="D123" t="s">
        <v>792</v>
      </c>
      <c r="E123" s="26">
        <v>45445</v>
      </c>
      <c r="F123" s="26">
        <v>45461</v>
      </c>
      <c r="G123" s="51">
        <v>45922</v>
      </c>
      <c r="H123">
        <v>43995.32</v>
      </c>
      <c r="I123" t="s">
        <v>18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2</v>
      </c>
      <c r="T123">
        <v>0.9</v>
      </c>
      <c r="U123">
        <v>0</v>
      </c>
      <c r="V123">
        <v>1</v>
      </c>
      <c r="W123">
        <v>0</v>
      </c>
      <c r="X123">
        <v>0</v>
      </c>
      <c r="Y123">
        <v>0</v>
      </c>
    </row>
    <row r="124" spans="1:25" x14ac:dyDescent="0.3">
      <c r="A124">
        <v>402301257</v>
      </c>
      <c r="B124" t="s">
        <v>765</v>
      </c>
      <c r="C124" t="s">
        <v>766</v>
      </c>
      <c r="D124" t="s">
        <v>861</v>
      </c>
      <c r="E124" s="26">
        <v>45453</v>
      </c>
      <c r="F124" s="26">
        <v>45464</v>
      </c>
      <c r="G124" s="51">
        <v>45922</v>
      </c>
      <c r="H124">
        <v>43968.959999999999</v>
      </c>
      <c r="I124" t="s">
        <v>18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2</v>
      </c>
      <c r="T124">
        <v>0.9</v>
      </c>
      <c r="U124">
        <v>0</v>
      </c>
      <c r="V124">
        <v>1</v>
      </c>
      <c r="W124">
        <v>0</v>
      </c>
      <c r="X124">
        <v>0</v>
      </c>
      <c r="Y124">
        <v>0</v>
      </c>
    </row>
    <row r="125" spans="1:25" x14ac:dyDescent="0.3">
      <c r="A125">
        <v>402301268</v>
      </c>
      <c r="B125" t="s">
        <v>765</v>
      </c>
      <c r="C125" t="s">
        <v>766</v>
      </c>
      <c r="D125" t="s">
        <v>845</v>
      </c>
      <c r="E125" s="26">
        <v>45453</v>
      </c>
      <c r="F125" s="26">
        <v>45465</v>
      </c>
      <c r="G125" s="51">
        <v>45922</v>
      </c>
      <c r="H125">
        <v>43559.35</v>
      </c>
      <c r="I125" t="s">
        <v>18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2</v>
      </c>
      <c r="T125">
        <v>0.9</v>
      </c>
      <c r="U125">
        <v>0</v>
      </c>
      <c r="V125">
        <v>1</v>
      </c>
      <c r="W125">
        <v>0</v>
      </c>
      <c r="X125">
        <v>0</v>
      </c>
      <c r="Y125">
        <v>0</v>
      </c>
    </row>
    <row r="126" spans="1:25" x14ac:dyDescent="0.3">
      <c r="A126">
        <v>402301258</v>
      </c>
      <c r="B126" t="s">
        <v>765</v>
      </c>
      <c r="C126" t="s">
        <v>766</v>
      </c>
      <c r="D126" t="s">
        <v>862</v>
      </c>
      <c r="E126" s="26">
        <v>45451</v>
      </c>
      <c r="F126" s="26">
        <v>45464</v>
      </c>
      <c r="G126" s="51">
        <v>45922</v>
      </c>
      <c r="H126">
        <v>44730.54</v>
      </c>
      <c r="I126" t="s">
        <v>18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2</v>
      </c>
      <c r="T126">
        <v>0.9</v>
      </c>
      <c r="U126">
        <v>0</v>
      </c>
      <c r="V126">
        <v>1</v>
      </c>
      <c r="W126">
        <v>0</v>
      </c>
      <c r="X126">
        <v>0</v>
      </c>
      <c r="Y126">
        <v>0</v>
      </c>
    </row>
    <row r="127" spans="1:25" x14ac:dyDescent="0.3">
      <c r="A127">
        <v>402301250</v>
      </c>
      <c r="B127" t="s">
        <v>765</v>
      </c>
      <c r="C127" t="s">
        <v>766</v>
      </c>
      <c r="D127" t="s">
        <v>863</v>
      </c>
      <c r="E127" s="26">
        <v>45448</v>
      </c>
      <c r="F127" s="26">
        <v>45463</v>
      </c>
      <c r="G127" s="51">
        <v>45922</v>
      </c>
      <c r="H127">
        <v>44873.14</v>
      </c>
      <c r="I127" t="s">
        <v>18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2</v>
      </c>
      <c r="T127">
        <v>0.9</v>
      </c>
      <c r="U127">
        <v>0</v>
      </c>
      <c r="V127">
        <v>1</v>
      </c>
      <c r="W127">
        <v>0</v>
      </c>
      <c r="X127">
        <v>0</v>
      </c>
      <c r="Y127">
        <v>0</v>
      </c>
    </row>
    <row r="128" spans="1:25" x14ac:dyDescent="0.3">
      <c r="A128">
        <v>402301266</v>
      </c>
      <c r="B128" t="s">
        <v>765</v>
      </c>
      <c r="C128" t="s">
        <v>766</v>
      </c>
      <c r="D128" t="s">
        <v>864</v>
      </c>
      <c r="E128" s="26">
        <v>45453</v>
      </c>
      <c r="F128" s="26">
        <v>45464</v>
      </c>
      <c r="G128" s="51">
        <v>45922</v>
      </c>
      <c r="H128">
        <v>44803.4</v>
      </c>
      <c r="I128" t="s">
        <v>18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2</v>
      </c>
      <c r="T128">
        <v>0.9</v>
      </c>
      <c r="U128">
        <v>0</v>
      </c>
      <c r="V128">
        <v>1</v>
      </c>
      <c r="W128">
        <v>0</v>
      </c>
      <c r="X128">
        <v>0</v>
      </c>
      <c r="Y128">
        <v>0</v>
      </c>
    </row>
    <row r="129" spans="1:25" x14ac:dyDescent="0.3">
      <c r="A129">
        <v>402301253</v>
      </c>
      <c r="B129" t="s">
        <v>765</v>
      </c>
      <c r="C129" t="s">
        <v>766</v>
      </c>
      <c r="D129" t="s">
        <v>825</v>
      </c>
      <c r="E129" s="26">
        <v>45452</v>
      </c>
      <c r="F129" s="26">
        <v>45464</v>
      </c>
      <c r="G129" s="51">
        <v>45922</v>
      </c>
      <c r="H129">
        <v>44007.71</v>
      </c>
      <c r="I129" t="s">
        <v>18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2</v>
      </c>
      <c r="T129">
        <v>0.9</v>
      </c>
      <c r="U129">
        <v>0</v>
      </c>
      <c r="V129">
        <v>1</v>
      </c>
      <c r="W129">
        <v>0</v>
      </c>
      <c r="X129">
        <v>0</v>
      </c>
      <c r="Y129">
        <v>0</v>
      </c>
    </row>
    <row r="130" spans="1:25" x14ac:dyDescent="0.3">
      <c r="A130">
        <v>402301262</v>
      </c>
      <c r="B130" t="s">
        <v>765</v>
      </c>
      <c r="C130" t="s">
        <v>766</v>
      </c>
      <c r="D130" t="s">
        <v>850</v>
      </c>
      <c r="E130" s="26">
        <v>45451</v>
      </c>
      <c r="F130" s="26">
        <v>45464</v>
      </c>
      <c r="G130" s="51">
        <v>45922</v>
      </c>
      <c r="H130">
        <v>44719.7</v>
      </c>
      <c r="I130" t="s">
        <v>18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2</v>
      </c>
      <c r="T130">
        <v>0.9</v>
      </c>
      <c r="U130">
        <v>0</v>
      </c>
      <c r="V130">
        <v>1</v>
      </c>
      <c r="W130">
        <v>0</v>
      </c>
      <c r="X130">
        <v>0</v>
      </c>
      <c r="Y130">
        <v>0</v>
      </c>
    </row>
    <row r="131" spans="1:25" x14ac:dyDescent="0.3">
      <c r="A131">
        <v>402301264</v>
      </c>
      <c r="B131" t="s">
        <v>765</v>
      </c>
      <c r="C131" t="s">
        <v>766</v>
      </c>
      <c r="D131" t="s">
        <v>846</v>
      </c>
      <c r="E131" s="26">
        <v>45449</v>
      </c>
      <c r="F131" s="26">
        <v>45464</v>
      </c>
      <c r="G131" s="51">
        <v>45922</v>
      </c>
      <c r="H131">
        <v>43984.46</v>
      </c>
      <c r="I131" t="s">
        <v>18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2</v>
      </c>
      <c r="T131">
        <v>0.9</v>
      </c>
      <c r="U131">
        <v>0</v>
      </c>
      <c r="V131">
        <v>1</v>
      </c>
      <c r="W131">
        <v>0</v>
      </c>
      <c r="X131">
        <v>0</v>
      </c>
      <c r="Y131">
        <v>0</v>
      </c>
    </row>
    <row r="132" spans="1:25" x14ac:dyDescent="0.3">
      <c r="A132">
        <v>402301263</v>
      </c>
      <c r="B132" t="s">
        <v>765</v>
      </c>
      <c r="C132" t="s">
        <v>766</v>
      </c>
      <c r="D132" t="s">
        <v>850</v>
      </c>
      <c r="E132" s="26">
        <v>45448</v>
      </c>
      <c r="F132" s="26">
        <v>45464</v>
      </c>
      <c r="G132" s="51">
        <v>45922</v>
      </c>
      <c r="H132">
        <v>44843.7</v>
      </c>
      <c r="I132" t="s">
        <v>18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2</v>
      </c>
      <c r="T132">
        <v>0.9</v>
      </c>
      <c r="U132">
        <v>0</v>
      </c>
      <c r="V132">
        <v>1</v>
      </c>
      <c r="W132">
        <v>0</v>
      </c>
      <c r="X132">
        <v>0</v>
      </c>
      <c r="Y132">
        <v>0</v>
      </c>
    </row>
    <row r="133" spans="1:25" x14ac:dyDescent="0.3">
      <c r="A133">
        <v>402301249</v>
      </c>
      <c r="B133" t="s">
        <v>765</v>
      </c>
      <c r="C133" t="s">
        <v>766</v>
      </c>
      <c r="D133" t="s">
        <v>865</v>
      </c>
      <c r="E133" s="26">
        <v>45452</v>
      </c>
      <c r="F133" s="26">
        <v>45463</v>
      </c>
      <c r="G133" s="51">
        <v>45922</v>
      </c>
      <c r="H133">
        <v>44733.64</v>
      </c>
      <c r="I133" t="s">
        <v>18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2</v>
      </c>
      <c r="T133">
        <v>0.9</v>
      </c>
      <c r="U133">
        <v>0</v>
      </c>
      <c r="V133">
        <v>1</v>
      </c>
      <c r="W133">
        <v>0</v>
      </c>
      <c r="X133">
        <v>0</v>
      </c>
      <c r="Y133">
        <v>0</v>
      </c>
    </row>
    <row r="134" spans="1:25" x14ac:dyDescent="0.3">
      <c r="A134">
        <v>402301260</v>
      </c>
      <c r="B134" t="s">
        <v>765</v>
      </c>
      <c r="C134" t="s">
        <v>766</v>
      </c>
      <c r="D134" t="s">
        <v>855</v>
      </c>
      <c r="E134" s="26">
        <v>45452</v>
      </c>
      <c r="F134" s="26">
        <v>45464</v>
      </c>
      <c r="G134" s="51">
        <v>45922</v>
      </c>
      <c r="H134">
        <v>44100.72</v>
      </c>
      <c r="I134" t="s">
        <v>18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2</v>
      </c>
      <c r="T134">
        <v>0.9</v>
      </c>
      <c r="U134">
        <v>0</v>
      </c>
      <c r="V134">
        <v>1</v>
      </c>
      <c r="W134">
        <v>0</v>
      </c>
      <c r="X134">
        <v>0</v>
      </c>
      <c r="Y134">
        <v>0</v>
      </c>
    </row>
    <row r="135" spans="1:25" x14ac:dyDescent="0.3">
      <c r="A135">
        <v>402301259</v>
      </c>
      <c r="B135" t="s">
        <v>765</v>
      </c>
      <c r="C135" t="s">
        <v>766</v>
      </c>
      <c r="D135" t="s">
        <v>862</v>
      </c>
      <c r="E135" s="26">
        <v>45451</v>
      </c>
      <c r="F135" s="26">
        <v>45464</v>
      </c>
      <c r="G135" s="51">
        <v>45922</v>
      </c>
      <c r="H135">
        <v>44809.59</v>
      </c>
      <c r="I135" t="s">
        <v>18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2</v>
      </c>
      <c r="T135">
        <v>0.9</v>
      </c>
      <c r="U135">
        <v>0</v>
      </c>
      <c r="V135">
        <v>1</v>
      </c>
      <c r="W135">
        <v>0</v>
      </c>
      <c r="X135">
        <v>0</v>
      </c>
      <c r="Y135">
        <v>0</v>
      </c>
    </row>
    <row r="136" spans="1:25" x14ac:dyDescent="0.3">
      <c r="A136">
        <v>402301254</v>
      </c>
      <c r="B136" t="s">
        <v>765</v>
      </c>
      <c r="C136" t="s">
        <v>766</v>
      </c>
      <c r="D136" t="s">
        <v>866</v>
      </c>
      <c r="E136" s="26">
        <v>45449</v>
      </c>
      <c r="F136" s="26">
        <v>45464</v>
      </c>
      <c r="G136" s="51">
        <v>45922</v>
      </c>
      <c r="H136">
        <v>44825.1</v>
      </c>
      <c r="I136" t="s">
        <v>18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2</v>
      </c>
      <c r="T136">
        <v>0.9</v>
      </c>
      <c r="U136">
        <v>0</v>
      </c>
      <c r="V136">
        <v>1</v>
      </c>
      <c r="W136">
        <v>0</v>
      </c>
      <c r="X136">
        <v>0</v>
      </c>
      <c r="Y136">
        <v>0</v>
      </c>
    </row>
    <row r="137" spans="1:25" x14ac:dyDescent="0.3">
      <c r="A137">
        <v>402301248</v>
      </c>
      <c r="B137" t="s">
        <v>765</v>
      </c>
      <c r="C137" t="s">
        <v>766</v>
      </c>
      <c r="D137" t="s">
        <v>867</v>
      </c>
      <c r="E137" s="26">
        <v>45451.45349537037</v>
      </c>
      <c r="F137" s="26">
        <v>45462.45349537037</v>
      </c>
      <c r="G137" s="51">
        <v>45922</v>
      </c>
      <c r="H137">
        <v>44105.359999999986</v>
      </c>
      <c r="I137" t="s">
        <v>18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2</v>
      </c>
      <c r="T137">
        <v>0.9</v>
      </c>
      <c r="U137">
        <v>0</v>
      </c>
      <c r="V137">
        <v>1</v>
      </c>
      <c r="W137">
        <v>0</v>
      </c>
      <c r="X137">
        <v>0</v>
      </c>
      <c r="Y137">
        <v>0</v>
      </c>
    </row>
    <row r="138" spans="1:25" x14ac:dyDescent="0.3">
      <c r="A138">
        <v>402301252</v>
      </c>
      <c r="B138" t="s">
        <v>765</v>
      </c>
      <c r="C138" t="s">
        <v>766</v>
      </c>
      <c r="D138" t="s">
        <v>868</v>
      </c>
      <c r="E138" s="26">
        <v>45451.651886574073</v>
      </c>
      <c r="F138" s="26">
        <v>45463.651886574073</v>
      </c>
      <c r="G138" s="51">
        <v>45922</v>
      </c>
      <c r="H138">
        <v>43630.639999999985</v>
      </c>
      <c r="I138" t="s">
        <v>18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2</v>
      </c>
      <c r="T138">
        <v>0.9</v>
      </c>
      <c r="U138">
        <v>0</v>
      </c>
      <c r="V138">
        <v>1</v>
      </c>
      <c r="W138">
        <v>0</v>
      </c>
      <c r="X138">
        <v>0</v>
      </c>
      <c r="Y138">
        <v>0</v>
      </c>
    </row>
    <row r="139" spans="1:25" x14ac:dyDescent="0.3">
      <c r="A139">
        <v>402301242</v>
      </c>
      <c r="B139" t="s">
        <v>765</v>
      </c>
      <c r="C139" t="s">
        <v>766</v>
      </c>
      <c r="D139" t="s">
        <v>869</v>
      </c>
      <c r="E139" s="26">
        <v>45436.65625</v>
      </c>
      <c r="F139" s="26">
        <v>45449.65625</v>
      </c>
      <c r="G139" s="51">
        <v>45922</v>
      </c>
      <c r="H139">
        <v>44746.039999999986</v>
      </c>
      <c r="I139" t="s">
        <v>18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2</v>
      </c>
      <c r="T139">
        <v>0.9</v>
      </c>
      <c r="U139">
        <v>0</v>
      </c>
      <c r="V139">
        <v>1</v>
      </c>
      <c r="W139">
        <v>0</v>
      </c>
      <c r="X139">
        <v>0</v>
      </c>
      <c r="Y139">
        <v>0</v>
      </c>
    </row>
    <row r="140" spans="1:25" x14ac:dyDescent="0.3">
      <c r="A140">
        <v>502300629</v>
      </c>
      <c r="B140" t="s">
        <v>765</v>
      </c>
      <c r="C140" t="s">
        <v>803</v>
      </c>
      <c r="D140" t="s">
        <v>810</v>
      </c>
      <c r="E140" s="26">
        <v>45435.587187500001</v>
      </c>
      <c r="F140" s="26">
        <v>45450.587187500001</v>
      </c>
      <c r="G140" s="51">
        <v>45922</v>
      </c>
      <c r="H140">
        <v>44767.75</v>
      </c>
      <c r="I140" t="s">
        <v>18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</v>
      </c>
      <c r="S140">
        <v>2</v>
      </c>
      <c r="T140">
        <v>0.9</v>
      </c>
      <c r="U140">
        <v>0</v>
      </c>
      <c r="V140">
        <v>1</v>
      </c>
      <c r="W140">
        <v>0</v>
      </c>
      <c r="X140">
        <v>0</v>
      </c>
      <c r="Y140">
        <v>0</v>
      </c>
    </row>
    <row r="141" spans="1:25" x14ac:dyDescent="0.3">
      <c r="A141">
        <v>402301244</v>
      </c>
      <c r="B141" t="s">
        <v>765</v>
      </c>
      <c r="C141" t="s">
        <v>766</v>
      </c>
      <c r="D141" t="s">
        <v>768</v>
      </c>
      <c r="E141" s="26">
        <v>45437.665636574071</v>
      </c>
      <c r="F141" s="26">
        <v>45453.665636574071</v>
      </c>
      <c r="G141" s="51">
        <v>45922</v>
      </c>
      <c r="H141">
        <v>44981.639999999985</v>
      </c>
      <c r="I141" t="s">
        <v>18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2</v>
      </c>
      <c r="T141">
        <v>0.9</v>
      </c>
      <c r="U141">
        <v>0</v>
      </c>
      <c r="V141">
        <v>1</v>
      </c>
      <c r="W141">
        <v>0</v>
      </c>
      <c r="X141">
        <v>0</v>
      </c>
      <c r="Y141">
        <v>0</v>
      </c>
    </row>
    <row r="142" spans="1:25" x14ac:dyDescent="0.3">
      <c r="A142">
        <v>402301245</v>
      </c>
      <c r="B142" t="s">
        <v>765</v>
      </c>
      <c r="C142" t="s">
        <v>766</v>
      </c>
      <c r="D142" t="s">
        <v>835</v>
      </c>
      <c r="E142" s="26">
        <v>45443.377662037034</v>
      </c>
      <c r="F142" s="26">
        <v>45454.377662037034</v>
      </c>
      <c r="G142" s="51">
        <v>45922</v>
      </c>
      <c r="H142">
        <v>46020.609999999993</v>
      </c>
      <c r="I142" t="s">
        <v>18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2</v>
      </c>
      <c r="T142">
        <v>0.9</v>
      </c>
      <c r="U142">
        <v>0</v>
      </c>
      <c r="V142">
        <v>1</v>
      </c>
      <c r="W142">
        <v>0</v>
      </c>
      <c r="X142">
        <v>0</v>
      </c>
      <c r="Y142">
        <v>0</v>
      </c>
    </row>
    <row r="143" spans="1:25" x14ac:dyDescent="0.3">
      <c r="A143">
        <v>402301246</v>
      </c>
      <c r="B143" t="s">
        <v>765</v>
      </c>
      <c r="C143" t="s">
        <v>766</v>
      </c>
      <c r="D143" t="s">
        <v>870</v>
      </c>
      <c r="E143" s="26">
        <v>45449.620416666665</v>
      </c>
      <c r="F143" s="26">
        <v>45461.620416666665</v>
      </c>
      <c r="G143" s="51">
        <v>45922</v>
      </c>
      <c r="H143">
        <v>43543.839999999989</v>
      </c>
      <c r="I143" t="s">
        <v>18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2</v>
      </c>
      <c r="T143">
        <v>0.9</v>
      </c>
      <c r="U143">
        <v>0</v>
      </c>
      <c r="V143">
        <v>1</v>
      </c>
      <c r="W143">
        <v>0</v>
      </c>
      <c r="X143">
        <v>0</v>
      </c>
      <c r="Y143">
        <v>0</v>
      </c>
    </row>
    <row r="144" spans="1:25" x14ac:dyDescent="0.3">
      <c r="A144">
        <v>402400104</v>
      </c>
      <c r="B144" t="s">
        <v>765</v>
      </c>
      <c r="C144" t="s">
        <v>766</v>
      </c>
      <c r="D144" t="s">
        <v>871</v>
      </c>
      <c r="E144" s="26">
        <v>45456.421990740739</v>
      </c>
      <c r="F144" s="26">
        <v>45469.421990740739</v>
      </c>
      <c r="G144" s="51">
        <v>45922</v>
      </c>
      <c r="H144">
        <v>46732.590000000004</v>
      </c>
      <c r="I144" t="s">
        <v>18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2</v>
      </c>
      <c r="T144">
        <v>0.9</v>
      </c>
      <c r="U144">
        <v>0</v>
      </c>
      <c r="V144">
        <v>1</v>
      </c>
      <c r="W144">
        <v>0</v>
      </c>
      <c r="X144">
        <v>0</v>
      </c>
      <c r="Y144">
        <v>0</v>
      </c>
    </row>
    <row r="145" spans="1:25" x14ac:dyDescent="0.3">
      <c r="A145">
        <v>402400102</v>
      </c>
      <c r="B145" t="s">
        <v>765</v>
      </c>
      <c r="C145" t="s">
        <v>766</v>
      </c>
      <c r="D145" t="s">
        <v>872</v>
      </c>
      <c r="E145" s="26">
        <v>45454.605810185189</v>
      </c>
      <c r="F145" s="26">
        <v>45469.605810185189</v>
      </c>
      <c r="G145" s="51">
        <v>45922</v>
      </c>
      <c r="H145">
        <v>46910.850000000006</v>
      </c>
      <c r="I145" t="s">
        <v>18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2</v>
      </c>
      <c r="T145">
        <v>0.9</v>
      </c>
      <c r="U145">
        <v>0</v>
      </c>
      <c r="V145">
        <v>1</v>
      </c>
      <c r="W145">
        <v>0</v>
      </c>
      <c r="X145">
        <v>0</v>
      </c>
      <c r="Y145">
        <v>0</v>
      </c>
    </row>
    <row r="146" spans="1:25" x14ac:dyDescent="0.3">
      <c r="A146">
        <v>402400041</v>
      </c>
      <c r="B146" t="s">
        <v>765</v>
      </c>
      <c r="C146" t="s">
        <v>766</v>
      </c>
      <c r="D146" t="s">
        <v>873</v>
      </c>
      <c r="E146" s="26">
        <v>45443.354849537034</v>
      </c>
      <c r="F146" s="26">
        <v>45454.354849537034</v>
      </c>
      <c r="G146" s="51">
        <v>45922</v>
      </c>
      <c r="H146">
        <v>45910.559999999998</v>
      </c>
      <c r="I146" t="s">
        <v>18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2</v>
      </c>
      <c r="T146">
        <v>0.9</v>
      </c>
      <c r="U146">
        <v>0</v>
      </c>
      <c r="V146">
        <v>1</v>
      </c>
      <c r="W146">
        <v>0</v>
      </c>
      <c r="X146">
        <v>0</v>
      </c>
      <c r="Y146">
        <v>0</v>
      </c>
    </row>
    <row r="147" spans="1:25" x14ac:dyDescent="0.3">
      <c r="A147">
        <v>402400052</v>
      </c>
      <c r="B147" t="s">
        <v>765</v>
      </c>
      <c r="C147" t="s">
        <v>766</v>
      </c>
      <c r="D147" t="s">
        <v>874</v>
      </c>
      <c r="E147" s="26">
        <v>45449.667870370373</v>
      </c>
      <c r="F147" s="26">
        <v>45461.667870370373</v>
      </c>
      <c r="G147" s="51">
        <v>45922</v>
      </c>
      <c r="H147">
        <v>44733.639999999985</v>
      </c>
      <c r="I147" t="s">
        <v>18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2</v>
      </c>
      <c r="T147">
        <v>0.9</v>
      </c>
      <c r="U147">
        <v>0</v>
      </c>
      <c r="V147">
        <v>1</v>
      </c>
      <c r="W147">
        <v>0</v>
      </c>
      <c r="X147">
        <v>0</v>
      </c>
      <c r="Y147">
        <v>0</v>
      </c>
    </row>
    <row r="148" spans="1:25" x14ac:dyDescent="0.3">
      <c r="A148">
        <v>402400054</v>
      </c>
      <c r="B148" t="s">
        <v>765</v>
      </c>
      <c r="C148" t="s">
        <v>766</v>
      </c>
      <c r="D148" t="s">
        <v>875</v>
      </c>
      <c r="E148" s="26">
        <v>45449.437523148146</v>
      </c>
      <c r="F148" s="26">
        <v>45462.437523148146</v>
      </c>
      <c r="G148" s="51">
        <v>45922</v>
      </c>
      <c r="H148">
        <v>43560.89</v>
      </c>
      <c r="I148" t="s">
        <v>18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2</v>
      </c>
      <c r="T148">
        <v>0.9</v>
      </c>
      <c r="U148">
        <v>0</v>
      </c>
      <c r="V148">
        <v>1</v>
      </c>
      <c r="W148">
        <v>0</v>
      </c>
      <c r="X148">
        <v>0</v>
      </c>
      <c r="Y148">
        <v>0</v>
      </c>
    </row>
    <row r="149" spans="1:25" x14ac:dyDescent="0.3">
      <c r="A149">
        <v>402400035</v>
      </c>
      <c r="B149" t="s">
        <v>765</v>
      </c>
      <c r="C149" t="s">
        <v>766</v>
      </c>
      <c r="D149" t="s">
        <v>867</v>
      </c>
      <c r="E149" s="26">
        <v>45438.465810185182</v>
      </c>
      <c r="F149" s="26">
        <v>45453.465810185182</v>
      </c>
      <c r="G149" s="51">
        <v>45922</v>
      </c>
      <c r="H149">
        <v>44825.09</v>
      </c>
      <c r="I149" t="s">
        <v>18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2</v>
      </c>
      <c r="T149">
        <v>0.9</v>
      </c>
      <c r="U149">
        <v>0</v>
      </c>
      <c r="V149">
        <v>1</v>
      </c>
      <c r="W149">
        <v>0</v>
      </c>
      <c r="X149">
        <v>0</v>
      </c>
      <c r="Y149">
        <v>0</v>
      </c>
    </row>
    <row r="150" spans="1:25" x14ac:dyDescent="0.3">
      <c r="A150">
        <v>402400036</v>
      </c>
      <c r="B150" t="s">
        <v>765</v>
      </c>
      <c r="C150" t="s">
        <v>766</v>
      </c>
      <c r="D150" t="s">
        <v>867</v>
      </c>
      <c r="E150" s="26">
        <v>45437.655347222222</v>
      </c>
      <c r="F150" s="26">
        <v>45453.655347222222</v>
      </c>
      <c r="G150" s="51">
        <v>45922</v>
      </c>
      <c r="H150">
        <v>44842.14</v>
      </c>
      <c r="I150" t="s">
        <v>18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2</v>
      </c>
      <c r="T150">
        <v>0.9</v>
      </c>
      <c r="U150">
        <v>0</v>
      </c>
      <c r="V150">
        <v>1</v>
      </c>
      <c r="W150">
        <v>0</v>
      </c>
      <c r="X150">
        <v>0</v>
      </c>
      <c r="Y150">
        <v>0</v>
      </c>
    </row>
    <row r="151" spans="1:25" x14ac:dyDescent="0.3">
      <c r="A151">
        <v>402400046</v>
      </c>
      <c r="B151" t="s">
        <v>765</v>
      </c>
      <c r="C151" t="s">
        <v>766</v>
      </c>
      <c r="D151" t="s">
        <v>876</v>
      </c>
      <c r="E151" s="26">
        <v>45450.400787037041</v>
      </c>
      <c r="F151" s="26">
        <v>45461.400787037041</v>
      </c>
      <c r="G151" s="51">
        <v>45922</v>
      </c>
      <c r="H151">
        <v>46203.510000000009</v>
      </c>
      <c r="I151" t="s">
        <v>18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2</v>
      </c>
      <c r="T151">
        <v>0.9</v>
      </c>
      <c r="U151">
        <v>0</v>
      </c>
      <c r="V151">
        <v>1</v>
      </c>
      <c r="W151">
        <v>0</v>
      </c>
      <c r="X151">
        <v>0</v>
      </c>
      <c r="Y151">
        <v>0</v>
      </c>
    </row>
    <row r="152" spans="1:25" x14ac:dyDescent="0.3">
      <c r="A152">
        <v>402400040</v>
      </c>
      <c r="B152" t="s">
        <v>765</v>
      </c>
      <c r="C152" t="s">
        <v>766</v>
      </c>
      <c r="D152" t="s">
        <v>877</v>
      </c>
      <c r="E152" s="26">
        <v>45442.350347222222</v>
      </c>
      <c r="F152" s="26">
        <v>45454.350347222222</v>
      </c>
      <c r="G152" s="51">
        <v>45922</v>
      </c>
      <c r="H152">
        <v>44825.1</v>
      </c>
      <c r="I152" t="s">
        <v>18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</v>
      </c>
      <c r="S152">
        <v>2</v>
      </c>
      <c r="T152">
        <v>0.9</v>
      </c>
      <c r="U152">
        <v>0</v>
      </c>
      <c r="V152">
        <v>1</v>
      </c>
      <c r="W152">
        <v>0</v>
      </c>
      <c r="X152">
        <v>0</v>
      </c>
      <c r="Y152">
        <v>0</v>
      </c>
    </row>
    <row r="153" spans="1:25" x14ac:dyDescent="0.3">
      <c r="A153">
        <v>402400037</v>
      </c>
      <c r="B153" t="s">
        <v>765</v>
      </c>
      <c r="C153" t="s">
        <v>766</v>
      </c>
      <c r="D153" t="s">
        <v>768</v>
      </c>
      <c r="E153" s="26">
        <v>45440.720219907409</v>
      </c>
      <c r="F153" s="26">
        <v>45453.720219907409</v>
      </c>
      <c r="G153" s="51">
        <v>45922</v>
      </c>
      <c r="H153">
        <v>44133.27</v>
      </c>
      <c r="I153" t="s">
        <v>18</v>
      </c>
      <c r="J153">
        <v>1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2</v>
      </c>
      <c r="T153">
        <v>0.9</v>
      </c>
      <c r="U153">
        <v>0</v>
      </c>
      <c r="V153">
        <v>1</v>
      </c>
      <c r="W153">
        <v>0</v>
      </c>
      <c r="X153">
        <v>0</v>
      </c>
      <c r="Y153">
        <v>0</v>
      </c>
    </row>
    <row r="154" spans="1:25" x14ac:dyDescent="0.3">
      <c r="A154">
        <v>402400042</v>
      </c>
      <c r="B154" t="s">
        <v>765</v>
      </c>
      <c r="C154" t="s">
        <v>766</v>
      </c>
      <c r="D154" t="s">
        <v>878</v>
      </c>
      <c r="E154" s="26">
        <v>45439.358993055554</v>
      </c>
      <c r="F154" s="26">
        <v>45454.358993055554</v>
      </c>
      <c r="G154" s="51">
        <v>45922</v>
      </c>
      <c r="H154">
        <v>46912.390000000007</v>
      </c>
      <c r="I154" t="s">
        <v>18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2</v>
      </c>
      <c r="T154">
        <v>0.9</v>
      </c>
      <c r="U154">
        <v>0</v>
      </c>
      <c r="V154">
        <v>1</v>
      </c>
      <c r="W154">
        <v>0</v>
      </c>
      <c r="X154">
        <v>0</v>
      </c>
      <c r="Y154">
        <v>0</v>
      </c>
    </row>
    <row r="155" spans="1:25" x14ac:dyDescent="0.3">
      <c r="A155">
        <v>402400034</v>
      </c>
      <c r="B155" t="s">
        <v>765</v>
      </c>
      <c r="C155" t="s">
        <v>766</v>
      </c>
      <c r="D155" t="s">
        <v>879</v>
      </c>
      <c r="E155" s="26">
        <v>45442.424027777779</v>
      </c>
      <c r="F155" s="26">
        <v>45453.424027777779</v>
      </c>
      <c r="G155" s="51">
        <v>45922</v>
      </c>
      <c r="H155">
        <v>44777.05</v>
      </c>
      <c r="I155" t="s">
        <v>18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2</v>
      </c>
      <c r="T155">
        <v>0.9</v>
      </c>
      <c r="U155">
        <v>0</v>
      </c>
      <c r="V155">
        <v>1</v>
      </c>
      <c r="W155">
        <v>0</v>
      </c>
      <c r="X155">
        <v>0</v>
      </c>
      <c r="Y155">
        <v>0</v>
      </c>
    </row>
    <row r="156" spans="1:25" x14ac:dyDescent="0.3">
      <c r="A156">
        <v>402400038</v>
      </c>
      <c r="B156" t="s">
        <v>765</v>
      </c>
      <c r="C156" t="s">
        <v>766</v>
      </c>
      <c r="D156" t="s">
        <v>880</v>
      </c>
      <c r="E156" s="26">
        <v>45441.724594907406</v>
      </c>
      <c r="F156" s="26">
        <v>45453.724594907406</v>
      </c>
      <c r="G156" s="51">
        <v>45922</v>
      </c>
      <c r="H156">
        <v>45028.139999999985</v>
      </c>
      <c r="I156" t="s">
        <v>18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2</v>
      </c>
      <c r="T156">
        <v>0.9</v>
      </c>
      <c r="U156">
        <v>0</v>
      </c>
      <c r="V156">
        <v>1</v>
      </c>
      <c r="W156">
        <v>0</v>
      </c>
      <c r="X156">
        <v>0</v>
      </c>
      <c r="Y156">
        <v>0</v>
      </c>
    </row>
    <row r="157" spans="1:25" x14ac:dyDescent="0.3">
      <c r="A157">
        <v>402400048</v>
      </c>
      <c r="B157" t="s">
        <v>765</v>
      </c>
      <c r="C157" t="s">
        <v>766</v>
      </c>
      <c r="D157" t="s">
        <v>881</v>
      </c>
      <c r="E157" s="26">
        <v>45448.438807870371</v>
      </c>
      <c r="F157" s="26">
        <v>45461.438807870371</v>
      </c>
      <c r="G157" s="51">
        <v>45922</v>
      </c>
      <c r="H157">
        <v>44071.259999999987</v>
      </c>
      <c r="I157" t="s">
        <v>18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2</v>
      </c>
      <c r="T157">
        <v>0.9</v>
      </c>
      <c r="U157">
        <v>0</v>
      </c>
      <c r="V157">
        <v>1</v>
      </c>
      <c r="W157">
        <v>0</v>
      </c>
      <c r="X157">
        <v>0</v>
      </c>
      <c r="Y157">
        <v>0</v>
      </c>
    </row>
    <row r="158" spans="1:25" x14ac:dyDescent="0.3">
      <c r="A158">
        <v>402400053</v>
      </c>
      <c r="B158" t="s">
        <v>765</v>
      </c>
      <c r="C158" t="s">
        <v>766</v>
      </c>
      <c r="D158" t="s">
        <v>882</v>
      </c>
      <c r="E158" s="26">
        <v>45447.431192129632</v>
      </c>
      <c r="F158" s="26">
        <v>45462.431192129632</v>
      </c>
      <c r="G158" s="51">
        <v>45922</v>
      </c>
      <c r="H158">
        <v>44733.649999999987</v>
      </c>
      <c r="I158" t="s">
        <v>18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2</v>
      </c>
      <c r="T158">
        <v>0.9</v>
      </c>
      <c r="U158">
        <v>0</v>
      </c>
      <c r="V158">
        <v>1</v>
      </c>
      <c r="W158">
        <v>0</v>
      </c>
      <c r="X158">
        <v>0</v>
      </c>
      <c r="Y158">
        <v>0</v>
      </c>
    </row>
    <row r="159" spans="1:25" x14ac:dyDescent="0.3">
      <c r="A159">
        <v>402400050</v>
      </c>
      <c r="B159" t="s">
        <v>765</v>
      </c>
      <c r="C159" t="s">
        <v>766</v>
      </c>
      <c r="D159" t="s">
        <v>883</v>
      </c>
      <c r="E159" s="26">
        <v>45445.471192129633</v>
      </c>
      <c r="F159" s="26">
        <v>45461.471192129633</v>
      </c>
      <c r="G159" s="51">
        <v>45922</v>
      </c>
      <c r="H159">
        <v>44150.310000000005</v>
      </c>
      <c r="I159" t="s">
        <v>18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2</v>
      </c>
      <c r="T159">
        <v>0.9</v>
      </c>
      <c r="U159">
        <v>0</v>
      </c>
      <c r="V159">
        <v>1</v>
      </c>
      <c r="W159">
        <v>0</v>
      </c>
      <c r="X159">
        <v>0</v>
      </c>
      <c r="Y159">
        <v>0</v>
      </c>
    </row>
    <row r="160" spans="1:25" x14ac:dyDescent="0.3">
      <c r="A160">
        <v>402400033</v>
      </c>
      <c r="B160" t="s">
        <v>765</v>
      </c>
      <c r="C160" t="s">
        <v>766</v>
      </c>
      <c r="D160" t="s">
        <v>835</v>
      </c>
      <c r="E160" s="26">
        <v>45442.413981481484</v>
      </c>
      <c r="F160" s="26">
        <v>45453.413981481484</v>
      </c>
      <c r="G160" s="51">
        <v>45922</v>
      </c>
      <c r="H160">
        <v>44812.689999999995</v>
      </c>
      <c r="I160" t="s">
        <v>18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2</v>
      </c>
      <c r="T160">
        <v>0.9</v>
      </c>
      <c r="U160">
        <v>0</v>
      </c>
      <c r="V160">
        <v>1</v>
      </c>
      <c r="W160">
        <v>0</v>
      </c>
      <c r="X160">
        <v>0</v>
      </c>
      <c r="Y160">
        <v>0</v>
      </c>
    </row>
    <row r="161" spans="1:25" x14ac:dyDescent="0.3">
      <c r="A161">
        <v>402400049</v>
      </c>
      <c r="B161" t="s">
        <v>765</v>
      </c>
      <c r="C161" t="s">
        <v>766</v>
      </c>
      <c r="D161" t="s">
        <v>884</v>
      </c>
      <c r="E161" s="26">
        <v>45449.462060185186</v>
      </c>
      <c r="F161" s="26">
        <v>45461.462060185186</v>
      </c>
      <c r="G161" s="51">
        <v>45922</v>
      </c>
      <c r="H161">
        <v>44825.100000000006</v>
      </c>
      <c r="I161" t="s">
        <v>18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2</v>
      </c>
      <c r="T161">
        <v>0.9</v>
      </c>
      <c r="U161">
        <v>0</v>
      </c>
      <c r="V161">
        <v>1</v>
      </c>
      <c r="W161">
        <v>0</v>
      </c>
      <c r="X161">
        <v>0</v>
      </c>
      <c r="Y161">
        <v>0</v>
      </c>
    </row>
    <row r="162" spans="1:25" x14ac:dyDescent="0.3">
      <c r="A162">
        <v>402400055</v>
      </c>
      <c r="B162" t="s">
        <v>765</v>
      </c>
      <c r="C162" t="s">
        <v>766</v>
      </c>
      <c r="D162" t="s">
        <v>885</v>
      </c>
      <c r="E162" s="26">
        <v>45449.446493055555</v>
      </c>
      <c r="F162" s="26">
        <v>45462.446493055555</v>
      </c>
      <c r="G162" s="51">
        <v>45922</v>
      </c>
      <c r="H162">
        <v>44794.1</v>
      </c>
      <c r="I162" t="s">
        <v>18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2</v>
      </c>
      <c r="T162">
        <v>0.9</v>
      </c>
      <c r="U162">
        <v>0</v>
      </c>
      <c r="V162">
        <v>1</v>
      </c>
      <c r="W162">
        <v>0</v>
      </c>
      <c r="X162">
        <v>0</v>
      </c>
      <c r="Y162">
        <v>0</v>
      </c>
    </row>
    <row r="163" spans="1:25" x14ac:dyDescent="0.3">
      <c r="A163">
        <v>402400060</v>
      </c>
      <c r="B163" t="s">
        <v>765</v>
      </c>
      <c r="C163" t="s">
        <v>766</v>
      </c>
      <c r="D163" t="s">
        <v>767</v>
      </c>
      <c r="E163" s="26">
        <v>45450.663680555554</v>
      </c>
      <c r="F163" s="26">
        <v>45465.663680555554</v>
      </c>
      <c r="G163" s="51">
        <v>45922</v>
      </c>
      <c r="H163">
        <v>44956.849999999984</v>
      </c>
      <c r="I163" t="s">
        <v>18</v>
      </c>
      <c r="J163">
        <v>1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2</v>
      </c>
      <c r="T163">
        <v>0.9</v>
      </c>
      <c r="U163">
        <v>0</v>
      </c>
      <c r="V163">
        <v>1</v>
      </c>
      <c r="W163">
        <v>0</v>
      </c>
      <c r="X163">
        <v>0</v>
      </c>
      <c r="Y163">
        <v>0</v>
      </c>
    </row>
    <row r="164" spans="1:25" x14ac:dyDescent="0.3">
      <c r="A164">
        <v>502400015</v>
      </c>
      <c r="B164" t="s">
        <v>765</v>
      </c>
      <c r="C164" t="s">
        <v>803</v>
      </c>
      <c r="D164" t="s">
        <v>822</v>
      </c>
      <c r="E164" s="26">
        <v>45450.649687500001</v>
      </c>
      <c r="F164" s="26">
        <v>45461.649687500001</v>
      </c>
      <c r="G164" s="51">
        <v>45922</v>
      </c>
      <c r="H164">
        <v>45394.339999999982</v>
      </c>
      <c r="I164" t="s">
        <v>18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2</v>
      </c>
      <c r="T164">
        <v>0.9</v>
      </c>
      <c r="U164">
        <v>0</v>
      </c>
      <c r="V164">
        <v>1</v>
      </c>
      <c r="W164">
        <v>0</v>
      </c>
      <c r="X164">
        <v>0</v>
      </c>
      <c r="Y164">
        <v>0</v>
      </c>
    </row>
    <row r="165" spans="1:25" x14ac:dyDescent="0.3">
      <c r="A165">
        <v>402400056</v>
      </c>
      <c r="B165" t="s">
        <v>765</v>
      </c>
      <c r="C165" t="s">
        <v>766</v>
      </c>
      <c r="D165" t="s">
        <v>886</v>
      </c>
      <c r="E165" s="26">
        <v>45436.449259259258</v>
      </c>
      <c r="F165" s="26">
        <v>45448.449259259258</v>
      </c>
      <c r="G165" s="51">
        <v>45922</v>
      </c>
      <c r="H165">
        <v>44904.14999999998</v>
      </c>
      <c r="I165" t="s">
        <v>18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2</v>
      </c>
      <c r="T165">
        <v>0.9</v>
      </c>
      <c r="U165">
        <v>0</v>
      </c>
      <c r="V165">
        <v>1</v>
      </c>
      <c r="W165">
        <v>0</v>
      </c>
      <c r="X165">
        <v>0</v>
      </c>
      <c r="Y165">
        <v>0</v>
      </c>
    </row>
    <row r="166" spans="1:25" x14ac:dyDescent="0.3">
      <c r="A166">
        <v>402400047</v>
      </c>
      <c r="B166" t="s">
        <v>765</v>
      </c>
      <c r="C166" t="s">
        <v>766</v>
      </c>
      <c r="D166" t="s">
        <v>887</v>
      </c>
      <c r="E166" s="26">
        <v>45448.418865740743</v>
      </c>
      <c r="F166" s="26">
        <v>45461.418865740743</v>
      </c>
      <c r="G166" s="51">
        <v>45922</v>
      </c>
      <c r="H166">
        <v>46755.840000000004</v>
      </c>
      <c r="I166" t="s">
        <v>18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2</v>
      </c>
      <c r="T166">
        <v>0.9</v>
      </c>
      <c r="U166">
        <v>0</v>
      </c>
      <c r="V166">
        <v>1</v>
      </c>
      <c r="W166">
        <v>0</v>
      </c>
      <c r="X166">
        <v>0</v>
      </c>
      <c r="Y166">
        <v>0</v>
      </c>
    </row>
    <row r="167" spans="1:25" x14ac:dyDescent="0.3">
      <c r="A167">
        <v>402400058</v>
      </c>
      <c r="B167" t="s">
        <v>765</v>
      </c>
      <c r="C167" t="s">
        <v>766</v>
      </c>
      <c r="D167" t="s">
        <v>888</v>
      </c>
      <c r="E167" s="26">
        <v>45447.599374999998</v>
      </c>
      <c r="F167" s="26">
        <v>45462.599374999998</v>
      </c>
      <c r="G167" s="51">
        <v>45922</v>
      </c>
      <c r="H167">
        <v>43543.839999999989</v>
      </c>
      <c r="I167" t="s">
        <v>18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2</v>
      </c>
      <c r="T167">
        <v>0.9</v>
      </c>
      <c r="U167">
        <v>0</v>
      </c>
      <c r="V167">
        <v>1</v>
      </c>
      <c r="W167">
        <v>0</v>
      </c>
      <c r="X167">
        <v>0</v>
      </c>
      <c r="Y167">
        <v>0</v>
      </c>
    </row>
    <row r="168" spans="1:25" x14ac:dyDescent="0.3">
      <c r="A168">
        <v>402400045</v>
      </c>
      <c r="B168" t="s">
        <v>765</v>
      </c>
      <c r="C168" t="s">
        <v>766</v>
      </c>
      <c r="D168" t="s">
        <v>825</v>
      </c>
      <c r="E168" s="26">
        <v>45440.438078703701</v>
      </c>
      <c r="F168" s="26">
        <v>45456.438078703701</v>
      </c>
      <c r="G168" s="51">
        <v>45922</v>
      </c>
      <c r="H168">
        <v>46779.090000000004</v>
      </c>
      <c r="I168" t="s">
        <v>18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2</v>
      </c>
      <c r="T168">
        <v>0.9</v>
      </c>
      <c r="U168">
        <v>0</v>
      </c>
      <c r="V168">
        <v>1</v>
      </c>
      <c r="W168">
        <v>0</v>
      </c>
      <c r="X168">
        <v>0</v>
      </c>
      <c r="Y168">
        <v>0</v>
      </c>
    </row>
    <row r="169" spans="1:25" x14ac:dyDescent="0.3">
      <c r="A169">
        <v>402400044</v>
      </c>
      <c r="B169" t="s">
        <v>765</v>
      </c>
      <c r="C169" t="s">
        <v>766</v>
      </c>
      <c r="D169" t="s">
        <v>889</v>
      </c>
      <c r="E169" s="26">
        <v>45443.440428240741</v>
      </c>
      <c r="F169" s="26">
        <v>45454.440428240741</v>
      </c>
      <c r="G169" s="51">
        <v>45922</v>
      </c>
      <c r="H169">
        <v>46648.890000000007</v>
      </c>
      <c r="I169" t="s">
        <v>18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2</v>
      </c>
      <c r="T169">
        <v>0.9</v>
      </c>
      <c r="U169">
        <v>0</v>
      </c>
      <c r="V169">
        <v>1</v>
      </c>
      <c r="W169">
        <v>0</v>
      </c>
      <c r="X169">
        <v>0</v>
      </c>
      <c r="Y169">
        <v>0</v>
      </c>
    </row>
    <row r="170" spans="1:25" x14ac:dyDescent="0.3">
      <c r="A170">
        <v>402400075</v>
      </c>
      <c r="B170" t="s">
        <v>765</v>
      </c>
      <c r="C170" t="s">
        <v>766</v>
      </c>
      <c r="D170" t="s">
        <v>825</v>
      </c>
      <c r="E170" s="26">
        <v>45456.660740740743</v>
      </c>
      <c r="F170" s="26">
        <v>45468.660740740743</v>
      </c>
      <c r="G170" s="51">
        <v>45922</v>
      </c>
      <c r="H170">
        <v>43577.94000000001</v>
      </c>
      <c r="I170" t="s">
        <v>18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2</v>
      </c>
      <c r="T170">
        <v>0.9</v>
      </c>
      <c r="U170">
        <v>0</v>
      </c>
      <c r="V170">
        <v>1</v>
      </c>
      <c r="W170">
        <v>0</v>
      </c>
      <c r="X170">
        <v>0</v>
      </c>
      <c r="Y170">
        <v>0</v>
      </c>
    </row>
    <row r="171" spans="1:25" x14ac:dyDescent="0.3">
      <c r="A171">
        <v>402400074</v>
      </c>
      <c r="B171" t="s">
        <v>765</v>
      </c>
      <c r="C171" t="s">
        <v>766</v>
      </c>
      <c r="D171" t="s">
        <v>825</v>
      </c>
      <c r="E171" s="26">
        <v>45455.651041666664</v>
      </c>
      <c r="F171" s="26">
        <v>45468.651041666664</v>
      </c>
      <c r="G171" s="51">
        <v>45922</v>
      </c>
      <c r="H171">
        <v>44806.499999999985</v>
      </c>
      <c r="I171" t="s">
        <v>18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2</v>
      </c>
      <c r="T171">
        <v>0.9</v>
      </c>
      <c r="U171">
        <v>0</v>
      </c>
      <c r="V171">
        <v>1</v>
      </c>
      <c r="W171">
        <v>0</v>
      </c>
      <c r="X171">
        <v>0</v>
      </c>
      <c r="Y171">
        <v>0</v>
      </c>
    </row>
    <row r="172" spans="1:25" x14ac:dyDescent="0.3">
      <c r="A172">
        <v>402400078</v>
      </c>
      <c r="B172" t="s">
        <v>765</v>
      </c>
      <c r="C172" t="s">
        <v>766</v>
      </c>
      <c r="D172" t="s">
        <v>890</v>
      </c>
      <c r="E172" s="26">
        <v>45453.714930555558</v>
      </c>
      <c r="F172" s="26">
        <v>45468.714930555558</v>
      </c>
      <c r="G172" s="51">
        <v>45922</v>
      </c>
      <c r="H172">
        <v>44735.189999999995</v>
      </c>
      <c r="I172" t="s">
        <v>18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2</v>
      </c>
      <c r="T172">
        <v>0.9</v>
      </c>
      <c r="U172">
        <v>0</v>
      </c>
      <c r="V172">
        <v>1</v>
      </c>
      <c r="W172">
        <v>0</v>
      </c>
      <c r="X172">
        <v>0</v>
      </c>
      <c r="Y172">
        <v>0</v>
      </c>
    </row>
    <row r="173" spans="1:25" x14ac:dyDescent="0.3">
      <c r="A173">
        <v>402400072</v>
      </c>
      <c r="B173" t="s">
        <v>765</v>
      </c>
      <c r="C173" t="s">
        <v>766</v>
      </c>
      <c r="D173" t="s">
        <v>830</v>
      </c>
      <c r="E173" s="26">
        <v>45457.606585648151</v>
      </c>
      <c r="F173" s="26">
        <v>45468.606585648151</v>
      </c>
      <c r="G173" s="51">
        <v>45922</v>
      </c>
      <c r="H173">
        <v>44790.999999999993</v>
      </c>
      <c r="I173" t="s">
        <v>18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2</v>
      </c>
      <c r="T173">
        <v>0.9</v>
      </c>
      <c r="U173">
        <v>0</v>
      </c>
      <c r="V173">
        <v>1</v>
      </c>
      <c r="W173">
        <v>0</v>
      </c>
      <c r="X173">
        <v>0</v>
      </c>
      <c r="Y173">
        <v>0</v>
      </c>
    </row>
    <row r="174" spans="1:25" x14ac:dyDescent="0.3">
      <c r="A174">
        <v>402400085</v>
      </c>
      <c r="B174" t="s">
        <v>765</v>
      </c>
      <c r="C174" t="s">
        <v>766</v>
      </c>
      <c r="D174" t="s">
        <v>891</v>
      </c>
      <c r="E174" s="26">
        <v>45456.409050925926</v>
      </c>
      <c r="F174" s="26">
        <v>45468.409050925926</v>
      </c>
      <c r="G174" s="51">
        <v>45922</v>
      </c>
      <c r="H174">
        <v>46741.890000000007</v>
      </c>
      <c r="I174" t="s">
        <v>18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2</v>
      </c>
      <c r="T174">
        <v>0.9</v>
      </c>
      <c r="U174">
        <v>0</v>
      </c>
      <c r="V174">
        <v>1</v>
      </c>
      <c r="W174">
        <v>0</v>
      </c>
      <c r="X174">
        <v>0</v>
      </c>
      <c r="Y174">
        <v>0</v>
      </c>
    </row>
    <row r="175" spans="1:25" x14ac:dyDescent="0.3">
      <c r="A175">
        <v>402400070</v>
      </c>
      <c r="B175" t="s">
        <v>765</v>
      </c>
      <c r="C175" t="s">
        <v>766</v>
      </c>
      <c r="D175" t="s">
        <v>892</v>
      </c>
      <c r="E175" s="26">
        <v>45454.676932870374</v>
      </c>
      <c r="F175" s="26">
        <v>45467.676932870374</v>
      </c>
      <c r="G175" s="51">
        <v>45922</v>
      </c>
      <c r="H175">
        <v>44811.14</v>
      </c>
      <c r="I175" t="s">
        <v>18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2</v>
      </c>
      <c r="T175">
        <v>0.9</v>
      </c>
      <c r="U175">
        <v>0</v>
      </c>
      <c r="V175">
        <v>1</v>
      </c>
      <c r="W175">
        <v>0</v>
      </c>
      <c r="X175">
        <v>0</v>
      </c>
      <c r="Y175">
        <v>0</v>
      </c>
    </row>
    <row r="176" spans="1:25" x14ac:dyDescent="0.3">
      <c r="A176">
        <v>402400084</v>
      </c>
      <c r="B176" t="s">
        <v>765</v>
      </c>
      <c r="C176" t="s">
        <v>766</v>
      </c>
      <c r="D176" t="s">
        <v>813</v>
      </c>
      <c r="E176" s="26">
        <v>45453.403379629628</v>
      </c>
      <c r="F176" s="26">
        <v>45468.403379629628</v>
      </c>
      <c r="G176" s="51">
        <v>45922</v>
      </c>
      <c r="H176">
        <v>46738.799999999996</v>
      </c>
      <c r="I176" t="s">
        <v>18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2</v>
      </c>
      <c r="T176">
        <v>0.9</v>
      </c>
      <c r="U176">
        <v>0</v>
      </c>
      <c r="V176">
        <v>1</v>
      </c>
      <c r="W176">
        <v>0</v>
      </c>
      <c r="X176">
        <v>0</v>
      </c>
      <c r="Y176">
        <v>0</v>
      </c>
    </row>
    <row r="177" spans="1:25" x14ac:dyDescent="0.3">
      <c r="A177">
        <v>402400062</v>
      </c>
      <c r="B177" t="s">
        <v>765</v>
      </c>
      <c r="C177" t="s">
        <v>766</v>
      </c>
      <c r="D177" t="s">
        <v>893</v>
      </c>
      <c r="E177" s="26">
        <v>45449.688217592593</v>
      </c>
      <c r="F177" s="26">
        <v>45465.688217592593</v>
      </c>
      <c r="G177" s="51">
        <v>45922</v>
      </c>
      <c r="H177">
        <v>43627.549999999996</v>
      </c>
      <c r="I177" t="s">
        <v>18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2</v>
      </c>
      <c r="T177">
        <v>0.9</v>
      </c>
      <c r="U177">
        <v>0</v>
      </c>
      <c r="V177">
        <v>1</v>
      </c>
      <c r="W177">
        <v>0</v>
      </c>
      <c r="X177">
        <v>0</v>
      </c>
      <c r="Y177">
        <v>0</v>
      </c>
    </row>
    <row r="178" spans="1:25" x14ac:dyDescent="0.3">
      <c r="A178">
        <v>402400066</v>
      </c>
      <c r="B178" t="s">
        <v>765</v>
      </c>
      <c r="C178" t="s">
        <v>766</v>
      </c>
      <c r="D178" t="s">
        <v>894</v>
      </c>
      <c r="E178" s="26">
        <v>45456.381840277776</v>
      </c>
      <c r="F178" s="26">
        <v>45467.381840277776</v>
      </c>
      <c r="G178" s="51">
        <v>45922</v>
      </c>
      <c r="H178">
        <v>43979.809999999983</v>
      </c>
      <c r="I178" t="s">
        <v>18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2</v>
      </c>
      <c r="T178">
        <v>0.9</v>
      </c>
      <c r="U178">
        <v>0</v>
      </c>
      <c r="V178">
        <v>1</v>
      </c>
      <c r="W178">
        <v>0</v>
      </c>
      <c r="X178">
        <v>0</v>
      </c>
      <c r="Y178">
        <v>0</v>
      </c>
    </row>
    <row r="179" spans="1:25" x14ac:dyDescent="0.3">
      <c r="A179">
        <v>402400069</v>
      </c>
      <c r="B179" t="s">
        <v>765</v>
      </c>
      <c r="C179" t="s">
        <v>766</v>
      </c>
      <c r="D179" t="s">
        <v>895</v>
      </c>
      <c r="E179" s="26">
        <v>45455.658518518518</v>
      </c>
      <c r="F179" s="26">
        <v>45467.658518518518</v>
      </c>
      <c r="G179" s="51">
        <v>45922</v>
      </c>
      <c r="H179">
        <v>44808.05</v>
      </c>
      <c r="I179" t="s">
        <v>18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2</v>
      </c>
      <c r="T179">
        <v>0.9</v>
      </c>
      <c r="U179">
        <v>0</v>
      </c>
      <c r="V179">
        <v>1</v>
      </c>
      <c r="W179">
        <v>0</v>
      </c>
      <c r="X179">
        <v>0</v>
      </c>
      <c r="Y179">
        <v>0</v>
      </c>
    </row>
    <row r="180" spans="1:25" x14ac:dyDescent="0.3">
      <c r="A180">
        <v>402400064</v>
      </c>
      <c r="B180" t="s">
        <v>765</v>
      </c>
      <c r="C180" t="s">
        <v>766</v>
      </c>
      <c r="D180" t="s">
        <v>896</v>
      </c>
      <c r="E180" s="26">
        <v>45454.357893518521</v>
      </c>
      <c r="F180" s="26">
        <v>45467.357893518521</v>
      </c>
      <c r="G180" s="51">
        <v>45922</v>
      </c>
      <c r="H180">
        <v>44891.74</v>
      </c>
      <c r="I180" t="s">
        <v>18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2</v>
      </c>
      <c r="T180">
        <v>0.9</v>
      </c>
      <c r="U180">
        <v>0</v>
      </c>
      <c r="V180">
        <v>1</v>
      </c>
      <c r="W180">
        <v>0</v>
      </c>
      <c r="X180">
        <v>0</v>
      </c>
      <c r="Y180">
        <v>0</v>
      </c>
    </row>
    <row r="181" spans="1:25" x14ac:dyDescent="0.3">
      <c r="A181">
        <v>402400061</v>
      </c>
      <c r="B181" t="s">
        <v>765</v>
      </c>
      <c r="C181" t="s">
        <v>766</v>
      </c>
      <c r="D181" t="s">
        <v>834</v>
      </c>
      <c r="E181" s="26">
        <v>45450.677314814813</v>
      </c>
      <c r="F181" s="26">
        <v>45465.677314814813</v>
      </c>
      <c r="G181" s="51">
        <v>45922</v>
      </c>
      <c r="H181">
        <v>44085.22</v>
      </c>
      <c r="I181" t="s">
        <v>18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2</v>
      </c>
      <c r="T181">
        <v>0.9</v>
      </c>
      <c r="U181">
        <v>0</v>
      </c>
      <c r="V181">
        <v>1</v>
      </c>
      <c r="W181">
        <v>0</v>
      </c>
      <c r="X181">
        <v>0</v>
      </c>
      <c r="Y181">
        <v>0</v>
      </c>
    </row>
    <row r="182" spans="1:25" x14ac:dyDescent="0.3">
      <c r="A182">
        <v>402400087</v>
      </c>
      <c r="B182" t="s">
        <v>765</v>
      </c>
      <c r="C182" t="s">
        <v>766</v>
      </c>
      <c r="D182" t="s">
        <v>897</v>
      </c>
      <c r="E182" s="26">
        <v>45457.438159722224</v>
      </c>
      <c r="F182" s="26">
        <v>45468.438159722224</v>
      </c>
      <c r="G182" s="51">
        <v>45922</v>
      </c>
      <c r="H182">
        <v>46803.889999999992</v>
      </c>
      <c r="I182" t="s">
        <v>18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2</v>
      </c>
      <c r="T182">
        <v>0.9</v>
      </c>
      <c r="U182">
        <v>0</v>
      </c>
      <c r="V182">
        <v>1</v>
      </c>
      <c r="W182">
        <v>0</v>
      </c>
      <c r="X182">
        <v>0</v>
      </c>
      <c r="Y182">
        <v>0</v>
      </c>
    </row>
    <row r="183" spans="1:25" x14ac:dyDescent="0.3">
      <c r="A183">
        <v>402400065</v>
      </c>
      <c r="B183" t="s">
        <v>765</v>
      </c>
      <c r="C183" t="s">
        <v>766</v>
      </c>
      <c r="D183" t="s">
        <v>898</v>
      </c>
      <c r="E183" s="26">
        <v>45455.371481481481</v>
      </c>
      <c r="F183" s="26">
        <v>45467.371481481481</v>
      </c>
      <c r="G183" s="51">
        <v>45922</v>
      </c>
      <c r="H183">
        <v>44803.39</v>
      </c>
      <c r="I183" t="s">
        <v>18</v>
      </c>
      <c r="J183">
        <v>1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2</v>
      </c>
      <c r="T183">
        <v>0.9</v>
      </c>
      <c r="U183">
        <v>0</v>
      </c>
      <c r="V183">
        <v>1</v>
      </c>
      <c r="W183">
        <v>0</v>
      </c>
      <c r="X183">
        <v>0</v>
      </c>
      <c r="Y183">
        <v>0</v>
      </c>
    </row>
    <row r="184" spans="1:25" x14ac:dyDescent="0.3">
      <c r="A184">
        <v>402400090</v>
      </c>
      <c r="B184" t="s">
        <v>765</v>
      </c>
      <c r="C184" t="s">
        <v>766</v>
      </c>
      <c r="D184" t="s">
        <v>899</v>
      </c>
      <c r="E184" s="26">
        <v>45455.466145833336</v>
      </c>
      <c r="F184" s="26">
        <v>45468.466145833336</v>
      </c>
      <c r="G184" s="51">
        <v>45922</v>
      </c>
      <c r="H184">
        <v>46774.450000000012</v>
      </c>
      <c r="I184" t="s">
        <v>18</v>
      </c>
      <c r="J184">
        <v>1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</v>
      </c>
      <c r="S184">
        <v>2</v>
      </c>
      <c r="T184">
        <v>0.9</v>
      </c>
      <c r="U184">
        <v>0</v>
      </c>
      <c r="V184">
        <v>1</v>
      </c>
      <c r="W184">
        <v>0</v>
      </c>
      <c r="X184">
        <v>0</v>
      </c>
      <c r="Y184">
        <v>0</v>
      </c>
    </row>
    <row r="185" spans="1:25" x14ac:dyDescent="0.3">
      <c r="A185">
        <v>402400088</v>
      </c>
      <c r="B185" t="s">
        <v>765</v>
      </c>
      <c r="C185" t="s">
        <v>766</v>
      </c>
      <c r="D185" t="s">
        <v>896</v>
      </c>
      <c r="E185" s="26">
        <v>45453.446770833332</v>
      </c>
      <c r="F185" s="26">
        <v>45468.446770833332</v>
      </c>
      <c r="G185" s="51">
        <v>45922</v>
      </c>
      <c r="H185">
        <v>45566.050000000017</v>
      </c>
      <c r="I185" t="s">
        <v>18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2</v>
      </c>
      <c r="T185">
        <v>0.9</v>
      </c>
      <c r="U185">
        <v>0</v>
      </c>
      <c r="V185">
        <v>1</v>
      </c>
      <c r="W185">
        <v>0</v>
      </c>
      <c r="X185">
        <v>0</v>
      </c>
      <c r="Y185">
        <v>0</v>
      </c>
    </row>
    <row r="186" spans="1:25" x14ac:dyDescent="0.3">
      <c r="A186">
        <v>402400089</v>
      </c>
      <c r="B186" t="s">
        <v>765</v>
      </c>
      <c r="C186" t="s">
        <v>766</v>
      </c>
      <c r="D186" t="s">
        <v>883</v>
      </c>
      <c r="E186" s="26">
        <v>45452.451840277776</v>
      </c>
      <c r="F186" s="26">
        <v>45468.451840277776</v>
      </c>
      <c r="G186" s="51">
        <v>45922</v>
      </c>
      <c r="H186">
        <v>46749.639999999992</v>
      </c>
      <c r="I186" t="s">
        <v>18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2</v>
      </c>
      <c r="T186">
        <v>0.9</v>
      </c>
      <c r="U186">
        <v>0</v>
      </c>
      <c r="V186">
        <v>1</v>
      </c>
      <c r="W186">
        <v>0</v>
      </c>
      <c r="X186">
        <v>0</v>
      </c>
      <c r="Y186">
        <v>0</v>
      </c>
    </row>
    <row r="187" spans="1:25" x14ac:dyDescent="0.3">
      <c r="A187">
        <v>402400086</v>
      </c>
      <c r="B187" t="s">
        <v>765</v>
      </c>
      <c r="C187" t="s">
        <v>766</v>
      </c>
      <c r="D187" t="s">
        <v>900</v>
      </c>
      <c r="E187" s="26">
        <v>45457.41479166667</v>
      </c>
      <c r="F187" s="26">
        <v>45468.41479166667</v>
      </c>
      <c r="G187" s="51">
        <v>45922</v>
      </c>
      <c r="H187">
        <v>46710.899999999987</v>
      </c>
      <c r="I187" t="s">
        <v>18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2</v>
      </c>
      <c r="T187">
        <v>0.9</v>
      </c>
      <c r="U187">
        <v>0</v>
      </c>
      <c r="V187">
        <v>1</v>
      </c>
      <c r="W187">
        <v>0</v>
      </c>
      <c r="X187">
        <v>0</v>
      </c>
      <c r="Y187">
        <v>0</v>
      </c>
    </row>
    <row r="188" spans="1:25" x14ac:dyDescent="0.3">
      <c r="A188">
        <v>402400073</v>
      </c>
      <c r="B188" t="s">
        <v>765</v>
      </c>
      <c r="C188" t="s">
        <v>766</v>
      </c>
      <c r="D188" t="s">
        <v>901</v>
      </c>
      <c r="E188" s="26">
        <v>45456.634502314817</v>
      </c>
      <c r="F188" s="26">
        <v>45468.634502314817</v>
      </c>
      <c r="G188" s="51">
        <v>45922</v>
      </c>
      <c r="H188">
        <v>44825.099999999991</v>
      </c>
      <c r="I188" t="s">
        <v>18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2</v>
      </c>
      <c r="T188">
        <v>0.9</v>
      </c>
      <c r="U188">
        <v>0</v>
      </c>
      <c r="V188">
        <v>1</v>
      </c>
      <c r="W188">
        <v>0</v>
      </c>
      <c r="X188">
        <v>0</v>
      </c>
      <c r="Y188">
        <v>0</v>
      </c>
    </row>
    <row r="189" spans="1:25" x14ac:dyDescent="0.3">
      <c r="A189">
        <v>402400079</v>
      </c>
      <c r="B189" t="s">
        <v>765</v>
      </c>
      <c r="C189" t="s">
        <v>766</v>
      </c>
      <c r="D189" t="s">
        <v>825</v>
      </c>
      <c r="E189" s="26">
        <v>45455.724004629628</v>
      </c>
      <c r="F189" s="26">
        <v>45468.724004629628</v>
      </c>
      <c r="G189" s="51">
        <v>45922</v>
      </c>
      <c r="H189">
        <v>43979.80999999999</v>
      </c>
      <c r="I189" t="s">
        <v>18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2</v>
      </c>
      <c r="T189">
        <v>0.9</v>
      </c>
      <c r="U189">
        <v>0</v>
      </c>
      <c r="V189">
        <v>1</v>
      </c>
      <c r="W189">
        <v>0</v>
      </c>
      <c r="X189">
        <v>0</v>
      </c>
      <c r="Y189">
        <v>0</v>
      </c>
    </row>
    <row r="190" spans="1:25" x14ac:dyDescent="0.3">
      <c r="A190">
        <v>402400080</v>
      </c>
      <c r="B190" t="s">
        <v>765</v>
      </c>
      <c r="C190" t="s">
        <v>766</v>
      </c>
      <c r="D190" t="s">
        <v>902</v>
      </c>
      <c r="E190" s="26">
        <v>45453.729791666665</v>
      </c>
      <c r="F190" s="26">
        <v>45468.729791666665</v>
      </c>
      <c r="G190" s="51">
        <v>45922</v>
      </c>
      <c r="H190">
        <v>46791.49</v>
      </c>
      <c r="I190" t="s">
        <v>18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0.9</v>
      </c>
      <c r="U190">
        <v>0</v>
      </c>
      <c r="V190">
        <v>1</v>
      </c>
      <c r="W190">
        <v>0</v>
      </c>
      <c r="X190">
        <v>0</v>
      </c>
      <c r="Y190">
        <v>0</v>
      </c>
    </row>
    <row r="191" spans="1:25" x14ac:dyDescent="0.3">
      <c r="A191">
        <v>402400082</v>
      </c>
      <c r="B191" t="s">
        <v>765</v>
      </c>
      <c r="C191" t="s">
        <v>766</v>
      </c>
      <c r="D191" t="s">
        <v>903</v>
      </c>
      <c r="E191" s="26">
        <v>45457.39340277778</v>
      </c>
      <c r="F191" s="26">
        <v>45468.39340277778</v>
      </c>
      <c r="G191" s="51">
        <v>45922</v>
      </c>
      <c r="H191">
        <v>46735.69</v>
      </c>
      <c r="I191" t="s">
        <v>18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2</v>
      </c>
      <c r="T191">
        <v>0.9</v>
      </c>
      <c r="U191">
        <v>0</v>
      </c>
      <c r="V191">
        <v>1</v>
      </c>
      <c r="W191">
        <v>0</v>
      </c>
      <c r="X191">
        <v>0</v>
      </c>
      <c r="Y191">
        <v>0</v>
      </c>
    </row>
    <row r="192" spans="1:25" x14ac:dyDescent="0.3">
      <c r="A192">
        <v>402400083</v>
      </c>
      <c r="B192" t="s">
        <v>765</v>
      </c>
      <c r="C192" t="s">
        <v>766</v>
      </c>
      <c r="D192" t="s">
        <v>904</v>
      </c>
      <c r="E192" s="26">
        <v>45456.398530092592</v>
      </c>
      <c r="F192" s="26">
        <v>45468.398530092592</v>
      </c>
      <c r="G192" s="51">
        <v>45922</v>
      </c>
      <c r="H192">
        <v>45494.740000000013</v>
      </c>
      <c r="I192" t="s">
        <v>18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2</v>
      </c>
      <c r="T192">
        <v>0.9</v>
      </c>
      <c r="U192">
        <v>0</v>
      </c>
      <c r="V192">
        <v>1</v>
      </c>
      <c r="W192">
        <v>0</v>
      </c>
      <c r="X192">
        <v>0</v>
      </c>
      <c r="Y192">
        <v>0</v>
      </c>
    </row>
    <row r="193" spans="1:25" x14ac:dyDescent="0.3">
      <c r="A193">
        <v>402400081</v>
      </c>
      <c r="B193" t="s">
        <v>765</v>
      </c>
      <c r="C193" t="s">
        <v>766</v>
      </c>
      <c r="D193" t="s">
        <v>903</v>
      </c>
      <c r="E193" s="26">
        <v>45455.737928240742</v>
      </c>
      <c r="F193" s="26">
        <v>45468.737928240742</v>
      </c>
      <c r="G193" s="51">
        <v>45922</v>
      </c>
      <c r="H193">
        <v>46732.59</v>
      </c>
      <c r="I193" t="s">
        <v>18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</v>
      </c>
      <c r="S193">
        <v>2</v>
      </c>
      <c r="T193">
        <v>0.9</v>
      </c>
      <c r="U193">
        <v>0</v>
      </c>
      <c r="V193">
        <v>1</v>
      </c>
      <c r="W193">
        <v>0</v>
      </c>
      <c r="X193">
        <v>0</v>
      </c>
      <c r="Y193">
        <v>0</v>
      </c>
    </row>
    <row r="194" spans="1:25" x14ac:dyDescent="0.3">
      <c r="A194">
        <v>402400077</v>
      </c>
      <c r="B194" t="s">
        <v>765</v>
      </c>
      <c r="C194" t="s">
        <v>766</v>
      </c>
      <c r="D194" t="s">
        <v>905</v>
      </c>
      <c r="E194" s="26">
        <v>45453.702627314815</v>
      </c>
      <c r="F194" s="26">
        <v>45468.702627314815</v>
      </c>
      <c r="G194" s="51">
        <v>45922</v>
      </c>
      <c r="H194">
        <v>44823.549999999988</v>
      </c>
      <c r="I194" t="s">
        <v>18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0.9</v>
      </c>
      <c r="U194">
        <v>0</v>
      </c>
      <c r="V194">
        <v>1</v>
      </c>
      <c r="W194">
        <v>0</v>
      </c>
      <c r="X194">
        <v>0</v>
      </c>
      <c r="Y194">
        <v>0</v>
      </c>
    </row>
    <row r="195" spans="1:25" x14ac:dyDescent="0.3">
      <c r="A195">
        <v>402400039</v>
      </c>
      <c r="B195" t="s">
        <v>765</v>
      </c>
      <c r="C195" t="s">
        <v>766</v>
      </c>
      <c r="D195" t="s">
        <v>906</v>
      </c>
      <c r="E195" s="26">
        <v>45438.34107638889</v>
      </c>
      <c r="F195" s="26">
        <v>45454.34107638889</v>
      </c>
      <c r="G195" s="51">
        <v>45922</v>
      </c>
      <c r="H195">
        <v>44024.76</v>
      </c>
      <c r="I195" t="s">
        <v>18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2</v>
      </c>
      <c r="T195">
        <v>0.9</v>
      </c>
      <c r="U195">
        <v>0</v>
      </c>
      <c r="V195">
        <v>1</v>
      </c>
      <c r="W195">
        <v>0</v>
      </c>
      <c r="X195">
        <v>0</v>
      </c>
      <c r="Y195">
        <v>0</v>
      </c>
    </row>
    <row r="196" spans="1:25" x14ac:dyDescent="0.3">
      <c r="A196">
        <v>402400076</v>
      </c>
      <c r="B196" t="s">
        <v>765</v>
      </c>
      <c r="C196" t="s">
        <v>766</v>
      </c>
      <c r="D196" t="s">
        <v>907</v>
      </c>
      <c r="E196" s="26">
        <v>45457.694895833331</v>
      </c>
      <c r="F196" s="26">
        <v>45468.694895833331</v>
      </c>
      <c r="G196" s="51">
        <v>45922</v>
      </c>
      <c r="H196">
        <v>44054.209999999985</v>
      </c>
      <c r="I196" t="s">
        <v>18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2</v>
      </c>
      <c r="T196">
        <v>0.9</v>
      </c>
      <c r="U196">
        <v>0</v>
      </c>
      <c r="V196">
        <v>1</v>
      </c>
      <c r="W196">
        <v>0</v>
      </c>
      <c r="X196">
        <v>0</v>
      </c>
      <c r="Y196">
        <v>0</v>
      </c>
    </row>
    <row r="197" spans="1:25" x14ac:dyDescent="0.3">
      <c r="A197">
        <v>402400067</v>
      </c>
      <c r="B197" t="s">
        <v>765</v>
      </c>
      <c r="C197" t="s">
        <v>766</v>
      </c>
      <c r="D197" t="s">
        <v>908</v>
      </c>
      <c r="E197" s="26">
        <v>45455.600960648146</v>
      </c>
      <c r="F197" s="26">
        <v>45467.600960648146</v>
      </c>
      <c r="G197" s="51">
        <v>45922</v>
      </c>
      <c r="H197">
        <v>44795.649999999994</v>
      </c>
      <c r="I197" t="s">
        <v>18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2</v>
      </c>
      <c r="T197">
        <v>0.9</v>
      </c>
      <c r="U197">
        <v>0</v>
      </c>
      <c r="V197">
        <v>1</v>
      </c>
      <c r="W197">
        <v>0</v>
      </c>
      <c r="X197">
        <v>0</v>
      </c>
      <c r="Y197">
        <v>0</v>
      </c>
    </row>
    <row r="198" spans="1:25" x14ac:dyDescent="0.3">
      <c r="A198">
        <v>402400071</v>
      </c>
      <c r="B198" t="s">
        <v>765</v>
      </c>
      <c r="C198" t="s">
        <v>766</v>
      </c>
      <c r="D198" t="s">
        <v>909</v>
      </c>
      <c r="E198" s="26">
        <v>45454.706157407411</v>
      </c>
      <c r="F198" s="26">
        <v>45467.706157407411</v>
      </c>
      <c r="G198" s="51">
        <v>45922</v>
      </c>
      <c r="H198">
        <v>43574.839999999989</v>
      </c>
      <c r="I198" t="s">
        <v>18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2</v>
      </c>
      <c r="T198">
        <v>0.9</v>
      </c>
      <c r="U198">
        <v>0</v>
      </c>
      <c r="V198">
        <v>1</v>
      </c>
      <c r="W198">
        <v>0</v>
      </c>
      <c r="X198">
        <v>0</v>
      </c>
      <c r="Y198">
        <v>0</v>
      </c>
    </row>
    <row r="199" spans="1:25" x14ac:dyDescent="0.3">
      <c r="A199">
        <v>402400063</v>
      </c>
      <c r="B199" t="s">
        <v>765</v>
      </c>
      <c r="C199" t="s">
        <v>766</v>
      </c>
      <c r="D199" t="s">
        <v>896</v>
      </c>
      <c r="E199" s="26">
        <v>45450.695486111108</v>
      </c>
      <c r="F199" s="26">
        <v>45465.695486111108</v>
      </c>
      <c r="G199" s="51">
        <v>45922</v>
      </c>
      <c r="H199">
        <v>45580.479999999981</v>
      </c>
      <c r="I199" t="s">
        <v>18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2</v>
      </c>
      <c r="T199">
        <v>0.9</v>
      </c>
      <c r="U199">
        <v>0</v>
      </c>
      <c r="V199">
        <v>1</v>
      </c>
      <c r="W199">
        <v>0</v>
      </c>
      <c r="X199">
        <v>0</v>
      </c>
      <c r="Y199">
        <v>0</v>
      </c>
    </row>
    <row r="200" spans="1:25" x14ac:dyDescent="0.3">
      <c r="A200">
        <v>402400068</v>
      </c>
      <c r="B200" t="s">
        <v>765</v>
      </c>
      <c r="C200" t="s">
        <v>766</v>
      </c>
      <c r="D200" t="s">
        <v>910</v>
      </c>
      <c r="E200" s="26">
        <v>45456.630150462966</v>
      </c>
      <c r="F200" s="26">
        <v>45467.630150462966</v>
      </c>
      <c r="G200" s="51">
        <v>45922</v>
      </c>
      <c r="H200">
        <v>44738.289999999986</v>
      </c>
      <c r="I200" t="s">
        <v>18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2</v>
      </c>
      <c r="T200">
        <v>0.9</v>
      </c>
      <c r="U200">
        <v>0</v>
      </c>
      <c r="V200">
        <v>1</v>
      </c>
      <c r="W200">
        <v>0</v>
      </c>
      <c r="X200">
        <v>0</v>
      </c>
      <c r="Y200">
        <v>0</v>
      </c>
    </row>
    <row r="201" spans="1:25" x14ac:dyDescent="0.3">
      <c r="A201">
        <v>402400057</v>
      </c>
      <c r="B201" t="s">
        <v>765</v>
      </c>
      <c r="C201" t="s">
        <v>766</v>
      </c>
      <c r="D201" t="s">
        <v>911</v>
      </c>
      <c r="E201" s="26">
        <v>45450.468263888892</v>
      </c>
      <c r="F201" s="26">
        <v>45462.468263888892</v>
      </c>
      <c r="G201" s="51">
        <v>45922</v>
      </c>
      <c r="H201">
        <v>45181.599999999991</v>
      </c>
      <c r="I201" t="s">
        <v>18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</v>
      </c>
      <c r="S201">
        <v>2</v>
      </c>
      <c r="T201">
        <v>0.9</v>
      </c>
      <c r="U201">
        <v>0</v>
      </c>
      <c r="V201">
        <v>1</v>
      </c>
      <c r="W201">
        <v>0</v>
      </c>
      <c r="X201">
        <v>0</v>
      </c>
      <c r="Y201">
        <v>0</v>
      </c>
    </row>
    <row r="202" spans="1:25" x14ac:dyDescent="0.3">
      <c r="A202">
        <v>402400098</v>
      </c>
      <c r="B202" t="s">
        <v>765</v>
      </c>
      <c r="C202" t="s">
        <v>766</v>
      </c>
      <c r="D202" t="s">
        <v>774</v>
      </c>
      <c r="E202" s="26">
        <v>45455.660462962966</v>
      </c>
      <c r="F202" s="26">
        <v>45468.660462962966</v>
      </c>
      <c r="G202" s="51">
        <v>45922</v>
      </c>
      <c r="H202">
        <v>46634.95</v>
      </c>
      <c r="I202" t="s">
        <v>18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2</v>
      </c>
      <c r="T202">
        <v>0.9</v>
      </c>
      <c r="U202">
        <v>0</v>
      </c>
      <c r="V202">
        <v>1</v>
      </c>
      <c r="W202">
        <v>0</v>
      </c>
      <c r="X202">
        <v>0</v>
      </c>
      <c r="Y202">
        <v>0</v>
      </c>
    </row>
    <row r="203" spans="1:25" x14ac:dyDescent="0.3">
      <c r="A203">
        <v>402400100</v>
      </c>
      <c r="B203" t="s">
        <v>765</v>
      </c>
      <c r="C203" t="s">
        <v>766</v>
      </c>
      <c r="D203" t="s">
        <v>912</v>
      </c>
      <c r="E203" s="26">
        <v>45453.695717592593</v>
      </c>
      <c r="F203" s="26">
        <v>45468.695717592593</v>
      </c>
      <c r="G203" s="51">
        <v>45922</v>
      </c>
      <c r="H203">
        <v>46077.97</v>
      </c>
      <c r="I203" t="s">
        <v>18</v>
      </c>
      <c r="J203">
        <v>1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2</v>
      </c>
      <c r="T203">
        <v>0.9</v>
      </c>
      <c r="U203">
        <v>0</v>
      </c>
      <c r="V203">
        <v>1</v>
      </c>
      <c r="W203">
        <v>0</v>
      </c>
      <c r="X203">
        <v>0</v>
      </c>
      <c r="Y203">
        <v>0</v>
      </c>
    </row>
    <row r="204" spans="1:25" x14ac:dyDescent="0.3">
      <c r="A204">
        <v>402400101</v>
      </c>
      <c r="B204" t="s">
        <v>765</v>
      </c>
      <c r="C204" t="s">
        <v>766</v>
      </c>
      <c r="D204" t="s">
        <v>913</v>
      </c>
      <c r="E204" s="26">
        <v>45453.588391203702</v>
      </c>
      <c r="F204" s="26">
        <v>45469.588391203702</v>
      </c>
      <c r="G204" s="51">
        <v>45922</v>
      </c>
      <c r="H204">
        <v>46715.460000000014</v>
      </c>
      <c r="I204" t="s">
        <v>18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2</v>
      </c>
      <c r="T204">
        <v>0.9</v>
      </c>
      <c r="U204">
        <v>0</v>
      </c>
      <c r="V204">
        <v>1</v>
      </c>
      <c r="W204">
        <v>0</v>
      </c>
      <c r="X204">
        <v>0</v>
      </c>
      <c r="Y204">
        <v>0</v>
      </c>
    </row>
    <row r="205" spans="1:25" x14ac:dyDescent="0.3">
      <c r="A205">
        <v>402400094</v>
      </c>
      <c r="B205" t="s">
        <v>765</v>
      </c>
      <c r="C205" t="s">
        <v>766</v>
      </c>
      <c r="D205" t="s">
        <v>913</v>
      </c>
      <c r="E205" s="26">
        <v>45457.608784722222</v>
      </c>
      <c r="F205" s="26">
        <v>45468.608784722222</v>
      </c>
      <c r="G205" s="51">
        <v>45922</v>
      </c>
      <c r="H205">
        <v>46659.75</v>
      </c>
      <c r="I205" t="s">
        <v>18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2</v>
      </c>
      <c r="T205">
        <v>0.9</v>
      </c>
      <c r="U205">
        <v>0</v>
      </c>
      <c r="V205">
        <v>1</v>
      </c>
      <c r="W205">
        <v>0</v>
      </c>
      <c r="X205">
        <v>0</v>
      </c>
      <c r="Y205">
        <v>0</v>
      </c>
    </row>
    <row r="206" spans="1:25" x14ac:dyDescent="0.3">
      <c r="A206">
        <v>402400095</v>
      </c>
      <c r="B206" t="s">
        <v>765</v>
      </c>
      <c r="C206" t="s">
        <v>766</v>
      </c>
      <c r="D206" t="s">
        <v>782</v>
      </c>
      <c r="E206" s="26">
        <v>45456.615960648145</v>
      </c>
      <c r="F206" s="26">
        <v>45468.615960648145</v>
      </c>
      <c r="G206" s="51">
        <v>45922</v>
      </c>
      <c r="H206">
        <v>46648.890000000007</v>
      </c>
      <c r="I206" t="s">
        <v>18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2</v>
      </c>
      <c r="T206">
        <v>0.9</v>
      </c>
      <c r="U206">
        <v>0</v>
      </c>
      <c r="V206">
        <v>1</v>
      </c>
      <c r="W206">
        <v>0</v>
      </c>
      <c r="X206">
        <v>0</v>
      </c>
      <c r="Y206">
        <v>0</v>
      </c>
    </row>
    <row r="207" spans="1:25" x14ac:dyDescent="0.3">
      <c r="A207">
        <v>402400099</v>
      </c>
      <c r="B207" t="s">
        <v>765</v>
      </c>
      <c r="C207" t="s">
        <v>766</v>
      </c>
      <c r="D207" t="s">
        <v>782</v>
      </c>
      <c r="E207" s="26">
        <v>45455.681168981479</v>
      </c>
      <c r="F207" s="26">
        <v>45468.681168981479</v>
      </c>
      <c r="G207" s="51">
        <v>45922</v>
      </c>
      <c r="H207">
        <v>46664.390000000007</v>
      </c>
      <c r="I207" t="s">
        <v>18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2</v>
      </c>
      <c r="T207">
        <v>0.9</v>
      </c>
      <c r="U207">
        <v>0</v>
      </c>
      <c r="V207">
        <v>1</v>
      </c>
      <c r="W207">
        <v>0</v>
      </c>
      <c r="X207">
        <v>0</v>
      </c>
      <c r="Y207">
        <v>0</v>
      </c>
    </row>
    <row r="208" spans="1:25" x14ac:dyDescent="0.3">
      <c r="A208">
        <v>402400092</v>
      </c>
      <c r="B208" t="s">
        <v>765</v>
      </c>
      <c r="C208" t="s">
        <v>766</v>
      </c>
      <c r="D208" t="s">
        <v>914</v>
      </c>
      <c r="E208" s="26">
        <v>45453.583692129629</v>
      </c>
      <c r="F208" s="26">
        <v>45468.583692129629</v>
      </c>
      <c r="G208" s="51">
        <v>45922</v>
      </c>
      <c r="H208">
        <v>45938.47</v>
      </c>
      <c r="I208" t="s">
        <v>18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2</v>
      </c>
      <c r="T208">
        <v>0.9</v>
      </c>
      <c r="U208">
        <v>0</v>
      </c>
      <c r="V208">
        <v>1</v>
      </c>
      <c r="W208">
        <v>0</v>
      </c>
      <c r="X208">
        <v>0</v>
      </c>
      <c r="Y208">
        <v>0</v>
      </c>
    </row>
    <row r="209" spans="1:25" x14ac:dyDescent="0.3">
      <c r="A209">
        <v>402400091</v>
      </c>
      <c r="B209" t="s">
        <v>765</v>
      </c>
      <c r="C209" t="s">
        <v>766</v>
      </c>
      <c r="D209" t="s">
        <v>915</v>
      </c>
      <c r="E209" s="26">
        <v>45457.471064814818</v>
      </c>
      <c r="F209" s="26">
        <v>45468.471064814818</v>
      </c>
      <c r="G209" s="51">
        <v>45922</v>
      </c>
      <c r="H209">
        <v>46651.62000000001</v>
      </c>
      <c r="I209" t="s">
        <v>18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2</v>
      </c>
      <c r="T209">
        <v>0.9</v>
      </c>
      <c r="U209">
        <v>0</v>
      </c>
      <c r="V209">
        <v>1</v>
      </c>
      <c r="W209">
        <v>0</v>
      </c>
      <c r="X209">
        <v>0</v>
      </c>
      <c r="Y209">
        <v>0</v>
      </c>
    </row>
    <row r="210" spans="1:25" x14ac:dyDescent="0.3">
      <c r="A210">
        <v>402400096</v>
      </c>
      <c r="B210" t="s">
        <v>765</v>
      </c>
      <c r="C210" t="s">
        <v>766</v>
      </c>
      <c r="D210" t="s">
        <v>916</v>
      </c>
      <c r="E210" s="26">
        <v>45456.624965277777</v>
      </c>
      <c r="F210" s="26">
        <v>45468.624965277777</v>
      </c>
      <c r="G210" s="51">
        <v>45922</v>
      </c>
      <c r="H210">
        <v>46668.430000000008</v>
      </c>
      <c r="I210" t="s">
        <v>18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2</v>
      </c>
      <c r="T210">
        <v>0.9</v>
      </c>
      <c r="U210">
        <v>0</v>
      </c>
      <c r="V210">
        <v>1</v>
      </c>
      <c r="W210">
        <v>0</v>
      </c>
      <c r="X210">
        <v>0</v>
      </c>
      <c r="Y210">
        <v>0</v>
      </c>
    </row>
    <row r="211" spans="1:25" x14ac:dyDescent="0.3">
      <c r="A211">
        <v>402400093</v>
      </c>
      <c r="B211" t="s">
        <v>765</v>
      </c>
      <c r="C211" t="s">
        <v>766</v>
      </c>
      <c r="D211" t="s">
        <v>917</v>
      </c>
      <c r="E211" s="26">
        <v>45455.589803240742</v>
      </c>
      <c r="F211" s="26">
        <v>45468.589803240742</v>
      </c>
      <c r="G211" s="51">
        <v>45922</v>
      </c>
      <c r="H211">
        <v>46757.389999999992</v>
      </c>
      <c r="I211" t="s">
        <v>18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2</v>
      </c>
      <c r="T211">
        <v>0.9</v>
      </c>
      <c r="U211">
        <v>0</v>
      </c>
      <c r="V211">
        <v>1</v>
      </c>
      <c r="W211">
        <v>0</v>
      </c>
      <c r="X211">
        <v>0</v>
      </c>
      <c r="Y211">
        <v>0</v>
      </c>
    </row>
    <row r="212" spans="1:25" x14ac:dyDescent="0.3">
      <c r="A212">
        <v>402400097</v>
      </c>
      <c r="B212" t="s">
        <v>765</v>
      </c>
      <c r="C212" t="s">
        <v>766</v>
      </c>
      <c r="D212" t="s">
        <v>774</v>
      </c>
      <c r="E212" s="26">
        <v>45453.64770833333</v>
      </c>
      <c r="F212" s="26">
        <v>45468.64770833333</v>
      </c>
      <c r="G212" s="51">
        <v>45922</v>
      </c>
      <c r="H212">
        <v>46974.389999999992</v>
      </c>
      <c r="I212" t="s">
        <v>18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2</v>
      </c>
      <c r="T212">
        <v>0.9</v>
      </c>
      <c r="U212">
        <v>0</v>
      </c>
      <c r="V212">
        <v>1</v>
      </c>
      <c r="W212">
        <v>0</v>
      </c>
      <c r="X212">
        <v>0</v>
      </c>
      <c r="Y212">
        <v>0</v>
      </c>
    </row>
    <row r="213" spans="1:25" x14ac:dyDescent="0.3">
      <c r="A213">
        <v>402400059</v>
      </c>
      <c r="B213" t="s">
        <v>765</v>
      </c>
      <c r="C213" t="s">
        <v>766</v>
      </c>
      <c r="D213" t="s">
        <v>918</v>
      </c>
      <c r="E213" s="26">
        <v>45447.457129629627</v>
      </c>
      <c r="F213" s="26">
        <v>45463.457129629627</v>
      </c>
      <c r="G213" s="51">
        <v>45922</v>
      </c>
      <c r="H213">
        <v>44702.649999999994</v>
      </c>
      <c r="I213" t="s">
        <v>18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2</v>
      </c>
      <c r="T213">
        <v>0.9</v>
      </c>
      <c r="U213">
        <v>0</v>
      </c>
      <c r="V213">
        <v>1</v>
      </c>
      <c r="W213">
        <v>0</v>
      </c>
      <c r="X213">
        <v>0</v>
      </c>
      <c r="Y213">
        <v>0</v>
      </c>
    </row>
    <row r="214" spans="1:25" x14ac:dyDescent="0.3">
      <c r="A214">
        <v>402400051</v>
      </c>
      <c r="B214" t="s">
        <v>765</v>
      </c>
      <c r="C214" t="s">
        <v>766</v>
      </c>
      <c r="D214" t="s">
        <v>773</v>
      </c>
      <c r="E214" s="26">
        <v>45450.640277777777</v>
      </c>
      <c r="F214" s="26">
        <v>45461.640277777777</v>
      </c>
      <c r="G214" s="51">
        <v>45922</v>
      </c>
      <c r="H214">
        <v>43964.639999999992</v>
      </c>
      <c r="I214" t="s">
        <v>18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</v>
      </c>
      <c r="S214">
        <v>2</v>
      </c>
      <c r="T214">
        <v>0.9</v>
      </c>
      <c r="U214">
        <v>0</v>
      </c>
      <c r="V214">
        <v>1</v>
      </c>
      <c r="W214">
        <v>0</v>
      </c>
      <c r="X214">
        <v>0</v>
      </c>
      <c r="Y214">
        <v>0</v>
      </c>
    </row>
    <row r="215" spans="1:25" x14ac:dyDescent="0.3">
      <c r="A215">
        <v>402400043</v>
      </c>
      <c r="B215" t="s">
        <v>765</v>
      </c>
      <c r="C215" t="s">
        <v>766</v>
      </c>
      <c r="D215" t="s">
        <v>919</v>
      </c>
      <c r="E215" s="26">
        <v>45442.403032407405</v>
      </c>
      <c r="F215" s="26">
        <v>45454.403032407405</v>
      </c>
      <c r="G215" s="51">
        <v>45922</v>
      </c>
      <c r="H215">
        <v>46957.340000000004</v>
      </c>
      <c r="I215" t="s">
        <v>18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2</v>
      </c>
      <c r="T215">
        <v>0.9</v>
      </c>
      <c r="U215">
        <v>0</v>
      </c>
      <c r="V215">
        <v>1</v>
      </c>
      <c r="W215">
        <v>0</v>
      </c>
      <c r="X215">
        <v>0</v>
      </c>
      <c r="Y215">
        <v>0</v>
      </c>
    </row>
    <row r="216" spans="1:25" x14ac:dyDescent="0.3">
      <c r="A216">
        <v>402400032</v>
      </c>
      <c r="B216" t="s">
        <v>765</v>
      </c>
      <c r="C216" t="s">
        <v>766</v>
      </c>
      <c r="D216" t="s">
        <v>813</v>
      </c>
      <c r="E216" s="26">
        <v>45440.364722222221</v>
      </c>
      <c r="F216" s="26">
        <v>45453.364722222221</v>
      </c>
      <c r="G216" s="51">
        <v>45922</v>
      </c>
      <c r="H216">
        <v>44147.209999999977</v>
      </c>
      <c r="I216" t="s">
        <v>18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2</v>
      </c>
      <c r="T216">
        <v>0.9</v>
      </c>
      <c r="U216">
        <v>0</v>
      </c>
      <c r="V216">
        <v>1</v>
      </c>
      <c r="W216">
        <v>0</v>
      </c>
      <c r="X216">
        <v>0</v>
      </c>
      <c r="Y216">
        <v>0</v>
      </c>
    </row>
    <row r="217" spans="1:25" x14ac:dyDescent="0.3">
      <c r="A217">
        <v>652400129</v>
      </c>
      <c r="B217" t="s">
        <v>765</v>
      </c>
      <c r="C217" t="s">
        <v>920</v>
      </c>
      <c r="D217" t="s">
        <v>921</v>
      </c>
      <c r="E217" s="26">
        <v>45452.683900462966</v>
      </c>
      <c r="F217" s="26">
        <v>45467.683900462966</v>
      </c>
      <c r="G217" s="51">
        <v>45922</v>
      </c>
      <c r="H217">
        <v>96016.679999999978</v>
      </c>
      <c r="I217" t="s">
        <v>18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4</v>
      </c>
      <c r="T217">
        <v>1.8</v>
      </c>
      <c r="U217">
        <v>0</v>
      </c>
      <c r="V217">
        <v>0</v>
      </c>
      <c r="W217">
        <v>1</v>
      </c>
      <c r="X217">
        <v>0</v>
      </c>
      <c r="Y217">
        <v>0</v>
      </c>
    </row>
    <row r="218" spans="1:25" x14ac:dyDescent="0.3">
      <c r="A218">
        <v>652400127</v>
      </c>
      <c r="B218" t="s">
        <v>765</v>
      </c>
      <c r="C218" t="s">
        <v>920</v>
      </c>
      <c r="D218" t="s">
        <v>921</v>
      </c>
      <c r="E218" s="26">
        <v>45456.703206018516</v>
      </c>
      <c r="F218" s="26">
        <v>45467.703206018516</v>
      </c>
      <c r="G218" s="51">
        <v>45922</v>
      </c>
      <c r="H218">
        <v>97288.61</v>
      </c>
      <c r="I218" t="s">
        <v>18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4</v>
      </c>
      <c r="T218">
        <v>1.8</v>
      </c>
      <c r="U218">
        <v>0</v>
      </c>
      <c r="V218">
        <v>0</v>
      </c>
      <c r="W218">
        <v>1</v>
      </c>
      <c r="X218">
        <v>0</v>
      </c>
      <c r="Y218">
        <v>0</v>
      </c>
    </row>
    <row r="219" spans="1:25" x14ac:dyDescent="0.3">
      <c r="A219">
        <v>652400126</v>
      </c>
      <c r="B219" t="s">
        <v>765</v>
      </c>
      <c r="C219" t="s">
        <v>922</v>
      </c>
      <c r="D219" t="s">
        <v>921</v>
      </c>
      <c r="E219" s="26">
        <v>45455.722719907404</v>
      </c>
      <c r="F219" s="26">
        <v>45467.722719907404</v>
      </c>
      <c r="G219" s="51">
        <v>45922</v>
      </c>
      <c r="H219">
        <v>97085.449999999983</v>
      </c>
      <c r="I219" t="s">
        <v>18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4</v>
      </c>
      <c r="T219">
        <v>1.8</v>
      </c>
      <c r="U219">
        <v>0</v>
      </c>
      <c r="V219">
        <v>0</v>
      </c>
      <c r="W219">
        <v>1</v>
      </c>
      <c r="X219">
        <v>0</v>
      </c>
      <c r="Y219">
        <v>0</v>
      </c>
    </row>
    <row r="220" spans="1:25" x14ac:dyDescent="0.3">
      <c r="A220">
        <v>602400141</v>
      </c>
      <c r="B220" t="s">
        <v>765</v>
      </c>
      <c r="C220" t="s">
        <v>923</v>
      </c>
      <c r="D220" t="s">
        <v>924</v>
      </c>
      <c r="E220" s="26">
        <v>45441.705555555556</v>
      </c>
      <c r="F220" s="26">
        <v>45454.705555555556</v>
      </c>
      <c r="G220" s="51">
        <v>45922</v>
      </c>
      <c r="H220">
        <v>97418.309999999983</v>
      </c>
      <c r="I220" t="s">
        <v>18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4</v>
      </c>
      <c r="T220">
        <v>1.8</v>
      </c>
      <c r="U220">
        <v>0</v>
      </c>
      <c r="V220">
        <v>0</v>
      </c>
      <c r="W220">
        <v>1</v>
      </c>
      <c r="X220">
        <v>0</v>
      </c>
      <c r="Y220">
        <v>0</v>
      </c>
    </row>
    <row r="221" spans="1:25" x14ac:dyDescent="0.3">
      <c r="A221">
        <v>402400205</v>
      </c>
      <c r="B221" t="s">
        <v>765</v>
      </c>
      <c r="C221" t="s">
        <v>766</v>
      </c>
      <c r="D221" t="s">
        <v>834</v>
      </c>
      <c r="E221" s="26">
        <v>45454.627118055556</v>
      </c>
      <c r="F221" s="26">
        <v>45469.627118055556</v>
      </c>
      <c r="G221" s="51">
        <v>45922</v>
      </c>
      <c r="H221">
        <v>45970.91</v>
      </c>
      <c r="I221" t="s">
        <v>18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2</v>
      </c>
      <c r="T221">
        <v>0.9</v>
      </c>
      <c r="U221">
        <v>0</v>
      </c>
      <c r="V221">
        <v>1</v>
      </c>
      <c r="W221">
        <v>0</v>
      </c>
      <c r="X221">
        <v>0</v>
      </c>
      <c r="Y221">
        <v>0</v>
      </c>
    </row>
    <row r="222" spans="1:25" x14ac:dyDescent="0.3">
      <c r="A222">
        <v>602400139</v>
      </c>
      <c r="B222" t="s">
        <v>765</v>
      </c>
      <c r="C222" t="s">
        <v>925</v>
      </c>
      <c r="D222" t="s">
        <v>926</v>
      </c>
      <c r="E222" s="26">
        <v>45461.443437499998</v>
      </c>
      <c r="F222" s="26">
        <v>45477.443437499998</v>
      </c>
      <c r="G222" s="51">
        <v>45922</v>
      </c>
      <c r="H222">
        <v>46347.57</v>
      </c>
      <c r="I222" t="s">
        <v>18</v>
      </c>
      <c r="J222">
        <v>1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2</v>
      </c>
      <c r="T222">
        <v>0.9</v>
      </c>
      <c r="U222">
        <v>0</v>
      </c>
      <c r="V222">
        <v>1</v>
      </c>
      <c r="W222">
        <v>0</v>
      </c>
      <c r="X222">
        <v>0</v>
      </c>
      <c r="Y222">
        <v>0</v>
      </c>
    </row>
    <row r="223" spans="1:25" x14ac:dyDescent="0.3">
      <c r="A223">
        <v>402400219</v>
      </c>
      <c r="B223" t="s">
        <v>765</v>
      </c>
      <c r="C223" t="s">
        <v>766</v>
      </c>
      <c r="D223" t="s">
        <v>927</v>
      </c>
      <c r="E223" s="26">
        <v>45458.471006944441</v>
      </c>
      <c r="F223" s="26">
        <v>45469.471006944441</v>
      </c>
      <c r="G223" s="51">
        <v>45922</v>
      </c>
      <c r="H223">
        <v>45966.27</v>
      </c>
      <c r="I223" t="s">
        <v>18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</v>
      </c>
      <c r="S223">
        <v>2</v>
      </c>
      <c r="T223">
        <v>0.9</v>
      </c>
      <c r="U223">
        <v>0</v>
      </c>
      <c r="V223">
        <v>1</v>
      </c>
      <c r="W223">
        <v>0</v>
      </c>
      <c r="X223">
        <v>0</v>
      </c>
      <c r="Y223">
        <v>0</v>
      </c>
    </row>
    <row r="224" spans="1:25" x14ac:dyDescent="0.3">
      <c r="A224">
        <v>402400207</v>
      </c>
      <c r="B224" t="s">
        <v>765</v>
      </c>
      <c r="C224" t="s">
        <v>766</v>
      </c>
      <c r="D224" t="s">
        <v>768</v>
      </c>
      <c r="E224" s="26">
        <v>45457.706006944441</v>
      </c>
      <c r="F224" s="26">
        <v>45469.706006944441</v>
      </c>
      <c r="G224" s="51">
        <v>45922</v>
      </c>
      <c r="H224">
        <v>46685.99</v>
      </c>
      <c r="I224" t="s">
        <v>18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2</v>
      </c>
      <c r="T224">
        <v>0.9</v>
      </c>
      <c r="U224">
        <v>0</v>
      </c>
      <c r="V224">
        <v>1</v>
      </c>
      <c r="W224">
        <v>0</v>
      </c>
      <c r="X224">
        <v>0</v>
      </c>
      <c r="Y224">
        <v>0</v>
      </c>
    </row>
    <row r="225" spans="1:25" x14ac:dyDescent="0.3">
      <c r="A225">
        <v>402400204</v>
      </c>
      <c r="B225" t="s">
        <v>765</v>
      </c>
      <c r="C225" t="s">
        <v>766</v>
      </c>
      <c r="D225" t="s">
        <v>928</v>
      </c>
      <c r="E225" s="26">
        <v>45456.621018518519</v>
      </c>
      <c r="F225" s="26">
        <v>45469.621018518519</v>
      </c>
      <c r="G225" s="51">
        <v>45922</v>
      </c>
      <c r="H225">
        <v>46836.34</v>
      </c>
      <c r="I225" t="s">
        <v>18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2</v>
      </c>
      <c r="T225">
        <v>0.9</v>
      </c>
      <c r="U225">
        <v>0</v>
      </c>
      <c r="V225">
        <v>1</v>
      </c>
      <c r="W225">
        <v>0</v>
      </c>
      <c r="X225">
        <v>0</v>
      </c>
      <c r="Y225">
        <v>0</v>
      </c>
    </row>
    <row r="226" spans="1:25" x14ac:dyDescent="0.3">
      <c r="A226">
        <v>402400220</v>
      </c>
      <c r="B226" t="s">
        <v>765</v>
      </c>
      <c r="C226" t="s">
        <v>766</v>
      </c>
      <c r="D226" t="s">
        <v>782</v>
      </c>
      <c r="E226" s="26">
        <v>45454.591006944444</v>
      </c>
      <c r="F226" s="26">
        <v>45469.591006944444</v>
      </c>
      <c r="G226" s="51">
        <v>45922</v>
      </c>
      <c r="H226">
        <v>46127.46</v>
      </c>
      <c r="I226" t="s">
        <v>18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2</v>
      </c>
      <c r="T226">
        <v>0.9</v>
      </c>
      <c r="U226">
        <v>0</v>
      </c>
      <c r="V226">
        <v>1</v>
      </c>
      <c r="W226">
        <v>0</v>
      </c>
      <c r="X226">
        <v>0</v>
      </c>
      <c r="Y226">
        <v>0</v>
      </c>
    </row>
    <row r="227" spans="1:25" x14ac:dyDescent="0.3">
      <c r="A227">
        <v>402400213</v>
      </c>
      <c r="B227" t="s">
        <v>765</v>
      </c>
      <c r="C227" t="s">
        <v>766</v>
      </c>
      <c r="D227" t="s">
        <v>919</v>
      </c>
      <c r="E227" s="26">
        <v>45458.713530092595</v>
      </c>
      <c r="F227" s="26">
        <v>45469.713530092595</v>
      </c>
      <c r="G227" s="51">
        <v>45922</v>
      </c>
      <c r="H227">
        <v>46068.55999999999</v>
      </c>
      <c r="I227" t="s">
        <v>18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2</v>
      </c>
      <c r="T227">
        <v>0.9</v>
      </c>
      <c r="U227">
        <v>0</v>
      </c>
      <c r="V227">
        <v>1</v>
      </c>
      <c r="W227">
        <v>0</v>
      </c>
      <c r="X227">
        <v>0</v>
      </c>
      <c r="Y227">
        <v>0</v>
      </c>
    </row>
    <row r="228" spans="1:25" x14ac:dyDescent="0.3">
      <c r="A228">
        <v>402400202</v>
      </c>
      <c r="B228" t="s">
        <v>765</v>
      </c>
      <c r="C228" t="s">
        <v>766</v>
      </c>
      <c r="D228" t="s">
        <v>802</v>
      </c>
      <c r="E228" s="26">
        <v>45435.448020833333</v>
      </c>
      <c r="F228" s="26">
        <v>45447.448020833333</v>
      </c>
      <c r="G228" s="51">
        <v>45922</v>
      </c>
      <c r="H228">
        <v>46104.400000000009</v>
      </c>
      <c r="I228" t="s">
        <v>18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2</v>
      </c>
      <c r="T228">
        <v>0.9</v>
      </c>
      <c r="U228">
        <v>0</v>
      </c>
      <c r="V228">
        <v>1</v>
      </c>
      <c r="W228">
        <v>0</v>
      </c>
      <c r="X228">
        <v>0</v>
      </c>
      <c r="Y228">
        <v>0</v>
      </c>
    </row>
    <row r="229" spans="1:25" x14ac:dyDescent="0.3">
      <c r="A229">
        <v>402400228</v>
      </c>
      <c r="B229" t="s">
        <v>765</v>
      </c>
      <c r="C229" t="s">
        <v>766</v>
      </c>
      <c r="D229" t="s">
        <v>801</v>
      </c>
      <c r="E229" s="26">
        <v>45456.650173611109</v>
      </c>
      <c r="F229" s="26">
        <v>45469.650173611109</v>
      </c>
      <c r="G229" s="51">
        <v>45922</v>
      </c>
      <c r="H229">
        <v>46018.96</v>
      </c>
      <c r="I229" t="s">
        <v>18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2</v>
      </c>
      <c r="T229">
        <v>0.9</v>
      </c>
      <c r="U229">
        <v>0</v>
      </c>
      <c r="V229">
        <v>1</v>
      </c>
      <c r="W229">
        <v>0</v>
      </c>
      <c r="X229">
        <v>0</v>
      </c>
      <c r="Y229">
        <v>0</v>
      </c>
    </row>
    <row r="230" spans="1:25" x14ac:dyDescent="0.3">
      <c r="A230">
        <v>402400226</v>
      </c>
      <c r="B230" t="s">
        <v>765</v>
      </c>
      <c r="C230" t="s">
        <v>766</v>
      </c>
      <c r="D230" t="s">
        <v>929</v>
      </c>
      <c r="E230" s="26">
        <v>45454.63003472222</v>
      </c>
      <c r="F230" s="26">
        <v>45469.63003472222</v>
      </c>
      <c r="G230" s="51">
        <v>45922</v>
      </c>
      <c r="H230">
        <v>46789.84</v>
      </c>
      <c r="I230" t="s">
        <v>18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2</v>
      </c>
      <c r="T230">
        <v>0.9</v>
      </c>
      <c r="U230">
        <v>0</v>
      </c>
      <c r="V230">
        <v>1</v>
      </c>
      <c r="W230">
        <v>0</v>
      </c>
      <c r="X230">
        <v>0</v>
      </c>
      <c r="Y230">
        <v>0</v>
      </c>
    </row>
    <row r="231" spans="1:25" x14ac:dyDescent="0.3">
      <c r="A231">
        <v>402400227</v>
      </c>
      <c r="B231" t="s">
        <v>765</v>
      </c>
      <c r="C231" t="s">
        <v>766</v>
      </c>
      <c r="D231" t="s">
        <v>930</v>
      </c>
      <c r="E231" s="26">
        <v>45453.636666666665</v>
      </c>
      <c r="F231" s="26">
        <v>45469.636666666665</v>
      </c>
      <c r="G231" s="51">
        <v>45922</v>
      </c>
      <c r="H231">
        <v>45947.67</v>
      </c>
      <c r="I231" t="s">
        <v>18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2</v>
      </c>
      <c r="T231">
        <v>0.9</v>
      </c>
      <c r="U231">
        <v>0</v>
      </c>
      <c r="V231">
        <v>1</v>
      </c>
      <c r="W231">
        <v>0</v>
      </c>
      <c r="X231">
        <v>0</v>
      </c>
      <c r="Y231">
        <v>0</v>
      </c>
    </row>
    <row r="232" spans="1:25" x14ac:dyDescent="0.3">
      <c r="A232">
        <v>402400216</v>
      </c>
      <c r="B232" t="s">
        <v>765</v>
      </c>
      <c r="C232" t="s">
        <v>766</v>
      </c>
      <c r="D232" t="s">
        <v>930</v>
      </c>
      <c r="E232" s="26">
        <v>45458.717881944445</v>
      </c>
      <c r="F232" s="26">
        <v>45469.717881944445</v>
      </c>
      <c r="G232" s="51">
        <v>45922</v>
      </c>
      <c r="H232">
        <v>46867.060000000005</v>
      </c>
      <c r="I232" t="s">
        <v>18</v>
      </c>
      <c r="J232">
        <v>1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2</v>
      </c>
      <c r="T232">
        <v>0.9</v>
      </c>
      <c r="U232">
        <v>0</v>
      </c>
      <c r="V232">
        <v>1</v>
      </c>
      <c r="W232">
        <v>0</v>
      </c>
      <c r="X232">
        <v>0</v>
      </c>
      <c r="Y232">
        <v>0</v>
      </c>
    </row>
    <row r="233" spans="1:25" x14ac:dyDescent="0.3">
      <c r="A233">
        <v>402400225</v>
      </c>
      <c r="B233" t="s">
        <v>765</v>
      </c>
      <c r="C233" t="s">
        <v>766</v>
      </c>
      <c r="D233" t="s">
        <v>931</v>
      </c>
      <c r="E233" s="26">
        <v>45457.620162037034</v>
      </c>
      <c r="F233" s="26">
        <v>45469.620162037034</v>
      </c>
      <c r="G233" s="51">
        <v>45922</v>
      </c>
      <c r="H233">
        <v>46132.009999999995</v>
      </c>
      <c r="I233" t="s">
        <v>18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2</v>
      </c>
      <c r="T233">
        <v>0.9</v>
      </c>
      <c r="U233">
        <v>0</v>
      </c>
      <c r="V233">
        <v>1</v>
      </c>
      <c r="W233">
        <v>0</v>
      </c>
      <c r="X233">
        <v>0</v>
      </c>
      <c r="Y233">
        <v>0</v>
      </c>
    </row>
    <row r="234" spans="1:25" x14ac:dyDescent="0.3">
      <c r="A234">
        <v>502400054</v>
      </c>
      <c r="B234" t="s">
        <v>765</v>
      </c>
      <c r="C234" t="s">
        <v>932</v>
      </c>
      <c r="D234" t="s">
        <v>830</v>
      </c>
      <c r="E234" s="26">
        <v>45456.603310185186</v>
      </c>
      <c r="F234" s="26">
        <v>45469.603310185186</v>
      </c>
      <c r="G234" s="51">
        <v>45922</v>
      </c>
      <c r="H234">
        <v>46668.52</v>
      </c>
      <c r="I234" t="s">
        <v>18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2</v>
      </c>
      <c r="T234">
        <v>0.9</v>
      </c>
      <c r="U234">
        <v>0</v>
      </c>
      <c r="V234">
        <v>1</v>
      </c>
      <c r="W234">
        <v>0</v>
      </c>
      <c r="X234">
        <v>0</v>
      </c>
      <c r="Y234">
        <v>0</v>
      </c>
    </row>
    <row r="235" spans="1:25" x14ac:dyDescent="0.3">
      <c r="A235">
        <v>502400055</v>
      </c>
      <c r="B235" t="s">
        <v>765</v>
      </c>
      <c r="C235" t="s">
        <v>932</v>
      </c>
      <c r="D235" t="s">
        <v>933</v>
      </c>
      <c r="E235" s="26">
        <v>45454.611087962963</v>
      </c>
      <c r="F235" s="26">
        <v>45469.611087962963</v>
      </c>
      <c r="G235" s="51">
        <v>45922</v>
      </c>
      <c r="H235">
        <v>47240.899999999994</v>
      </c>
      <c r="I235" t="s">
        <v>18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</v>
      </c>
      <c r="S235">
        <v>2</v>
      </c>
      <c r="T235">
        <v>0.9</v>
      </c>
      <c r="U235">
        <v>0</v>
      </c>
      <c r="V235">
        <v>1</v>
      </c>
      <c r="W235">
        <v>0</v>
      </c>
      <c r="X235">
        <v>0</v>
      </c>
      <c r="Y235">
        <v>0</v>
      </c>
    </row>
    <row r="236" spans="1:25" x14ac:dyDescent="0.3">
      <c r="A236">
        <v>502400044</v>
      </c>
      <c r="B236" t="s">
        <v>765</v>
      </c>
      <c r="C236" t="s">
        <v>932</v>
      </c>
      <c r="D236" t="s">
        <v>934</v>
      </c>
      <c r="E236" s="26">
        <v>45458.636053240742</v>
      </c>
      <c r="F236" s="26">
        <v>45469.636053240742</v>
      </c>
      <c r="G236" s="51">
        <v>45922</v>
      </c>
      <c r="H236">
        <v>47147.9</v>
      </c>
      <c r="I236" t="s">
        <v>18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2</v>
      </c>
      <c r="T236">
        <v>0.9</v>
      </c>
      <c r="U236">
        <v>0</v>
      </c>
      <c r="V236">
        <v>1</v>
      </c>
      <c r="W236">
        <v>0</v>
      </c>
      <c r="X236">
        <v>0</v>
      </c>
      <c r="Y236">
        <v>0</v>
      </c>
    </row>
    <row r="237" spans="1:25" x14ac:dyDescent="0.3">
      <c r="A237">
        <v>652400124</v>
      </c>
      <c r="B237" t="s">
        <v>765</v>
      </c>
      <c r="C237" t="s">
        <v>935</v>
      </c>
      <c r="D237" t="s">
        <v>936</v>
      </c>
      <c r="E237" s="26">
        <v>45388.388206018521</v>
      </c>
      <c r="F237" s="26">
        <v>45400.388206018521</v>
      </c>
      <c r="G237" s="51">
        <v>45922</v>
      </c>
      <c r="H237">
        <v>47897.659999999996</v>
      </c>
      <c r="I237" t="s">
        <v>18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2</v>
      </c>
      <c r="T237">
        <v>0.9</v>
      </c>
      <c r="U237">
        <v>0</v>
      </c>
      <c r="V237">
        <v>1</v>
      </c>
      <c r="W237">
        <v>0</v>
      </c>
      <c r="X237">
        <v>0</v>
      </c>
      <c r="Y237">
        <v>0</v>
      </c>
    </row>
    <row r="238" spans="1:25" x14ac:dyDescent="0.3">
      <c r="A238">
        <v>402400244</v>
      </c>
      <c r="B238" t="s">
        <v>765</v>
      </c>
      <c r="C238" t="s">
        <v>937</v>
      </c>
      <c r="D238" t="s">
        <v>938</v>
      </c>
      <c r="E238" s="26">
        <v>45456.675312500003</v>
      </c>
      <c r="F238" s="26">
        <v>45469.675312500003</v>
      </c>
      <c r="G238" s="51">
        <v>45922</v>
      </c>
      <c r="H238">
        <v>47459.450000000004</v>
      </c>
      <c r="I238" t="s">
        <v>18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2</v>
      </c>
      <c r="T238">
        <v>0.9</v>
      </c>
      <c r="U238">
        <v>0</v>
      </c>
      <c r="V238">
        <v>1</v>
      </c>
      <c r="W238">
        <v>0</v>
      </c>
      <c r="X238">
        <v>0</v>
      </c>
      <c r="Y238">
        <v>0</v>
      </c>
    </row>
    <row r="239" spans="1:25" x14ac:dyDescent="0.3">
      <c r="A239">
        <v>302400090</v>
      </c>
      <c r="B239" t="s">
        <v>765</v>
      </c>
      <c r="C239" t="s">
        <v>939</v>
      </c>
      <c r="D239" t="s">
        <v>940</v>
      </c>
      <c r="E239" s="26">
        <v>45460.615104166667</v>
      </c>
      <c r="F239" s="26">
        <v>45475.615104166667</v>
      </c>
      <c r="G239" s="51">
        <v>45922</v>
      </c>
      <c r="H239">
        <v>47414.68</v>
      </c>
      <c r="I239" t="s">
        <v>18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2</v>
      </c>
      <c r="T239">
        <v>0.9</v>
      </c>
      <c r="U239">
        <v>0</v>
      </c>
      <c r="V239">
        <v>1</v>
      </c>
      <c r="W239">
        <v>0</v>
      </c>
      <c r="X239">
        <v>0</v>
      </c>
      <c r="Y239">
        <v>0</v>
      </c>
    </row>
    <row r="240" spans="1:25" x14ac:dyDescent="0.3">
      <c r="A240">
        <v>302400091</v>
      </c>
      <c r="B240" t="s">
        <v>765</v>
      </c>
      <c r="C240" t="s">
        <v>939</v>
      </c>
      <c r="D240" t="s">
        <v>941</v>
      </c>
      <c r="E240" s="26">
        <v>45459.663310185184</v>
      </c>
      <c r="F240" s="26">
        <v>45475.663310185184</v>
      </c>
      <c r="G240" s="51">
        <v>45922</v>
      </c>
      <c r="H240">
        <v>47558.830000000016</v>
      </c>
      <c r="I240" t="s">
        <v>18</v>
      </c>
      <c r="J240">
        <v>1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2</v>
      </c>
      <c r="T240">
        <v>0.9</v>
      </c>
      <c r="U240">
        <v>0</v>
      </c>
      <c r="V240">
        <v>1</v>
      </c>
      <c r="W240">
        <v>0</v>
      </c>
      <c r="X240">
        <v>0</v>
      </c>
      <c r="Y240">
        <v>0</v>
      </c>
    </row>
    <row r="241" spans="1:25" x14ac:dyDescent="0.3">
      <c r="A241">
        <v>652400130</v>
      </c>
      <c r="B241" t="s">
        <v>765</v>
      </c>
      <c r="C241" t="s">
        <v>935</v>
      </c>
      <c r="D241" t="s">
        <v>936</v>
      </c>
      <c r="E241" s="26">
        <v>45465.351736111108</v>
      </c>
      <c r="F241" s="26">
        <v>45476.351736111108</v>
      </c>
      <c r="G241" s="51">
        <v>45922</v>
      </c>
      <c r="H241">
        <v>47357.15</v>
      </c>
      <c r="I241" t="s">
        <v>18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2</v>
      </c>
      <c r="T241">
        <v>0.9</v>
      </c>
      <c r="U241">
        <v>0</v>
      </c>
      <c r="V241">
        <v>1</v>
      </c>
      <c r="W241">
        <v>0</v>
      </c>
      <c r="X241">
        <v>0</v>
      </c>
      <c r="Y241">
        <v>0</v>
      </c>
    </row>
    <row r="242" spans="1:25" x14ac:dyDescent="0.3">
      <c r="A242">
        <v>502400061</v>
      </c>
      <c r="B242" t="s">
        <v>765</v>
      </c>
      <c r="C242" t="s">
        <v>942</v>
      </c>
      <c r="D242" t="s">
        <v>943</v>
      </c>
      <c r="E242" s="26">
        <v>45465.392627314817</v>
      </c>
      <c r="F242" s="26">
        <v>45477.392627314817</v>
      </c>
      <c r="G242" s="51">
        <v>45922</v>
      </c>
      <c r="H242">
        <v>46823.840000000004</v>
      </c>
      <c r="I242" t="s">
        <v>18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</v>
      </c>
      <c r="S242">
        <v>2</v>
      </c>
      <c r="T242">
        <v>0.9</v>
      </c>
      <c r="U242">
        <v>0</v>
      </c>
      <c r="V242">
        <v>1</v>
      </c>
      <c r="W242">
        <v>0</v>
      </c>
      <c r="X242">
        <v>0</v>
      </c>
      <c r="Y242">
        <v>0</v>
      </c>
    </row>
    <row r="243" spans="1:25" x14ac:dyDescent="0.3">
      <c r="A243">
        <v>502400064</v>
      </c>
      <c r="B243" t="s">
        <v>765</v>
      </c>
      <c r="C243" t="s">
        <v>942</v>
      </c>
      <c r="D243" t="s">
        <v>944</v>
      </c>
      <c r="E243" s="26">
        <v>45464.40084490741</v>
      </c>
      <c r="F243" s="26">
        <v>45477.40084490741</v>
      </c>
      <c r="G243" s="51">
        <v>45922</v>
      </c>
      <c r="H243">
        <v>46918.93</v>
      </c>
      <c r="I243" t="s">
        <v>18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</v>
      </c>
      <c r="S243">
        <v>2</v>
      </c>
      <c r="T243">
        <v>0.9</v>
      </c>
      <c r="U243">
        <v>0</v>
      </c>
      <c r="V243">
        <v>1</v>
      </c>
      <c r="W243">
        <v>0</v>
      </c>
      <c r="X243">
        <v>0</v>
      </c>
      <c r="Y243">
        <v>0</v>
      </c>
    </row>
    <row r="244" spans="1:25" x14ac:dyDescent="0.3">
      <c r="A244">
        <v>502400059</v>
      </c>
      <c r="B244" t="s">
        <v>765</v>
      </c>
      <c r="C244" t="s">
        <v>942</v>
      </c>
      <c r="D244" t="s">
        <v>782</v>
      </c>
      <c r="E244" s="26">
        <v>45454.662557870368</v>
      </c>
      <c r="F244" s="26">
        <v>45469.662557870368</v>
      </c>
      <c r="G244" s="51">
        <v>45922</v>
      </c>
      <c r="H244">
        <v>46806.89</v>
      </c>
      <c r="I244" t="s">
        <v>18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2</v>
      </c>
      <c r="T244">
        <v>0.9</v>
      </c>
      <c r="U244">
        <v>0</v>
      </c>
      <c r="V244">
        <v>1</v>
      </c>
      <c r="W244">
        <v>0</v>
      </c>
      <c r="X244">
        <v>0</v>
      </c>
      <c r="Y244">
        <v>0</v>
      </c>
    </row>
    <row r="245" spans="1:25" x14ac:dyDescent="0.3">
      <c r="A245">
        <v>402400203</v>
      </c>
      <c r="B245" t="s">
        <v>765</v>
      </c>
      <c r="C245" t="s">
        <v>766</v>
      </c>
      <c r="D245" t="s">
        <v>778</v>
      </c>
      <c r="E245" s="26">
        <v>45458.611990740741</v>
      </c>
      <c r="F245" s="26">
        <v>45469.611990740741</v>
      </c>
      <c r="G245" s="51">
        <v>45922</v>
      </c>
      <c r="H245">
        <v>46734.04</v>
      </c>
      <c r="I245" t="s">
        <v>18</v>
      </c>
      <c r="J245">
        <v>1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2</v>
      </c>
      <c r="T245">
        <v>0.9</v>
      </c>
      <c r="U245">
        <v>0</v>
      </c>
      <c r="V245">
        <v>1</v>
      </c>
      <c r="W245">
        <v>0</v>
      </c>
      <c r="X245">
        <v>0</v>
      </c>
      <c r="Y245">
        <v>0</v>
      </c>
    </row>
    <row r="246" spans="1:25" x14ac:dyDescent="0.3">
      <c r="A246">
        <v>102400216</v>
      </c>
      <c r="B246" t="s">
        <v>765</v>
      </c>
      <c r="C246" t="s">
        <v>925</v>
      </c>
      <c r="D246" t="s">
        <v>945</v>
      </c>
      <c r="E246" s="26">
        <v>45462.45753472222</v>
      </c>
      <c r="F246" s="26">
        <v>45474.45753472222</v>
      </c>
      <c r="G246" s="51">
        <v>45922</v>
      </c>
      <c r="H246">
        <v>46844.28</v>
      </c>
      <c r="I246" t="s">
        <v>18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2</v>
      </c>
      <c r="T246">
        <v>0.9</v>
      </c>
      <c r="U246">
        <v>0</v>
      </c>
      <c r="V246">
        <v>1</v>
      </c>
      <c r="W246">
        <v>0</v>
      </c>
      <c r="X246">
        <v>0</v>
      </c>
      <c r="Y246">
        <v>0</v>
      </c>
    </row>
    <row r="247" spans="1:25" x14ac:dyDescent="0.3">
      <c r="A247">
        <v>102400214</v>
      </c>
      <c r="B247" t="s">
        <v>765</v>
      </c>
      <c r="C247" t="s">
        <v>925</v>
      </c>
      <c r="D247" t="s">
        <v>946</v>
      </c>
      <c r="E247" s="26">
        <v>45461.439814814818</v>
      </c>
      <c r="F247" s="26">
        <v>45474.439814814818</v>
      </c>
      <c r="G247" s="51">
        <v>45922</v>
      </c>
      <c r="H247">
        <v>46938.830000000009</v>
      </c>
      <c r="I247" t="s">
        <v>18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2</v>
      </c>
      <c r="T247">
        <v>0.9</v>
      </c>
      <c r="U247">
        <v>0</v>
      </c>
      <c r="V247">
        <v>1</v>
      </c>
      <c r="W247">
        <v>0</v>
      </c>
      <c r="X247">
        <v>0</v>
      </c>
      <c r="Y247">
        <v>0</v>
      </c>
    </row>
    <row r="248" spans="1:25" x14ac:dyDescent="0.3">
      <c r="A248">
        <v>102400176</v>
      </c>
      <c r="B248" t="s">
        <v>765</v>
      </c>
      <c r="C248" t="s">
        <v>925</v>
      </c>
      <c r="D248" t="s">
        <v>947</v>
      </c>
      <c r="E248" s="26">
        <v>45455.606782407405</v>
      </c>
      <c r="F248" s="26">
        <v>45470.606782407405</v>
      </c>
      <c r="G248" s="51">
        <v>45922</v>
      </c>
      <c r="H248">
        <v>47376.25</v>
      </c>
      <c r="I248" t="s">
        <v>18</v>
      </c>
      <c r="J248">
        <v>1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</v>
      </c>
      <c r="S248">
        <v>2</v>
      </c>
      <c r="T248">
        <v>0.9</v>
      </c>
      <c r="U248">
        <v>0</v>
      </c>
      <c r="V248">
        <v>1</v>
      </c>
      <c r="W248">
        <v>0</v>
      </c>
      <c r="X248">
        <v>0</v>
      </c>
      <c r="Y248">
        <v>0</v>
      </c>
    </row>
    <row r="249" spans="1:25" x14ac:dyDescent="0.3">
      <c r="A249">
        <v>102400230</v>
      </c>
      <c r="B249" t="s">
        <v>765</v>
      </c>
      <c r="C249" t="s">
        <v>925</v>
      </c>
      <c r="D249" t="s">
        <v>948</v>
      </c>
      <c r="E249" s="26">
        <v>45460.692210648151</v>
      </c>
      <c r="F249" s="26">
        <v>45476.692210648151</v>
      </c>
      <c r="G249" s="51">
        <v>45922</v>
      </c>
      <c r="H249">
        <v>46999.28</v>
      </c>
      <c r="I249" t="s">
        <v>18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</v>
      </c>
      <c r="S249">
        <v>2</v>
      </c>
      <c r="T249">
        <v>0.9</v>
      </c>
      <c r="U249">
        <v>0</v>
      </c>
      <c r="V249">
        <v>1</v>
      </c>
      <c r="W249">
        <v>0</v>
      </c>
      <c r="X249">
        <v>0</v>
      </c>
      <c r="Y249">
        <v>0</v>
      </c>
    </row>
    <row r="250" spans="1:25" x14ac:dyDescent="0.3">
      <c r="A250">
        <v>102400217</v>
      </c>
      <c r="B250" t="s">
        <v>765</v>
      </c>
      <c r="C250" t="s">
        <v>925</v>
      </c>
      <c r="D250" t="s">
        <v>945</v>
      </c>
      <c r="E250" s="26">
        <v>45466.648888888885</v>
      </c>
      <c r="F250" s="26">
        <v>45477.648888888885</v>
      </c>
      <c r="G250" s="51">
        <v>45922</v>
      </c>
      <c r="H250">
        <v>46862.879999999997</v>
      </c>
      <c r="I250" t="s">
        <v>18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2</v>
      </c>
      <c r="T250">
        <v>0.9</v>
      </c>
      <c r="U250">
        <v>0</v>
      </c>
      <c r="V250">
        <v>1</v>
      </c>
      <c r="W250">
        <v>0</v>
      </c>
      <c r="X250">
        <v>0</v>
      </c>
      <c r="Y250">
        <v>0</v>
      </c>
    </row>
    <row r="251" spans="1:25" x14ac:dyDescent="0.3">
      <c r="A251">
        <v>102400218</v>
      </c>
      <c r="B251" t="s">
        <v>765</v>
      </c>
      <c r="C251" t="s">
        <v>925</v>
      </c>
      <c r="D251" t="s">
        <v>949</v>
      </c>
      <c r="E251" s="26">
        <v>45465.660081018519</v>
      </c>
      <c r="F251" s="26">
        <v>45477.660081018519</v>
      </c>
      <c r="G251" s="51">
        <v>45922</v>
      </c>
      <c r="H251">
        <v>46985.330000000016</v>
      </c>
      <c r="I251" t="s">
        <v>18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2</v>
      </c>
      <c r="T251">
        <v>0.9</v>
      </c>
      <c r="U251">
        <v>0</v>
      </c>
      <c r="V251">
        <v>1</v>
      </c>
      <c r="W251">
        <v>0</v>
      </c>
      <c r="X251">
        <v>0</v>
      </c>
      <c r="Y251">
        <v>0</v>
      </c>
    </row>
    <row r="252" spans="1:25" x14ac:dyDescent="0.3">
      <c r="A252">
        <v>102400219</v>
      </c>
      <c r="B252" t="s">
        <v>765</v>
      </c>
      <c r="C252" t="s">
        <v>925</v>
      </c>
      <c r="D252" t="s">
        <v>950</v>
      </c>
      <c r="E252" s="26">
        <v>45464.677719907406</v>
      </c>
      <c r="F252" s="26">
        <v>45477.677719907406</v>
      </c>
      <c r="G252" s="51">
        <v>45922</v>
      </c>
      <c r="H252">
        <v>47381.909999999996</v>
      </c>
      <c r="I252" t="s">
        <v>18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2</v>
      </c>
      <c r="T252">
        <v>0.9</v>
      </c>
      <c r="U252">
        <v>0</v>
      </c>
      <c r="V252">
        <v>1</v>
      </c>
      <c r="W252">
        <v>0</v>
      </c>
      <c r="X252">
        <v>0</v>
      </c>
      <c r="Y252">
        <v>0</v>
      </c>
    </row>
    <row r="253" spans="1:25" x14ac:dyDescent="0.3">
      <c r="A253">
        <v>102400229</v>
      </c>
      <c r="B253" t="s">
        <v>765</v>
      </c>
      <c r="C253" t="s">
        <v>925</v>
      </c>
      <c r="D253" t="s">
        <v>951</v>
      </c>
      <c r="E253" s="26">
        <v>45461.684745370374</v>
      </c>
      <c r="F253" s="26">
        <v>45476.684745370374</v>
      </c>
      <c r="G253" s="51">
        <v>45922</v>
      </c>
      <c r="H253">
        <v>46864.429999999993</v>
      </c>
      <c r="I253" t="s">
        <v>18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  <c r="S253">
        <v>2</v>
      </c>
      <c r="T253">
        <v>0.9</v>
      </c>
      <c r="U253">
        <v>0</v>
      </c>
      <c r="V253">
        <v>1</v>
      </c>
      <c r="W253">
        <v>0</v>
      </c>
      <c r="X253">
        <v>0</v>
      </c>
      <c r="Y253">
        <v>0</v>
      </c>
    </row>
    <row r="254" spans="1:25" x14ac:dyDescent="0.3">
      <c r="A254">
        <v>102400231</v>
      </c>
      <c r="B254" t="s">
        <v>765</v>
      </c>
      <c r="C254" t="s">
        <v>925</v>
      </c>
      <c r="D254" t="s">
        <v>952</v>
      </c>
      <c r="E254" s="26">
        <v>45466.384189814817</v>
      </c>
      <c r="F254" s="26">
        <v>45477.384189814817</v>
      </c>
      <c r="G254" s="51">
        <v>45922</v>
      </c>
      <c r="H254">
        <v>46912.480000000003</v>
      </c>
      <c r="I254" t="s">
        <v>18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</v>
      </c>
      <c r="S254">
        <v>2</v>
      </c>
      <c r="T254">
        <v>0.9</v>
      </c>
      <c r="U254">
        <v>0</v>
      </c>
      <c r="V254">
        <v>1</v>
      </c>
      <c r="W254">
        <v>0</v>
      </c>
      <c r="X254">
        <v>0</v>
      </c>
      <c r="Y254">
        <v>0</v>
      </c>
    </row>
    <row r="255" spans="1:25" x14ac:dyDescent="0.3">
      <c r="A255">
        <v>102400220</v>
      </c>
      <c r="B255" t="s">
        <v>765</v>
      </c>
      <c r="C255" t="s">
        <v>925</v>
      </c>
      <c r="D255" t="s">
        <v>833</v>
      </c>
      <c r="E255" s="26">
        <v>45465.694351851853</v>
      </c>
      <c r="F255" s="26">
        <v>45477.694351851853</v>
      </c>
      <c r="G255" s="51">
        <v>45922</v>
      </c>
      <c r="H255">
        <v>47357.33</v>
      </c>
      <c r="I255" t="s">
        <v>18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2</v>
      </c>
      <c r="T255">
        <v>0.9</v>
      </c>
      <c r="U255">
        <v>0</v>
      </c>
      <c r="V255">
        <v>1</v>
      </c>
      <c r="W255">
        <v>0</v>
      </c>
      <c r="X255">
        <v>0</v>
      </c>
      <c r="Y255">
        <v>0</v>
      </c>
    </row>
    <row r="256" spans="1:25" x14ac:dyDescent="0.3">
      <c r="A256">
        <v>102400204</v>
      </c>
      <c r="B256" t="s">
        <v>765</v>
      </c>
      <c r="C256" t="s">
        <v>925</v>
      </c>
      <c r="D256" t="s">
        <v>953</v>
      </c>
      <c r="E256" s="26">
        <v>45463.670370370368</v>
      </c>
      <c r="F256" s="26">
        <v>45476.670370370368</v>
      </c>
      <c r="G256" s="51">
        <v>45922</v>
      </c>
      <c r="H256">
        <v>46907.830000000024</v>
      </c>
      <c r="I256" t="s">
        <v>18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2</v>
      </c>
      <c r="T256">
        <v>0.9</v>
      </c>
      <c r="U256">
        <v>0</v>
      </c>
      <c r="V256">
        <v>1</v>
      </c>
      <c r="W256">
        <v>0</v>
      </c>
      <c r="X256">
        <v>0</v>
      </c>
      <c r="Y256">
        <v>0</v>
      </c>
    </row>
    <row r="257" spans="1:25" x14ac:dyDescent="0.3">
      <c r="A257">
        <v>102400193</v>
      </c>
      <c r="B257" t="s">
        <v>765</v>
      </c>
      <c r="C257" t="s">
        <v>925</v>
      </c>
      <c r="D257" t="s">
        <v>954</v>
      </c>
      <c r="E257" s="26">
        <v>45448.438298611109</v>
      </c>
      <c r="F257" s="26">
        <v>45463.438298611109</v>
      </c>
      <c r="G257" s="51">
        <v>45922</v>
      </c>
      <c r="H257">
        <v>47381.909999999996</v>
      </c>
      <c r="I257" t="s">
        <v>18</v>
      </c>
      <c r="J257">
        <v>1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2</v>
      </c>
      <c r="T257">
        <v>0.9</v>
      </c>
      <c r="U257">
        <v>0</v>
      </c>
      <c r="V257">
        <v>1</v>
      </c>
      <c r="W257">
        <v>0</v>
      </c>
      <c r="X257">
        <v>0</v>
      </c>
      <c r="Y257">
        <v>0</v>
      </c>
    </row>
    <row r="258" spans="1:25" x14ac:dyDescent="0.3">
      <c r="A258">
        <v>102400215</v>
      </c>
      <c r="B258" t="s">
        <v>765</v>
      </c>
      <c r="C258" t="s">
        <v>925</v>
      </c>
      <c r="D258" t="s">
        <v>946</v>
      </c>
      <c r="E258" s="26">
        <v>45458.44935185185</v>
      </c>
      <c r="F258" s="26">
        <v>45474.44935185185</v>
      </c>
      <c r="G258" s="51">
        <v>45922</v>
      </c>
      <c r="H258">
        <v>47381.909999999996</v>
      </c>
      <c r="I258" t="s">
        <v>18</v>
      </c>
      <c r="J258">
        <v>1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</v>
      </c>
      <c r="S258">
        <v>2</v>
      </c>
      <c r="T258">
        <v>0.9</v>
      </c>
      <c r="U258">
        <v>0</v>
      </c>
      <c r="V258">
        <v>1</v>
      </c>
      <c r="W258">
        <v>0</v>
      </c>
      <c r="X258">
        <v>0</v>
      </c>
      <c r="Y258">
        <v>0</v>
      </c>
    </row>
    <row r="259" spans="1:25" x14ac:dyDescent="0.3">
      <c r="A259">
        <v>102400185</v>
      </c>
      <c r="B259" t="s">
        <v>765</v>
      </c>
      <c r="C259" t="s">
        <v>925</v>
      </c>
      <c r="D259" t="s">
        <v>955</v>
      </c>
      <c r="E259" s="26">
        <v>45459.678148148145</v>
      </c>
      <c r="F259" s="26">
        <v>45470.678148148145</v>
      </c>
      <c r="G259" s="51">
        <v>45922</v>
      </c>
      <c r="H259">
        <v>47381.909999999996</v>
      </c>
      <c r="I259" t="s">
        <v>18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2</v>
      </c>
      <c r="T259">
        <v>0.9</v>
      </c>
      <c r="U259">
        <v>0</v>
      </c>
      <c r="V259">
        <v>1</v>
      </c>
      <c r="W259">
        <v>0</v>
      </c>
      <c r="X259">
        <v>0</v>
      </c>
      <c r="Y259">
        <v>0</v>
      </c>
    </row>
    <row r="260" spans="1:25" x14ac:dyDescent="0.3">
      <c r="A260">
        <v>102400213</v>
      </c>
      <c r="B260" t="s">
        <v>765</v>
      </c>
      <c r="C260" t="s">
        <v>925</v>
      </c>
      <c r="D260" t="s">
        <v>793</v>
      </c>
      <c r="E260" s="26">
        <v>45462.419907407406</v>
      </c>
      <c r="F260" s="26">
        <v>45474.419907407406</v>
      </c>
      <c r="G260" s="51">
        <v>45922</v>
      </c>
      <c r="H260">
        <v>47381.909999999996</v>
      </c>
      <c r="I260" t="s">
        <v>18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</v>
      </c>
      <c r="S260">
        <v>2</v>
      </c>
      <c r="T260">
        <v>0.9</v>
      </c>
      <c r="U260">
        <v>0</v>
      </c>
      <c r="V260">
        <v>1</v>
      </c>
      <c r="W260">
        <v>0</v>
      </c>
      <c r="X260">
        <v>0</v>
      </c>
      <c r="Y260">
        <v>0</v>
      </c>
    </row>
    <row r="261" spans="1:25" x14ac:dyDescent="0.3">
      <c r="A261">
        <v>102400227</v>
      </c>
      <c r="B261" t="s">
        <v>765</v>
      </c>
      <c r="C261" t="s">
        <v>925</v>
      </c>
      <c r="D261" t="s">
        <v>956</v>
      </c>
      <c r="E261" s="26">
        <v>45463.659907407404</v>
      </c>
      <c r="F261" s="26">
        <v>45476.659907407404</v>
      </c>
      <c r="G261" s="51">
        <v>45922</v>
      </c>
      <c r="H261">
        <v>47217.829999999994</v>
      </c>
      <c r="I261" t="s">
        <v>18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2</v>
      </c>
      <c r="T261">
        <v>0.9</v>
      </c>
      <c r="U261">
        <v>0</v>
      </c>
      <c r="V261">
        <v>1</v>
      </c>
      <c r="W261">
        <v>0</v>
      </c>
      <c r="X261">
        <v>0</v>
      </c>
      <c r="Y261">
        <v>0</v>
      </c>
    </row>
    <row r="262" spans="1:25" x14ac:dyDescent="0.3">
      <c r="A262">
        <v>102400232</v>
      </c>
      <c r="B262" t="s">
        <v>765</v>
      </c>
      <c r="C262" t="s">
        <v>925</v>
      </c>
      <c r="D262" t="s">
        <v>956</v>
      </c>
      <c r="E262" s="26">
        <v>45462.430173611108</v>
      </c>
      <c r="F262" s="26">
        <v>45477.430173611108</v>
      </c>
      <c r="G262" s="51">
        <v>45922</v>
      </c>
      <c r="H262">
        <v>46985.330000000009</v>
      </c>
      <c r="I262" t="s">
        <v>18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2</v>
      </c>
      <c r="T262">
        <v>0.9</v>
      </c>
      <c r="U262">
        <v>0</v>
      </c>
      <c r="V262">
        <v>1</v>
      </c>
      <c r="W262">
        <v>0</v>
      </c>
      <c r="X262">
        <v>0</v>
      </c>
      <c r="Y262">
        <v>0</v>
      </c>
    </row>
    <row r="263" spans="1:25" x14ac:dyDescent="0.3">
      <c r="A263">
        <v>102400228</v>
      </c>
      <c r="B263" t="s">
        <v>765</v>
      </c>
      <c r="C263" t="s">
        <v>925</v>
      </c>
      <c r="D263" t="s">
        <v>957</v>
      </c>
      <c r="E263" s="26">
        <v>45465.677303240744</v>
      </c>
      <c r="F263" s="26">
        <v>45476.677303240744</v>
      </c>
      <c r="G263" s="51">
        <v>45922</v>
      </c>
      <c r="H263">
        <v>46862.880000000012</v>
      </c>
      <c r="I263" t="s">
        <v>18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2</v>
      </c>
      <c r="T263">
        <v>0.9</v>
      </c>
      <c r="U263">
        <v>0</v>
      </c>
      <c r="V263">
        <v>1</v>
      </c>
      <c r="W263">
        <v>0</v>
      </c>
      <c r="X263">
        <v>0</v>
      </c>
      <c r="Y263">
        <v>0</v>
      </c>
    </row>
    <row r="264" spans="1:25" x14ac:dyDescent="0.3">
      <c r="A264">
        <v>102400199</v>
      </c>
      <c r="B264" t="s">
        <v>765</v>
      </c>
      <c r="C264" t="s">
        <v>925</v>
      </c>
      <c r="D264" t="s">
        <v>958</v>
      </c>
      <c r="E264" s="26">
        <v>45463.658854166664</v>
      </c>
      <c r="F264" s="26">
        <v>45475.658854166664</v>
      </c>
      <c r="G264" s="51">
        <v>45922</v>
      </c>
      <c r="H264">
        <v>46861.33</v>
      </c>
      <c r="I264" t="s">
        <v>18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2</v>
      </c>
      <c r="T264">
        <v>0.9</v>
      </c>
      <c r="U264">
        <v>0</v>
      </c>
      <c r="V264">
        <v>1</v>
      </c>
      <c r="W264">
        <v>0</v>
      </c>
      <c r="X264">
        <v>0</v>
      </c>
      <c r="Y264">
        <v>0</v>
      </c>
    </row>
    <row r="265" spans="1:25" x14ac:dyDescent="0.3">
      <c r="A265">
        <v>102400210</v>
      </c>
      <c r="B265" t="s">
        <v>765</v>
      </c>
      <c r="C265" t="s">
        <v>925</v>
      </c>
      <c r="D265" t="s">
        <v>959</v>
      </c>
      <c r="E265" s="26">
        <v>45464.631886574076</v>
      </c>
      <c r="F265" s="26">
        <v>45477.631886574076</v>
      </c>
      <c r="G265" s="51">
        <v>45922</v>
      </c>
      <c r="H265">
        <v>47309.279999999999</v>
      </c>
      <c r="I265" t="s">
        <v>18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</v>
      </c>
      <c r="S265">
        <v>2</v>
      </c>
      <c r="T265">
        <v>0.9</v>
      </c>
      <c r="U265">
        <v>0</v>
      </c>
      <c r="V265">
        <v>1</v>
      </c>
      <c r="W265">
        <v>0</v>
      </c>
      <c r="X265">
        <v>0</v>
      </c>
      <c r="Y265">
        <v>0</v>
      </c>
    </row>
    <row r="266" spans="1:25" x14ac:dyDescent="0.3">
      <c r="A266">
        <v>102400190</v>
      </c>
      <c r="B266" t="s">
        <v>765</v>
      </c>
      <c r="C266" t="s">
        <v>925</v>
      </c>
      <c r="D266" t="s">
        <v>960</v>
      </c>
      <c r="E266" s="26">
        <v>45455.697106481479</v>
      </c>
      <c r="F266" s="26">
        <v>45470.697106481479</v>
      </c>
      <c r="G266" s="51">
        <v>45922</v>
      </c>
      <c r="H266">
        <v>46862.880000000005</v>
      </c>
      <c r="I266" t="s">
        <v>18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</v>
      </c>
      <c r="S266">
        <v>2</v>
      </c>
      <c r="T266">
        <v>0.9</v>
      </c>
      <c r="U266">
        <v>0</v>
      </c>
      <c r="V266">
        <v>1</v>
      </c>
      <c r="W266">
        <v>0</v>
      </c>
      <c r="X266">
        <v>0</v>
      </c>
      <c r="Y266">
        <v>0</v>
      </c>
    </row>
    <row r="267" spans="1:25" x14ac:dyDescent="0.3">
      <c r="A267">
        <v>102400194</v>
      </c>
      <c r="B267" t="s">
        <v>765</v>
      </c>
      <c r="C267" t="s">
        <v>925</v>
      </c>
      <c r="D267" t="s">
        <v>961</v>
      </c>
      <c r="E267" s="26">
        <v>45455.61791666667</v>
      </c>
      <c r="F267" s="26">
        <v>45471.61791666667</v>
      </c>
      <c r="G267" s="51">
        <v>45922</v>
      </c>
      <c r="H267">
        <v>46999.280000000013</v>
      </c>
      <c r="I267" t="s">
        <v>18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2</v>
      </c>
      <c r="T267">
        <v>0.9</v>
      </c>
      <c r="U267">
        <v>0</v>
      </c>
      <c r="V267">
        <v>1</v>
      </c>
      <c r="W267">
        <v>0</v>
      </c>
      <c r="X267">
        <v>0</v>
      </c>
      <c r="Y267">
        <v>0</v>
      </c>
    </row>
    <row r="268" spans="1:25" x14ac:dyDescent="0.3">
      <c r="A268">
        <v>102400189</v>
      </c>
      <c r="B268" t="s">
        <v>765</v>
      </c>
      <c r="C268" t="s">
        <v>925</v>
      </c>
      <c r="D268" t="s">
        <v>960</v>
      </c>
      <c r="E268" s="26">
        <v>45459.693020833336</v>
      </c>
      <c r="F268" s="26">
        <v>45470.693020833336</v>
      </c>
      <c r="G268" s="51">
        <v>45922</v>
      </c>
      <c r="H268">
        <v>47381.909999999996</v>
      </c>
      <c r="I268" t="s">
        <v>18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</v>
      </c>
      <c r="S268">
        <v>2</v>
      </c>
      <c r="T268">
        <v>0.9</v>
      </c>
      <c r="U268">
        <v>0</v>
      </c>
      <c r="V268">
        <v>1</v>
      </c>
      <c r="W268">
        <v>0</v>
      </c>
      <c r="X268">
        <v>0</v>
      </c>
      <c r="Y268">
        <v>0</v>
      </c>
    </row>
    <row r="269" spans="1:25" x14ac:dyDescent="0.3">
      <c r="A269">
        <v>102400177</v>
      </c>
      <c r="B269" t="s">
        <v>765</v>
      </c>
      <c r="C269" t="s">
        <v>925</v>
      </c>
      <c r="D269" t="s">
        <v>962</v>
      </c>
      <c r="E269" s="26">
        <v>45458.616400462961</v>
      </c>
      <c r="F269" s="26">
        <v>45470.616400462961</v>
      </c>
      <c r="G269" s="51">
        <v>45922</v>
      </c>
      <c r="H269">
        <v>46892.33</v>
      </c>
      <c r="I269" t="s">
        <v>18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</v>
      </c>
      <c r="S269">
        <v>2</v>
      </c>
      <c r="T269">
        <v>0.9</v>
      </c>
      <c r="U269">
        <v>0</v>
      </c>
      <c r="V269">
        <v>1</v>
      </c>
      <c r="W269">
        <v>0</v>
      </c>
      <c r="X269">
        <v>0</v>
      </c>
      <c r="Y269">
        <v>0</v>
      </c>
    </row>
    <row r="270" spans="1:25" x14ac:dyDescent="0.3">
      <c r="A270">
        <v>102400178</v>
      </c>
      <c r="B270" t="s">
        <v>765</v>
      </c>
      <c r="C270" t="s">
        <v>925</v>
      </c>
      <c r="D270" t="s">
        <v>810</v>
      </c>
      <c r="E270" s="26">
        <v>45457.626516203702</v>
      </c>
      <c r="F270" s="26">
        <v>45470.626516203702</v>
      </c>
      <c r="G270" s="51">
        <v>45922</v>
      </c>
      <c r="H270">
        <v>47031.719999999994</v>
      </c>
      <c r="I270" t="s">
        <v>18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2</v>
      </c>
      <c r="T270">
        <v>0.9</v>
      </c>
      <c r="U270">
        <v>0</v>
      </c>
      <c r="V270">
        <v>1</v>
      </c>
      <c r="W270">
        <v>0</v>
      </c>
      <c r="X270">
        <v>0</v>
      </c>
      <c r="Y270">
        <v>0</v>
      </c>
    </row>
    <row r="271" spans="1:25" x14ac:dyDescent="0.3">
      <c r="A271">
        <v>102400188</v>
      </c>
      <c r="B271" t="s">
        <v>765</v>
      </c>
      <c r="C271" t="s">
        <v>925</v>
      </c>
      <c r="D271" t="s">
        <v>963</v>
      </c>
      <c r="E271" s="26">
        <v>45455.688831018517</v>
      </c>
      <c r="F271" s="26">
        <v>45470.688831018517</v>
      </c>
      <c r="G271" s="51">
        <v>45922</v>
      </c>
      <c r="H271">
        <v>46861.33</v>
      </c>
      <c r="I271" t="s">
        <v>18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</v>
      </c>
      <c r="S271">
        <v>2</v>
      </c>
      <c r="T271">
        <v>0.9</v>
      </c>
      <c r="U271">
        <v>0</v>
      </c>
      <c r="V271">
        <v>1</v>
      </c>
      <c r="W271">
        <v>0</v>
      </c>
      <c r="X271">
        <v>0</v>
      </c>
      <c r="Y271">
        <v>0</v>
      </c>
    </row>
    <row r="272" spans="1:25" x14ac:dyDescent="0.3">
      <c r="A272">
        <v>102400181</v>
      </c>
      <c r="B272" t="s">
        <v>765</v>
      </c>
      <c r="C272" t="s">
        <v>925</v>
      </c>
      <c r="D272" t="s">
        <v>810</v>
      </c>
      <c r="E272" s="26">
        <v>45459.652407407404</v>
      </c>
      <c r="F272" s="26">
        <v>45470.652407407404</v>
      </c>
      <c r="G272" s="51">
        <v>45922</v>
      </c>
      <c r="H272">
        <v>46822.58</v>
      </c>
      <c r="I272" t="s">
        <v>18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2</v>
      </c>
      <c r="T272">
        <v>0.9</v>
      </c>
      <c r="U272">
        <v>0</v>
      </c>
      <c r="V272">
        <v>1</v>
      </c>
      <c r="W272">
        <v>0</v>
      </c>
      <c r="X272">
        <v>0</v>
      </c>
      <c r="Y272">
        <v>0</v>
      </c>
    </row>
    <row r="273" spans="1:25" x14ac:dyDescent="0.3">
      <c r="A273">
        <v>102400186</v>
      </c>
      <c r="B273" t="s">
        <v>765</v>
      </c>
      <c r="C273" t="s">
        <v>925</v>
      </c>
      <c r="D273" t="s">
        <v>810</v>
      </c>
      <c r="E273" s="26">
        <v>45458.684328703705</v>
      </c>
      <c r="F273" s="26">
        <v>45470.684328703705</v>
      </c>
      <c r="G273" s="51">
        <v>45922</v>
      </c>
      <c r="H273">
        <v>47017.88</v>
      </c>
      <c r="I273" t="s">
        <v>18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</v>
      </c>
      <c r="S273">
        <v>2</v>
      </c>
      <c r="T273">
        <v>0.9</v>
      </c>
      <c r="U273">
        <v>0</v>
      </c>
      <c r="V273">
        <v>1</v>
      </c>
      <c r="W273">
        <v>0</v>
      </c>
      <c r="X273">
        <v>0</v>
      </c>
      <c r="Y273">
        <v>0</v>
      </c>
    </row>
    <row r="274" spans="1:25" x14ac:dyDescent="0.3">
      <c r="A274">
        <v>102400182</v>
      </c>
      <c r="B274" t="s">
        <v>765</v>
      </c>
      <c r="C274" t="s">
        <v>925</v>
      </c>
      <c r="D274" t="s">
        <v>850</v>
      </c>
      <c r="E274" s="26">
        <v>45457.665937500002</v>
      </c>
      <c r="F274" s="26">
        <v>45470.665937500002</v>
      </c>
      <c r="G274" s="51">
        <v>45922</v>
      </c>
      <c r="H274">
        <v>47381.909999999996</v>
      </c>
      <c r="I274" t="s">
        <v>18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2</v>
      </c>
      <c r="T274">
        <v>0.9</v>
      </c>
      <c r="U274">
        <v>0</v>
      </c>
      <c r="V274">
        <v>1</v>
      </c>
      <c r="W274">
        <v>0</v>
      </c>
      <c r="X274">
        <v>0</v>
      </c>
      <c r="Y274">
        <v>0</v>
      </c>
    </row>
    <row r="275" spans="1:25" x14ac:dyDescent="0.3">
      <c r="A275">
        <v>102400223</v>
      </c>
      <c r="B275" t="s">
        <v>765</v>
      </c>
      <c r="C275" t="s">
        <v>925</v>
      </c>
      <c r="D275" t="s">
        <v>850</v>
      </c>
      <c r="E275" s="26">
        <v>45461.575972222221</v>
      </c>
      <c r="F275" s="26">
        <v>45476.575972222221</v>
      </c>
      <c r="G275" s="51">
        <v>45922</v>
      </c>
      <c r="H275">
        <v>46791.580000000009</v>
      </c>
      <c r="I275" t="s">
        <v>18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</v>
      </c>
      <c r="S275">
        <v>2</v>
      </c>
      <c r="T275">
        <v>0.9</v>
      </c>
      <c r="U275">
        <v>0</v>
      </c>
      <c r="V275">
        <v>1</v>
      </c>
      <c r="W275">
        <v>0</v>
      </c>
      <c r="X275">
        <v>0</v>
      </c>
      <c r="Y275">
        <v>0</v>
      </c>
    </row>
    <row r="276" spans="1:25" x14ac:dyDescent="0.3">
      <c r="A276">
        <v>102400183</v>
      </c>
      <c r="B276" t="s">
        <v>765</v>
      </c>
      <c r="C276" t="s">
        <v>925</v>
      </c>
      <c r="D276" t="s">
        <v>964</v>
      </c>
      <c r="E276" s="26">
        <v>45454.673391203702</v>
      </c>
      <c r="F276" s="26">
        <v>45470.673391203702</v>
      </c>
      <c r="G276" s="51">
        <v>45922</v>
      </c>
      <c r="H276">
        <v>46741.98000000001</v>
      </c>
      <c r="I276" t="s">
        <v>18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</v>
      </c>
      <c r="S276">
        <v>2</v>
      </c>
      <c r="T276">
        <v>0.9</v>
      </c>
      <c r="U276">
        <v>0</v>
      </c>
      <c r="V276">
        <v>1</v>
      </c>
      <c r="W276">
        <v>0</v>
      </c>
      <c r="X276">
        <v>0</v>
      </c>
      <c r="Y276">
        <v>0</v>
      </c>
    </row>
    <row r="277" spans="1:25" x14ac:dyDescent="0.3">
      <c r="A277">
        <v>102400211</v>
      </c>
      <c r="B277" t="s">
        <v>765</v>
      </c>
      <c r="C277" t="s">
        <v>925</v>
      </c>
      <c r="D277" t="s">
        <v>965</v>
      </c>
      <c r="E277" s="26">
        <v>45463.39261574074</v>
      </c>
      <c r="F277" s="26">
        <v>45474.39261574074</v>
      </c>
      <c r="G277" s="51">
        <v>45922</v>
      </c>
      <c r="H277">
        <v>47381.909999999996</v>
      </c>
      <c r="I277" t="s">
        <v>18</v>
      </c>
      <c r="J277">
        <v>1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</v>
      </c>
      <c r="S277">
        <v>2</v>
      </c>
      <c r="T277">
        <v>0.9</v>
      </c>
      <c r="U277">
        <v>0</v>
      </c>
      <c r="V277">
        <v>1</v>
      </c>
      <c r="W277">
        <v>0</v>
      </c>
      <c r="X277">
        <v>0</v>
      </c>
      <c r="Y277">
        <v>0</v>
      </c>
    </row>
    <row r="278" spans="1:25" x14ac:dyDescent="0.3">
      <c r="A278">
        <v>102400212</v>
      </c>
      <c r="B278" t="s">
        <v>765</v>
      </c>
      <c r="C278" t="s">
        <v>925</v>
      </c>
      <c r="D278" t="s">
        <v>966</v>
      </c>
      <c r="E278" s="26">
        <v>45462.404062499998</v>
      </c>
      <c r="F278" s="26">
        <v>45474.404062499998</v>
      </c>
      <c r="G278" s="51">
        <v>45922</v>
      </c>
      <c r="H278">
        <v>46862.880000000005</v>
      </c>
      <c r="I278" t="s">
        <v>18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2</v>
      </c>
      <c r="T278">
        <v>0.9</v>
      </c>
      <c r="U278">
        <v>0</v>
      </c>
      <c r="V278">
        <v>1</v>
      </c>
      <c r="W278">
        <v>0</v>
      </c>
      <c r="X278">
        <v>0</v>
      </c>
      <c r="Y278">
        <v>0</v>
      </c>
    </row>
    <row r="279" spans="1:25" x14ac:dyDescent="0.3">
      <c r="A279">
        <v>102400206</v>
      </c>
      <c r="B279" t="s">
        <v>765</v>
      </c>
      <c r="C279" t="s">
        <v>925</v>
      </c>
      <c r="D279" t="s">
        <v>967</v>
      </c>
      <c r="E279" s="26">
        <v>45463.694664351853</v>
      </c>
      <c r="F279" s="26">
        <v>45476.694664351853</v>
      </c>
      <c r="G279" s="51">
        <v>45922</v>
      </c>
      <c r="H279">
        <v>46892.33</v>
      </c>
      <c r="I279" t="s">
        <v>18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2</v>
      </c>
      <c r="T279">
        <v>0.9</v>
      </c>
      <c r="U279">
        <v>0</v>
      </c>
      <c r="V279">
        <v>1</v>
      </c>
      <c r="W279">
        <v>0</v>
      </c>
      <c r="X279">
        <v>0</v>
      </c>
      <c r="Y279">
        <v>0</v>
      </c>
    </row>
    <row r="280" spans="1:25" x14ac:dyDescent="0.3">
      <c r="A280">
        <v>102400224</v>
      </c>
      <c r="B280" t="s">
        <v>765</v>
      </c>
      <c r="C280" t="s">
        <v>925</v>
      </c>
      <c r="D280" t="s">
        <v>967</v>
      </c>
      <c r="E280" s="26">
        <v>45461.590243055558</v>
      </c>
      <c r="F280" s="26">
        <v>45476.590243055558</v>
      </c>
      <c r="G280" s="51">
        <v>45922</v>
      </c>
      <c r="H280">
        <v>46862.879999999997</v>
      </c>
      <c r="I280" t="s">
        <v>18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</v>
      </c>
      <c r="S280">
        <v>2</v>
      </c>
      <c r="T280">
        <v>0.9</v>
      </c>
      <c r="U280">
        <v>0</v>
      </c>
      <c r="V280">
        <v>1</v>
      </c>
      <c r="W280">
        <v>0</v>
      </c>
      <c r="X280">
        <v>0</v>
      </c>
      <c r="Y280">
        <v>0</v>
      </c>
    </row>
    <row r="281" spans="1:25" x14ac:dyDescent="0.3">
      <c r="A281">
        <v>102400203</v>
      </c>
      <c r="B281" t="s">
        <v>765</v>
      </c>
      <c r="C281" t="s">
        <v>925</v>
      </c>
      <c r="D281" t="s">
        <v>938</v>
      </c>
      <c r="E281" s="26">
        <v>45465.656574074077</v>
      </c>
      <c r="F281" s="26">
        <v>45476.656574074077</v>
      </c>
      <c r="G281" s="51">
        <v>45922</v>
      </c>
      <c r="H281">
        <v>47056.630000000005</v>
      </c>
      <c r="I281" t="s">
        <v>18</v>
      </c>
      <c r="J281">
        <v>1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</v>
      </c>
      <c r="S281">
        <v>2</v>
      </c>
      <c r="T281">
        <v>0.9</v>
      </c>
      <c r="U281">
        <v>0</v>
      </c>
      <c r="V281">
        <v>1</v>
      </c>
      <c r="W281">
        <v>0</v>
      </c>
      <c r="X281">
        <v>0</v>
      </c>
      <c r="Y281">
        <v>0</v>
      </c>
    </row>
    <row r="282" spans="1:25" x14ac:dyDescent="0.3">
      <c r="A282">
        <v>102400202</v>
      </c>
      <c r="B282" t="s">
        <v>765</v>
      </c>
      <c r="C282" t="s">
        <v>925</v>
      </c>
      <c r="D282" t="s">
        <v>938</v>
      </c>
      <c r="E282" s="26">
        <v>45464.639421296299</v>
      </c>
      <c r="F282" s="26">
        <v>45476.639421296299</v>
      </c>
      <c r="G282" s="51">
        <v>45922</v>
      </c>
      <c r="H282">
        <v>46864.43</v>
      </c>
      <c r="I282" t="s">
        <v>18</v>
      </c>
      <c r="J282">
        <v>1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2</v>
      </c>
      <c r="T282">
        <v>0.9</v>
      </c>
      <c r="U282">
        <v>0</v>
      </c>
      <c r="V282">
        <v>1</v>
      </c>
      <c r="W282">
        <v>0</v>
      </c>
      <c r="X282">
        <v>0</v>
      </c>
      <c r="Y282">
        <v>0</v>
      </c>
    </row>
    <row r="283" spans="1:25" x14ac:dyDescent="0.3">
      <c r="A283">
        <v>102400201</v>
      </c>
      <c r="B283" t="s">
        <v>765</v>
      </c>
      <c r="C283" t="s">
        <v>925</v>
      </c>
      <c r="D283" t="s">
        <v>938</v>
      </c>
      <c r="E283" s="26">
        <v>45463.585844907408</v>
      </c>
      <c r="F283" s="26">
        <v>45476.585844907408</v>
      </c>
      <c r="G283" s="51">
        <v>45922</v>
      </c>
      <c r="H283">
        <v>47016.330000000009</v>
      </c>
      <c r="I283" t="s">
        <v>18</v>
      </c>
      <c r="J283">
        <v>1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2</v>
      </c>
      <c r="T283">
        <v>0.9</v>
      </c>
      <c r="U283">
        <v>0</v>
      </c>
      <c r="V283">
        <v>1</v>
      </c>
      <c r="W283">
        <v>0</v>
      </c>
      <c r="X283">
        <v>0</v>
      </c>
      <c r="Y283">
        <v>0</v>
      </c>
    </row>
    <row r="284" spans="1:25" x14ac:dyDescent="0.3">
      <c r="A284">
        <v>102400222</v>
      </c>
      <c r="B284" t="s">
        <v>765</v>
      </c>
      <c r="C284" t="s">
        <v>925</v>
      </c>
      <c r="D284" t="s">
        <v>770</v>
      </c>
      <c r="E284" s="26">
        <v>45461.369305555556</v>
      </c>
      <c r="F284" s="26">
        <v>45476.369305555556</v>
      </c>
      <c r="G284" s="51">
        <v>45922</v>
      </c>
      <c r="H284">
        <v>47152.73</v>
      </c>
      <c r="I284" t="s">
        <v>18</v>
      </c>
      <c r="J284">
        <v>1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</v>
      </c>
      <c r="S284">
        <v>2</v>
      </c>
      <c r="T284">
        <v>0.9</v>
      </c>
      <c r="U284">
        <v>0</v>
      </c>
      <c r="V284">
        <v>1</v>
      </c>
      <c r="W284">
        <v>0</v>
      </c>
      <c r="X284">
        <v>0</v>
      </c>
      <c r="Y284">
        <v>0</v>
      </c>
    </row>
    <row r="285" spans="1:25" x14ac:dyDescent="0.3">
      <c r="A285">
        <v>102400180</v>
      </c>
      <c r="B285" t="s">
        <v>765</v>
      </c>
      <c r="C285" t="s">
        <v>925</v>
      </c>
      <c r="D285" t="s">
        <v>968</v>
      </c>
      <c r="E285" s="26">
        <v>45454.633726851855</v>
      </c>
      <c r="F285" s="26">
        <v>45470.633726851855</v>
      </c>
      <c r="G285" s="51">
        <v>45922</v>
      </c>
      <c r="H285">
        <v>47381.909999999996</v>
      </c>
      <c r="I285" t="s">
        <v>18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2</v>
      </c>
      <c r="T285">
        <v>0.9</v>
      </c>
      <c r="U285">
        <v>0</v>
      </c>
      <c r="V285">
        <v>1</v>
      </c>
      <c r="W285">
        <v>0</v>
      </c>
      <c r="X285">
        <v>0</v>
      </c>
      <c r="Y285">
        <v>0</v>
      </c>
    </row>
    <row r="286" spans="1:25" x14ac:dyDescent="0.3">
      <c r="A286">
        <v>102400226</v>
      </c>
      <c r="B286" t="s">
        <v>765</v>
      </c>
      <c r="C286" t="s">
        <v>925</v>
      </c>
      <c r="D286" t="s">
        <v>968</v>
      </c>
      <c r="E286" s="26">
        <v>45465.644861111112</v>
      </c>
      <c r="F286" s="26">
        <v>45476.644861111112</v>
      </c>
      <c r="G286" s="51">
        <v>45922</v>
      </c>
      <c r="H286">
        <v>47381.910000000011</v>
      </c>
      <c r="I286" t="s">
        <v>18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2</v>
      </c>
      <c r="T286">
        <v>0.9</v>
      </c>
      <c r="U286">
        <v>0</v>
      </c>
      <c r="V286">
        <v>1</v>
      </c>
      <c r="W286">
        <v>0</v>
      </c>
      <c r="X286">
        <v>0</v>
      </c>
      <c r="Y286">
        <v>0</v>
      </c>
    </row>
    <row r="287" spans="1:25" x14ac:dyDescent="0.3">
      <c r="A287">
        <v>102400225</v>
      </c>
      <c r="B287" t="s">
        <v>765</v>
      </c>
      <c r="C287" t="s">
        <v>925</v>
      </c>
      <c r="D287" t="s">
        <v>968</v>
      </c>
      <c r="E287" s="26">
        <v>45464.618738425925</v>
      </c>
      <c r="F287" s="26">
        <v>45476.618738425925</v>
      </c>
      <c r="G287" s="51">
        <v>45922</v>
      </c>
      <c r="H287">
        <v>47047.33</v>
      </c>
      <c r="I287" t="s">
        <v>18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2</v>
      </c>
      <c r="T287">
        <v>0.9</v>
      </c>
      <c r="U287">
        <v>0</v>
      </c>
      <c r="V287">
        <v>1</v>
      </c>
      <c r="W287">
        <v>0</v>
      </c>
      <c r="X287">
        <v>0</v>
      </c>
      <c r="Y287">
        <v>0</v>
      </c>
    </row>
    <row r="288" spans="1:25" x14ac:dyDescent="0.3">
      <c r="A288">
        <v>102400187</v>
      </c>
      <c r="B288" t="s">
        <v>765</v>
      </c>
      <c r="C288" t="s">
        <v>925</v>
      </c>
      <c r="D288" t="s">
        <v>969</v>
      </c>
      <c r="E288" s="26">
        <v>45450.432951388888</v>
      </c>
      <c r="F288" s="26">
        <v>45463.432951388888</v>
      </c>
      <c r="G288" s="51">
        <v>45922</v>
      </c>
      <c r="H288">
        <v>47381.910000000011</v>
      </c>
      <c r="I288" t="s">
        <v>18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2</v>
      </c>
      <c r="T288">
        <v>0.9</v>
      </c>
      <c r="U288">
        <v>0</v>
      </c>
      <c r="V288">
        <v>1</v>
      </c>
      <c r="W288">
        <v>0</v>
      </c>
      <c r="X288">
        <v>0</v>
      </c>
      <c r="Y288">
        <v>0</v>
      </c>
    </row>
    <row r="289" spans="1:25" x14ac:dyDescent="0.3">
      <c r="A289">
        <v>102400191</v>
      </c>
      <c r="B289" t="s">
        <v>765</v>
      </c>
      <c r="C289" t="s">
        <v>925</v>
      </c>
      <c r="D289" t="s">
        <v>970</v>
      </c>
      <c r="E289" s="26">
        <v>45456.599027777775</v>
      </c>
      <c r="F289" s="26">
        <v>45471.599027777775</v>
      </c>
      <c r="G289" s="51">
        <v>45922</v>
      </c>
      <c r="H289">
        <v>47381.909999999996</v>
      </c>
      <c r="I289" t="s">
        <v>18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2</v>
      </c>
      <c r="T289">
        <v>0.9</v>
      </c>
      <c r="U289">
        <v>0</v>
      </c>
      <c r="V289">
        <v>1</v>
      </c>
      <c r="W289">
        <v>0</v>
      </c>
      <c r="X289">
        <v>0</v>
      </c>
      <c r="Y289">
        <v>0</v>
      </c>
    </row>
    <row r="290" spans="1:25" x14ac:dyDescent="0.3">
      <c r="A290">
        <v>102400192</v>
      </c>
      <c r="B290" t="s">
        <v>765</v>
      </c>
      <c r="C290" t="s">
        <v>925</v>
      </c>
      <c r="D290" t="s">
        <v>970</v>
      </c>
      <c r="E290" s="26">
        <v>45460.60837962963</v>
      </c>
      <c r="F290" s="26">
        <v>45471.60837962963</v>
      </c>
      <c r="G290" s="51">
        <v>45922</v>
      </c>
      <c r="H290">
        <v>47047.33</v>
      </c>
      <c r="I290" t="s">
        <v>18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2</v>
      </c>
      <c r="T290">
        <v>0.9</v>
      </c>
      <c r="U290">
        <v>0</v>
      </c>
      <c r="V290">
        <v>1</v>
      </c>
      <c r="W290">
        <v>0</v>
      </c>
      <c r="X290">
        <v>0</v>
      </c>
      <c r="Y290">
        <v>0</v>
      </c>
    </row>
    <row r="291" spans="1:25" x14ac:dyDescent="0.3">
      <c r="A291">
        <v>102400200</v>
      </c>
      <c r="B291" t="s">
        <v>765</v>
      </c>
      <c r="C291" t="s">
        <v>925</v>
      </c>
      <c r="D291" t="s">
        <v>971</v>
      </c>
      <c r="E291" s="26">
        <v>45463.682650462964</v>
      </c>
      <c r="F291" s="26">
        <v>45475.682650462964</v>
      </c>
      <c r="G291" s="51">
        <v>45922</v>
      </c>
      <c r="H291">
        <v>47219.380000000005</v>
      </c>
      <c r="I291" t="s">
        <v>18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</v>
      </c>
      <c r="S291">
        <v>2</v>
      </c>
      <c r="T291">
        <v>0.9</v>
      </c>
      <c r="U291">
        <v>0</v>
      </c>
      <c r="V291">
        <v>1</v>
      </c>
      <c r="W291">
        <v>0</v>
      </c>
      <c r="X291">
        <v>0</v>
      </c>
      <c r="Y291">
        <v>0</v>
      </c>
    </row>
    <row r="292" spans="1:25" x14ac:dyDescent="0.3">
      <c r="A292">
        <v>102400195</v>
      </c>
      <c r="B292" t="s">
        <v>765</v>
      </c>
      <c r="C292" t="s">
        <v>925</v>
      </c>
      <c r="D292" t="s">
        <v>938</v>
      </c>
      <c r="E292" s="26">
        <v>45458.62462962963</v>
      </c>
      <c r="F292" s="26">
        <v>45471.62462962963</v>
      </c>
      <c r="G292" s="51">
        <v>45922</v>
      </c>
      <c r="H292">
        <v>47381.910000000011</v>
      </c>
      <c r="I292" t="s">
        <v>18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2</v>
      </c>
      <c r="T292">
        <v>0.9</v>
      </c>
      <c r="U292">
        <v>0</v>
      </c>
      <c r="V292">
        <v>1</v>
      </c>
      <c r="W292">
        <v>0</v>
      </c>
      <c r="X292">
        <v>0</v>
      </c>
      <c r="Y292">
        <v>0</v>
      </c>
    </row>
    <row r="293" spans="1:25" x14ac:dyDescent="0.3">
      <c r="A293">
        <v>102400196</v>
      </c>
      <c r="B293" t="s">
        <v>765</v>
      </c>
      <c r="C293" t="s">
        <v>925</v>
      </c>
      <c r="D293" t="s">
        <v>938</v>
      </c>
      <c r="E293" s="26">
        <v>45456.645277777781</v>
      </c>
      <c r="F293" s="26">
        <v>45471.645277777781</v>
      </c>
      <c r="G293" s="51">
        <v>45922</v>
      </c>
      <c r="H293">
        <v>46817.82</v>
      </c>
      <c r="I293" t="s">
        <v>18</v>
      </c>
      <c r="J293">
        <v>1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2</v>
      </c>
      <c r="T293">
        <v>0.9</v>
      </c>
      <c r="U293">
        <v>0</v>
      </c>
      <c r="V293">
        <v>1</v>
      </c>
      <c r="W293">
        <v>0</v>
      </c>
      <c r="X293">
        <v>0</v>
      </c>
      <c r="Y293">
        <v>0</v>
      </c>
    </row>
    <row r="294" spans="1:25" x14ac:dyDescent="0.3">
      <c r="A294">
        <v>102400198</v>
      </c>
      <c r="B294" t="s">
        <v>765</v>
      </c>
      <c r="C294" t="s">
        <v>925</v>
      </c>
      <c r="D294" t="s">
        <v>938</v>
      </c>
      <c r="E294" s="26">
        <v>45459.631111111114</v>
      </c>
      <c r="F294" s="26">
        <v>45475.631111111114</v>
      </c>
      <c r="G294" s="51">
        <v>45922</v>
      </c>
      <c r="H294">
        <v>46844.280000000013</v>
      </c>
      <c r="I294" t="s">
        <v>18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</v>
      </c>
      <c r="S294">
        <v>2</v>
      </c>
      <c r="T294">
        <v>0.9</v>
      </c>
      <c r="U294">
        <v>0</v>
      </c>
      <c r="V294">
        <v>1</v>
      </c>
      <c r="W294">
        <v>0</v>
      </c>
      <c r="X294">
        <v>0</v>
      </c>
      <c r="Y294">
        <v>0</v>
      </c>
    </row>
    <row r="295" spans="1:25" x14ac:dyDescent="0.3">
      <c r="A295">
        <v>102400205</v>
      </c>
      <c r="B295" t="s">
        <v>765</v>
      </c>
      <c r="C295" t="s">
        <v>925</v>
      </c>
      <c r="D295" t="s">
        <v>938</v>
      </c>
      <c r="E295" s="26">
        <v>45465.681689814817</v>
      </c>
      <c r="F295" s="26">
        <v>45476.681689814817</v>
      </c>
      <c r="G295" s="51">
        <v>45922</v>
      </c>
      <c r="H295">
        <v>46845.830000000009</v>
      </c>
      <c r="I295" t="s">
        <v>18</v>
      </c>
      <c r="J295">
        <v>1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2</v>
      </c>
      <c r="T295">
        <v>0.9</v>
      </c>
      <c r="U295">
        <v>0</v>
      </c>
      <c r="V295">
        <v>1</v>
      </c>
      <c r="W295">
        <v>0</v>
      </c>
      <c r="X295">
        <v>0</v>
      </c>
      <c r="Y295">
        <v>0</v>
      </c>
    </row>
    <row r="296" spans="1:25" x14ac:dyDescent="0.3">
      <c r="A296">
        <v>102400175</v>
      </c>
      <c r="B296" t="s">
        <v>765</v>
      </c>
      <c r="C296" t="s">
        <v>925</v>
      </c>
      <c r="D296" t="s">
        <v>972</v>
      </c>
      <c r="E296" s="26">
        <v>45457.726226851853</v>
      </c>
      <c r="F296" s="26">
        <v>45469.726226851853</v>
      </c>
      <c r="G296" s="51">
        <v>45922</v>
      </c>
      <c r="H296">
        <v>47236.12</v>
      </c>
      <c r="I296" t="s">
        <v>18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2</v>
      </c>
      <c r="T296">
        <v>0.9</v>
      </c>
      <c r="U296">
        <v>0</v>
      </c>
      <c r="V296">
        <v>1</v>
      </c>
      <c r="W296">
        <v>0</v>
      </c>
      <c r="X296">
        <v>0</v>
      </c>
      <c r="Y296">
        <v>0</v>
      </c>
    </row>
    <row r="297" spans="1:25" x14ac:dyDescent="0.3">
      <c r="A297">
        <v>102400197</v>
      </c>
      <c r="B297" t="s">
        <v>765</v>
      </c>
      <c r="C297" t="s">
        <v>925</v>
      </c>
      <c r="D297" t="s">
        <v>973</v>
      </c>
      <c r="E297" s="26">
        <v>45458.67496527778</v>
      </c>
      <c r="F297" s="26">
        <v>45471.67496527778</v>
      </c>
      <c r="G297" s="51">
        <v>45922</v>
      </c>
      <c r="H297">
        <v>46740.430000000015</v>
      </c>
      <c r="I297" t="s">
        <v>18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2</v>
      </c>
      <c r="T297">
        <v>0.9</v>
      </c>
      <c r="U297">
        <v>0</v>
      </c>
      <c r="V297">
        <v>1</v>
      </c>
      <c r="W297">
        <v>0</v>
      </c>
      <c r="X297">
        <v>0</v>
      </c>
      <c r="Y297">
        <v>0</v>
      </c>
    </row>
    <row r="298" spans="1:25" x14ac:dyDescent="0.3">
      <c r="A298">
        <v>102400209</v>
      </c>
      <c r="B298" t="s">
        <v>765</v>
      </c>
      <c r="C298" t="s">
        <v>925</v>
      </c>
      <c r="D298" t="s">
        <v>974</v>
      </c>
      <c r="E298" s="26">
        <v>45462.611689814818</v>
      </c>
      <c r="F298" s="26">
        <v>45477.611689814818</v>
      </c>
      <c r="G298" s="51">
        <v>45922</v>
      </c>
      <c r="H298">
        <v>47381.909999999996</v>
      </c>
      <c r="I298" t="s">
        <v>18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</v>
      </c>
      <c r="S298">
        <v>2</v>
      </c>
      <c r="T298">
        <v>0.9</v>
      </c>
      <c r="U298">
        <v>0</v>
      </c>
      <c r="V298">
        <v>1</v>
      </c>
      <c r="W298">
        <v>0</v>
      </c>
      <c r="X298">
        <v>0</v>
      </c>
      <c r="Y298">
        <v>0</v>
      </c>
    </row>
    <row r="299" spans="1:25" x14ac:dyDescent="0.3">
      <c r="A299">
        <v>102400208</v>
      </c>
      <c r="B299" t="s">
        <v>765</v>
      </c>
      <c r="C299" t="s">
        <v>925</v>
      </c>
      <c r="D299" t="s">
        <v>975</v>
      </c>
      <c r="E299" s="26">
        <v>45465.722129629627</v>
      </c>
      <c r="F299" s="26">
        <v>45476.722129629627</v>
      </c>
      <c r="G299" s="51">
        <v>45922</v>
      </c>
      <c r="H299">
        <v>46999.28</v>
      </c>
      <c r="I299" t="s">
        <v>18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</v>
      </c>
      <c r="S299">
        <v>2</v>
      </c>
      <c r="T299">
        <v>0.9</v>
      </c>
      <c r="U299">
        <v>0</v>
      </c>
      <c r="V299">
        <v>1</v>
      </c>
      <c r="W299">
        <v>0</v>
      </c>
      <c r="X299">
        <v>0</v>
      </c>
      <c r="Y299">
        <v>0</v>
      </c>
    </row>
    <row r="300" spans="1:25" x14ac:dyDescent="0.3">
      <c r="A300">
        <v>102400207</v>
      </c>
      <c r="B300" t="s">
        <v>765</v>
      </c>
      <c r="C300" t="s">
        <v>925</v>
      </c>
      <c r="D300" t="s">
        <v>976</v>
      </c>
      <c r="E300" s="26">
        <v>45464.707638888889</v>
      </c>
      <c r="F300" s="26">
        <v>45476.707638888889</v>
      </c>
      <c r="G300" s="51">
        <v>45922</v>
      </c>
      <c r="H300">
        <v>47381.909999999996</v>
      </c>
      <c r="I300" t="s">
        <v>18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</v>
      </c>
      <c r="S300">
        <v>2</v>
      </c>
      <c r="T300">
        <v>0.9</v>
      </c>
      <c r="U300">
        <v>0</v>
      </c>
      <c r="V300">
        <v>1</v>
      </c>
      <c r="W300">
        <v>0</v>
      </c>
      <c r="X300">
        <v>0</v>
      </c>
      <c r="Y300">
        <v>0</v>
      </c>
    </row>
    <row r="301" spans="1:25" x14ac:dyDescent="0.3">
      <c r="A301">
        <v>102400241</v>
      </c>
      <c r="B301" t="s">
        <v>765</v>
      </c>
      <c r="C301" t="s">
        <v>977</v>
      </c>
      <c r="D301" t="s">
        <v>978</v>
      </c>
      <c r="E301" s="26">
        <v>45465.650439814817</v>
      </c>
      <c r="F301" s="26">
        <v>45478.650439814817</v>
      </c>
      <c r="G301" s="51">
        <v>45922</v>
      </c>
      <c r="H301">
        <v>47605.329999999994</v>
      </c>
      <c r="I301" t="s">
        <v>18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</v>
      </c>
      <c r="S301">
        <v>2</v>
      </c>
      <c r="T301">
        <v>0.9</v>
      </c>
      <c r="U301">
        <v>0</v>
      </c>
      <c r="V301">
        <v>1</v>
      </c>
      <c r="W301">
        <v>0</v>
      </c>
      <c r="X301">
        <v>0</v>
      </c>
      <c r="Y301">
        <v>0</v>
      </c>
    </row>
    <row r="302" spans="1:25" x14ac:dyDescent="0.3">
      <c r="A302">
        <v>102400239</v>
      </c>
      <c r="B302" t="s">
        <v>765</v>
      </c>
      <c r="C302" t="s">
        <v>925</v>
      </c>
      <c r="D302" t="s">
        <v>949</v>
      </c>
      <c r="E302" s="26">
        <v>45462.663784722223</v>
      </c>
      <c r="F302" s="26">
        <v>45477.663784722223</v>
      </c>
      <c r="G302" s="51">
        <v>45922</v>
      </c>
      <c r="H302">
        <v>47058.179999999993</v>
      </c>
      <c r="I302" t="s">
        <v>18</v>
      </c>
      <c r="J302">
        <v>1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2</v>
      </c>
      <c r="T302">
        <v>0.9</v>
      </c>
      <c r="U302">
        <v>0</v>
      </c>
      <c r="V302">
        <v>1</v>
      </c>
      <c r="W302">
        <v>0</v>
      </c>
      <c r="X302">
        <v>0</v>
      </c>
      <c r="Y302">
        <v>0</v>
      </c>
    </row>
    <row r="303" spans="1:25" x14ac:dyDescent="0.3">
      <c r="A303">
        <v>102400235</v>
      </c>
      <c r="B303" t="s">
        <v>765</v>
      </c>
      <c r="C303" t="s">
        <v>925</v>
      </c>
      <c r="D303" t="s">
        <v>966</v>
      </c>
      <c r="E303" s="26">
        <v>45461.616377314815</v>
      </c>
      <c r="F303" s="26">
        <v>45477.616377314815</v>
      </c>
      <c r="G303" s="51">
        <v>45922</v>
      </c>
      <c r="H303">
        <v>46924.76999999999</v>
      </c>
      <c r="I303" t="s">
        <v>18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</v>
      </c>
      <c r="S303">
        <v>2</v>
      </c>
      <c r="T303">
        <v>0.9</v>
      </c>
      <c r="U303">
        <v>0</v>
      </c>
      <c r="V303">
        <v>1</v>
      </c>
      <c r="W303">
        <v>0</v>
      </c>
      <c r="X303">
        <v>0</v>
      </c>
      <c r="Y303">
        <v>0</v>
      </c>
    </row>
    <row r="304" spans="1:25" x14ac:dyDescent="0.3">
      <c r="A304">
        <v>102400237</v>
      </c>
      <c r="B304" t="s">
        <v>765</v>
      </c>
      <c r="C304" t="s">
        <v>925</v>
      </c>
      <c r="D304" t="s">
        <v>966</v>
      </c>
      <c r="E304" s="26">
        <v>45466.627337962964</v>
      </c>
      <c r="F304" s="26">
        <v>45477.627337962964</v>
      </c>
      <c r="G304" s="51">
        <v>45922</v>
      </c>
      <c r="H304">
        <v>46999.28</v>
      </c>
      <c r="I304" t="s">
        <v>18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  <c r="S304">
        <v>2</v>
      </c>
      <c r="T304">
        <v>0.9</v>
      </c>
      <c r="U304">
        <v>0</v>
      </c>
      <c r="V304">
        <v>1</v>
      </c>
      <c r="W304">
        <v>0</v>
      </c>
      <c r="X304">
        <v>0</v>
      </c>
      <c r="Y304">
        <v>0</v>
      </c>
    </row>
    <row r="305" spans="1:25" x14ac:dyDescent="0.3">
      <c r="A305">
        <v>102400242</v>
      </c>
      <c r="B305" t="s">
        <v>765</v>
      </c>
      <c r="C305" t="s">
        <v>925</v>
      </c>
      <c r="D305" t="s">
        <v>979</v>
      </c>
      <c r="E305" s="26">
        <v>45466.689756944441</v>
      </c>
      <c r="F305" s="26">
        <v>45478.689756944441</v>
      </c>
      <c r="G305" s="51">
        <v>45922</v>
      </c>
      <c r="H305">
        <v>47512.33</v>
      </c>
      <c r="I305" t="s">
        <v>18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2</v>
      </c>
      <c r="T305">
        <v>0.9</v>
      </c>
      <c r="U305">
        <v>0</v>
      </c>
      <c r="V305">
        <v>1</v>
      </c>
      <c r="W305">
        <v>0</v>
      </c>
      <c r="X305">
        <v>0</v>
      </c>
      <c r="Y305">
        <v>0</v>
      </c>
    </row>
    <row r="306" spans="1:25" x14ac:dyDescent="0.3">
      <c r="A306">
        <v>102400243</v>
      </c>
      <c r="B306" t="s">
        <v>765</v>
      </c>
      <c r="C306" t="s">
        <v>925</v>
      </c>
      <c r="D306" t="s">
        <v>980</v>
      </c>
      <c r="E306" s="26">
        <v>45465.703159722223</v>
      </c>
      <c r="F306" s="26">
        <v>45478.703159722223</v>
      </c>
      <c r="G306" s="51">
        <v>45922</v>
      </c>
      <c r="H306">
        <v>47017.880000000019</v>
      </c>
      <c r="I306" t="s">
        <v>18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</v>
      </c>
      <c r="S306">
        <v>2</v>
      </c>
      <c r="T306">
        <v>0.9</v>
      </c>
      <c r="U306">
        <v>0</v>
      </c>
      <c r="V306">
        <v>1</v>
      </c>
      <c r="W306">
        <v>0</v>
      </c>
      <c r="X306">
        <v>0</v>
      </c>
      <c r="Y306">
        <v>0</v>
      </c>
    </row>
    <row r="307" spans="1:25" x14ac:dyDescent="0.3">
      <c r="A307">
        <v>102400238</v>
      </c>
      <c r="B307" t="s">
        <v>765</v>
      </c>
      <c r="C307" t="s">
        <v>925</v>
      </c>
      <c r="D307" t="s">
        <v>981</v>
      </c>
      <c r="E307" s="26">
        <v>45462.654710648145</v>
      </c>
      <c r="F307" s="26">
        <v>45477.654710648145</v>
      </c>
      <c r="G307" s="51">
        <v>45922</v>
      </c>
      <c r="H307">
        <v>46969.830000000031</v>
      </c>
      <c r="I307" t="s">
        <v>18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2</v>
      </c>
      <c r="T307">
        <v>0.9</v>
      </c>
      <c r="U307">
        <v>0</v>
      </c>
      <c r="V307">
        <v>1</v>
      </c>
      <c r="W307">
        <v>0</v>
      </c>
      <c r="X307">
        <v>0</v>
      </c>
      <c r="Y307">
        <v>0</v>
      </c>
    </row>
    <row r="308" spans="1:25" x14ac:dyDescent="0.3">
      <c r="A308">
        <v>102400233</v>
      </c>
      <c r="B308" t="s">
        <v>765</v>
      </c>
      <c r="C308" t="s">
        <v>925</v>
      </c>
      <c r="D308" t="s">
        <v>800</v>
      </c>
      <c r="E308" s="26">
        <v>45466.602129629631</v>
      </c>
      <c r="F308" s="26">
        <v>45477.602129629631</v>
      </c>
      <c r="G308" s="51">
        <v>45922</v>
      </c>
      <c r="H308">
        <v>47155.830000000009</v>
      </c>
      <c r="I308" t="s">
        <v>18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2</v>
      </c>
      <c r="T308">
        <v>0.9</v>
      </c>
      <c r="U308">
        <v>0</v>
      </c>
      <c r="V308">
        <v>1</v>
      </c>
      <c r="W308">
        <v>0</v>
      </c>
      <c r="X308">
        <v>0</v>
      </c>
      <c r="Y308">
        <v>0</v>
      </c>
    </row>
    <row r="309" spans="1:25" x14ac:dyDescent="0.3">
      <c r="A309">
        <v>102400240</v>
      </c>
      <c r="B309" t="s">
        <v>765</v>
      </c>
      <c r="C309" t="s">
        <v>982</v>
      </c>
      <c r="D309" t="s">
        <v>983</v>
      </c>
      <c r="E309" s="26">
        <v>45466.633668981478</v>
      </c>
      <c r="F309" s="26">
        <v>45478.633668981478</v>
      </c>
      <c r="G309" s="51">
        <v>45922</v>
      </c>
      <c r="H309">
        <v>46997.73</v>
      </c>
      <c r="I309" t="s">
        <v>18</v>
      </c>
      <c r="J309">
        <v>1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</v>
      </c>
      <c r="S309">
        <v>2</v>
      </c>
      <c r="T309">
        <v>0.9</v>
      </c>
      <c r="U309">
        <v>0</v>
      </c>
      <c r="V309">
        <v>1</v>
      </c>
      <c r="W309">
        <v>0</v>
      </c>
      <c r="X309">
        <v>0</v>
      </c>
      <c r="Y309">
        <v>0</v>
      </c>
    </row>
    <row r="310" spans="1:25" x14ac:dyDescent="0.3">
      <c r="A310">
        <v>702400108</v>
      </c>
      <c r="B310" t="s">
        <v>765</v>
      </c>
      <c r="C310" t="s">
        <v>984</v>
      </c>
      <c r="D310" t="s">
        <v>985</v>
      </c>
      <c r="E310" s="26">
        <v>45464.467129629629</v>
      </c>
      <c r="F310" s="26">
        <v>45477.467129629629</v>
      </c>
      <c r="G310" s="51">
        <v>45922</v>
      </c>
      <c r="H310">
        <v>47639.24</v>
      </c>
      <c r="I310" t="s">
        <v>18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</v>
      </c>
      <c r="S310">
        <v>2</v>
      </c>
      <c r="T310">
        <v>0.9</v>
      </c>
      <c r="U310">
        <v>0</v>
      </c>
      <c r="V310">
        <v>1</v>
      </c>
      <c r="W310">
        <v>0</v>
      </c>
      <c r="X310">
        <v>0</v>
      </c>
      <c r="Y310">
        <v>0</v>
      </c>
    </row>
    <row r="311" spans="1:25" x14ac:dyDescent="0.3">
      <c r="A311">
        <v>702400109</v>
      </c>
      <c r="B311" t="s">
        <v>765</v>
      </c>
      <c r="C311" t="s">
        <v>984</v>
      </c>
      <c r="D311" t="s">
        <v>986</v>
      </c>
      <c r="E311" s="26">
        <v>45462.594733796293</v>
      </c>
      <c r="F311" s="26">
        <v>45477.594733796293</v>
      </c>
      <c r="G311" s="51">
        <v>45922</v>
      </c>
      <c r="H311">
        <v>47182.54</v>
      </c>
      <c r="I311" t="s">
        <v>18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2</v>
      </c>
      <c r="T311">
        <v>0.9</v>
      </c>
      <c r="U311">
        <v>0</v>
      </c>
      <c r="V311">
        <v>1</v>
      </c>
      <c r="W311">
        <v>0</v>
      </c>
      <c r="X311">
        <v>0</v>
      </c>
      <c r="Y311">
        <v>0</v>
      </c>
    </row>
    <row r="312" spans="1:25" x14ac:dyDescent="0.3">
      <c r="A312">
        <v>702400112</v>
      </c>
      <c r="B312" t="s">
        <v>765</v>
      </c>
      <c r="C312" t="s">
        <v>984</v>
      </c>
      <c r="D312" t="s">
        <v>986</v>
      </c>
      <c r="E312" s="26">
        <v>45462.666631944441</v>
      </c>
      <c r="F312" s="26">
        <v>45478.666631944441</v>
      </c>
      <c r="G312" s="51">
        <v>45922</v>
      </c>
      <c r="H312">
        <v>47468.799999999988</v>
      </c>
      <c r="I312" t="s">
        <v>18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</v>
      </c>
      <c r="S312">
        <v>2</v>
      </c>
      <c r="T312">
        <v>0.9</v>
      </c>
      <c r="U312">
        <v>0</v>
      </c>
      <c r="V312">
        <v>1</v>
      </c>
      <c r="W312">
        <v>0</v>
      </c>
      <c r="X312">
        <v>0</v>
      </c>
      <c r="Y312">
        <v>0</v>
      </c>
    </row>
    <row r="313" spans="1:25" x14ac:dyDescent="0.3">
      <c r="A313">
        <v>402400261</v>
      </c>
      <c r="B313" t="s">
        <v>765</v>
      </c>
      <c r="C313" t="s">
        <v>766</v>
      </c>
      <c r="D313" t="s">
        <v>947</v>
      </c>
      <c r="E313" s="26">
        <v>45467.720092592594</v>
      </c>
      <c r="F313" s="26">
        <v>45478.720092592594</v>
      </c>
      <c r="G313" s="51">
        <v>45922</v>
      </c>
      <c r="H313">
        <v>46837.89</v>
      </c>
      <c r="I313" t="s">
        <v>18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</v>
      </c>
      <c r="S313">
        <v>2</v>
      </c>
      <c r="T313">
        <v>0.9</v>
      </c>
      <c r="U313">
        <v>0</v>
      </c>
      <c r="V313">
        <v>1</v>
      </c>
      <c r="W313">
        <v>0</v>
      </c>
      <c r="X313">
        <v>0</v>
      </c>
      <c r="Y313">
        <v>0</v>
      </c>
    </row>
    <row r="314" spans="1:25" x14ac:dyDescent="0.3">
      <c r="A314">
        <v>402400262</v>
      </c>
      <c r="B314" t="s">
        <v>765</v>
      </c>
      <c r="C314" t="s">
        <v>766</v>
      </c>
      <c r="D314" t="s">
        <v>987</v>
      </c>
      <c r="E314" s="26">
        <v>45466.727812500001</v>
      </c>
      <c r="F314" s="26">
        <v>45478.727812500001</v>
      </c>
      <c r="G314" s="51">
        <v>45922</v>
      </c>
      <c r="H314">
        <v>46088.61</v>
      </c>
      <c r="I314" t="s">
        <v>18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</v>
      </c>
      <c r="S314">
        <v>2</v>
      </c>
      <c r="T314">
        <v>0.9</v>
      </c>
      <c r="U314">
        <v>0</v>
      </c>
      <c r="V314">
        <v>1</v>
      </c>
      <c r="W314">
        <v>0</v>
      </c>
      <c r="X314">
        <v>0</v>
      </c>
      <c r="Y314">
        <v>0</v>
      </c>
    </row>
    <row r="315" spans="1:25" x14ac:dyDescent="0.3">
      <c r="A315">
        <v>402400263</v>
      </c>
      <c r="B315" t="s">
        <v>765</v>
      </c>
      <c r="C315" t="s">
        <v>766</v>
      </c>
      <c r="D315" t="s">
        <v>988</v>
      </c>
      <c r="E315" s="26">
        <v>45465.73578703704</v>
      </c>
      <c r="F315" s="26">
        <v>45478.73578703704</v>
      </c>
      <c r="G315" s="51">
        <v>45922</v>
      </c>
      <c r="H315">
        <v>45972.46</v>
      </c>
      <c r="I315" t="s">
        <v>18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</v>
      </c>
      <c r="S315">
        <v>2</v>
      </c>
      <c r="T315">
        <v>0.9</v>
      </c>
      <c r="U315">
        <v>0</v>
      </c>
      <c r="V315">
        <v>1</v>
      </c>
      <c r="W315">
        <v>0</v>
      </c>
      <c r="X315">
        <v>0</v>
      </c>
      <c r="Y315">
        <v>0</v>
      </c>
    </row>
    <row r="316" spans="1:25" x14ac:dyDescent="0.3">
      <c r="A316">
        <v>402400264</v>
      </c>
      <c r="B316" t="s">
        <v>765</v>
      </c>
      <c r="C316" t="s">
        <v>766</v>
      </c>
      <c r="D316" t="s">
        <v>988</v>
      </c>
      <c r="E316" s="26">
        <v>45466.663159722222</v>
      </c>
      <c r="F316" s="26">
        <v>45481.663159722222</v>
      </c>
      <c r="G316" s="51">
        <v>45922</v>
      </c>
      <c r="H316">
        <v>46729.4</v>
      </c>
      <c r="I316" t="s">
        <v>18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</v>
      </c>
      <c r="S316">
        <v>2</v>
      </c>
      <c r="T316">
        <v>0.9</v>
      </c>
      <c r="U316">
        <v>0</v>
      </c>
      <c r="V316">
        <v>1</v>
      </c>
      <c r="W316">
        <v>0</v>
      </c>
      <c r="X316">
        <v>0</v>
      </c>
      <c r="Y316">
        <v>0</v>
      </c>
    </row>
    <row r="317" spans="1:25" x14ac:dyDescent="0.3">
      <c r="A317">
        <v>402400265</v>
      </c>
      <c r="B317" t="s">
        <v>765</v>
      </c>
      <c r="C317" t="s">
        <v>766</v>
      </c>
      <c r="D317" t="s">
        <v>989</v>
      </c>
      <c r="E317" s="26">
        <v>45470.684652777774</v>
      </c>
      <c r="F317" s="26">
        <v>45481.684652777774</v>
      </c>
      <c r="G317" s="51">
        <v>45922</v>
      </c>
      <c r="H317">
        <v>46929.34</v>
      </c>
      <c r="I317" t="s">
        <v>18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2</v>
      </c>
      <c r="T317">
        <v>0.9</v>
      </c>
      <c r="U317">
        <v>0</v>
      </c>
      <c r="V317">
        <v>1</v>
      </c>
      <c r="W317">
        <v>0</v>
      </c>
      <c r="X317">
        <v>0</v>
      </c>
      <c r="Y317">
        <v>0</v>
      </c>
    </row>
    <row r="318" spans="1:25" x14ac:dyDescent="0.3">
      <c r="A318">
        <v>402400218</v>
      </c>
      <c r="B318" t="s">
        <v>765</v>
      </c>
      <c r="C318" t="s">
        <v>766</v>
      </c>
      <c r="D318" t="s">
        <v>835</v>
      </c>
      <c r="E318" s="26">
        <v>45457.463252314818</v>
      </c>
      <c r="F318" s="26">
        <v>45469.463252314818</v>
      </c>
      <c r="G318" s="51">
        <v>45922</v>
      </c>
      <c r="H318">
        <v>46734.040000000008</v>
      </c>
      <c r="I318" t="s">
        <v>18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2</v>
      </c>
      <c r="T318">
        <v>0.9</v>
      </c>
      <c r="U318">
        <v>0</v>
      </c>
      <c r="V318">
        <v>1</v>
      </c>
      <c r="W318">
        <v>0</v>
      </c>
      <c r="X318">
        <v>0</v>
      </c>
      <c r="Y318">
        <v>0</v>
      </c>
    </row>
    <row r="319" spans="1:25" x14ac:dyDescent="0.3">
      <c r="A319">
        <v>402400217</v>
      </c>
      <c r="B319" t="s">
        <v>765</v>
      </c>
      <c r="C319" t="s">
        <v>923</v>
      </c>
      <c r="D319" t="s">
        <v>990</v>
      </c>
      <c r="E319" s="26">
        <v>45441.68246527778</v>
      </c>
      <c r="F319" s="26">
        <v>45454.68246527778</v>
      </c>
      <c r="G319" s="51">
        <v>45922</v>
      </c>
      <c r="H319">
        <v>46729.399999999994</v>
      </c>
      <c r="I319" t="s">
        <v>18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2</v>
      </c>
      <c r="T319">
        <v>0.9</v>
      </c>
      <c r="U319">
        <v>0</v>
      </c>
      <c r="V319">
        <v>1</v>
      </c>
      <c r="W319">
        <v>0</v>
      </c>
      <c r="X319">
        <v>0</v>
      </c>
      <c r="Y319">
        <v>0</v>
      </c>
    </row>
    <row r="320" spans="1:25" x14ac:dyDescent="0.3">
      <c r="A320">
        <v>402400206</v>
      </c>
      <c r="B320" t="s">
        <v>765</v>
      </c>
      <c r="C320" t="s">
        <v>766</v>
      </c>
      <c r="D320" t="s">
        <v>991</v>
      </c>
      <c r="E320" s="26">
        <v>45454.659236111111</v>
      </c>
      <c r="F320" s="26">
        <v>45469.659236111111</v>
      </c>
      <c r="G320" s="51">
        <v>45922</v>
      </c>
      <c r="H320">
        <v>46741.79</v>
      </c>
      <c r="I320" t="s">
        <v>18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</v>
      </c>
      <c r="S320">
        <v>2</v>
      </c>
      <c r="T320">
        <v>0.9</v>
      </c>
      <c r="U320">
        <v>0</v>
      </c>
      <c r="V320">
        <v>1</v>
      </c>
      <c r="W320">
        <v>0</v>
      </c>
      <c r="X320">
        <v>0</v>
      </c>
      <c r="Y320">
        <v>0</v>
      </c>
    </row>
    <row r="321" spans="1:25" x14ac:dyDescent="0.3">
      <c r="A321">
        <v>502400048</v>
      </c>
      <c r="B321" t="s">
        <v>765</v>
      </c>
      <c r="C321" t="s">
        <v>942</v>
      </c>
      <c r="D321" t="s">
        <v>992</v>
      </c>
      <c r="E321" s="26">
        <v>45465.757939814815</v>
      </c>
      <c r="F321" s="26">
        <v>45481.757939814815</v>
      </c>
      <c r="G321" s="51">
        <v>45922</v>
      </c>
      <c r="H321">
        <v>40123.089999999989</v>
      </c>
      <c r="I321" t="s">
        <v>18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</v>
      </c>
      <c r="S321">
        <v>2</v>
      </c>
      <c r="T321">
        <v>0.9</v>
      </c>
      <c r="U321">
        <v>1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>
        <v>502400051</v>
      </c>
      <c r="B322" t="s">
        <v>765</v>
      </c>
      <c r="C322" t="s">
        <v>942</v>
      </c>
      <c r="D322" t="s">
        <v>993</v>
      </c>
      <c r="E322" s="26">
        <v>45470.437361111108</v>
      </c>
      <c r="F322" s="26">
        <v>45481.437361111108</v>
      </c>
      <c r="G322" s="51">
        <v>45922</v>
      </c>
      <c r="H322">
        <v>40123.089999999997</v>
      </c>
      <c r="I322" t="s">
        <v>18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2</v>
      </c>
      <c r="T322">
        <v>0.9</v>
      </c>
      <c r="U322">
        <v>1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>
        <v>502400049</v>
      </c>
      <c r="B323" t="s">
        <v>765</v>
      </c>
      <c r="C323" t="s">
        <v>942</v>
      </c>
      <c r="D323" t="s">
        <v>994</v>
      </c>
      <c r="E323" s="26">
        <v>45469.398564814815</v>
      </c>
      <c r="F323" s="26">
        <v>45481.398564814815</v>
      </c>
      <c r="G323" s="51">
        <v>45922</v>
      </c>
      <c r="H323">
        <v>39997.54</v>
      </c>
      <c r="I323" t="s">
        <v>18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</v>
      </c>
      <c r="S323">
        <v>2</v>
      </c>
      <c r="T323">
        <v>0.9</v>
      </c>
      <c r="U323">
        <v>1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>
        <v>502400047</v>
      </c>
      <c r="B324" t="s">
        <v>765</v>
      </c>
      <c r="C324" t="s">
        <v>942</v>
      </c>
      <c r="D324" t="s">
        <v>995</v>
      </c>
      <c r="E324" s="26">
        <v>45468.752939814818</v>
      </c>
      <c r="F324" s="26">
        <v>45481.752939814818</v>
      </c>
      <c r="G324" s="51">
        <v>45922</v>
      </c>
      <c r="H324">
        <v>40150.989999999991</v>
      </c>
      <c r="I324" t="s">
        <v>18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2</v>
      </c>
      <c r="T324">
        <v>0.9</v>
      </c>
      <c r="U324">
        <v>1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>
        <v>502400046</v>
      </c>
      <c r="B325" t="s">
        <v>765</v>
      </c>
      <c r="C325" t="s">
        <v>942</v>
      </c>
      <c r="D325" t="s">
        <v>996</v>
      </c>
      <c r="E325" s="26">
        <v>45466.744340277779</v>
      </c>
      <c r="F325" s="26">
        <v>45481.744340277779</v>
      </c>
      <c r="G325" s="51">
        <v>45922</v>
      </c>
      <c r="H325">
        <v>40123.089999999997</v>
      </c>
      <c r="I325" t="s">
        <v>18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2</v>
      </c>
      <c r="T325">
        <v>0.9</v>
      </c>
      <c r="U325">
        <v>1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>
        <v>502400050</v>
      </c>
      <c r="B326" t="s">
        <v>765</v>
      </c>
      <c r="C326" t="s">
        <v>942</v>
      </c>
      <c r="D326" t="s">
        <v>997</v>
      </c>
      <c r="E326" s="26">
        <v>45470.424976851849</v>
      </c>
      <c r="F326" s="26">
        <v>45481.424976851849</v>
      </c>
      <c r="G326" s="51">
        <v>45922</v>
      </c>
      <c r="H326">
        <v>40009.939999999995</v>
      </c>
      <c r="I326" t="s">
        <v>18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2</v>
      </c>
      <c r="T326">
        <v>0.9</v>
      </c>
      <c r="U326">
        <v>1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>
        <v>652400090</v>
      </c>
      <c r="B327" t="s">
        <v>765</v>
      </c>
      <c r="C327" t="s">
        <v>922</v>
      </c>
      <c r="D327" t="s">
        <v>998</v>
      </c>
      <c r="E327" s="26">
        <v>45470.645682870374</v>
      </c>
      <c r="F327" s="26">
        <v>45482.645682870374</v>
      </c>
      <c r="G327" s="51">
        <v>45922</v>
      </c>
      <c r="H327">
        <v>40509.040000000001</v>
      </c>
      <c r="I327" t="s">
        <v>18</v>
      </c>
      <c r="J327">
        <v>1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2</v>
      </c>
      <c r="T327">
        <v>0.9</v>
      </c>
      <c r="U327">
        <v>1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>
        <v>652400089</v>
      </c>
      <c r="B328" t="s">
        <v>765</v>
      </c>
      <c r="C328" t="s">
        <v>922</v>
      </c>
      <c r="D328" t="s">
        <v>999</v>
      </c>
      <c r="E328" s="26">
        <v>45469.601157407407</v>
      </c>
      <c r="F328" s="26">
        <v>45482.601157407407</v>
      </c>
      <c r="G328" s="51">
        <v>45922</v>
      </c>
      <c r="H328">
        <v>40505.94000000001</v>
      </c>
      <c r="I328" t="s">
        <v>18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2</v>
      </c>
      <c r="T328">
        <v>0.9</v>
      </c>
      <c r="U328">
        <v>1</v>
      </c>
      <c r="V328">
        <v>0</v>
      </c>
      <c r="W328">
        <v>0</v>
      </c>
      <c r="X328">
        <v>0</v>
      </c>
      <c r="Y328">
        <v>0</v>
      </c>
    </row>
    <row r="329" spans="1:25" x14ac:dyDescent="0.3">
      <c r="A329">
        <v>652400108</v>
      </c>
      <c r="B329" t="s">
        <v>765</v>
      </c>
      <c r="C329" t="s">
        <v>920</v>
      </c>
      <c r="D329" t="s">
        <v>1000</v>
      </c>
      <c r="E329" s="26">
        <v>45468.64806712963</v>
      </c>
      <c r="F329" s="26">
        <v>45483.64806712963</v>
      </c>
      <c r="G329" s="51">
        <v>45922</v>
      </c>
      <c r="H329">
        <v>40257.94</v>
      </c>
      <c r="I329" t="s">
        <v>18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2</v>
      </c>
      <c r="T329">
        <v>0.9</v>
      </c>
      <c r="U329">
        <v>1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>
        <v>652400067</v>
      </c>
      <c r="B330" t="s">
        <v>765</v>
      </c>
      <c r="C330" t="s">
        <v>1001</v>
      </c>
      <c r="D330" t="s">
        <v>1002</v>
      </c>
      <c r="E330" s="26">
        <v>45462.594930555555</v>
      </c>
      <c r="F330" s="26">
        <v>45478.594930555555</v>
      </c>
      <c r="G330" s="51">
        <v>45922</v>
      </c>
      <c r="H330">
        <v>40106.039999999986</v>
      </c>
      <c r="I330" t="s">
        <v>18</v>
      </c>
      <c r="J330">
        <v>1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</v>
      </c>
      <c r="S330">
        <v>2</v>
      </c>
      <c r="T330">
        <v>0.9</v>
      </c>
      <c r="U330">
        <v>1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>
        <v>652400081</v>
      </c>
      <c r="B331" t="s">
        <v>765</v>
      </c>
      <c r="C331" t="s">
        <v>1001</v>
      </c>
      <c r="D331" t="s">
        <v>1003</v>
      </c>
      <c r="E331" s="26">
        <v>45470.445648148147</v>
      </c>
      <c r="F331" s="26">
        <v>45481.445648148147</v>
      </c>
      <c r="G331" s="51">
        <v>45922</v>
      </c>
      <c r="H331">
        <v>40123.089999999989</v>
      </c>
      <c r="I331" t="s">
        <v>18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2</v>
      </c>
      <c r="T331">
        <v>0.9</v>
      </c>
      <c r="U331">
        <v>1</v>
      </c>
      <c r="V331">
        <v>0</v>
      </c>
      <c r="W331">
        <v>0</v>
      </c>
      <c r="X331">
        <v>0</v>
      </c>
      <c r="Y331">
        <v>0</v>
      </c>
    </row>
    <row r="332" spans="1:25" x14ac:dyDescent="0.3">
      <c r="A332">
        <v>652400106</v>
      </c>
      <c r="B332" t="s">
        <v>765</v>
      </c>
      <c r="C332" t="s">
        <v>920</v>
      </c>
      <c r="D332" t="s">
        <v>1004</v>
      </c>
      <c r="E332" s="26">
        <v>45471.614699074074</v>
      </c>
      <c r="F332" s="26">
        <v>45483.614699074074</v>
      </c>
      <c r="G332" s="51">
        <v>45922</v>
      </c>
      <c r="H332">
        <v>40085.89</v>
      </c>
      <c r="I332" t="s">
        <v>18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2</v>
      </c>
      <c r="T332">
        <v>0.9</v>
      </c>
      <c r="U332">
        <v>1</v>
      </c>
      <c r="V332">
        <v>0</v>
      </c>
      <c r="W332">
        <v>0</v>
      </c>
      <c r="X332">
        <v>0</v>
      </c>
      <c r="Y332">
        <v>0</v>
      </c>
    </row>
    <row r="333" spans="1:25" x14ac:dyDescent="0.3">
      <c r="A333">
        <v>652400103</v>
      </c>
      <c r="B333" t="s">
        <v>765</v>
      </c>
      <c r="C333" t="s">
        <v>920</v>
      </c>
      <c r="D333" t="s">
        <v>921</v>
      </c>
      <c r="E333" s="26">
        <v>45469.45989583333</v>
      </c>
      <c r="F333" s="26">
        <v>45482.45989583333</v>
      </c>
      <c r="G333" s="51">
        <v>45922</v>
      </c>
      <c r="H333">
        <v>40276.54</v>
      </c>
      <c r="I333" t="s">
        <v>18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</v>
      </c>
      <c r="S333">
        <v>2</v>
      </c>
      <c r="T333">
        <v>0.9</v>
      </c>
      <c r="U333">
        <v>1</v>
      </c>
      <c r="V333">
        <v>0</v>
      </c>
      <c r="W333">
        <v>0</v>
      </c>
      <c r="X333">
        <v>0</v>
      </c>
      <c r="Y333">
        <v>0</v>
      </c>
    </row>
    <row r="334" spans="1:25" x14ac:dyDescent="0.3">
      <c r="A334">
        <v>652400105</v>
      </c>
      <c r="B334" t="s">
        <v>765</v>
      </c>
      <c r="C334" t="s">
        <v>920</v>
      </c>
      <c r="D334" t="s">
        <v>1005</v>
      </c>
      <c r="E334" s="26">
        <v>45467.469351851854</v>
      </c>
      <c r="F334" s="26">
        <v>45482.469351851854</v>
      </c>
      <c r="G334" s="51">
        <v>45922</v>
      </c>
      <c r="H334">
        <v>39502.659999999982</v>
      </c>
      <c r="I334" t="s">
        <v>18</v>
      </c>
      <c r="J334">
        <v>1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2</v>
      </c>
      <c r="T334">
        <v>0.9</v>
      </c>
      <c r="U334">
        <v>1</v>
      </c>
      <c r="V334">
        <v>0</v>
      </c>
      <c r="W334">
        <v>0</v>
      </c>
      <c r="X334">
        <v>0</v>
      </c>
      <c r="Y334">
        <v>0</v>
      </c>
    </row>
    <row r="335" spans="1:25" x14ac:dyDescent="0.3">
      <c r="A335">
        <v>652400109</v>
      </c>
      <c r="B335" t="s">
        <v>765</v>
      </c>
      <c r="C335" t="s">
        <v>920</v>
      </c>
      <c r="D335" t="s">
        <v>1000</v>
      </c>
      <c r="E335" s="26">
        <v>45472.654224537036</v>
      </c>
      <c r="F335" s="26">
        <v>45483.654224537036</v>
      </c>
      <c r="G335" s="51">
        <v>45922</v>
      </c>
      <c r="H335">
        <v>40150.979999999996</v>
      </c>
      <c r="I335" t="s">
        <v>18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2</v>
      </c>
      <c r="T335">
        <v>0.9</v>
      </c>
      <c r="U335">
        <v>1</v>
      </c>
      <c r="V335">
        <v>0</v>
      </c>
      <c r="W335">
        <v>0</v>
      </c>
      <c r="X335">
        <v>0</v>
      </c>
      <c r="Y335">
        <v>0</v>
      </c>
    </row>
    <row r="336" spans="1:25" x14ac:dyDescent="0.3">
      <c r="A336">
        <v>652400060</v>
      </c>
      <c r="B336" t="s">
        <v>765</v>
      </c>
      <c r="C336" t="s">
        <v>922</v>
      </c>
      <c r="D336" t="s">
        <v>998</v>
      </c>
      <c r="E336" s="26">
        <v>45466.395740740743</v>
      </c>
      <c r="F336" s="26">
        <v>45478.395740740743</v>
      </c>
      <c r="G336" s="51">
        <v>45922</v>
      </c>
      <c r="H336">
        <v>40877.939999999995</v>
      </c>
      <c r="I336" t="s">
        <v>18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2</v>
      </c>
      <c r="T336">
        <v>0.9</v>
      </c>
      <c r="U336">
        <v>1</v>
      </c>
      <c r="V336">
        <v>0</v>
      </c>
      <c r="W336">
        <v>0</v>
      </c>
      <c r="X336">
        <v>0</v>
      </c>
      <c r="Y336">
        <v>0</v>
      </c>
    </row>
    <row r="337" spans="1:25" x14ac:dyDescent="0.3">
      <c r="A337">
        <v>652400091</v>
      </c>
      <c r="B337" t="s">
        <v>765</v>
      </c>
      <c r="C337" t="s">
        <v>922</v>
      </c>
      <c r="D337" t="s">
        <v>998</v>
      </c>
      <c r="E337" s="26">
        <v>45469.664641203701</v>
      </c>
      <c r="F337" s="26">
        <v>45482.664641203701</v>
      </c>
      <c r="G337" s="51">
        <v>45922</v>
      </c>
      <c r="H337">
        <v>40602.039999999994</v>
      </c>
      <c r="I337" t="s">
        <v>18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2</v>
      </c>
      <c r="T337">
        <v>0.9</v>
      </c>
      <c r="U337">
        <v>1</v>
      </c>
      <c r="V337">
        <v>0</v>
      </c>
      <c r="W337">
        <v>0</v>
      </c>
      <c r="X337">
        <v>0</v>
      </c>
      <c r="Y337">
        <v>0</v>
      </c>
    </row>
    <row r="338" spans="1:25" x14ac:dyDescent="0.3">
      <c r="A338">
        <v>652400062</v>
      </c>
      <c r="B338" t="s">
        <v>765</v>
      </c>
      <c r="C338" t="s">
        <v>922</v>
      </c>
      <c r="D338" t="s">
        <v>998</v>
      </c>
      <c r="E338" s="26">
        <v>45463.424340277779</v>
      </c>
      <c r="F338" s="26">
        <v>45478.424340277779</v>
      </c>
      <c r="G338" s="51">
        <v>45922</v>
      </c>
      <c r="H338">
        <v>40199.039999999994</v>
      </c>
      <c r="I338" t="s">
        <v>18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2</v>
      </c>
      <c r="T338">
        <v>0.9</v>
      </c>
      <c r="U338">
        <v>1</v>
      </c>
      <c r="V338">
        <v>0</v>
      </c>
      <c r="W338">
        <v>0</v>
      </c>
      <c r="X338">
        <v>0</v>
      </c>
      <c r="Y338">
        <v>0</v>
      </c>
    </row>
    <row r="339" spans="1:25" x14ac:dyDescent="0.3">
      <c r="A339">
        <v>652400063</v>
      </c>
      <c r="B339" t="s">
        <v>765</v>
      </c>
      <c r="C339" t="s">
        <v>920</v>
      </c>
      <c r="D339" t="s">
        <v>1006</v>
      </c>
      <c r="E339" s="26">
        <v>45462.433252314811</v>
      </c>
      <c r="F339" s="26">
        <v>45478.433252314811</v>
      </c>
      <c r="G339" s="51">
        <v>45922</v>
      </c>
      <c r="H339">
        <v>40104.49</v>
      </c>
      <c r="I339" t="s">
        <v>18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2</v>
      </c>
      <c r="T339">
        <v>0.9</v>
      </c>
      <c r="U339">
        <v>1</v>
      </c>
      <c r="V339">
        <v>0</v>
      </c>
      <c r="W339">
        <v>0</v>
      </c>
      <c r="X339">
        <v>0</v>
      </c>
      <c r="Y339">
        <v>0</v>
      </c>
    </row>
    <row r="340" spans="1:25" x14ac:dyDescent="0.3">
      <c r="A340">
        <v>652400092</v>
      </c>
      <c r="B340" t="s">
        <v>765</v>
      </c>
      <c r="C340" t="s">
        <v>922</v>
      </c>
      <c r="D340" t="s">
        <v>998</v>
      </c>
      <c r="E340" s="26">
        <v>45471.69259259259</v>
      </c>
      <c r="F340" s="26">
        <v>45482.69259259259</v>
      </c>
      <c r="G340" s="51">
        <v>45922</v>
      </c>
      <c r="H340">
        <v>40056.44</v>
      </c>
      <c r="I340" t="s">
        <v>18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2</v>
      </c>
      <c r="T340">
        <v>0.9</v>
      </c>
      <c r="U340">
        <v>1</v>
      </c>
      <c r="V340">
        <v>0</v>
      </c>
      <c r="W340">
        <v>0</v>
      </c>
      <c r="X340">
        <v>0</v>
      </c>
      <c r="Y340">
        <v>0</v>
      </c>
    </row>
    <row r="341" spans="1:25" x14ac:dyDescent="0.3">
      <c r="A341">
        <v>652400099</v>
      </c>
      <c r="B341" t="s">
        <v>765</v>
      </c>
      <c r="C341" t="s">
        <v>920</v>
      </c>
      <c r="D341" t="s">
        <v>1007</v>
      </c>
      <c r="E341" s="26">
        <v>45470.435833333337</v>
      </c>
      <c r="F341" s="26">
        <v>45482.435833333337</v>
      </c>
      <c r="G341" s="51">
        <v>45922</v>
      </c>
      <c r="H341">
        <v>40006.829999999987</v>
      </c>
      <c r="I341" t="s">
        <v>18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</v>
      </c>
      <c r="S341">
        <v>2</v>
      </c>
      <c r="T341">
        <v>0.9</v>
      </c>
      <c r="U341">
        <v>1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>
        <v>652400093</v>
      </c>
      <c r="B342" t="s">
        <v>765</v>
      </c>
      <c r="C342" t="s">
        <v>922</v>
      </c>
      <c r="D342" t="s">
        <v>998</v>
      </c>
      <c r="E342" s="26">
        <v>45469.701921296299</v>
      </c>
      <c r="F342" s="26">
        <v>45482.701921296299</v>
      </c>
      <c r="G342" s="51">
        <v>45922</v>
      </c>
      <c r="H342">
        <v>40433.090000000004</v>
      </c>
      <c r="I342" t="s">
        <v>18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</v>
      </c>
      <c r="S342">
        <v>2</v>
      </c>
      <c r="T342">
        <v>0.9</v>
      </c>
      <c r="U342">
        <v>1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>
        <v>652400061</v>
      </c>
      <c r="B343" t="s">
        <v>765</v>
      </c>
      <c r="C343" t="s">
        <v>922</v>
      </c>
      <c r="D343" t="s">
        <v>998</v>
      </c>
      <c r="E343" s="26">
        <v>45463.417592592596</v>
      </c>
      <c r="F343" s="26">
        <v>45478.417592592596</v>
      </c>
      <c r="G343" s="51">
        <v>45922</v>
      </c>
      <c r="H343">
        <v>40123.089999999989</v>
      </c>
      <c r="I343" t="s">
        <v>18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2</v>
      </c>
      <c r="T343">
        <v>0.9</v>
      </c>
      <c r="U343">
        <v>1</v>
      </c>
      <c r="V343">
        <v>0</v>
      </c>
      <c r="W343">
        <v>0</v>
      </c>
      <c r="X343">
        <v>0</v>
      </c>
      <c r="Y343">
        <v>0</v>
      </c>
    </row>
    <row r="344" spans="1:25" x14ac:dyDescent="0.3">
      <c r="A344">
        <v>652400079</v>
      </c>
      <c r="B344" t="s">
        <v>765</v>
      </c>
      <c r="C344" t="s">
        <v>920</v>
      </c>
      <c r="D344" t="s">
        <v>1008</v>
      </c>
      <c r="E344" s="26">
        <v>45470.732141203705</v>
      </c>
      <c r="F344" s="26">
        <v>45481.732141203705</v>
      </c>
      <c r="G344" s="51">
        <v>45922</v>
      </c>
      <c r="H344">
        <v>40104.489999999991</v>
      </c>
      <c r="I344" t="s">
        <v>18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</v>
      </c>
      <c r="S344">
        <v>2</v>
      </c>
      <c r="T344">
        <v>0.9</v>
      </c>
      <c r="U344">
        <v>1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>
        <v>652400086</v>
      </c>
      <c r="B345" t="s">
        <v>765</v>
      </c>
      <c r="C345" t="s">
        <v>1001</v>
      </c>
      <c r="D345" t="s">
        <v>1003</v>
      </c>
      <c r="E345" s="26">
        <v>45470.408206018517</v>
      </c>
      <c r="F345" s="26">
        <v>45482.408206018517</v>
      </c>
      <c r="G345" s="51">
        <v>45922</v>
      </c>
      <c r="H345">
        <v>40028.539999999986</v>
      </c>
      <c r="I345" t="s">
        <v>18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2</v>
      </c>
      <c r="T345">
        <v>0.9</v>
      </c>
      <c r="U345">
        <v>1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>
        <v>652400104</v>
      </c>
      <c r="B346" t="s">
        <v>765</v>
      </c>
      <c r="C346" t="s">
        <v>920</v>
      </c>
      <c r="D346" t="s">
        <v>921</v>
      </c>
      <c r="E346" s="26">
        <v>45469.464270833334</v>
      </c>
      <c r="F346" s="26">
        <v>45482.464270833334</v>
      </c>
      <c r="G346" s="51">
        <v>45922</v>
      </c>
      <c r="H346">
        <v>40044.039999999994</v>
      </c>
      <c r="I346" t="s">
        <v>18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2</v>
      </c>
      <c r="T346">
        <v>0.9</v>
      </c>
      <c r="U346">
        <v>1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>
        <v>652400117</v>
      </c>
      <c r="B347" t="s">
        <v>765</v>
      </c>
      <c r="C347" t="s">
        <v>920</v>
      </c>
      <c r="D347" t="s">
        <v>921</v>
      </c>
      <c r="E347" s="26">
        <v>45468.354583333334</v>
      </c>
      <c r="F347" s="26">
        <v>45483.354583333334</v>
      </c>
      <c r="G347" s="51">
        <v>45922</v>
      </c>
      <c r="H347">
        <v>40462.539999999994</v>
      </c>
      <c r="I347" t="s">
        <v>18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</v>
      </c>
      <c r="S347">
        <v>2</v>
      </c>
      <c r="T347">
        <v>0.9</v>
      </c>
      <c r="U347">
        <v>1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>
        <v>652400121</v>
      </c>
      <c r="B348" t="s">
        <v>765</v>
      </c>
      <c r="C348" t="s">
        <v>920</v>
      </c>
      <c r="D348" t="s">
        <v>921</v>
      </c>
      <c r="E348" s="26">
        <v>45467.372175925928</v>
      </c>
      <c r="F348" s="26">
        <v>45483.372175925928</v>
      </c>
      <c r="G348" s="51">
        <v>45922</v>
      </c>
      <c r="H348">
        <v>39997.539999999994</v>
      </c>
      <c r="I348" t="s">
        <v>18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</v>
      </c>
      <c r="S348">
        <v>2</v>
      </c>
      <c r="T348">
        <v>0.9</v>
      </c>
      <c r="U348">
        <v>1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>
        <v>652400096</v>
      </c>
      <c r="B349" t="s">
        <v>765</v>
      </c>
      <c r="C349" t="s">
        <v>920</v>
      </c>
      <c r="D349" t="s">
        <v>1009</v>
      </c>
      <c r="E349" s="26">
        <v>45471.722650462965</v>
      </c>
      <c r="F349" s="26">
        <v>45482.722650462965</v>
      </c>
      <c r="G349" s="51">
        <v>45922</v>
      </c>
      <c r="H349">
        <v>40009.939999999995</v>
      </c>
      <c r="I349" t="s">
        <v>18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</v>
      </c>
      <c r="S349">
        <v>2</v>
      </c>
      <c r="T349">
        <v>0.9</v>
      </c>
      <c r="U349">
        <v>1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>
        <v>652400095</v>
      </c>
      <c r="B350" t="s">
        <v>765</v>
      </c>
      <c r="C350" t="s">
        <v>920</v>
      </c>
      <c r="D350" t="s">
        <v>1009</v>
      </c>
      <c r="E350" s="26">
        <v>45470.716087962966</v>
      </c>
      <c r="F350" s="26">
        <v>45482.716087962966</v>
      </c>
      <c r="G350" s="51">
        <v>45922</v>
      </c>
      <c r="H350">
        <v>40978.689999999988</v>
      </c>
      <c r="I350" t="s">
        <v>18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2</v>
      </c>
      <c r="T350">
        <v>0.9</v>
      </c>
      <c r="U350">
        <v>1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>
        <v>652400097</v>
      </c>
      <c r="B351" t="s">
        <v>765</v>
      </c>
      <c r="C351" t="s">
        <v>920</v>
      </c>
      <c r="D351" t="s">
        <v>1009</v>
      </c>
      <c r="E351" s="26">
        <v>45469.730740740742</v>
      </c>
      <c r="F351" s="26">
        <v>45482.730740740742</v>
      </c>
      <c r="G351" s="51">
        <v>45922</v>
      </c>
      <c r="H351">
        <v>40163.389999999992</v>
      </c>
      <c r="I351" t="s">
        <v>18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</v>
      </c>
      <c r="S351">
        <v>2</v>
      </c>
      <c r="T351">
        <v>0.9</v>
      </c>
      <c r="U351">
        <v>1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>
        <v>652400098</v>
      </c>
      <c r="B352" t="s">
        <v>765</v>
      </c>
      <c r="C352" t="s">
        <v>920</v>
      </c>
      <c r="D352" t="s">
        <v>1009</v>
      </c>
      <c r="E352" s="26">
        <v>45467.739398148151</v>
      </c>
      <c r="F352" s="26">
        <v>45482.739398148151</v>
      </c>
      <c r="G352" s="51">
        <v>45922</v>
      </c>
      <c r="H352">
        <v>40104.489999999991</v>
      </c>
      <c r="I352" t="s">
        <v>18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2</v>
      </c>
      <c r="T352">
        <v>0.9</v>
      </c>
      <c r="U352">
        <v>1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>
        <v>652400112</v>
      </c>
      <c r="B353" t="s">
        <v>765</v>
      </c>
      <c r="C353" t="s">
        <v>922</v>
      </c>
      <c r="D353" t="s">
        <v>999</v>
      </c>
      <c r="E353" s="26">
        <v>45472.691759259258</v>
      </c>
      <c r="F353" s="26">
        <v>45483.691759259258</v>
      </c>
      <c r="G353" s="51">
        <v>45922</v>
      </c>
      <c r="H353">
        <v>39983.589999999989</v>
      </c>
      <c r="I353" t="s">
        <v>18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</v>
      </c>
      <c r="S353">
        <v>2</v>
      </c>
      <c r="T353">
        <v>0.9</v>
      </c>
      <c r="U353">
        <v>1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>
        <v>652400068</v>
      </c>
      <c r="B354" t="s">
        <v>765</v>
      </c>
      <c r="C354" t="s">
        <v>1001</v>
      </c>
      <c r="D354" t="s">
        <v>1003</v>
      </c>
      <c r="E354" s="26">
        <v>45466.615682870368</v>
      </c>
      <c r="F354" s="26">
        <v>45478.615682870368</v>
      </c>
      <c r="G354" s="51">
        <v>45922</v>
      </c>
      <c r="H354">
        <v>39415.339999999989</v>
      </c>
      <c r="I354" t="s">
        <v>18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2</v>
      </c>
      <c r="T354">
        <v>0.9</v>
      </c>
      <c r="U354">
        <v>1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>
        <v>652400069</v>
      </c>
      <c r="B355" t="s">
        <v>765</v>
      </c>
      <c r="C355" t="s">
        <v>1001</v>
      </c>
      <c r="D355" t="s">
        <v>1003</v>
      </c>
      <c r="E355" s="26">
        <v>45465.624074074076</v>
      </c>
      <c r="F355" s="26">
        <v>45478.624074074076</v>
      </c>
      <c r="G355" s="51">
        <v>45922</v>
      </c>
      <c r="H355">
        <v>40168.039999999994</v>
      </c>
      <c r="I355" t="s">
        <v>18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2</v>
      </c>
      <c r="T355">
        <v>0.9</v>
      </c>
      <c r="U355">
        <v>1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>
        <v>652400083</v>
      </c>
      <c r="B356" t="s">
        <v>765</v>
      </c>
      <c r="C356" t="s">
        <v>1001</v>
      </c>
      <c r="D356" t="s">
        <v>1003</v>
      </c>
      <c r="E356" s="26">
        <v>45466.463865740741</v>
      </c>
      <c r="F356" s="26">
        <v>45481.463865740741</v>
      </c>
      <c r="G356" s="51">
        <v>45922</v>
      </c>
      <c r="H356">
        <v>40082.79</v>
      </c>
      <c r="I356" t="s">
        <v>18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</v>
      </c>
      <c r="S356">
        <v>2</v>
      </c>
      <c r="T356">
        <v>0.9</v>
      </c>
      <c r="U356">
        <v>1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>
        <v>652400084</v>
      </c>
      <c r="B357" t="s">
        <v>765</v>
      </c>
      <c r="C357" t="s">
        <v>1001</v>
      </c>
      <c r="D357" t="s">
        <v>1003</v>
      </c>
      <c r="E357" s="26">
        <v>45465.643460648149</v>
      </c>
      <c r="F357" s="26">
        <v>45481.643460648149</v>
      </c>
      <c r="G357" s="51">
        <v>45922</v>
      </c>
      <c r="H357">
        <v>40164.939999999988</v>
      </c>
      <c r="I357" t="s">
        <v>18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2</v>
      </c>
      <c r="T357">
        <v>0.9</v>
      </c>
      <c r="U357">
        <v>1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>
        <v>652400082</v>
      </c>
      <c r="B358" t="s">
        <v>765</v>
      </c>
      <c r="C358" t="s">
        <v>1001</v>
      </c>
      <c r="D358" t="s">
        <v>1003</v>
      </c>
      <c r="E358" s="26">
        <v>45470.45108796296</v>
      </c>
      <c r="F358" s="26">
        <v>45481.45108796296</v>
      </c>
      <c r="G358" s="51">
        <v>45922</v>
      </c>
      <c r="H358">
        <v>40104.490000000005</v>
      </c>
      <c r="I358" t="s">
        <v>18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2</v>
      </c>
      <c r="T358">
        <v>0.9</v>
      </c>
      <c r="U358">
        <v>1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>
        <v>652400065</v>
      </c>
      <c r="B359" t="s">
        <v>765</v>
      </c>
      <c r="C359" t="s">
        <v>1001</v>
      </c>
      <c r="D359" t="s">
        <v>1002</v>
      </c>
      <c r="E359" s="26">
        <v>45466.460706018515</v>
      </c>
      <c r="F359" s="26">
        <v>45478.460706018515</v>
      </c>
      <c r="G359" s="51">
        <v>45922</v>
      </c>
      <c r="H359">
        <v>40433.089999999989</v>
      </c>
      <c r="I359" t="s">
        <v>18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2</v>
      </c>
      <c r="T359">
        <v>0.9</v>
      </c>
      <c r="U359">
        <v>1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>
        <v>652400066</v>
      </c>
      <c r="B360" t="s">
        <v>765</v>
      </c>
      <c r="C360" t="s">
        <v>1001</v>
      </c>
      <c r="D360" t="s">
        <v>1003</v>
      </c>
      <c r="E360" s="26">
        <v>45465.46875</v>
      </c>
      <c r="F360" s="26">
        <v>45478.46875</v>
      </c>
      <c r="G360" s="51">
        <v>45922</v>
      </c>
      <c r="H360">
        <v>40124.639999999992</v>
      </c>
      <c r="I360" t="s">
        <v>18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</v>
      </c>
      <c r="S360">
        <v>2</v>
      </c>
      <c r="T360">
        <v>0.9</v>
      </c>
      <c r="U360">
        <v>1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>
        <v>652400087</v>
      </c>
      <c r="B361" t="s">
        <v>765</v>
      </c>
      <c r="C361" t="s">
        <v>1001</v>
      </c>
      <c r="D361" t="s">
        <v>1002</v>
      </c>
      <c r="E361" s="26">
        <v>45467.41269675926</v>
      </c>
      <c r="F361" s="26">
        <v>45482.41269675926</v>
      </c>
      <c r="G361" s="51">
        <v>45922</v>
      </c>
      <c r="H361">
        <v>40054.789999999986</v>
      </c>
      <c r="I361" t="s">
        <v>18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2</v>
      </c>
      <c r="T361">
        <v>0.9</v>
      </c>
      <c r="U361">
        <v>1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>
        <v>652400085</v>
      </c>
      <c r="B362" t="s">
        <v>765</v>
      </c>
      <c r="C362" t="s">
        <v>1001</v>
      </c>
      <c r="D362" t="s">
        <v>1002</v>
      </c>
      <c r="E362" s="26">
        <v>45471.401956018519</v>
      </c>
      <c r="F362" s="26">
        <v>45482.401956018519</v>
      </c>
      <c r="G362" s="51">
        <v>45922</v>
      </c>
      <c r="H362">
        <v>40000.639999999999</v>
      </c>
      <c r="I362" t="s">
        <v>18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2</v>
      </c>
      <c r="T362">
        <v>0.9</v>
      </c>
      <c r="U362">
        <v>1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>
        <v>652400074</v>
      </c>
      <c r="B363" t="s">
        <v>765</v>
      </c>
      <c r="C363" t="s">
        <v>920</v>
      </c>
      <c r="D363" t="s">
        <v>1004</v>
      </c>
      <c r="E363" s="26">
        <v>45466.692881944444</v>
      </c>
      <c r="F363" s="26">
        <v>45478.692881944444</v>
      </c>
      <c r="G363" s="51">
        <v>45922</v>
      </c>
      <c r="H363">
        <v>40462.539999999994</v>
      </c>
      <c r="I363" t="s">
        <v>18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</v>
      </c>
      <c r="S363">
        <v>2</v>
      </c>
      <c r="T363">
        <v>0.9</v>
      </c>
      <c r="U363">
        <v>1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>
        <v>652400056</v>
      </c>
      <c r="B364" t="s">
        <v>765</v>
      </c>
      <c r="C364" t="s">
        <v>920</v>
      </c>
      <c r="D364" t="s">
        <v>1009</v>
      </c>
      <c r="E364" s="26">
        <v>45465.355694444443</v>
      </c>
      <c r="F364" s="26">
        <v>45478.355694444443</v>
      </c>
      <c r="G364" s="51">
        <v>45922</v>
      </c>
      <c r="H364">
        <v>40395.889999999992</v>
      </c>
      <c r="I364" t="s">
        <v>18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2</v>
      </c>
      <c r="T364">
        <v>0.9</v>
      </c>
      <c r="U364">
        <v>1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>
        <v>652400070</v>
      </c>
      <c r="B365" t="s">
        <v>765</v>
      </c>
      <c r="C365" t="s">
        <v>920</v>
      </c>
      <c r="D365" t="s">
        <v>1000</v>
      </c>
      <c r="E365" s="26">
        <v>45463.632986111108</v>
      </c>
      <c r="F365" s="26">
        <v>45478.632986111108</v>
      </c>
      <c r="G365" s="51">
        <v>45922</v>
      </c>
      <c r="H365">
        <v>40323.039999999986</v>
      </c>
      <c r="I365" t="s">
        <v>18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2</v>
      </c>
      <c r="T365">
        <v>0.9</v>
      </c>
      <c r="U365">
        <v>1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>
        <v>652400078</v>
      </c>
      <c r="B366" t="s">
        <v>765</v>
      </c>
      <c r="C366" t="s">
        <v>920</v>
      </c>
      <c r="D366" t="s">
        <v>1008</v>
      </c>
      <c r="E366" s="26">
        <v>45465.725266203706</v>
      </c>
      <c r="F366" s="26">
        <v>45481.725266203706</v>
      </c>
      <c r="G366" s="51">
        <v>45922</v>
      </c>
      <c r="H366">
        <v>40099.840000000004</v>
      </c>
      <c r="I366" t="s">
        <v>18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</v>
      </c>
      <c r="S366">
        <v>2</v>
      </c>
      <c r="T366">
        <v>0.9</v>
      </c>
      <c r="U366">
        <v>1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>
        <v>652400080</v>
      </c>
      <c r="B367" t="s">
        <v>765</v>
      </c>
      <c r="C367" t="s">
        <v>920</v>
      </c>
      <c r="D367" t="s">
        <v>1008</v>
      </c>
      <c r="E367" s="26">
        <v>45470.739629629628</v>
      </c>
      <c r="F367" s="26">
        <v>45481.739629629628</v>
      </c>
      <c r="G367" s="51">
        <v>45922</v>
      </c>
      <c r="H367">
        <v>40008.389999999985</v>
      </c>
      <c r="I367" t="s">
        <v>18</v>
      </c>
      <c r="J367">
        <v>1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</v>
      </c>
      <c r="S367">
        <v>2</v>
      </c>
      <c r="T367">
        <v>0.9</v>
      </c>
      <c r="U367">
        <v>1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>
        <v>652400077</v>
      </c>
      <c r="B368" t="s">
        <v>765</v>
      </c>
      <c r="C368" t="s">
        <v>920</v>
      </c>
      <c r="D368" t="s">
        <v>921</v>
      </c>
      <c r="E368" s="26">
        <v>45469.715127314812</v>
      </c>
      <c r="F368" s="26">
        <v>45481.715127314812</v>
      </c>
      <c r="G368" s="51">
        <v>45922</v>
      </c>
      <c r="H368">
        <v>40124.639999999999</v>
      </c>
      <c r="I368" t="s">
        <v>18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</v>
      </c>
      <c r="S368">
        <v>2</v>
      </c>
      <c r="T368">
        <v>0.9</v>
      </c>
      <c r="U368">
        <v>1</v>
      </c>
      <c r="V368">
        <v>0</v>
      </c>
      <c r="W368">
        <v>0</v>
      </c>
      <c r="X368">
        <v>0</v>
      </c>
      <c r="Y368">
        <v>0</v>
      </c>
    </row>
    <row r="369" spans="1:25" x14ac:dyDescent="0.3">
      <c r="A369">
        <v>652400076</v>
      </c>
      <c r="B369" t="s">
        <v>765</v>
      </c>
      <c r="C369" t="s">
        <v>920</v>
      </c>
      <c r="D369" t="s">
        <v>921</v>
      </c>
      <c r="E369" s="26">
        <v>45468.693252314813</v>
      </c>
      <c r="F369" s="26">
        <v>45481.693252314813</v>
      </c>
      <c r="G369" s="51">
        <v>45922</v>
      </c>
      <c r="H369">
        <v>40104.49</v>
      </c>
      <c r="I369" t="s">
        <v>18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2</v>
      </c>
      <c r="T369">
        <v>0.9</v>
      </c>
      <c r="U369">
        <v>1</v>
      </c>
      <c r="V369">
        <v>0</v>
      </c>
      <c r="W369">
        <v>0</v>
      </c>
      <c r="X369">
        <v>0</v>
      </c>
      <c r="Y369">
        <v>0</v>
      </c>
    </row>
    <row r="370" spans="1:25" x14ac:dyDescent="0.3">
      <c r="A370">
        <v>652400100</v>
      </c>
      <c r="B370" t="s">
        <v>765</v>
      </c>
      <c r="C370" t="s">
        <v>920</v>
      </c>
      <c r="D370" t="s">
        <v>1007</v>
      </c>
      <c r="E370" s="26">
        <v>45467.441759259258</v>
      </c>
      <c r="F370" s="26">
        <v>45482.441759259258</v>
      </c>
      <c r="G370" s="51">
        <v>45922</v>
      </c>
      <c r="H370">
        <v>40082.789999999986</v>
      </c>
      <c r="I370" t="s">
        <v>18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</v>
      </c>
      <c r="S370">
        <v>2</v>
      </c>
      <c r="T370">
        <v>0.9</v>
      </c>
      <c r="U370">
        <v>1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>
        <v>652400122</v>
      </c>
      <c r="B371" t="s">
        <v>765</v>
      </c>
      <c r="C371" t="s">
        <v>920</v>
      </c>
      <c r="D371" t="s">
        <v>921</v>
      </c>
      <c r="E371" s="26">
        <v>45472.37804398148</v>
      </c>
      <c r="F371" s="26">
        <v>45483.37804398148</v>
      </c>
      <c r="G371" s="51">
        <v>45922</v>
      </c>
      <c r="H371">
        <v>39366.149999999994</v>
      </c>
      <c r="I371" t="s">
        <v>18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</v>
      </c>
      <c r="S371">
        <v>2</v>
      </c>
      <c r="T371">
        <v>0.9</v>
      </c>
      <c r="U371">
        <v>1</v>
      </c>
      <c r="V371">
        <v>0</v>
      </c>
      <c r="W371">
        <v>0</v>
      </c>
      <c r="X371">
        <v>0</v>
      </c>
      <c r="Y371">
        <v>0</v>
      </c>
    </row>
    <row r="372" spans="1:25" x14ac:dyDescent="0.3">
      <c r="A372">
        <v>652400057</v>
      </c>
      <c r="B372" t="s">
        <v>765</v>
      </c>
      <c r="C372" t="s">
        <v>920</v>
      </c>
      <c r="D372" t="s">
        <v>1009</v>
      </c>
      <c r="E372" s="26">
        <v>45466.363263888888</v>
      </c>
      <c r="F372" s="26">
        <v>45478.363263888888</v>
      </c>
      <c r="G372" s="51">
        <v>45922</v>
      </c>
      <c r="H372">
        <v>40664.039999999994</v>
      </c>
      <c r="I372" t="s">
        <v>18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</v>
      </c>
      <c r="S372">
        <v>2</v>
      </c>
      <c r="T372">
        <v>0.9</v>
      </c>
      <c r="U372">
        <v>1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>
        <v>652400058</v>
      </c>
      <c r="B373" t="s">
        <v>765</v>
      </c>
      <c r="C373" t="s">
        <v>920</v>
      </c>
      <c r="D373" t="s">
        <v>1009</v>
      </c>
      <c r="E373" s="26">
        <v>45465.374108796299</v>
      </c>
      <c r="F373" s="26">
        <v>45478.374108796299</v>
      </c>
      <c r="G373" s="51">
        <v>45922</v>
      </c>
      <c r="H373">
        <v>40879.489999999991</v>
      </c>
      <c r="I373" t="s">
        <v>18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2</v>
      </c>
      <c r="T373">
        <v>0.9</v>
      </c>
      <c r="U373">
        <v>1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>
        <v>652400073</v>
      </c>
      <c r="B374" t="s">
        <v>765</v>
      </c>
      <c r="C374" t="s">
        <v>920</v>
      </c>
      <c r="D374" t="s">
        <v>1004</v>
      </c>
      <c r="E374" s="26">
        <v>45463.685787037037</v>
      </c>
      <c r="F374" s="26">
        <v>45478.685787037037</v>
      </c>
      <c r="G374" s="51">
        <v>45922</v>
      </c>
      <c r="H374">
        <v>40338.539999999994</v>
      </c>
      <c r="I374" t="s">
        <v>18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</v>
      </c>
      <c r="S374">
        <v>2</v>
      </c>
      <c r="T374">
        <v>0.9</v>
      </c>
      <c r="U374">
        <v>1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>
        <v>652400116</v>
      </c>
      <c r="B375" t="s">
        <v>765</v>
      </c>
      <c r="C375" t="s">
        <v>920</v>
      </c>
      <c r="D375" t="s">
        <v>1000</v>
      </c>
      <c r="E375" s="26">
        <v>45467.721319444441</v>
      </c>
      <c r="F375" s="26">
        <v>45483.721319444441</v>
      </c>
      <c r="G375" s="51">
        <v>45922</v>
      </c>
      <c r="H375">
        <v>40104.479999999996</v>
      </c>
      <c r="I375" t="s">
        <v>18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</v>
      </c>
      <c r="S375">
        <v>2</v>
      </c>
      <c r="T375">
        <v>0.9</v>
      </c>
      <c r="U375">
        <v>1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>
        <v>652400102</v>
      </c>
      <c r="B376" t="s">
        <v>765</v>
      </c>
      <c r="C376" t="s">
        <v>920</v>
      </c>
      <c r="D376" t="s">
        <v>1006</v>
      </c>
      <c r="E376" s="26">
        <v>45471.452881944446</v>
      </c>
      <c r="F376" s="26">
        <v>45482.452881944446</v>
      </c>
      <c r="G376" s="51">
        <v>45922</v>
      </c>
      <c r="H376">
        <v>40183.539999999994</v>
      </c>
      <c r="I376" t="s">
        <v>18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</v>
      </c>
      <c r="S376">
        <v>2</v>
      </c>
      <c r="T376">
        <v>0.9</v>
      </c>
      <c r="U376">
        <v>1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>
        <v>652400114</v>
      </c>
      <c r="B377" t="s">
        <v>765</v>
      </c>
      <c r="C377" t="s">
        <v>920</v>
      </c>
      <c r="D377" t="s">
        <v>1000</v>
      </c>
      <c r="E377" s="26">
        <v>45471.708703703705</v>
      </c>
      <c r="F377" s="26">
        <v>45483.708703703705</v>
      </c>
      <c r="G377" s="51">
        <v>45922</v>
      </c>
      <c r="H377">
        <v>40087.439999999995</v>
      </c>
      <c r="I377" t="s">
        <v>18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2</v>
      </c>
      <c r="T377">
        <v>0.9</v>
      </c>
      <c r="U377">
        <v>1</v>
      </c>
      <c r="V377">
        <v>0</v>
      </c>
      <c r="W377">
        <v>0</v>
      </c>
      <c r="X377">
        <v>0</v>
      </c>
      <c r="Y377">
        <v>0</v>
      </c>
    </row>
    <row r="378" spans="1:25" x14ac:dyDescent="0.3">
      <c r="A378">
        <v>652400101</v>
      </c>
      <c r="B378" t="s">
        <v>765</v>
      </c>
      <c r="C378" t="s">
        <v>920</v>
      </c>
      <c r="D378" t="s">
        <v>1006</v>
      </c>
      <c r="E378" s="26">
        <v>45469.447199074071</v>
      </c>
      <c r="F378" s="26">
        <v>45482.447199074071</v>
      </c>
      <c r="G378" s="51">
        <v>45922</v>
      </c>
      <c r="H378">
        <v>40220.740000000005</v>
      </c>
      <c r="I378" t="s">
        <v>18</v>
      </c>
      <c r="J378">
        <v>1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2</v>
      </c>
      <c r="T378">
        <v>0.9</v>
      </c>
      <c r="U378">
        <v>1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>
        <v>652400120</v>
      </c>
      <c r="B379" t="s">
        <v>765</v>
      </c>
      <c r="C379" t="s">
        <v>920</v>
      </c>
      <c r="D379" t="s">
        <v>921</v>
      </c>
      <c r="E379" s="26">
        <v>45468.362071759257</v>
      </c>
      <c r="F379" s="26">
        <v>45483.362071759257</v>
      </c>
      <c r="G379" s="51">
        <v>45922</v>
      </c>
      <c r="H379">
        <v>39986.679999999993</v>
      </c>
      <c r="I379" t="s">
        <v>18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</v>
      </c>
      <c r="S379">
        <v>2</v>
      </c>
      <c r="T379">
        <v>0.9</v>
      </c>
      <c r="U379">
        <v>1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>
        <v>652400113</v>
      </c>
      <c r="B380" t="s">
        <v>765</v>
      </c>
      <c r="C380" t="s">
        <v>920</v>
      </c>
      <c r="D380" t="s">
        <v>1006</v>
      </c>
      <c r="E380" s="26">
        <v>45472.697083333333</v>
      </c>
      <c r="F380" s="26">
        <v>45483.697083333333</v>
      </c>
      <c r="G380" s="51">
        <v>45922</v>
      </c>
      <c r="H380">
        <v>40123.079999999987</v>
      </c>
      <c r="I380" t="s">
        <v>18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2</v>
      </c>
      <c r="T380">
        <v>0.9</v>
      </c>
      <c r="U380">
        <v>1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>
        <v>652400059</v>
      </c>
      <c r="B381" t="s">
        <v>765</v>
      </c>
      <c r="C381" t="s">
        <v>922</v>
      </c>
      <c r="D381" t="s">
        <v>999</v>
      </c>
      <c r="E381" s="26">
        <v>45466.386481481481</v>
      </c>
      <c r="F381" s="26">
        <v>45478.386481481481</v>
      </c>
      <c r="G381" s="51">
        <v>45922</v>
      </c>
      <c r="H381">
        <v>40123.090000000004</v>
      </c>
      <c r="I381" t="s">
        <v>18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2</v>
      </c>
      <c r="T381">
        <v>0.9</v>
      </c>
      <c r="U381">
        <v>1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>
        <v>652400110</v>
      </c>
      <c r="B382" t="s">
        <v>765</v>
      </c>
      <c r="C382" t="s">
        <v>920</v>
      </c>
      <c r="D382" t="s">
        <v>1009</v>
      </c>
      <c r="E382" s="26">
        <v>45470.659166666665</v>
      </c>
      <c r="F382" s="26">
        <v>45483.659166666665</v>
      </c>
      <c r="G382" s="51">
        <v>45922</v>
      </c>
      <c r="H382">
        <v>40257.94</v>
      </c>
      <c r="I382" t="s">
        <v>18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</v>
      </c>
      <c r="S382">
        <v>2</v>
      </c>
      <c r="T382">
        <v>0.9</v>
      </c>
      <c r="U382">
        <v>1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>
        <v>652400075</v>
      </c>
      <c r="B383" t="s">
        <v>765</v>
      </c>
      <c r="C383" t="s">
        <v>920</v>
      </c>
      <c r="D383" t="s">
        <v>1004</v>
      </c>
      <c r="E383" s="26">
        <v>45463.707326388889</v>
      </c>
      <c r="F383" s="26">
        <v>45478.707326388889</v>
      </c>
      <c r="G383" s="51">
        <v>45922</v>
      </c>
      <c r="H383">
        <v>40168.04</v>
      </c>
      <c r="I383" t="s">
        <v>18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</v>
      </c>
      <c r="S383">
        <v>2</v>
      </c>
      <c r="T383">
        <v>0.9</v>
      </c>
      <c r="U383">
        <v>1</v>
      </c>
      <c r="V383">
        <v>0</v>
      </c>
      <c r="W383">
        <v>0</v>
      </c>
      <c r="X383">
        <v>0</v>
      </c>
      <c r="Y383">
        <v>0</v>
      </c>
    </row>
    <row r="384" spans="1:25" x14ac:dyDescent="0.3">
      <c r="A384">
        <v>652400064</v>
      </c>
      <c r="B384" t="s">
        <v>765</v>
      </c>
      <c r="C384" t="s">
        <v>920</v>
      </c>
      <c r="D384" t="s">
        <v>1006</v>
      </c>
      <c r="E384" s="26">
        <v>45462.440208333333</v>
      </c>
      <c r="F384" s="26">
        <v>45478.440208333333</v>
      </c>
      <c r="G384" s="51">
        <v>45922</v>
      </c>
      <c r="H384">
        <v>39995.99</v>
      </c>
      <c r="I384" t="s">
        <v>18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2</v>
      </c>
      <c r="T384">
        <v>0.9</v>
      </c>
      <c r="U384">
        <v>1</v>
      </c>
      <c r="V384">
        <v>0</v>
      </c>
      <c r="W384">
        <v>0</v>
      </c>
      <c r="X384">
        <v>0</v>
      </c>
      <c r="Y384">
        <v>0</v>
      </c>
    </row>
    <row r="385" spans="1:25" x14ac:dyDescent="0.3">
      <c r="A385">
        <v>652400111</v>
      </c>
      <c r="B385" t="s">
        <v>765</v>
      </c>
      <c r="C385" t="s">
        <v>920</v>
      </c>
      <c r="D385" t="s">
        <v>1009</v>
      </c>
      <c r="E385" s="26">
        <v>45472.681527777779</v>
      </c>
      <c r="F385" s="26">
        <v>45483.681527777779</v>
      </c>
      <c r="G385" s="51">
        <v>45922</v>
      </c>
      <c r="H385">
        <v>40259.479999999996</v>
      </c>
      <c r="I385" t="s">
        <v>18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2</v>
      </c>
      <c r="T385">
        <v>0.9</v>
      </c>
      <c r="U385">
        <v>1</v>
      </c>
      <c r="V385">
        <v>0</v>
      </c>
      <c r="W385">
        <v>0</v>
      </c>
      <c r="X385">
        <v>0</v>
      </c>
      <c r="Y385">
        <v>0</v>
      </c>
    </row>
    <row r="386" spans="1:25" x14ac:dyDescent="0.3">
      <c r="A386">
        <v>652400107</v>
      </c>
      <c r="B386" t="s">
        <v>765</v>
      </c>
      <c r="C386" t="s">
        <v>920</v>
      </c>
      <c r="D386" t="s">
        <v>1004</v>
      </c>
      <c r="E386" s="26">
        <v>45471.626504629632</v>
      </c>
      <c r="F386" s="26">
        <v>45483.626504629632</v>
      </c>
      <c r="G386" s="51">
        <v>45922</v>
      </c>
      <c r="H386">
        <v>40152.53</v>
      </c>
      <c r="I386" t="s">
        <v>18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</v>
      </c>
      <c r="S386">
        <v>2</v>
      </c>
      <c r="T386">
        <v>0.9</v>
      </c>
      <c r="U386">
        <v>1</v>
      </c>
      <c r="V386">
        <v>0</v>
      </c>
      <c r="W386">
        <v>0</v>
      </c>
      <c r="X386">
        <v>0</v>
      </c>
      <c r="Y386">
        <v>0</v>
      </c>
    </row>
    <row r="387" spans="1:25" x14ac:dyDescent="0.3">
      <c r="A387">
        <v>652400072</v>
      </c>
      <c r="B387" t="s">
        <v>765</v>
      </c>
      <c r="C387" t="s">
        <v>920</v>
      </c>
      <c r="D387" t="s">
        <v>1000</v>
      </c>
      <c r="E387" s="26">
        <v>45465.678472222222</v>
      </c>
      <c r="F387" s="26">
        <v>45478.678472222222</v>
      </c>
      <c r="G387" s="51">
        <v>45922</v>
      </c>
      <c r="H387">
        <v>39578.619999999988</v>
      </c>
      <c r="I387" t="s">
        <v>18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</v>
      </c>
      <c r="S387">
        <v>2</v>
      </c>
      <c r="T387">
        <v>0.9</v>
      </c>
      <c r="U387">
        <v>1</v>
      </c>
      <c r="V387">
        <v>0</v>
      </c>
      <c r="W387">
        <v>0</v>
      </c>
      <c r="X387">
        <v>0</v>
      </c>
      <c r="Y387">
        <v>0</v>
      </c>
    </row>
    <row r="388" spans="1:25" x14ac:dyDescent="0.3">
      <c r="A388">
        <v>652400071</v>
      </c>
      <c r="B388" t="s">
        <v>765</v>
      </c>
      <c r="C388" t="s">
        <v>920</v>
      </c>
      <c r="D388" t="s">
        <v>1000</v>
      </c>
      <c r="E388" s="26">
        <v>45463.64162037037</v>
      </c>
      <c r="F388" s="26">
        <v>45478.64162037037</v>
      </c>
      <c r="G388" s="51">
        <v>45922</v>
      </c>
      <c r="H388">
        <v>40123.089999999989</v>
      </c>
      <c r="I388" t="s">
        <v>18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2</v>
      </c>
      <c r="T388">
        <v>0.9</v>
      </c>
      <c r="U388">
        <v>1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>
        <v>652400094</v>
      </c>
      <c r="B389" t="s">
        <v>765</v>
      </c>
      <c r="C389" t="s">
        <v>920</v>
      </c>
      <c r="D389" t="s">
        <v>1009</v>
      </c>
      <c r="E389" s="26">
        <v>45471.707453703704</v>
      </c>
      <c r="F389" s="26">
        <v>45482.707453703704</v>
      </c>
      <c r="G389" s="51">
        <v>45922</v>
      </c>
      <c r="H389">
        <v>40104.489999999983</v>
      </c>
      <c r="I389" t="s">
        <v>18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2</v>
      </c>
      <c r="T389">
        <v>0.9</v>
      </c>
      <c r="U389">
        <v>1</v>
      </c>
      <c r="V389">
        <v>0</v>
      </c>
      <c r="W389">
        <v>0</v>
      </c>
      <c r="X389">
        <v>0</v>
      </c>
      <c r="Y389">
        <v>0</v>
      </c>
    </row>
    <row r="390" spans="1:25" x14ac:dyDescent="0.3">
      <c r="A390">
        <v>502400058</v>
      </c>
      <c r="B390" t="s">
        <v>765</v>
      </c>
      <c r="C390" t="s">
        <v>942</v>
      </c>
      <c r="D390" t="s">
        <v>1010</v>
      </c>
      <c r="E390" s="26">
        <v>45471.38585648148</v>
      </c>
      <c r="F390" s="26">
        <v>45483.38585648148</v>
      </c>
      <c r="G390" s="51">
        <v>45922</v>
      </c>
      <c r="H390">
        <v>40164.939999999995</v>
      </c>
      <c r="I390" t="s">
        <v>18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2</v>
      </c>
      <c r="T390">
        <v>0.9</v>
      </c>
      <c r="U390">
        <v>1</v>
      </c>
      <c r="V390">
        <v>0</v>
      </c>
      <c r="W390">
        <v>0</v>
      </c>
      <c r="X390">
        <v>0</v>
      </c>
      <c r="Y390">
        <v>0</v>
      </c>
    </row>
    <row r="391" spans="1:25" x14ac:dyDescent="0.3">
      <c r="A391">
        <v>502400060</v>
      </c>
      <c r="B391" t="s">
        <v>765</v>
      </c>
      <c r="C391" t="s">
        <v>942</v>
      </c>
      <c r="D391" t="s">
        <v>995</v>
      </c>
      <c r="E391" s="26">
        <v>45470.573935185188</v>
      </c>
      <c r="F391" s="26">
        <v>45483.573935185188</v>
      </c>
      <c r="G391" s="51">
        <v>45922</v>
      </c>
      <c r="H391">
        <v>39995.99</v>
      </c>
      <c r="I391" t="s">
        <v>18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2</v>
      </c>
      <c r="T391">
        <v>0.9</v>
      </c>
      <c r="U391">
        <v>1</v>
      </c>
      <c r="V391">
        <v>0</v>
      </c>
      <c r="W391">
        <v>0</v>
      </c>
      <c r="X391">
        <v>0</v>
      </c>
      <c r="Y391">
        <v>0</v>
      </c>
    </row>
    <row r="392" spans="1:25" x14ac:dyDescent="0.3">
      <c r="A392">
        <v>502400062</v>
      </c>
      <c r="B392" t="s">
        <v>765</v>
      </c>
      <c r="C392" t="s">
        <v>942</v>
      </c>
      <c r="D392" t="s">
        <v>995</v>
      </c>
      <c r="E392" s="26">
        <v>45468.581192129626</v>
      </c>
      <c r="F392" s="26">
        <v>45483.581192129626</v>
      </c>
      <c r="G392" s="51">
        <v>45922</v>
      </c>
      <c r="H392">
        <v>40252.179999999993</v>
      </c>
      <c r="I392" t="s">
        <v>18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</v>
      </c>
      <c r="S392">
        <v>2</v>
      </c>
      <c r="T392">
        <v>0.9</v>
      </c>
      <c r="U392">
        <v>1</v>
      </c>
      <c r="V392">
        <v>0</v>
      </c>
      <c r="W392">
        <v>0</v>
      </c>
      <c r="X392">
        <v>0</v>
      </c>
      <c r="Y392">
        <v>0</v>
      </c>
    </row>
    <row r="393" spans="1:25" x14ac:dyDescent="0.3">
      <c r="A393">
        <v>502400063</v>
      </c>
      <c r="B393" t="s">
        <v>765</v>
      </c>
      <c r="C393" t="s">
        <v>942</v>
      </c>
      <c r="D393" t="s">
        <v>829</v>
      </c>
      <c r="E393" s="26">
        <v>45467.589733796296</v>
      </c>
      <c r="F393" s="26">
        <v>45483.589733796296</v>
      </c>
      <c r="G393" s="51">
        <v>45922</v>
      </c>
      <c r="H393">
        <v>40205.679999999993</v>
      </c>
      <c r="I393" t="s">
        <v>18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</v>
      </c>
      <c r="S393">
        <v>2</v>
      </c>
      <c r="T393">
        <v>0.9</v>
      </c>
      <c r="U393">
        <v>1</v>
      </c>
      <c r="V393">
        <v>0</v>
      </c>
      <c r="W393">
        <v>0</v>
      </c>
      <c r="X393">
        <v>0</v>
      </c>
      <c r="Y393">
        <v>0</v>
      </c>
    </row>
    <row r="394" spans="1:25" x14ac:dyDescent="0.3">
      <c r="A394">
        <v>402400248</v>
      </c>
      <c r="B394" t="s">
        <v>765</v>
      </c>
      <c r="C394" t="s">
        <v>766</v>
      </c>
      <c r="D394" t="s">
        <v>774</v>
      </c>
      <c r="E394" s="26">
        <v>45472.623912037037</v>
      </c>
      <c r="F394" s="26">
        <v>45483.623912037037</v>
      </c>
      <c r="G394" s="51">
        <v>45922</v>
      </c>
      <c r="H394">
        <v>40006.99</v>
      </c>
      <c r="I394" t="s">
        <v>18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</v>
      </c>
      <c r="S394">
        <v>2</v>
      </c>
      <c r="T394">
        <v>0.9</v>
      </c>
      <c r="U394">
        <v>1</v>
      </c>
      <c r="V394">
        <v>0</v>
      </c>
      <c r="W394">
        <v>0</v>
      </c>
      <c r="X394">
        <v>0</v>
      </c>
      <c r="Y394">
        <v>0</v>
      </c>
    </row>
    <row r="395" spans="1:25" x14ac:dyDescent="0.3">
      <c r="A395">
        <v>402400251</v>
      </c>
      <c r="B395" t="s">
        <v>765</v>
      </c>
      <c r="C395" t="s">
        <v>923</v>
      </c>
      <c r="D395" t="s">
        <v>990</v>
      </c>
      <c r="E395" s="26">
        <v>45443.435833333337</v>
      </c>
      <c r="F395" s="26">
        <v>45455.435833333337</v>
      </c>
      <c r="G395" s="51">
        <v>45922</v>
      </c>
      <c r="H395">
        <v>40000.639999999999</v>
      </c>
      <c r="I395" t="s">
        <v>18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</v>
      </c>
      <c r="S395">
        <v>2</v>
      </c>
      <c r="T395">
        <v>0.9</v>
      </c>
      <c r="U395">
        <v>1</v>
      </c>
      <c r="V395">
        <v>0</v>
      </c>
      <c r="W395">
        <v>0</v>
      </c>
      <c r="X395">
        <v>0</v>
      </c>
      <c r="Y395">
        <v>0</v>
      </c>
    </row>
    <row r="396" spans="1:25" x14ac:dyDescent="0.3">
      <c r="A396">
        <v>402400253</v>
      </c>
      <c r="B396" t="s">
        <v>765</v>
      </c>
      <c r="C396" t="s">
        <v>923</v>
      </c>
      <c r="D396" t="s">
        <v>990</v>
      </c>
      <c r="E396" s="26">
        <v>45442.592685185184</v>
      </c>
      <c r="F396" s="26">
        <v>45455.592685185184</v>
      </c>
      <c r="G396" s="51">
        <v>45922</v>
      </c>
      <c r="H396">
        <v>39254.559999999998</v>
      </c>
      <c r="I396" t="s">
        <v>18</v>
      </c>
      <c r="J396">
        <v>1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</v>
      </c>
      <c r="S396">
        <v>2</v>
      </c>
      <c r="T396">
        <v>0.9</v>
      </c>
      <c r="U396">
        <v>1</v>
      </c>
      <c r="V396">
        <v>0</v>
      </c>
      <c r="W396">
        <v>0</v>
      </c>
      <c r="X396">
        <v>0</v>
      </c>
      <c r="Y396">
        <v>0</v>
      </c>
    </row>
    <row r="397" spans="1:25" x14ac:dyDescent="0.3">
      <c r="A397">
        <v>652400131</v>
      </c>
      <c r="B397" t="s">
        <v>765</v>
      </c>
      <c r="C397" t="s">
        <v>1011</v>
      </c>
      <c r="D397" t="s">
        <v>1007</v>
      </c>
      <c r="E397" s="26">
        <v>45468.631064814814</v>
      </c>
      <c r="F397" s="26">
        <v>45483.631064814814</v>
      </c>
      <c r="G397" s="51">
        <v>45922</v>
      </c>
      <c r="H397">
        <v>40625.789999999994</v>
      </c>
      <c r="I397" t="s">
        <v>18</v>
      </c>
      <c r="J397">
        <v>1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</v>
      </c>
      <c r="S397">
        <v>2</v>
      </c>
      <c r="T397">
        <v>0.9</v>
      </c>
      <c r="U397">
        <v>1</v>
      </c>
      <c r="V397">
        <v>0</v>
      </c>
      <c r="W397">
        <v>0</v>
      </c>
      <c r="X397">
        <v>0</v>
      </c>
      <c r="Y397">
        <v>0</v>
      </c>
    </row>
    <row r="398" spans="1:25" x14ac:dyDescent="0.3">
      <c r="A398">
        <v>402400259</v>
      </c>
      <c r="B398" t="s">
        <v>765</v>
      </c>
      <c r="C398" t="s">
        <v>923</v>
      </c>
      <c r="D398" t="s">
        <v>990</v>
      </c>
      <c r="E398" s="26">
        <v>45444.684004629627</v>
      </c>
      <c r="F398" s="26">
        <v>45455.684004629627</v>
      </c>
      <c r="G398" s="51">
        <v>45922</v>
      </c>
      <c r="H398">
        <v>39425.059999999983</v>
      </c>
      <c r="I398" t="s">
        <v>18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2</v>
      </c>
      <c r="T398">
        <v>0.9</v>
      </c>
      <c r="U398">
        <v>1</v>
      </c>
      <c r="V398">
        <v>0</v>
      </c>
      <c r="W398">
        <v>0</v>
      </c>
      <c r="X398">
        <v>0</v>
      </c>
      <c r="Y398">
        <v>0</v>
      </c>
    </row>
    <row r="399" spans="1:25" x14ac:dyDescent="0.3">
      <c r="A399">
        <v>402400256</v>
      </c>
      <c r="B399" t="s">
        <v>765</v>
      </c>
      <c r="C399" t="s">
        <v>923</v>
      </c>
      <c r="D399" t="s">
        <v>990</v>
      </c>
      <c r="E399" s="26">
        <v>45443.652037037034</v>
      </c>
      <c r="F399" s="26">
        <v>45455.652037037034</v>
      </c>
      <c r="G399" s="51">
        <v>45922</v>
      </c>
      <c r="H399">
        <v>39997.539999999986</v>
      </c>
      <c r="I399" t="s">
        <v>18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2</v>
      </c>
      <c r="T399">
        <v>0.9</v>
      </c>
      <c r="U399">
        <v>1</v>
      </c>
      <c r="V399">
        <v>0</v>
      </c>
      <c r="W399">
        <v>0</v>
      </c>
      <c r="X399">
        <v>0</v>
      </c>
      <c r="Y399">
        <v>0</v>
      </c>
    </row>
    <row r="400" spans="1:25" x14ac:dyDescent="0.3">
      <c r="A400">
        <v>402400249</v>
      </c>
      <c r="B400" t="s">
        <v>765</v>
      </c>
      <c r="C400" t="s">
        <v>923</v>
      </c>
      <c r="D400" t="s">
        <v>990</v>
      </c>
      <c r="E400" s="26">
        <v>45441.69630787037</v>
      </c>
      <c r="F400" s="26">
        <v>45454.69630787037</v>
      </c>
      <c r="G400" s="51">
        <v>45922</v>
      </c>
      <c r="H400">
        <v>39585.839999999989</v>
      </c>
      <c r="I400" t="s">
        <v>18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</v>
      </c>
      <c r="S400">
        <v>2</v>
      </c>
      <c r="T400">
        <v>0.9</v>
      </c>
      <c r="U400">
        <v>1</v>
      </c>
      <c r="V400">
        <v>0</v>
      </c>
      <c r="W400">
        <v>0</v>
      </c>
      <c r="X400">
        <v>0</v>
      </c>
      <c r="Y400">
        <v>0</v>
      </c>
    </row>
    <row r="401" spans="1:25" x14ac:dyDescent="0.3">
      <c r="A401">
        <v>402400250</v>
      </c>
      <c r="B401" t="s">
        <v>765</v>
      </c>
      <c r="C401" t="s">
        <v>923</v>
      </c>
      <c r="D401" t="s">
        <v>990</v>
      </c>
      <c r="E401" s="26">
        <v>45440.413148148145</v>
      </c>
      <c r="F401" s="26">
        <v>45455.413148148145</v>
      </c>
      <c r="G401" s="51">
        <v>45922</v>
      </c>
      <c r="H401">
        <v>39420.409999999989</v>
      </c>
      <c r="I401" t="s">
        <v>18</v>
      </c>
      <c r="J401">
        <v>1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</v>
      </c>
      <c r="S401">
        <v>2</v>
      </c>
      <c r="T401">
        <v>0.9</v>
      </c>
      <c r="U401">
        <v>1</v>
      </c>
      <c r="V401">
        <v>0</v>
      </c>
      <c r="W401">
        <v>0</v>
      </c>
      <c r="X401">
        <v>0</v>
      </c>
      <c r="Y401">
        <v>0</v>
      </c>
    </row>
    <row r="402" spans="1:25" x14ac:dyDescent="0.3">
      <c r="A402">
        <v>402400258</v>
      </c>
      <c r="B402" t="s">
        <v>765</v>
      </c>
      <c r="C402" t="s">
        <v>923</v>
      </c>
      <c r="D402" t="s">
        <v>990</v>
      </c>
      <c r="E402" s="26">
        <v>45439.667094907411</v>
      </c>
      <c r="F402" s="26">
        <v>45455.667094907411</v>
      </c>
      <c r="G402" s="51">
        <v>45922</v>
      </c>
      <c r="H402">
        <v>39290.21</v>
      </c>
      <c r="I402" t="s">
        <v>18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2</v>
      </c>
      <c r="T402">
        <v>0.9</v>
      </c>
      <c r="U402">
        <v>1</v>
      </c>
      <c r="V402">
        <v>0</v>
      </c>
      <c r="W402">
        <v>0</v>
      </c>
      <c r="X402">
        <v>0</v>
      </c>
      <c r="Y402">
        <v>0</v>
      </c>
    </row>
    <row r="403" spans="1:25" x14ac:dyDescent="0.3">
      <c r="A403">
        <v>402400252</v>
      </c>
      <c r="B403" t="s">
        <v>765</v>
      </c>
      <c r="C403" t="s">
        <v>923</v>
      </c>
      <c r="D403" t="s">
        <v>990</v>
      </c>
      <c r="E403" s="26">
        <v>45444.455914351849</v>
      </c>
      <c r="F403" s="26">
        <v>45455.455914351849</v>
      </c>
      <c r="G403" s="51">
        <v>45922</v>
      </c>
      <c r="H403">
        <v>39997.539999999994</v>
      </c>
      <c r="I403" t="s">
        <v>18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  <c r="S403">
        <v>2</v>
      </c>
      <c r="T403">
        <v>0.9</v>
      </c>
      <c r="U403">
        <v>1</v>
      </c>
      <c r="V403">
        <v>0</v>
      </c>
      <c r="W403">
        <v>0</v>
      </c>
      <c r="X403">
        <v>0</v>
      </c>
      <c r="Y403">
        <v>0</v>
      </c>
    </row>
    <row r="404" spans="1:25" x14ac:dyDescent="0.3">
      <c r="A404">
        <v>402400255</v>
      </c>
      <c r="B404" t="s">
        <v>765</v>
      </c>
      <c r="C404" t="s">
        <v>923</v>
      </c>
      <c r="D404" t="s">
        <v>990</v>
      </c>
      <c r="E404" s="26">
        <v>45443.620451388888</v>
      </c>
      <c r="F404" s="26">
        <v>45455.620451388888</v>
      </c>
      <c r="G404" s="51">
        <v>45922</v>
      </c>
      <c r="H404">
        <v>39994.439999999995</v>
      </c>
      <c r="I404" t="s">
        <v>18</v>
      </c>
      <c r="J404">
        <v>1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2</v>
      </c>
      <c r="T404">
        <v>0.9</v>
      </c>
      <c r="U404">
        <v>1</v>
      </c>
      <c r="V404">
        <v>0</v>
      </c>
      <c r="W404">
        <v>0</v>
      </c>
      <c r="X404">
        <v>0</v>
      </c>
      <c r="Y404">
        <v>0</v>
      </c>
    </row>
    <row r="405" spans="1:25" x14ac:dyDescent="0.3">
      <c r="A405">
        <v>402400254</v>
      </c>
      <c r="B405" t="s">
        <v>765</v>
      </c>
      <c r="C405" t="s">
        <v>923</v>
      </c>
      <c r="D405" t="s">
        <v>990</v>
      </c>
      <c r="E405" s="26">
        <v>45442.609594907408</v>
      </c>
      <c r="F405" s="26">
        <v>45455.609594907408</v>
      </c>
      <c r="G405" s="51">
        <v>45922</v>
      </c>
      <c r="H405">
        <v>38733.339999999989</v>
      </c>
      <c r="I405" t="s">
        <v>18</v>
      </c>
      <c r="J405">
        <v>1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</v>
      </c>
      <c r="S405">
        <v>2</v>
      </c>
      <c r="T405">
        <v>0.9</v>
      </c>
      <c r="U405">
        <v>1</v>
      </c>
      <c r="V405">
        <v>0</v>
      </c>
      <c r="W405">
        <v>0</v>
      </c>
      <c r="X405">
        <v>0</v>
      </c>
      <c r="Y405">
        <v>0</v>
      </c>
    </row>
    <row r="406" spans="1:25" x14ac:dyDescent="0.3">
      <c r="A406">
        <v>402400260</v>
      </c>
      <c r="B406" t="s">
        <v>765</v>
      </c>
      <c r="C406" t="s">
        <v>766</v>
      </c>
      <c r="D406" t="s">
        <v>947</v>
      </c>
      <c r="E406" s="26">
        <v>45468.640648148146</v>
      </c>
      <c r="F406" s="26">
        <v>45483.640648148146</v>
      </c>
      <c r="G406" s="51">
        <v>45922</v>
      </c>
      <c r="H406">
        <v>40048.689999999995</v>
      </c>
      <c r="I406" t="s">
        <v>18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2</v>
      </c>
      <c r="T406">
        <v>0.9</v>
      </c>
      <c r="U406">
        <v>1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>
        <v>402301008</v>
      </c>
      <c r="B407" t="s">
        <v>765</v>
      </c>
      <c r="C407" t="s">
        <v>766</v>
      </c>
      <c r="D407" t="s">
        <v>911</v>
      </c>
      <c r="E407" s="26">
        <v>45303</v>
      </c>
      <c r="F407" s="26">
        <v>45314</v>
      </c>
      <c r="G407" s="51">
        <v>45922</v>
      </c>
      <c r="H407">
        <v>45005.57</v>
      </c>
      <c r="I407" t="s">
        <v>18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</v>
      </c>
      <c r="S407">
        <v>2</v>
      </c>
      <c r="T407">
        <v>0.9</v>
      </c>
      <c r="U407">
        <v>0</v>
      </c>
      <c r="V407">
        <v>1</v>
      </c>
      <c r="W407">
        <v>0</v>
      </c>
      <c r="X407">
        <v>0</v>
      </c>
      <c r="Y407">
        <v>0</v>
      </c>
    </row>
    <row r="408" spans="1:25" x14ac:dyDescent="0.3">
      <c r="A408">
        <v>402301025</v>
      </c>
      <c r="B408" t="s">
        <v>765</v>
      </c>
      <c r="C408" t="s">
        <v>766</v>
      </c>
      <c r="D408" t="s">
        <v>911</v>
      </c>
      <c r="E408" s="26">
        <v>45302</v>
      </c>
      <c r="F408" s="26">
        <v>45314</v>
      </c>
      <c r="G408" s="51">
        <v>45922</v>
      </c>
      <c r="H408">
        <v>45225.43</v>
      </c>
      <c r="I408" t="s">
        <v>18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</v>
      </c>
      <c r="S408">
        <v>2</v>
      </c>
      <c r="T408">
        <v>0.9</v>
      </c>
      <c r="U408">
        <v>0</v>
      </c>
      <c r="V408">
        <v>1</v>
      </c>
      <c r="W408">
        <v>0</v>
      </c>
      <c r="X408">
        <v>0</v>
      </c>
      <c r="Y408">
        <v>0</v>
      </c>
    </row>
    <row r="409" spans="1:25" x14ac:dyDescent="0.3">
      <c r="A409">
        <v>402301042</v>
      </c>
      <c r="B409" t="s">
        <v>765</v>
      </c>
      <c r="C409" t="s">
        <v>766</v>
      </c>
      <c r="D409" t="s">
        <v>829</v>
      </c>
      <c r="E409" s="26">
        <v>45428</v>
      </c>
      <c r="F409" s="26">
        <v>45441</v>
      </c>
      <c r="G409" s="51">
        <v>45922</v>
      </c>
      <c r="H409">
        <v>44266.76</v>
      </c>
      <c r="I409" t="s">
        <v>18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2</v>
      </c>
      <c r="T409">
        <v>0.9</v>
      </c>
      <c r="U409">
        <v>0</v>
      </c>
      <c r="V409">
        <v>1</v>
      </c>
      <c r="W409">
        <v>0</v>
      </c>
      <c r="X409">
        <v>0</v>
      </c>
      <c r="Y409">
        <v>0</v>
      </c>
    </row>
    <row r="410" spans="1:25" x14ac:dyDescent="0.3">
      <c r="A410">
        <v>402301027</v>
      </c>
      <c r="B410" t="s">
        <v>765</v>
      </c>
      <c r="C410" t="s">
        <v>766</v>
      </c>
      <c r="D410" t="s">
        <v>1012</v>
      </c>
      <c r="E410" s="26">
        <v>45299</v>
      </c>
      <c r="F410" s="26">
        <v>45314</v>
      </c>
      <c r="G410" s="51">
        <v>45922</v>
      </c>
      <c r="H410">
        <v>45225.440000000002</v>
      </c>
      <c r="I410" t="s">
        <v>18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2</v>
      </c>
      <c r="T410">
        <v>0.9</v>
      </c>
      <c r="U410">
        <v>0</v>
      </c>
      <c r="V410">
        <v>1</v>
      </c>
      <c r="W410">
        <v>0</v>
      </c>
      <c r="X410">
        <v>0</v>
      </c>
      <c r="Y410">
        <v>0</v>
      </c>
    </row>
    <row r="411" spans="1:25" x14ac:dyDescent="0.3">
      <c r="A411">
        <v>402301026</v>
      </c>
      <c r="B411" t="s">
        <v>765</v>
      </c>
      <c r="C411" t="s">
        <v>766</v>
      </c>
      <c r="D411" t="s">
        <v>1012</v>
      </c>
      <c r="E411" s="26">
        <v>45298</v>
      </c>
      <c r="F411" s="26">
        <v>45314</v>
      </c>
      <c r="G411" s="51">
        <v>45922</v>
      </c>
      <c r="H411">
        <v>45225.43</v>
      </c>
      <c r="I411" t="s">
        <v>18</v>
      </c>
      <c r="J411">
        <v>1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</v>
      </c>
      <c r="S411">
        <v>2</v>
      </c>
      <c r="T411">
        <v>0.9</v>
      </c>
      <c r="U411">
        <v>0</v>
      </c>
      <c r="V411">
        <v>1</v>
      </c>
      <c r="W411">
        <v>0</v>
      </c>
      <c r="X411">
        <v>0</v>
      </c>
      <c r="Y411">
        <v>0</v>
      </c>
    </row>
    <row r="412" spans="1:25" x14ac:dyDescent="0.3">
      <c r="A412">
        <v>402301028</v>
      </c>
      <c r="B412" t="s">
        <v>765</v>
      </c>
      <c r="C412" t="s">
        <v>766</v>
      </c>
      <c r="D412" t="s">
        <v>799</v>
      </c>
      <c r="E412" s="26">
        <v>45303</v>
      </c>
      <c r="F412" s="26">
        <v>45314</v>
      </c>
      <c r="G412" s="51">
        <v>45922</v>
      </c>
      <c r="H412">
        <v>45225.43</v>
      </c>
      <c r="I412" t="s">
        <v>18</v>
      </c>
      <c r="J412">
        <v>1</v>
      </c>
      <c r="K412">
        <v>1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</v>
      </c>
      <c r="S412">
        <v>2</v>
      </c>
      <c r="T412">
        <v>0.9</v>
      </c>
      <c r="U412">
        <v>0</v>
      </c>
      <c r="V412">
        <v>1</v>
      </c>
      <c r="W412">
        <v>0</v>
      </c>
      <c r="X412">
        <v>0</v>
      </c>
      <c r="Y412">
        <v>0</v>
      </c>
    </row>
    <row r="413" spans="1:25" x14ac:dyDescent="0.3">
      <c r="A413">
        <v>402301030</v>
      </c>
      <c r="B413" t="s">
        <v>765</v>
      </c>
      <c r="C413" t="s">
        <v>766</v>
      </c>
      <c r="D413" t="s">
        <v>799</v>
      </c>
      <c r="E413" s="26">
        <v>45302</v>
      </c>
      <c r="F413" s="26">
        <v>45314</v>
      </c>
      <c r="G413" s="51">
        <v>45922</v>
      </c>
      <c r="H413">
        <v>45225.440000000002</v>
      </c>
      <c r="I413" t="s">
        <v>18</v>
      </c>
      <c r="J413">
        <v>1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</v>
      </c>
      <c r="S413">
        <v>2</v>
      </c>
      <c r="T413">
        <v>0.9</v>
      </c>
      <c r="U413">
        <v>0</v>
      </c>
      <c r="V413">
        <v>1</v>
      </c>
      <c r="W413">
        <v>0</v>
      </c>
      <c r="X413">
        <v>0</v>
      </c>
      <c r="Y413">
        <v>0</v>
      </c>
    </row>
    <row r="414" spans="1:25" x14ac:dyDescent="0.3">
      <c r="A414">
        <v>402301041</v>
      </c>
      <c r="B414" t="s">
        <v>765</v>
      </c>
      <c r="C414" t="s">
        <v>766</v>
      </c>
      <c r="D414" t="s">
        <v>1013</v>
      </c>
      <c r="E414" s="26">
        <v>45428</v>
      </c>
      <c r="F414" s="26">
        <v>45441</v>
      </c>
      <c r="G414" s="51">
        <v>45922</v>
      </c>
      <c r="H414">
        <v>44926.03</v>
      </c>
      <c r="I414" t="s">
        <v>18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2</v>
      </c>
      <c r="T414">
        <v>0.9</v>
      </c>
      <c r="U414">
        <v>0</v>
      </c>
      <c r="V414">
        <v>1</v>
      </c>
      <c r="W414">
        <v>0</v>
      </c>
      <c r="X414">
        <v>0</v>
      </c>
      <c r="Y414">
        <v>0</v>
      </c>
    </row>
    <row r="415" spans="1:25" x14ac:dyDescent="0.3">
      <c r="A415">
        <v>402301031</v>
      </c>
      <c r="B415" t="s">
        <v>765</v>
      </c>
      <c r="C415" t="s">
        <v>766</v>
      </c>
      <c r="D415" t="s">
        <v>805</v>
      </c>
      <c r="E415" s="26">
        <v>45301</v>
      </c>
      <c r="F415" s="26">
        <v>45316</v>
      </c>
      <c r="G415" s="51">
        <v>45922</v>
      </c>
      <c r="H415">
        <v>45225.440000000002</v>
      </c>
      <c r="I415" t="s">
        <v>18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2</v>
      </c>
      <c r="T415">
        <v>0.9</v>
      </c>
      <c r="U415">
        <v>0</v>
      </c>
      <c r="V415">
        <v>1</v>
      </c>
      <c r="W415">
        <v>0</v>
      </c>
      <c r="X415">
        <v>0</v>
      </c>
      <c r="Y415">
        <v>0</v>
      </c>
    </row>
    <row r="416" spans="1:25" x14ac:dyDescent="0.3">
      <c r="A416">
        <v>402301105</v>
      </c>
      <c r="B416" t="s">
        <v>765</v>
      </c>
      <c r="C416" t="s">
        <v>766</v>
      </c>
      <c r="D416" t="s">
        <v>1014</v>
      </c>
      <c r="E416" s="26">
        <v>45429</v>
      </c>
      <c r="F416" s="26">
        <v>45440</v>
      </c>
      <c r="G416" s="51">
        <v>45922</v>
      </c>
      <c r="H416">
        <v>44103.82</v>
      </c>
      <c r="I416" t="s">
        <v>18</v>
      </c>
      <c r="J416">
        <v>1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2</v>
      </c>
      <c r="T416">
        <v>0.9</v>
      </c>
      <c r="U416">
        <v>0</v>
      </c>
      <c r="V416">
        <v>1</v>
      </c>
      <c r="W416">
        <v>0</v>
      </c>
      <c r="X416">
        <v>0</v>
      </c>
      <c r="Y416">
        <v>0</v>
      </c>
    </row>
    <row r="417" spans="1:25" x14ac:dyDescent="0.3">
      <c r="A417">
        <v>402301029</v>
      </c>
      <c r="B417" t="s">
        <v>765</v>
      </c>
      <c r="C417" t="s">
        <v>766</v>
      </c>
      <c r="D417" t="s">
        <v>1015</v>
      </c>
      <c r="E417" s="26">
        <v>45302</v>
      </c>
      <c r="F417" s="26">
        <v>45314</v>
      </c>
      <c r="G417" s="51">
        <v>45922</v>
      </c>
      <c r="H417">
        <v>43028.13</v>
      </c>
      <c r="I417" t="s">
        <v>18</v>
      </c>
      <c r="J417">
        <v>1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2</v>
      </c>
      <c r="T417">
        <v>0.9</v>
      </c>
      <c r="U417">
        <v>0</v>
      </c>
      <c r="V417">
        <v>1</v>
      </c>
      <c r="W417">
        <v>0</v>
      </c>
      <c r="X417">
        <v>0</v>
      </c>
      <c r="Y417">
        <v>0</v>
      </c>
    </row>
    <row r="418" spans="1:25" x14ac:dyDescent="0.3">
      <c r="A418">
        <v>402301033</v>
      </c>
      <c r="B418" t="s">
        <v>765</v>
      </c>
      <c r="C418" t="s">
        <v>766</v>
      </c>
      <c r="D418" t="s">
        <v>796</v>
      </c>
      <c r="E418" s="26">
        <v>45303</v>
      </c>
      <c r="F418" s="26">
        <v>45316</v>
      </c>
      <c r="G418" s="51">
        <v>45922</v>
      </c>
      <c r="H418">
        <v>45225.440000000002</v>
      </c>
      <c r="I418" t="s">
        <v>18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2</v>
      </c>
      <c r="T418">
        <v>0.9</v>
      </c>
      <c r="U418">
        <v>0</v>
      </c>
      <c r="V418">
        <v>1</v>
      </c>
      <c r="W418">
        <v>0</v>
      </c>
      <c r="X418">
        <v>0</v>
      </c>
      <c r="Y418">
        <v>0</v>
      </c>
    </row>
    <row r="419" spans="1:25" x14ac:dyDescent="0.3">
      <c r="A419">
        <v>402301032</v>
      </c>
      <c r="B419" t="s">
        <v>765</v>
      </c>
      <c r="C419" t="s">
        <v>766</v>
      </c>
      <c r="D419" t="s">
        <v>961</v>
      </c>
      <c r="E419" s="26">
        <v>45301</v>
      </c>
      <c r="F419" s="26">
        <v>45316</v>
      </c>
      <c r="G419" s="51">
        <v>45922</v>
      </c>
      <c r="H419">
        <v>45225.43</v>
      </c>
      <c r="I419" t="s">
        <v>18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2</v>
      </c>
      <c r="T419">
        <v>0.9</v>
      </c>
      <c r="U419">
        <v>0</v>
      </c>
      <c r="V419">
        <v>1</v>
      </c>
      <c r="W419">
        <v>0</v>
      </c>
      <c r="X419">
        <v>0</v>
      </c>
      <c r="Y419">
        <v>0</v>
      </c>
    </row>
    <row r="420" spans="1:25" x14ac:dyDescent="0.3">
      <c r="A420">
        <v>402301037</v>
      </c>
      <c r="B420" t="s">
        <v>765</v>
      </c>
      <c r="C420" t="s">
        <v>766</v>
      </c>
      <c r="D420" t="s">
        <v>1016</v>
      </c>
      <c r="E420" s="26">
        <v>45383</v>
      </c>
      <c r="F420" s="26">
        <v>45399</v>
      </c>
      <c r="G420" s="51">
        <v>45922</v>
      </c>
      <c r="H420">
        <v>45225.440000000002</v>
      </c>
      <c r="I420" t="s">
        <v>18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  <c r="S420">
        <v>2</v>
      </c>
      <c r="T420">
        <v>0.9</v>
      </c>
      <c r="U420">
        <v>0</v>
      </c>
      <c r="V420">
        <v>1</v>
      </c>
      <c r="W420">
        <v>0</v>
      </c>
      <c r="X420">
        <v>0</v>
      </c>
      <c r="Y420">
        <v>0</v>
      </c>
    </row>
    <row r="421" spans="1:25" x14ac:dyDescent="0.3">
      <c r="A421">
        <v>402301038</v>
      </c>
      <c r="B421" t="s">
        <v>765</v>
      </c>
      <c r="C421" t="s">
        <v>766</v>
      </c>
      <c r="D421" t="s">
        <v>1017</v>
      </c>
      <c r="E421" s="26">
        <v>45429</v>
      </c>
      <c r="F421" s="26">
        <v>45440</v>
      </c>
      <c r="G421" s="51">
        <v>45922</v>
      </c>
      <c r="H421">
        <v>44093.16</v>
      </c>
      <c r="I421" t="s">
        <v>18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2</v>
      </c>
      <c r="T421">
        <v>0.9</v>
      </c>
      <c r="U421">
        <v>0</v>
      </c>
      <c r="V421">
        <v>1</v>
      </c>
      <c r="W421">
        <v>0</v>
      </c>
      <c r="X421">
        <v>0</v>
      </c>
      <c r="Y421">
        <v>0</v>
      </c>
    </row>
    <row r="422" spans="1:25" x14ac:dyDescent="0.3">
      <c r="A422">
        <v>402301044</v>
      </c>
      <c r="B422" t="s">
        <v>765</v>
      </c>
      <c r="C422" t="s">
        <v>766</v>
      </c>
      <c r="D422" t="s">
        <v>1018</v>
      </c>
      <c r="E422" s="26">
        <v>45429</v>
      </c>
      <c r="F422" s="26">
        <v>45441</v>
      </c>
      <c r="G422" s="51">
        <v>45922</v>
      </c>
      <c r="H422">
        <v>44448.1</v>
      </c>
      <c r="I422" t="s">
        <v>18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</v>
      </c>
      <c r="S422">
        <v>2</v>
      </c>
      <c r="T422">
        <v>0.9</v>
      </c>
      <c r="U422">
        <v>0</v>
      </c>
      <c r="V422">
        <v>1</v>
      </c>
      <c r="W422">
        <v>0</v>
      </c>
      <c r="X422">
        <v>0</v>
      </c>
      <c r="Y422">
        <v>0</v>
      </c>
    </row>
    <row r="423" spans="1:25" x14ac:dyDescent="0.3">
      <c r="A423">
        <v>502300585</v>
      </c>
      <c r="B423" t="s">
        <v>765</v>
      </c>
      <c r="C423" t="s">
        <v>803</v>
      </c>
      <c r="D423" t="s">
        <v>1019</v>
      </c>
      <c r="E423" s="26">
        <v>45434</v>
      </c>
      <c r="F423" s="26">
        <v>45447</v>
      </c>
      <c r="G423" s="51">
        <v>45922</v>
      </c>
      <c r="H423">
        <v>45325.120000000003</v>
      </c>
      <c r="I423" t="s">
        <v>18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</v>
      </c>
      <c r="S423">
        <v>2</v>
      </c>
      <c r="T423">
        <v>0.9</v>
      </c>
      <c r="U423">
        <v>0</v>
      </c>
      <c r="V423">
        <v>1</v>
      </c>
      <c r="W423">
        <v>0</v>
      </c>
      <c r="X423">
        <v>0</v>
      </c>
      <c r="Y423">
        <v>0</v>
      </c>
    </row>
    <row r="424" spans="1:25" x14ac:dyDescent="0.3">
      <c r="A424">
        <v>402301047</v>
      </c>
      <c r="B424" t="s">
        <v>765</v>
      </c>
      <c r="C424" t="s">
        <v>766</v>
      </c>
      <c r="D424" t="s">
        <v>834</v>
      </c>
      <c r="E424" s="26">
        <v>45432</v>
      </c>
      <c r="F424" s="26">
        <v>45447</v>
      </c>
      <c r="G424" s="51">
        <v>45922</v>
      </c>
      <c r="H424">
        <v>45200.37</v>
      </c>
      <c r="I424" t="s">
        <v>18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</v>
      </c>
      <c r="S424">
        <v>2</v>
      </c>
      <c r="T424">
        <v>0.9</v>
      </c>
      <c r="U424">
        <v>0</v>
      </c>
      <c r="V424">
        <v>1</v>
      </c>
      <c r="W424">
        <v>0</v>
      </c>
      <c r="X424">
        <v>0</v>
      </c>
      <c r="Y424">
        <v>0</v>
      </c>
    </row>
    <row r="425" spans="1:25" x14ac:dyDescent="0.3">
      <c r="A425">
        <v>402301039</v>
      </c>
      <c r="B425" t="s">
        <v>765</v>
      </c>
      <c r="C425" t="s">
        <v>766</v>
      </c>
      <c r="D425" t="s">
        <v>817</v>
      </c>
      <c r="E425" s="26">
        <v>45429</v>
      </c>
      <c r="F425" s="26">
        <v>45440</v>
      </c>
      <c r="G425" s="51">
        <v>45922</v>
      </c>
      <c r="H425">
        <v>44757.09</v>
      </c>
      <c r="I425" t="s">
        <v>18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2</v>
      </c>
      <c r="T425">
        <v>0.9</v>
      </c>
      <c r="U425">
        <v>0</v>
      </c>
      <c r="V425">
        <v>1</v>
      </c>
      <c r="W425">
        <v>0</v>
      </c>
      <c r="X425">
        <v>0</v>
      </c>
      <c r="Y425">
        <v>0</v>
      </c>
    </row>
    <row r="426" spans="1:25" x14ac:dyDescent="0.3">
      <c r="A426">
        <v>402301088</v>
      </c>
      <c r="B426" t="s">
        <v>765</v>
      </c>
      <c r="C426" t="s">
        <v>766</v>
      </c>
      <c r="D426" t="s">
        <v>1020</v>
      </c>
      <c r="E426" s="26">
        <v>45386</v>
      </c>
      <c r="F426" s="26">
        <v>45398</v>
      </c>
      <c r="G426" s="51">
        <v>45922</v>
      </c>
      <c r="H426">
        <v>45225.440000000002</v>
      </c>
      <c r="I426" t="s">
        <v>18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2</v>
      </c>
      <c r="T426">
        <v>0.9</v>
      </c>
      <c r="U426">
        <v>0</v>
      </c>
      <c r="V426">
        <v>1</v>
      </c>
      <c r="W426">
        <v>0</v>
      </c>
      <c r="X426">
        <v>0</v>
      </c>
      <c r="Y426">
        <v>0</v>
      </c>
    </row>
    <row r="427" spans="1:25" x14ac:dyDescent="0.3">
      <c r="A427">
        <v>402301095</v>
      </c>
      <c r="B427" t="s">
        <v>765</v>
      </c>
      <c r="C427" t="s">
        <v>766</v>
      </c>
      <c r="D427" t="s">
        <v>844</v>
      </c>
      <c r="E427" s="26">
        <v>45386</v>
      </c>
      <c r="F427" s="26">
        <v>45399</v>
      </c>
      <c r="G427" s="51">
        <v>45922</v>
      </c>
      <c r="H427">
        <v>45225.440000000002</v>
      </c>
      <c r="I427" t="s">
        <v>18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2</v>
      </c>
      <c r="T427">
        <v>0.9</v>
      </c>
      <c r="U427">
        <v>0</v>
      </c>
      <c r="V427">
        <v>1</v>
      </c>
      <c r="W427">
        <v>0</v>
      </c>
      <c r="X427">
        <v>0</v>
      </c>
      <c r="Y427">
        <v>0</v>
      </c>
    </row>
    <row r="428" spans="1:25" x14ac:dyDescent="0.3">
      <c r="A428">
        <v>402301094</v>
      </c>
      <c r="B428" t="s">
        <v>765</v>
      </c>
      <c r="C428" t="s">
        <v>766</v>
      </c>
      <c r="D428" t="s">
        <v>865</v>
      </c>
      <c r="E428" s="26">
        <v>45384</v>
      </c>
      <c r="F428" s="26">
        <v>45399</v>
      </c>
      <c r="G428" s="51">
        <v>45922</v>
      </c>
      <c r="H428">
        <v>45225.43</v>
      </c>
      <c r="I428" t="s">
        <v>18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</v>
      </c>
      <c r="S428">
        <v>2</v>
      </c>
      <c r="T428">
        <v>0.9</v>
      </c>
      <c r="U428">
        <v>0</v>
      </c>
      <c r="V428">
        <v>1</v>
      </c>
      <c r="W428">
        <v>0</v>
      </c>
      <c r="X428">
        <v>0</v>
      </c>
      <c r="Y428">
        <v>0</v>
      </c>
    </row>
    <row r="429" spans="1:25" x14ac:dyDescent="0.3">
      <c r="A429">
        <v>402301100</v>
      </c>
      <c r="B429" t="s">
        <v>765</v>
      </c>
      <c r="C429" t="s">
        <v>766</v>
      </c>
      <c r="D429" t="s">
        <v>1021</v>
      </c>
      <c r="E429" s="26">
        <v>45383</v>
      </c>
      <c r="F429" s="26">
        <v>45399</v>
      </c>
      <c r="G429" s="51">
        <v>45922</v>
      </c>
      <c r="H429">
        <v>45225.440000000002</v>
      </c>
      <c r="I429" t="s">
        <v>18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2</v>
      </c>
      <c r="T429">
        <v>0.9</v>
      </c>
      <c r="U429">
        <v>0</v>
      </c>
      <c r="V429">
        <v>1</v>
      </c>
      <c r="W429">
        <v>0</v>
      </c>
      <c r="X429">
        <v>0</v>
      </c>
      <c r="Y429">
        <v>0</v>
      </c>
    </row>
    <row r="430" spans="1:25" x14ac:dyDescent="0.3">
      <c r="A430">
        <v>502300594</v>
      </c>
      <c r="B430" t="s">
        <v>765</v>
      </c>
      <c r="C430" t="s">
        <v>803</v>
      </c>
      <c r="D430" t="s">
        <v>805</v>
      </c>
      <c r="E430" s="26">
        <v>45388</v>
      </c>
      <c r="F430" s="26">
        <v>45399</v>
      </c>
      <c r="G430" s="51">
        <v>45922</v>
      </c>
      <c r="H430">
        <v>45350.18</v>
      </c>
      <c r="I430" t="s">
        <v>18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2</v>
      </c>
      <c r="T430">
        <v>0.9</v>
      </c>
      <c r="U430">
        <v>0</v>
      </c>
      <c r="V430">
        <v>1</v>
      </c>
      <c r="W430">
        <v>0</v>
      </c>
      <c r="X430">
        <v>0</v>
      </c>
      <c r="Y430">
        <v>0</v>
      </c>
    </row>
    <row r="431" spans="1:25" x14ac:dyDescent="0.3">
      <c r="A431">
        <v>402301093</v>
      </c>
      <c r="B431" t="s">
        <v>765</v>
      </c>
      <c r="C431" t="s">
        <v>766</v>
      </c>
      <c r="D431" t="s">
        <v>1022</v>
      </c>
      <c r="E431" s="26">
        <v>45387</v>
      </c>
      <c r="F431" s="26">
        <v>45399</v>
      </c>
      <c r="G431" s="51">
        <v>45922</v>
      </c>
      <c r="H431">
        <v>44715.06</v>
      </c>
      <c r="I431" t="s">
        <v>18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2</v>
      </c>
      <c r="T431">
        <v>0.9</v>
      </c>
      <c r="U431">
        <v>0</v>
      </c>
      <c r="V431">
        <v>1</v>
      </c>
      <c r="W431">
        <v>0</v>
      </c>
      <c r="X431">
        <v>0</v>
      </c>
      <c r="Y431">
        <v>0</v>
      </c>
    </row>
    <row r="432" spans="1:25" x14ac:dyDescent="0.3">
      <c r="A432">
        <v>402301103</v>
      </c>
      <c r="B432" t="s">
        <v>765</v>
      </c>
      <c r="C432" t="s">
        <v>766</v>
      </c>
      <c r="D432" t="s">
        <v>1023</v>
      </c>
      <c r="E432" s="26">
        <v>45392</v>
      </c>
      <c r="F432" s="26">
        <v>45405</v>
      </c>
      <c r="G432" s="51">
        <v>45922</v>
      </c>
      <c r="H432">
        <v>44746.05</v>
      </c>
      <c r="I432" t="s">
        <v>18</v>
      </c>
      <c r="J432">
        <v>1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2</v>
      </c>
      <c r="T432">
        <v>0.9</v>
      </c>
      <c r="U432">
        <v>0</v>
      </c>
      <c r="V432">
        <v>1</v>
      </c>
      <c r="W432">
        <v>0</v>
      </c>
      <c r="X432">
        <v>0</v>
      </c>
      <c r="Y432">
        <v>0</v>
      </c>
    </row>
    <row r="433" spans="1:25" x14ac:dyDescent="0.3">
      <c r="A433">
        <v>402301101</v>
      </c>
      <c r="B433" t="s">
        <v>765</v>
      </c>
      <c r="C433" t="s">
        <v>766</v>
      </c>
      <c r="D433" t="s">
        <v>1015</v>
      </c>
      <c r="E433" s="26">
        <v>45384</v>
      </c>
      <c r="F433" s="26">
        <v>45399</v>
      </c>
      <c r="G433" s="51">
        <v>45922</v>
      </c>
      <c r="H433">
        <v>45225.440000000002</v>
      </c>
      <c r="I433" t="s">
        <v>18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2</v>
      </c>
      <c r="T433">
        <v>0.9</v>
      </c>
      <c r="U433">
        <v>0</v>
      </c>
      <c r="V433">
        <v>1</v>
      </c>
      <c r="W433">
        <v>0</v>
      </c>
      <c r="X433">
        <v>0</v>
      </c>
      <c r="Y433">
        <v>0</v>
      </c>
    </row>
    <row r="434" spans="1:25" x14ac:dyDescent="0.3">
      <c r="A434">
        <v>402301107</v>
      </c>
      <c r="B434" t="s">
        <v>765</v>
      </c>
      <c r="C434" t="s">
        <v>766</v>
      </c>
      <c r="D434" t="s">
        <v>768</v>
      </c>
      <c r="E434" s="26">
        <v>45436</v>
      </c>
      <c r="F434" s="26">
        <v>45447</v>
      </c>
      <c r="G434" s="51">
        <v>45922</v>
      </c>
      <c r="H434">
        <v>45200.37</v>
      </c>
      <c r="I434" t="s">
        <v>18</v>
      </c>
      <c r="J434">
        <v>1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2</v>
      </c>
      <c r="T434">
        <v>0.9</v>
      </c>
      <c r="U434">
        <v>0</v>
      </c>
      <c r="V434">
        <v>1</v>
      </c>
      <c r="W434">
        <v>0</v>
      </c>
      <c r="X434">
        <v>0</v>
      </c>
      <c r="Y434">
        <v>0</v>
      </c>
    </row>
    <row r="435" spans="1:25" x14ac:dyDescent="0.3">
      <c r="A435">
        <v>402301092</v>
      </c>
      <c r="B435" t="s">
        <v>765</v>
      </c>
      <c r="C435" t="s">
        <v>766</v>
      </c>
      <c r="D435" t="s">
        <v>1024</v>
      </c>
      <c r="E435" s="26">
        <v>45387</v>
      </c>
      <c r="F435" s="26">
        <v>45399</v>
      </c>
      <c r="G435" s="51">
        <v>45922</v>
      </c>
      <c r="H435">
        <v>45225.440000000002</v>
      </c>
      <c r="I435" t="s">
        <v>18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</v>
      </c>
      <c r="S435">
        <v>2</v>
      </c>
      <c r="T435">
        <v>0.9</v>
      </c>
      <c r="U435">
        <v>0</v>
      </c>
      <c r="V435">
        <v>1</v>
      </c>
      <c r="W435">
        <v>0</v>
      </c>
      <c r="X435">
        <v>0</v>
      </c>
      <c r="Y435">
        <v>0</v>
      </c>
    </row>
    <row r="436" spans="1:25" x14ac:dyDescent="0.3">
      <c r="A436">
        <v>402301084</v>
      </c>
      <c r="B436" t="s">
        <v>765</v>
      </c>
      <c r="C436" t="s">
        <v>766</v>
      </c>
      <c r="D436" t="s">
        <v>1025</v>
      </c>
      <c r="E436" s="26">
        <v>45300</v>
      </c>
      <c r="F436" s="26">
        <v>45313</v>
      </c>
      <c r="G436" s="51">
        <v>45922</v>
      </c>
      <c r="H436">
        <v>45225.440000000002</v>
      </c>
      <c r="I436" t="s">
        <v>18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  <c r="S436">
        <v>2</v>
      </c>
      <c r="T436">
        <v>0.9</v>
      </c>
      <c r="U436">
        <v>0</v>
      </c>
      <c r="V436">
        <v>1</v>
      </c>
      <c r="W436">
        <v>0</v>
      </c>
      <c r="X436">
        <v>0</v>
      </c>
      <c r="Y436">
        <v>0</v>
      </c>
    </row>
    <row r="437" spans="1:25" x14ac:dyDescent="0.3">
      <c r="A437">
        <v>402301099</v>
      </c>
      <c r="B437" t="s">
        <v>765</v>
      </c>
      <c r="C437" t="s">
        <v>766</v>
      </c>
      <c r="D437" t="s">
        <v>1023</v>
      </c>
      <c r="E437" s="26">
        <v>45384</v>
      </c>
      <c r="F437" s="26">
        <v>45399</v>
      </c>
      <c r="G437" s="51">
        <v>45922</v>
      </c>
      <c r="H437">
        <v>45225.440000000002</v>
      </c>
      <c r="I437" t="s">
        <v>18</v>
      </c>
      <c r="J437">
        <v>1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</v>
      </c>
      <c r="S437">
        <v>2</v>
      </c>
      <c r="T437">
        <v>0.9</v>
      </c>
      <c r="U437">
        <v>0</v>
      </c>
      <c r="V437">
        <v>1</v>
      </c>
      <c r="W437">
        <v>0</v>
      </c>
      <c r="X437">
        <v>0</v>
      </c>
      <c r="Y437">
        <v>0</v>
      </c>
    </row>
    <row r="438" spans="1:25" x14ac:dyDescent="0.3">
      <c r="A438">
        <v>402301106</v>
      </c>
      <c r="B438" t="s">
        <v>765</v>
      </c>
      <c r="C438" t="s">
        <v>766</v>
      </c>
      <c r="D438" t="s">
        <v>1026</v>
      </c>
      <c r="E438" s="26">
        <v>45431</v>
      </c>
      <c r="F438" s="26">
        <v>45447</v>
      </c>
      <c r="G438" s="51">
        <v>45922</v>
      </c>
      <c r="H438">
        <v>44009.27</v>
      </c>
      <c r="I438" t="s">
        <v>18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</v>
      </c>
      <c r="S438">
        <v>2</v>
      </c>
      <c r="T438">
        <v>0.9</v>
      </c>
      <c r="U438">
        <v>0</v>
      </c>
      <c r="V438">
        <v>1</v>
      </c>
      <c r="W438">
        <v>0</v>
      </c>
      <c r="X438">
        <v>0</v>
      </c>
      <c r="Y438">
        <v>0</v>
      </c>
    </row>
    <row r="439" spans="1:25" x14ac:dyDescent="0.3">
      <c r="A439">
        <v>402301102</v>
      </c>
      <c r="B439" t="s">
        <v>765</v>
      </c>
      <c r="C439" t="s">
        <v>766</v>
      </c>
      <c r="D439" t="s">
        <v>1027</v>
      </c>
      <c r="E439" s="26">
        <v>45429</v>
      </c>
      <c r="F439" s="26">
        <v>45440</v>
      </c>
      <c r="G439" s="51">
        <v>45922</v>
      </c>
      <c r="H439">
        <v>44103.81</v>
      </c>
      <c r="I439" t="s">
        <v>18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</v>
      </c>
      <c r="S439">
        <v>2</v>
      </c>
      <c r="T439">
        <v>0.9</v>
      </c>
      <c r="U439">
        <v>0</v>
      </c>
      <c r="V439">
        <v>1</v>
      </c>
      <c r="W439">
        <v>0</v>
      </c>
      <c r="X439">
        <v>0</v>
      </c>
      <c r="Y439">
        <v>0</v>
      </c>
    </row>
    <row r="440" spans="1:25" x14ac:dyDescent="0.3">
      <c r="A440">
        <v>402301091</v>
      </c>
      <c r="B440" t="s">
        <v>765</v>
      </c>
      <c r="C440" t="s">
        <v>766</v>
      </c>
      <c r="D440" t="s">
        <v>1027</v>
      </c>
      <c r="E440" s="26">
        <v>45386</v>
      </c>
      <c r="F440" s="26">
        <v>45398</v>
      </c>
      <c r="G440" s="51">
        <v>45922</v>
      </c>
      <c r="H440">
        <v>45225.43</v>
      </c>
      <c r="I440" t="s">
        <v>18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</v>
      </c>
      <c r="S440">
        <v>2</v>
      </c>
      <c r="T440">
        <v>0.9</v>
      </c>
      <c r="U440">
        <v>0</v>
      </c>
      <c r="V440">
        <v>1</v>
      </c>
      <c r="W440">
        <v>0</v>
      </c>
      <c r="X440">
        <v>0</v>
      </c>
      <c r="Y440">
        <v>0</v>
      </c>
    </row>
    <row r="441" spans="1:25" x14ac:dyDescent="0.3">
      <c r="A441">
        <v>402301089</v>
      </c>
      <c r="B441" t="s">
        <v>765</v>
      </c>
      <c r="C441" t="s">
        <v>766</v>
      </c>
      <c r="D441" t="s">
        <v>1028</v>
      </c>
      <c r="E441" s="26">
        <v>45385</v>
      </c>
      <c r="F441" s="26">
        <v>45398</v>
      </c>
      <c r="G441" s="51">
        <v>45922</v>
      </c>
      <c r="H441">
        <v>45225.43</v>
      </c>
      <c r="I441" t="s">
        <v>18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2</v>
      </c>
      <c r="T441">
        <v>0.9</v>
      </c>
      <c r="U441">
        <v>0</v>
      </c>
      <c r="V441">
        <v>1</v>
      </c>
      <c r="W441">
        <v>0</v>
      </c>
      <c r="X441">
        <v>0</v>
      </c>
      <c r="Y441">
        <v>0</v>
      </c>
    </row>
    <row r="442" spans="1:25" x14ac:dyDescent="0.3">
      <c r="A442">
        <v>402301090</v>
      </c>
      <c r="B442" t="s">
        <v>765</v>
      </c>
      <c r="C442" t="s">
        <v>766</v>
      </c>
      <c r="D442" t="s">
        <v>1029</v>
      </c>
      <c r="E442" s="26">
        <v>45383</v>
      </c>
      <c r="F442" s="26">
        <v>45398</v>
      </c>
      <c r="G442" s="51">
        <v>45922</v>
      </c>
      <c r="H442">
        <v>45225.440000000002</v>
      </c>
      <c r="I442" t="s">
        <v>18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2</v>
      </c>
      <c r="T442">
        <v>0.9</v>
      </c>
      <c r="U442">
        <v>0</v>
      </c>
      <c r="V442">
        <v>1</v>
      </c>
      <c r="W442">
        <v>0</v>
      </c>
      <c r="X442">
        <v>0</v>
      </c>
      <c r="Y442">
        <v>0</v>
      </c>
    </row>
    <row r="443" spans="1:25" x14ac:dyDescent="0.3">
      <c r="A443">
        <v>402301087</v>
      </c>
      <c r="B443" t="s">
        <v>765</v>
      </c>
      <c r="C443" t="s">
        <v>766</v>
      </c>
      <c r="D443" t="s">
        <v>817</v>
      </c>
      <c r="E443" s="26">
        <v>45387</v>
      </c>
      <c r="F443" s="26">
        <v>45398</v>
      </c>
      <c r="G443" s="51">
        <v>45922</v>
      </c>
      <c r="H443">
        <v>45225.43</v>
      </c>
      <c r="I443" t="s">
        <v>18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2</v>
      </c>
      <c r="T443">
        <v>0.9</v>
      </c>
      <c r="U443">
        <v>0</v>
      </c>
      <c r="V443">
        <v>1</v>
      </c>
      <c r="W443">
        <v>0</v>
      </c>
      <c r="X443">
        <v>0</v>
      </c>
      <c r="Y443">
        <v>0</v>
      </c>
    </row>
    <row r="444" spans="1:25" x14ac:dyDescent="0.3">
      <c r="A444">
        <v>402301097</v>
      </c>
      <c r="B444" t="s">
        <v>765</v>
      </c>
      <c r="C444" t="s">
        <v>766</v>
      </c>
      <c r="D444" t="s">
        <v>805</v>
      </c>
      <c r="E444" s="26">
        <v>45387</v>
      </c>
      <c r="F444" s="26">
        <v>45399</v>
      </c>
      <c r="G444" s="51">
        <v>45922</v>
      </c>
      <c r="H444">
        <v>45225.440000000002</v>
      </c>
      <c r="I444" t="s">
        <v>18</v>
      </c>
      <c r="J444">
        <v>1</v>
      </c>
      <c r="K444">
        <v>1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</v>
      </c>
      <c r="S444">
        <v>2</v>
      </c>
      <c r="T444">
        <v>0.9</v>
      </c>
      <c r="U444">
        <v>0</v>
      </c>
      <c r="V444">
        <v>1</v>
      </c>
      <c r="W444">
        <v>0</v>
      </c>
      <c r="X444">
        <v>0</v>
      </c>
      <c r="Y444">
        <v>0</v>
      </c>
    </row>
    <row r="445" spans="1:25" x14ac:dyDescent="0.3">
      <c r="A445">
        <v>402301098</v>
      </c>
      <c r="B445" t="s">
        <v>765</v>
      </c>
      <c r="C445" t="s">
        <v>766</v>
      </c>
      <c r="D445" t="s">
        <v>805</v>
      </c>
      <c r="E445" s="26">
        <v>45386</v>
      </c>
      <c r="F445" s="26">
        <v>45399</v>
      </c>
      <c r="G445" s="51">
        <v>45922</v>
      </c>
      <c r="H445">
        <v>45225.440000000002</v>
      </c>
      <c r="I445" t="s">
        <v>18</v>
      </c>
      <c r="J445">
        <v>1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2</v>
      </c>
      <c r="T445">
        <v>0.9</v>
      </c>
      <c r="U445">
        <v>0</v>
      </c>
      <c r="V445">
        <v>1</v>
      </c>
      <c r="W445">
        <v>0</v>
      </c>
      <c r="X445">
        <v>0</v>
      </c>
      <c r="Y445">
        <v>0</v>
      </c>
    </row>
    <row r="446" spans="1:25" x14ac:dyDescent="0.3">
      <c r="A446">
        <v>402301104</v>
      </c>
      <c r="B446" t="s">
        <v>765</v>
      </c>
      <c r="C446" t="s">
        <v>766</v>
      </c>
      <c r="D446" t="s">
        <v>1030</v>
      </c>
      <c r="E446" s="26">
        <v>45425</v>
      </c>
      <c r="F446" s="26">
        <v>45440</v>
      </c>
      <c r="G446" s="51">
        <v>45922</v>
      </c>
      <c r="H446">
        <v>44093.45</v>
      </c>
      <c r="I446" t="s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</v>
      </c>
      <c r="S446">
        <v>2</v>
      </c>
      <c r="T446">
        <v>0.9</v>
      </c>
      <c r="U446">
        <v>0</v>
      </c>
      <c r="V446">
        <v>1</v>
      </c>
      <c r="W446">
        <v>0</v>
      </c>
      <c r="X446">
        <v>0</v>
      </c>
      <c r="Y446">
        <v>0</v>
      </c>
    </row>
    <row r="447" spans="1:25" x14ac:dyDescent="0.3">
      <c r="A447">
        <v>402301123</v>
      </c>
      <c r="B447" t="s">
        <v>765</v>
      </c>
      <c r="C447" t="s">
        <v>766</v>
      </c>
      <c r="D447" t="s">
        <v>1031</v>
      </c>
      <c r="E447" s="26">
        <v>45424</v>
      </c>
      <c r="F447" s="26">
        <v>45440</v>
      </c>
      <c r="G447" s="51">
        <v>45922</v>
      </c>
      <c r="H447">
        <v>44006.16</v>
      </c>
      <c r="I447" t="s">
        <v>18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2</v>
      </c>
      <c r="T447">
        <v>0.9</v>
      </c>
      <c r="U447">
        <v>0</v>
      </c>
      <c r="V447">
        <v>1</v>
      </c>
      <c r="W447">
        <v>0</v>
      </c>
      <c r="X447">
        <v>0</v>
      </c>
      <c r="Y447">
        <v>0</v>
      </c>
    </row>
    <row r="448" spans="1:25" x14ac:dyDescent="0.3">
      <c r="A448">
        <v>402301124</v>
      </c>
      <c r="B448" t="s">
        <v>765</v>
      </c>
      <c r="C448" t="s">
        <v>766</v>
      </c>
      <c r="D448" t="s">
        <v>1032</v>
      </c>
      <c r="E448" s="26">
        <v>45429</v>
      </c>
      <c r="F448" s="26">
        <v>45440</v>
      </c>
      <c r="G448" s="51">
        <v>45922</v>
      </c>
      <c r="H448">
        <v>44836.800000000003</v>
      </c>
      <c r="I448" t="s">
        <v>18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</v>
      </c>
      <c r="S448">
        <v>2</v>
      </c>
      <c r="T448">
        <v>0.9</v>
      </c>
      <c r="U448">
        <v>0</v>
      </c>
      <c r="V448">
        <v>1</v>
      </c>
      <c r="W448">
        <v>0</v>
      </c>
      <c r="X448">
        <v>0</v>
      </c>
      <c r="Y448">
        <v>0</v>
      </c>
    </row>
    <row r="449" spans="1:25" x14ac:dyDescent="0.3">
      <c r="A449">
        <v>402301125</v>
      </c>
      <c r="B449" t="s">
        <v>765</v>
      </c>
      <c r="C449" t="s">
        <v>766</v>
      </c>
      <c r="D449" t="s">
        <v>796</v>
      </c>
      <c r="E449" s="26">
        <v>45428</v>
      </c>
      <c r="F449" s="26">
        <v>45440</v>
      </c>
      <c r="G449" s="51">
        <v>45922</v>
      </c>
      <c r="H449">
        <v>44732.09</v>
      </c>
      <c r="I449" t="s">
        <v>18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</v>
      </c>
      <c r="S449">
        <v>2</v>
      </c>
      <c r="T449">
        <v>0.9</v>
      </c>
      <c r="U449">
        <v>0</v>
      </c>
      <c r="V449">
        <v>1</v>
      </c>
      <c r="W449">
        <v>0</v>
      </c>
      <c r="X449">
        <v>0</v>
      </c>
      <c r="Y449">
        <v>0</v>
      </c>
    </row>
    <row r="450" spans="1:25" x14ac:dyDescent="0.3">
      <c r="A450">
        <v>402301120</v>
      </c>
      <c r="B450" t="s">
        <v>765</v>
      </c>
      <c r="C450" t="s">
        <v>766</v>
      </c>
      <c r="D450" t="s">
        <v>1033</v>
      </c>
      <c r="E450" s="26">
        <v>45385</v>
      </c>
      <c r="F450" s="26">
        <v>45398</v>
      </c>
      <c r="G450" s="51">
        <v>45922</v>
      </c>
      <c r="H450">
        <v>45225.440000000002</v>
      </c>
      <c r="I450" t="s">
        <v>18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  <c r="S450">
        <v>2</v>
      </c>
      <c r="T450">
        <v>0.9</v>
      </c>
      <c r="U450">
        <v>0</v>
      </c>
      <c r="V450">
        <v>1</v>
      </c>
      <c r="W450">
        <v>0</v>
      </c>
      <c r="X450">
        <v>0</v>
      </c>
      <c r="Y450">
        <v>0</v>
      </c>
    </row>
    <row r="451" spans="1:25" x14ac:dyDescent="0.3">
      <c r="A451">
        <v>402301121</v>
      </c>
      <c r="B451" t="s">
        <v>765</v>
      </c>
      <c r="C451" t="s">
        <v>766</v>
      </c>
      <c r="D451" t="s">
        <v>805</v>
      </c>
      <c r="E451" s="26">
        <v>45383</v>
      </c>
      <c r="F451" s="26">
        <v>45398</v>
      </c>
      <c r="G451" s="51">
        <v>45922</v>
      </c>
      <c r="H451">
        <v>45225.43</v>
      </c>
      <c r="I451" t="s">
        <v>18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</v>
      </c>
      <c r="S451">
        <v>2</v>
      </c>
      <c r="T451">
        <v>0.9</v>
      </c>
      <c r="U451">
        <v>0</v>
      </c>
      <c r="V451">
        <v>1</v>
      </c>
      <c r="W451">
        <v>0</v>
      </c>
      <c r="X451">
        <v>0</v>
      </c>
      <c r="Y45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3408-2569-4324-ACF1-4416D5C57271}">
  <dimension ref="A1:M529"/>
  <sheetViews>
    <sheetView workbookViewId="0">
      <selection activeCell="E22" sqref="E22"/>
    </sheetView>
  </sheetViews>
  <sheetFormatPr defaultRowHeight="14.4" x14ac:dyDescent="0.3"/>
  <cols>
    <col min="2" max="2" width="24" customWidth="1"/>
    <col min="5" max="5" width="20.33203125" bestFit="1" customWidth="1"/>
    <col min="7" max="7" width="24.44140625" customWidth="1"/>
    <col min="8" max="8" width="24.5546875" customWidth="1"/>
  </cols>
  <sheetData>
    <row r="1" spans="1:8" x14ac:dyDescent="0.3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 spans="1:8" x14ac:dyDescent="0.3">
      <c r="A2" t="s">
        <v>89</v>
      </c>
      <c r="B2">
        <v>14</v>
      </c>
      <c r="C2" t="s">
        <v>90</v>
      </c>
      <c r="D2">
        <v>1400027</v>
      </c>
      <c r="E2" t="s">
        <v>91</v>
      </c>
      <c r="F2">
        <v>13561</v>
      </c>
      <c r="G2">
        <v>3.6521180000000002</v>
      </c>
      <c r="H2">
        <v>-61.420589999999997</v>
      </c>
    </row>
    <row r="3" spans="1:8" x14ac:dyDescent="0.3">
      <c r="A3" t="s">
        <v>89</v>
      </c>
      <c r="B3">
        <v>14</v>
      </c>
      <c r="C3" t="s">
        <v>92</v>
      </c>
      <c r="D3">
        <v>1400050</v>
      </c>
      <c r="E3" t="s">
        <v>93</v>
      </c>
      <c r="F3">
        <v>15249</v>
      </c>
      <c r="G3">
        <v>2.9938229999999999</v>
      </c>
      <c r="H3">
        <v>-61.314022000000001</v>
      </c>
    </row>
    <row r="4" spans="1:8" x14ac:dyDescent="0.3">
      <c r="A4" t="s">
        <v>89</v>
      </c>
      <c r="B4">
        <v>14</v>
      </c>
      <c r="C4" t="s">
        <v>94</v>
      </c>
      <c r="D4">
        <v>1400100</v>
      </c>
      <c r="E4" t="s">
        <v>95</v>
      </c>
      <c r="F4">
        <v>436591</v>
      </c>
      <c r="G4">
        <v>2.8166820000000001</v>
      </c>
      <c r="H4">
        <v>-60.670532999999999</v>
      </c>
    </row>
    <row r="5" spans="1:8" x14ac:dyDescent="0.3">
      <c r="A5" t="s">
        <v>89</v>
      </c>
      <c r="B5">
        <v>14</v>
      </c>
      <c r="C5" t="s">
        <v>96</v>
      </c>
      <c r="D5">
        <v>1400159</v>
      </c>
      <c r="E5" t="s">
        <v>97</v>
      </c>
      <c r="F5">
        <v>12701</v>
      </c>
      <c r="G5">
        <v>3.3502890000000001</v>
      </c>
      <c r="H5">
        <v>-59.878006999999997</v>
      </c>
    </row>
    <row r="6" spans="1:8" x14ac:dyDescent="0.3">
      <c r="A6" t="s">
        <v>89</v>
      </c>
      <c r="B6">
        <v>14</v>
      </c>
      <c r="C6" t="s">
        <v>98</v>
      </c>
      <c r="D6">
        <v>1400175</v>
      </c>
      <c r="E6" t="s">
        <v>99</v>
      </c>
      <c r="F6">
        <v>19257</v>
      </c>
      <c r="G6">
        <v>2.607666</v>
      </c>
      <c r="H6">
        <v>-60.602063000000001</v>
      </c>
    </row>
    <row r="7" spans="1:8" x14ac:dyDescent="0.3">
      <c r="A7" t="s">
        <v>89</v>
      </c>
      <c r="B7">
        <v>14</v>
      </c>
      <c r="C7" t="s">
        <v>100</v>
      </c>
      <c r="D7">
        <v>1400209</v>
      </c>
      <c r="E7" t="s">
        <v>101</v>
      </c>
      <c r="F7">
        <v>22635</v>
      </c>
      <c r="G7">
        <v>1.803871</v>
      </c>
      <c r="H7">
        <v>-61.149177000000002</v>
      </c>
    </row>
    <row r="8" spans="1:8" x14ac:dyDescent="0.3">
      <c r="A8" t="s">
        <v>89</v>
      </c>
      <c r="B8">
        <v>14</v>
      </c>
      <c r="C8" t="s">
        <v>102</v>
      </c>
      <c r="D8">
        <v>1400233</v>
      </c>
      <c r="E8" t="s">
        <v>103</v>
      </c>
      <c r="F8">
        <v>10595</v>
      </c>
      <c r="G8">
        <v>0.87267499999999998</v>
      </c>
      <c r="H8">
        <v>-59.694809999999997</v>
      </c>
    </row>
    <row r="9" spans="1:8" x14ac:dyDescent="0.3">
      <c r="A9" t="s">
        <v>89</v>
      </c>
      <c r="B9">
        <v>14</v>
      </c>
      <c r="C9" t="s">
        <v>104</v>
      </c>
      <c r="D9">
        <v>1400282</v>
      </c>
      <c r="E9" t="s">
        <v>105</v>
      </c>
      <c r="F9">
        <v>12637</v>
      </c>
      <c r="G9">
        <v>2.168215</v>
      </c>
      <c r="H9">
        <v>-61.052258999999999</v>
      </c>
    </row>
    <row r="10" spans="1:8" x14ac:dyDescent="0.3">
      <c r="A10" t="s">
        <v>89</v>
      </c>
      <c r="B10">
        <v>14</v>
      </c>
      <c r="C10" t="s">
        <v>106</v>
      </c>
      <c r="D10">
        <v>1400308</v>
      </c>
      <c r="E10" t="s">
        <v>107</v>
      </c>
      <c r="F10">
        <v>18482</v>
      </c>
      <c r="G10">
        <v>2.4797720000000001</v>
      </c>
      <c r="H10">
        <v>-60.911518999999998</v>
      </c>
    </row>
    <row r="11" spans="1:8" x14ac:dyDescent="0.3">
      <c r="A11" t="s">
        <v>89</v>
      </c>
      <c r="B11">
        <v>14</v>
      </c>
      <c r="C11" t="s">
        <v>108</v>
      </c>
      <c r="D11">
        <v>1400407</v>
      </c>
      <c r="E11" t="s">
        <v>109</v>
      </c>
      <c r="F11">
        <v>11772</v>
      </c>
      <c r="G11">
        <v>3.882978</v>
      </c>
      <c r="H11">
        <v>-59.635205999999997</v>
      </c>
    </row>
    <row r="12" spans="1:8" x14ac:dyDescent="0.3">
      <c r="A12" t="s">
        <v>89</v>
      </c>
      <c r="B12">
        <v>14</v>
      </c>
      <c r="C12" t="s">
        <v>110</v>
      </c>
      <c r="D12">
        <v>1400456</v>
      </c>
      <c r="E12" t="s">
        <v>111</v>
      </c>
      <c r="F12">
        <v>20108</v>
      </c>
      <c r="G12">
        <v>4.4752590000000003</v>
      </c>
      <c r="H12">
        <v>-61.147306</v>
      </c>
    </row>
    <row r="13" spans="1:8" x14ac:dyDescent="0.3">
      <c r="A13" t="s">
        <v>89</v>
      </c>
      <c r="B13">
        <v>14</v>
      </c>
      <c r="C13" t="s">
        <v>112</v>
      </c>
      <c r="D13">
        <v>1400472</v>
      </c>
      <c r="E13" t="s">
        <v>113</v>
      </c>
      <c r="F13">
        <v>31387</v>
      </c>
      <c r="G13">
        <v>0.937195</v>
      </c>
      <c r="H13">
        <v>-60.425060000000002</v>
      </c>
    </row>
    <row r="14" spans="1:8" x14ac:dyDescent="0.3">
      <c r="A14" t="s">
        <v>89</v>
      </c>
      <c r="B14">
        <v>14</v>
      </c>
      <c r="C14" t="s">
        <v>114</v>
      </c>
      <c r="D14">
        <v>1400506</v>
      </c>
      <c r="E14" t="s">
        <v>115</v>
      </c>
      <c r="F14">
        <v>8492</v>
      </c>
      <c r="G14">
        <v>0.94715700000000003</v>
      </c>
      <c r="H14">
        <v>-59.906044000000001</v>
      </c>
    </row>
    <row r="15" spans="1:8" x14ac:dyDescent="0.3">
      <c r="A15" t="s">
        <v>89</v>
      </c>
      <c r="B15">
        <v>14</v>
      </c>
      <c r="C15" t="s">
        <v>116</v>
      </c>
      <c r="D15">
        <v>1400605</v>
      </c>
      <c r="E15" t="s">
        <v>117</v>
      </c>
      <c r="F15">
        <v>8232</v>
      </c>
      <c r="G15">
        <v>1.0181119999999999</v>
      </c>
      <c r="H15">
        <v>-60.028267</v>
      </c>
    </row>
    <row r="16" spans="1:8" x14ac:dyDescent="0.3">
      <c r="A16" t="s">
        <v>89</v>
      </c>
      <c r="B16">
        <v>14</v>
      </c>
      <c r="C16" t="s">
        <v>118</v>
      </c>
      <c r="D16">
        <v>1400704</v>
      </c>
      <c r="E16" t="s">
        <v>119</v>
      </c>
      <c r="F16">
        <v>11014</v>
      </c>
      <c r="G16">
        <v>4.5854400000000002</v>
      </c>
      <c r="H16">
        <v>-60.195715999999997</v>
      </c>
    </row>
    <row r="529" spans="13:13" x14ac:dyDescent="0.3"/>
  </sheetData>
  <autoFilter ref="A1:M1" xr:uid="{45573408-2569-4324-ACF1-4416D5C57271}"/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EC45-06E4-45D2-B134-5589861E9D4C}">
  <dimension ref="A1:D5566"/>
  <sheetViews>
    <sheetView workbookViewId="0">
      <selection activeCell="C5" sqref="C5"/>
    </sheetView>
  </sheetViews>
  <sheetFormatPr defaultRowHeight="14.4" x14ac:dyDescent="0.3"/>
  <sheetData>
    <row r="1" spans="1:4" x14ac:dyDescent="0.3">
      <c r="A1" t="s">
        <v>1034</v>
      </c>
      <c r="B1" t="s">
        <v>1035</v>
      </c>
      <c r="C1" t="s">
        <v>158</v>
      </c>
      <c r="D1" t="s">
        <v>159</v>
      </c>
    </row>
    <row r="2" spans="1:4" x14ac:dyDescent="0.3">
      <c r="A2">
        <v>1100015</v>
      </c>
      <c r="B2" t="s">
        <v>1036</v>
      </c>
      <c r="C2">
        <v>-11.935540304764553</v>
      </c>
      <c r="D2">
        <v>-61.999823896293577</v>
      </c>
    </row>
    <row r="3" spans="1:4" x14ac:dyDescent="0.3">
      <c r="A3">
        <v>1100023</v>
      </c>
      <c r="B3" t="s">
        <v>1037</v>
      </c>
      <c r="C3">
        <v>-9.9084628665671968</v>
      </c>
      <c r="D3">
        <v>-63.033269278048351</v>
      </c>
    </row>
    <row r="4" spans="1:4" x14ac:dyDescent="0.3">
      <c r="A4">
        <v>1100031</v>
      </c>
      <c r="B4" t="s">
        <v>1038</v>
      </c>
      <c r="C4">
        <v>-13.499763459696254</v>
      </c>
      <c r="D4">
        <v>-60.544313581200868</v>
      </c>
    </row>
    <row r="5" spans="1:4" x14ac:dyDescent="0.3">
      <c r="A5">
        <v>1100049</v>
      </c>
      <c r="B5" t="s">
        <v>1039</v>
      </c>
      <c r="C5">
        <v>-11.433865028685151</v>
      </c>
      <c r="D5">
        <v>-61.442944211822415</v>
      </c>
    </row>
    <row r="6" spans="1:4" x14ac:dyDescent="0.3">
      <c r="A6">
        <v>1100056</v>
      </c>
      <c r="B6" t="s">
        <v>1040</v>
      </c>
      <c r="C6">
        <v>-13.1950330320399</v>
      </c>
      <c r="D6">
        <v>-60.818426164681455</v>
      </c>
    </row>
    <row r="7" spans="1:4" x14ac:dyDescent="0.3">
      <c r="A7">
        <v>1100064</v>
      </c>
      <c r="B7" t="s">
        <v>1041</v>
      </c>
      <c r="C7">
        <v>-13.130563841455251</v>
      </c>
      <c r="D7">
        <v>-60.555067463078935</v>
      </c>
    </row>
    <row r="8" spans="1:4" x14ac:dyDescent="0.3">
      <c r="A8">
        <v>1100072</v>
      </c>
      <c r="B8" t="s">
        <v>1042</v>
      </c>
      <c r="C8">
        <v>-12.997520236483403</v>
      </c>
      <c r="D8">
        <v>-60.94870117066143</v>
      </c>
    </row>
    <row r="9" spans="1:4" x14ac:dyDescent="0.3">
      <c r="A9">
        <v>1100080</v>
      </c>
      <c r="B9" t="s">
        <v>1043</v>
      </c>
      <c r="C9">
        <v>-12.436013877714153</v>
      </c>
      <c r="D9">
        <v>-64.231653939117237</v>
      </c>
    </row>
    <row r="10" spans="1:4" x14ac:dyDescent="0.3">
      <c r="A10">
        <v>1100098</v>
      </c>
      <c r="B10" t="s">
        <v>1044</v>
      </c>
      <c r="C10">
        <v>-11.528554633347252</v>
      </c>
      <c r="D10">
        <v>-61.020173113284656</v>
      </c>
    </row>
    <row r="11" spans="1:4" x14ac:dyDescent="0.3">
      <c r="A11">
        <v>1100106</v>
      </c>
      <c r="B11" t="s">
        <v>1045</v>
      </c>
      <c r="C11">
        <v>-10.773883740670453</v>
      </c>
      <c r="D11">
        <v>-65.32395181969234</v>
      </c>
    </row>
    <row r="12" spans="1:4" x14ac:dyDescent="0.3">
      <c r="A12">
        <v>1100114</v>
      </c>
      <c r="B12" t="s">
        <v>1046</v>
      </c>
      <c r="C12">
        <v>-10.435948767884401</v>
      </c>
      <c r="D12">
        <v>-62.476230708131666</v>
      </c>
    </row>
    <row r="13" spans="1:4" x14ac:dyDescent="0.3">
      <c r="A13">
        <v>1100122</v>
      </c>
      <c r="B13" t="s">
        <v>1047</v>
      </c>
      <c r="C13">
        <v>-10.882051318349001</v>
      </c>
      <c r="D13">
        <v>-61.945094582684135</v>
      </c>
    </row>
    <row r="14" spans="1:4" x14ac:dyDescent="0.3">
      <c r="A14">
        <v>1100130</v>
      </c>
      <c r="B14" t="s">
        <v>1048</v>
      </c>
      <c r="C14">
        <v>-9.4255624800000017</v>
      </c>
      <c r="D14">
        <v>-61.999592572446602</v>
      </c>
    </row>
    <row r="15" spans="1:4" x14ac:dyDescent="0.3">
      <c r="A15">
        <v>1100148</v>
      </c>
      <c r="B15" t="s">
        <v>1049</v>
      </c>
      <c r="C15">
        <v>-11.721325413855851</v>
      </c>
      <c r="D15">
        <v>-62.308230163018962</v>
      </c>
    </row>
    <row r="16" spans="1:4" x14ac:dyDescent="0.3">
      <c r="A16">
        <v>1100155</v>
      </c>
      <c r="B16" t="s">
        <v>1050</v>
      </c>
      <c r="C16">
        <v>-10.723573900813504</v>
      </c>
      <c r="D16">
        <v>-62.261055190436267</v>
      </c>
    </row>
    <row r="17" spans="1:4" x14ac:dyDescent="0.3">
      <c r="A17">
        <v>1100189</v>
      </c>
      <c r="B17" t="s">
        <v>1051</v>
      </c>
      <c r="C17">
        <v>-11.677536990000002</v>
      </c>
      <c r="D17">
        <v>-61.183665673641976</v>
      </c>
    </row>
    <row r="18" spans="1:4" x14ac:dyDescent="0.3">
      <c r="A18">
        <v>1100205</v>
      </c>
      <c r="B18" t="s">
        <v>1052</v>
      </c>
      <c r="C18">
        <v>-8.7688917900000032</v>
      </c>
      <c r="D18">
        <v>-63.831445654361133</v>
      </c>
    </row>
    <row r="19" spans="1:4" x14ac:dyDescent="0.3">
      <c r="A19">
        <v>1100254</v>
      </c>
      <c r="B19" t="s">
        <v>1053</v>
      </c>
      <c r="C19">
        <v>-11.173205016226751</v>
      </c>
      <c r="D19">
        <v>-61.909438683529757</v>
      </c>
    </row>
    <row r="20" spans="1:4" x14ac:dyDescent="0.3">
      <c r="A20">
        <v>1100262</v>
      </c>
      <c r="B20" t="s">
        <v>1054</v>
      </c>
      <c r="C20">
        <v>-9.7055367097394925</v>
      </c>
      <c r="D20">
        <v>-62.900010365958877</v>
      </c>
    </row>
    <row r="21" spans="1:4" x14ac:dyDescent="0.3">
      <c r="A21">
        <v>1100288</v>
      </c>
      <c r="B21" t="s">
        <v>1055</v>
      </c>
      <c r="C21">
        <v>-11.722258913380754</v>
      </c>
      <c r="D21">
        <v>-61.785780935185379</v>
      </c>
    </row>
    <row r="22" spans="1:4" x14ac:dyDescent="0.3">
      <c r="A22">
        <v>1100296</v>
      </c>
      <c r="B22" t="s">
        <v>1056</v>
      </c>
      <c r="C22">
        <v>-11.908423332468951</v>
      </c>
      <c r="D22">
        <v>-61.773305463054527</v>
      </c>
    </row>
    <row r="23" spans="1:4" x14ac:dyDescent="0.3">
      <c r="A23">
        <v>1100304</v>
      </c>
      <c r="B23" t="s">
        <v>1057</v>
      </c>
      <c r="C23">
        <v>-12.741373471802902</v>
      </c>
      <c r="D23">
        <v>-60.138583866098706</v>
      </c>
    </row>
    <row r="24" spans="1:4" x14ac:dyDescent="0.3">
      <c r="A24">
        <v>1100320</v>
      </c>
      <c r="B24" t="s">
        <v>1058</v>
      </c>
      <c r="C24">
        <v>-11.69948974380595</v>
      </c>
      <c r="D24">
        <v>-62.720063481436426</v>
      </c>
    </row>
    <row r="25" spans="1:4" x14ac:dyDescent="0.3">
      <c r="A25">
        <v>1100338</v>
      </c>
      <c r="B25" t="s">
        <v>1059</v>
      </c>
      <c r="C25">
        <v>-10.411771294700152</v>
      </c>
      <c r="D25">
        <v>-65.329149023146655</v>
      </c>
    </row>
    <row r="26" spans="1:4" x14ac:dyDescent="0.3">
      <c r="A26">
        <v>1100346</v>
      </c>
      <c r="B26" t="s">
        <v>1060</v>
      </c>
      <c r="C26">
        <v>-11.344130023433403</v>
      </c>
      <c r="D26">
        <v>-62.27727486569718</v>
      </c>
    </row>
    <row r="27" spans="1:4" x14ac:dyDescent="0.3">
      <c r="A27">
        <v>1100379</v>
      </c>
      <c r="B27" t="s">
        <v>1061</v>
      </c>
      <c r="C27">
        <v>-12.131777224570904</v>
      </c>
      <c r="D27">
        <v>-61.853077168602958</v>
      </c>
    </row>
    <row r="28" spans="1:4" x14ac:dyDescent="0.3">
      <c r="A28">
        <v>1100403</v>
      </c>
      <c r="B28" t="s">
        <v>1062</v>
      </c>
      <c r="C28">
        <v>-9.7166667380772775</v>
      </c>
      <c r="D28">
        <v>-63.317629433497558</v>
      </c>
    </row>
    <row r="29" spans="1:4" x14ac:dyDescent="0.3">
      <c r="A29">
        <v>1100452</v>
      </c>
      <c r="B29" t="s">
        <v>1063</v>
      </c>
      <c r="C29">
        <v>-10.209805407235551</v>
      </c>
      <c r="D29">
        <v>-63.829678791756528</v>
      </c>
    </row>
    <row r="30" spans="1:4" x14ac:dyDescent="0.3">
      <c r="A30">
        <v>1100502</v>
      </c>
      <c r="B30" t="s">
        <v>1064</v>
      </c>
      <c r="C30">
        <v>-11.7097429200152</v>
      </c>
      <c r="D30">
        <v>-61.994387662760616</v>
      </c>
    </row>
    <row r="31" spans="1:4" x14ac:dyDescent="0.3">
      <c r="A31">
        <v>1100601</v>
      </c>
      <c r="B31" t="s">
        <v>1065</v>
      </c>
      <c r="C31">
        <v>-10.338872839392801</v>
      </c>
      <c r="D31">
        <v>-62.903189934568736</v>
      </c>
    </row>
    <row r="32" spans="1:4" x14ac:dyDescent="0.3">
      <c r="A32">
        <v>1100700</v>
      </c>
      <c r="B32" t="s">
        <v>1066</v>
      </c>
      <c r="C32">
        <v>-10.568416469348501</v>
      </c>
      <c r="D32">
        <v>-63.624991426542621</v>
      </c>
    </row>
    <row r="33" spans="1:4" x14ac:dyDescent="0.3">
      <c r="A33">
        <v>1100809</v>
      </c>
      <c r="B33" t="s">
        <v>1067</v>
      </c>
      <c r="C33">
        <v>-8.7850207034774765</v>
      </c>
      <c r="D33">
        <v>-63.700020071829798</v>
      </c>
    </row>
    <row r="34" spans="1:4" x14ac:dyDescent="0.3">
      <c r="A34">
        <v>1100908</v>
      </c>
      <c r="B34" t="s">
        <v>1068</v>
      </c>
      <c r="C34">
        <v>-11.426842225462453</v>
      </c>
      <c r="D34">
        <v>-61.949161196466186</v>
      </c>
    </row>
    <row r="35" spans="1:4" x14ac:dyDescent="0.3">
      <c r="A35">
        <v>1100924</v>
      </c>
      <c r="B35" t="s">
        <v>1069</v>
      </c>
      <c r="C35">
        <v>-12.556840761093801</v>
      </c>
      <c r="D35">
        <v>-60.901847749955394</v>
      </c>
    </row>
    <row r="36" spans="1:4" x14ac:dyDescent="0.3">
      <c r="A36">
        <v>1100940</v>
      </c>
      <c r="B36" t="s">
        <v>1070</v>
      </c>
      <c r="C36">
        <v>-9.3781933990571211</v>
      </c>
      <c r="D36">
        <v>-62.587174531920944</v>
      </c>
    </row>
    <row r="37" spans="1:4" x14ac:dyDescent="0.3">
      <c r="A37">
        <v>1101005</v>
      </c>
      <c r="B37" t="s">
        <v>1071</v>
      </c>
      <c r="C37">
        <v>-10.612071772607502</v>
      </c>
      <c r="D37">
        <v>-62.74045763946318</v>
      </c>
    </row>
    <row r="38" spans="1:4" x14ac:dyDescent="0.3">
      <c r="A38">
        <v>1101104</v>
      </c>
      <c r="B38" t="s">
        <v>1072</v>
      </c>
      <c r="C38">
        <v>-9.1918716753278549</v>
      </c>
      <c r="D38">
        <v>-63.182337016518304</v>
      </c>
    </row>
    <row r="39" spans="1:4" x14ac:dyDescent="0.3">
      <c r="A39">
        <v>1101203</v>
      </c>
      <c r="B39" t="s">
        <v>1073</v>
      </c>
      <c r="C39">
        <v>-11.196237984159103</v>
      </c>
      <c r="D39">
        <v>-61.51892193010535</v>
      </c>
    </row>
    <row r="40" spans="1:4" x14ac:dyDescent="0.3">
      <c r="A40">
        <v>1101302</v>
      </c>
      <c r="B40" t="s">
        <v>1074</v>
      </c>
      <c r="C40">
        <v>-11.045609289937003</v>
      </c>
      <c r="D40">
        <v>-62.669427095256573</v>
      </c>
    </row>
    <row r="41" spans="1:4" x14ac:dyDescent="0.3">
      <c r="A41">
        <v>1101401</v>
      </c>
      <c r="B41" t="s">
        <v>1075</v>
      </c>
      <c r="C41">
        <v>-10.263097755883001</v>
      </c>
      <c r="D41">
        <v>-63.295559167217476</v>
      </c>
    </row>
    <row r="42" spans="1:4" x14ac:dyDescent="0.3">
      <c r="A42">
        <v>1101435</v>
      </c>
      <c r="B42" t="s">
        <v>1076</v>
      </c>
      <c r="C42">
        <v>-10.915532041662802</v>
      </c>
      <c r="D42">
        <v>-62.555089398879986</v>
      </c>
    </row>
    <row r="43" spans="1:4" x14ac:dyDescent="0.3">
      <c r="A43">
        <v>1101450</v>
      </c>
      <c r="B43" t="s">
        <v>1077</v>
      </c>
      <c r="C43">
        <v>-12.179827050707702</v>
      </c>
      <c r="D43">
        <v>-61.597997972677554</v>
      </c>
    </row>
    <row r="44" spans="1:4" x14ac:dyDescent="0.3">
      <c r="A44">
        <v>1101468</v>
      </c>
      <c r="B44" t="s">
        <v>1078</v>
      </c>
      <c r="C44">
        <v>-13.476562002461502</v>
      </c>
      <c r="D44">
        <v>-61.044379002538442</v>
      </c>
    </row>
    <row r="45" spans="1:4" x14ac:dyDescent="0.3">
      <c r="A45">
        <v>1101476</v>
      </c>
      <c r="B45" t="s">
        <v>1079</v>
      </c>
      <c r="C45">
        <v>-11.825706954246803</v>
      </c>
      <c r="D45">
        <v>-61.316546242916537</v>
      </c>
    </row>
    <row r="46" spans="1:4" x14ac:dyDescent="0.3">
      <c r="A46">
        <v>1101484</v>
      </c>
      <c r="B46" t="s">
        <v>1080</v>
      </c>
      <c r="C46">
        <v>-11.914389354688552</v>
      </c>
      <c r="D46">
        <v>-61.512508113332736</v>
      </c>
    </row>
    <row r="47" spans="1:4" x14ac:dyDescent="0.3">
      <c r="A47">
        <v>1101492</v>
      </c>
      <c r="B47" t="s">
        <v>1081</v>
      </c>
      <c r="C47">
        <v>-12.063798412233403</v>
      </c>
      <c r="D47">
        <v>-63.570864710764909</v>
      </c>
    </row>
    <row r="48" spans="1:4" x14ac:dyDescent="0.3">
      <c r="A48">
        <v>1101500</v>
      </c>
      <c r="B48" t="s">
        <v>1082</v>
      </c>
      <c r="C48">
        <v>-11.767116635607003</v>
      </c>
      <c r="D48">
        <v>-63.038760997707222</v>
      </c>
    </row>
    <row r="49" spans="1:4" x14ac:dyDescent="0.3">
      <c r="A49">
        <v>1101559</v>
      </c>
      <c r="B49" t="s">
        <v>1083</v>
      </c>
      <c r="C49">
        <v>-10.932169286039903</v>
      </c>
      <c r="D49">
        <v>-62.255922253954637</v>
      </c>
    </row>
    <row r="50" spans="1:4" x14ac:dyDescent="0.3">
      <c r="A50">
        <v>1101609</v>
      </c>
      <c r="B50" t="s">
        <v>1084</v>
      </c>
      <c r="C50">
        <v>-10.248730552026052</v>
      </c>
      <c r="D50">
        <v>-62.345145529934939</v>
      </c>
    </row>
    <row r="51" spans="1:4" x14ac:dyDescent="0.3">
      <c r="A51">
        <v>1101708</v>
      </c>
      <c r="B51" t="s">
        <v>1085</v>
      </c>
      <c r="C51">
        <v>-11.128545275679402</v>
      </c>
      <c r="D51">
        <v>-62.370632453766653</v>
      </c>
    </row>
    <row r="52" spans="1:4" x14ac:dyDescent="0.3">
      <c r="A52">
        <v>1101757</v>
      </c>
      <c r="B52" t="s">
        <v>1086</v>
      </c>
      <c r="C52">
        <v>-9.8513927080617911</v>
      </c>
      <c r="D52">
        <v>-62.176823442127791</v>
      </c>
    </row>
    <row r="53" spans="1:4" x14ac:dyDescent="0.3">
      <c r="A53">
        <v>1101807</v>
      </c>
      <c r="B53" t="s">
        <v>1087</v>
      </c>
      <c r="C53">
        <v>-10.431052684556454</v>
      </c>
      <c r="D53">
        <v>-62.13439035680986</v>
      </c>
    </row>
    <row r="54" spans="1:4" x14ac:dyDescent="0.3">
      <c r="A54">
        <v>1200013</v>
      </c>
      <c r="B54" t="s">
        <v>1088</v>
      </c>
      <c r="C54">
        <v>-10.073793892463501</v>
      </c>
      <c r="D54">
        <v>-67.052316580020587</v>
      </c>
    </row>
    <row r="55" spans="1:4" x14ac:dyDescent="0.3">
      <c r="A55">
        <v>1200054</v>
      </c>
      <c r="B55" t="s">
        <v>1089</v>
      </c>
      <c r="C55">
        <v>-10.942865680917153</v>
      </c>
      <c r="D55">
        <v>-69.563459174667685</v>
      </c>
    </row>
    <row r="56" spans="1:4" x14ac:dyDescent="0.3">
      <c r="A56">
        <v>1200104</v>
      </c>
      <c r="B56" t="s">
        <v>1090</v>
      </c>
      <c r="C56">
        <v>-11.016411019085751</v>
      </c>
      <c r="D56">
        <v>-68.747943425958383</v>
      </c>
    </row>
    <row r="57" spans="1:4" x14ac:dyDescent="0.3">
      <c r="A57">
        <v>1200138</v>
      </c>
      <c r="B57" t="s">
        <v>1091</v>
      </c>
      <c r="C57">
        <v>-9.8200196267093762</v>
      </c>
      <c r="D57">
        <v>-67.951859279201486</v>
      </c>
    </row>
    <row r="58" spans="1:4" x14ac:dyDescent="0.3">
      <c r="A58">
        <v>1200179</v>
      </c>
      <c r="B58" t="s">
        <v>1092</v>
      </c>
      <c r="C58">
        <v>-10.569767708792751</v>
      </c>
      <c r="D58">
        <v>-67.673507971943224</v>
      </c>
    </row>
    <row r="59" spans="1:4" x14ac:dyDescent="0.3">
      <c r="A59">
        <v>1200203</v>
      </c>
      <c r="B59" t="s">
        <v>1093</v>
      </c>
      <c r="C59">
        <v>-7.6306900050098108</v>
      </c>
      <c r="D59">
        <v>-72.672531317435798</v>
      </c>
    </row>
    <row r="60" spans="1:4" x14ac:dyDescent="0.3">
      <c r="A60">
        <v>1200252</v>
      </c>
      <c r="B60" t="s">
        <v>1094</v>
      </c>
      <c r="C60">
        <v>-11.028239827956352</v>
      </c>
      <c r="D60">
        <v>-68.744868066674925</v>
      </c>
    </row>
    <row r="61" spans="1:4" x14ac:dyDescent="0.3">
      <c r="A61">
        <v>1200302</v>
      </c>
      <c r="B61" t="s">
        <v>1095</v>
      </c>
      <c r="C61">
        <v>-8.1602475300000012</v>
      </c>
      <c r="D61">
        <v>-70.353983608216538</v>
      </c>
    </row>
    <row r="62" spans="1:4" x14ac:dyDescent="0.3">
      <c r="A62">
        <v>1200328</v>
      </c>
      <c r="B62" t="s">
        <v>1096</v>
      </c>
      <c r="C62">
        <v>-9.1933578598284811</v>
      </c>
      <c r="D62">
        <v>-71.950875124836458</v>
      </c>
    </row>
    <row r="63" spans="1:4" x14ac:dyDescent="0.3">
      <c r="A63">
        <v>1200336</v>
      </c>
      <c r="B63" t="s">
        <v>1097</v>
      </c>
      <c r="C63">
        <v>-7.5932225938583615</v>
      </c>
      <c r="D63">
        <v>-72.916501026130774</v>
      </c>
    </row>
    <row r="64" spans="1:4" x14ac:dyDescent="0.3">
      <c r="A64">
        <v>1200344</v>
      </c>
      <c r="B64" t="s">
        <v>1098</v>
      </c>
      <c r="C64">
        <v>-8.8363177368916617</v>
      </c>
      <c r="D64">
        <v>-69.259944577507497</v>
      </c>
    </row>
    <row r="65" spans="1:4" x14ac:dyDescent="0.3">
      <c r="A65">
        <v>1200351</v>
      </c>
      <c r="B65" t="s">
        <v>1099</v>
      </c>
      <c r="C65">
        <v>-8.9535911231536627</v>
      </c>
      <c r="D65">
        <v>-72.790265908698288</v>
      </c>
    </row>
    <row r="66" spans="1:4" x14ac:dyDescent="0.3">
      <c r="A66">
        <v>1200385</v>
      </c>
      <c r="B66" t="s">
        <v>1100</v>
      </c>
      <c r="C66">
        <v>-10.335133282742651</v>
      </c>
      <c r="D66">
        <v>-67.188260086151601</v>
      </c>
    </row>
    <row r="67" spans="1:4" x14ac:dyDescent="0.3">
      <c r="A67">
        <v>1200393</v>
      </c>
      <c r="B67" t="s">
        <v>1101</v>
      </c>
      <c r="C67">
        <v>-8.2666663628275305</v>
      </c>
      <c r="D67">
        <v>-72.742333964803279</v>
      </c>
    </row>
    <row r="68" spans="1:4" x14ac:dyDescent="0.3">
      <c r="A68">
        <v>1200401</v>
      </c>
      <c r="B68" t="s">
        <v>1102</v>
      </c>
      <c r="C68">
        <v>-9.9782987527249833</v>
      </c>
      <c r="D68">
        <v>-67.810528700423504</v>
      </c>
    </row>
    <row r="69" spans="1:4" x14ac:dyDescent="0.3">
      <c r="A69">
        <v>1200427</v>
      </c>
      <c r="B69" t="s">
        <v>1103</v>
      </c>
      <c r="C69">
        <v>-7.7336020337232219</v>
      </c>
      <c r="D69">
        <v>-72.647854914199669</v>
      </c>
    </row>
    <row r="70" spans="1:4" x14ac:dyDescent="0.3">
      <c r="A70">
        <v>1200435</v>
      </c>
      <c r="B70" t="s">
        <v>1104</v>
      </c>
      <c r="C70">
        <v>-9.4434065374118514</v>
      </c>
      <c r="D70">
        <v>-70.486496893761625</v>
      </c>
    </row>
    <row r="71" spans="1:4" x14ac:dyDescent="0.3">
      <c r="A71">
        <v>1200450</v>
      </c>
      <c r="B71" t="s">
        <v>1105</v>
      </c>
      <c r="C71">
        <v>-10.148173586198851</v>
      </c>
      <c r="D71">
        <v>-67.74317236000509</v>
      </c>
    </row>
    <row r="72" spans="1:4" x14ac:dyDescent="0.3">
      <c r="A72">
        <v>1200500</v>
      </c>
      <c r="B72" t="s">
        <v>1106</v>
      </c>
      <c r="C72">
        <v>-9.0653395050000025</v>
      </c>
      <c r="D72">
        <v>-68.655684061692028</v>
      </c>
    </row>
    <row r="73" spans="1:4" x14ac:dyDescent="0.3">
      <c r="A73">
        <v>1200609</v>
      </c>
      <c r="B73" t="s">
        <v>1107</v>
      </c>
      <c r="C73">
        <v>-8.1556685917656218</v>
      </c>
      <c r="D73">
        <v>-70.755501062893686</v>
      </c>
    </row>
    <row r="74" spans="1:4" x14ac:dyDescent="0.3">
      <c r="A74">
        <v>1200708</v>
      </c>
      <c r="B74" t="s">
        <v>1108</v>
      </c>
      <c r="C74">
        <v>-10.652071940335452</v>
      </c>
      <c r="D74">
        <v>-68.506294805046295</v>
      </c>
    </row>
    <row r="75" spans="1:4" x14ac:dyDescent="0.3">
      <c r="A75">
        <v>1200807</v>
      </c>
      <c r="B75" t="s">
        <v>1109</v>
      </c>
      <c r="C75">
        <v>-9.6008582311878801</v>
      </c>
      <c r="D75">
        <v>-67.540590083519433</v>
      </c>
    </row>
    <row r="76" spans="1:4" x14ac:dyDescent="0.3">
      <c r="A76">
        <v>1300029</v>
      </c>
      <c r="B76" t="s">
        <v>1110</v>
      </c>
      <c r="C76">
        <v>-3.2165837690663852</v>
      </c>
      <c r="D76">
        <v>-64.813534677568583</v>
      </c>
    </row>
    <row r="77" spans="1:4" x14ac:dyDescent="0.3">
      <c r="A77">
        <v>1300060</v>
      </c>
      <c r="B77" t="s">
        <v>1111</v>
      </c>
      <c r="C77">
        <v>-3.3668051875056055</v>
      </c>
      <c r="D77">
        <v>-68.209614640940401</v>
      </c>
    </row>
    <row r="78" spans="1:4" x14ac:dyDescent="0.3">
      <c r="A78">
        <v>1300086</v>
      </c>
      <c r="B78" t="s">
        <v>1112</v>
      </c>
      <c r="C78">
        <v>-3.5763704268902705</v>
      </c>
      <c r="D78">
        <v>-61.405903479750101</v>
      </c>
    </row>
    <row r="79" spans="1:4" x14ac:dyDescent="0.3">
      <c r="A79">
        <v>1300102</v>
      </c>
      <c r="B79" t="s">
        <v>1113</v>
      </c>
      <c r="C79">
        <v>-3.7453855861188905</v>
      </c>
      <c r="D79">
        <v>-61.658955382877892</v>
      </c>
    </row>
    <row r="80" spans="1:4" x14ac:dyDescent="0.3">
      <c r="A80">
        <v>1300144</v>
      </c>
      <c r="B80" t="s">
        <v>1114</v>
      </c>
      <c r="C80">
        <v>-7.1978701516075958</v>
      </c>
      <c r="D80">
        <v>-59.885666104718808</v>
      </c>
    </row>
    <row r="81" spans="1:4" x14ac:dyDescent="0.3">
      <c r="A81">
        <v>1300201</v>
      </c>
      <c r="B81" t="s">
        <v>1115</v>
      </c>
      <c r="C81">
        <v>-4.3661574897160316</v>
      </c>
      <c r="D81">
        <v>-70.187989284522601</v>
      </c>
    </row>
    <row r="82" spans="1:4" x14ac:dyDescent="0.3">
      <c r="A82">
        <v>1300300</v>
      </c>
      <c r="B82" t="s">
        <v>1116</v>
      </c>
      <c r="C82">
        <v>-3.5786636417712656</v>
      </c>
      <c r="D82">
        <v>-59.133567091816765</v>
      </c>
    </row>
    <row r="83" spans="1:4" x14ac:dyDescent="0.3">
      <c r="A83">
        <v>1300409</v>
      </c>
      <c r="B83" t="s">
        <v>1117</v>
      </c>
      <c r="C83">
        <v>-0.97280105253219074</v>
      </c>
      <c r="D83">
        <v>-62.925669658102606</v>
      </c>
    </row>
    <row r="84" spans="1:4" x14ac:dyDescent="0.3">
      <c r="A84">
        <v>1300508</v>
      </c>
      <c r="B84" t="s">
        <v>1118</v>
      </c>
      <c r="C84">
        <v>-2.7981498369297957</v>
      </c>
      <c r="D84">
        <v>-57.067750489893776</v>
      </c>
    </row>
    <row r="85" spans="1:4" x14ac:dyDescent="0.3">
      <c r="A85">
        <v>1300607</v>
      </c>
      <c r="B85" t="s">
        <v>1119</v>
      </c>
      <c r="C85">
        <v>-4.3749890186039115</v>
      </c>
      <c r="D85">
        <v>-70.027348433276472</v>
      </c>
    </row>
    <row r="86" spans="1:4" x14ac:dyDescent="0.3">
      <c r="A86">
        <v>1300631</v>
      </c>
      <c r="B86" t="s">
        <v>1120</v>
      </c>
      <c r="C86">
        <v>-3.8945134098180554</v>
      </c>
      <c r="D86">
        <v>-61.371570891665868</v>
      </c>
    </row>
    <row r="87" spans="1:4" x14ac:dyDescent="0.3">
      <c r="A87">
        <v>1300680</v>
      </c>
      <c r="B87" t="s">
        <v>1121</v>
      </c>
      <c r="C87">
        <v>-2.971726531589356</v>
      </c>
      <c r="D87">
        <v>-57.587707346473721</v>
      </c>
    </row>
    <row r="88" spans="1:4" x14ac:dyDescent="0.3">
      <c r="A88">
        <v>1300706</v>
      </c>
      <c r="B88" t="s">
        <v>1122</v>
      </c>
      <c r="C88">
        <v>-8.7512431960937871</v>
      </c>
      <c r="D88">
        <v>-67.399577756680529</v>
      </c>
    </row>
    <row r="89" spans="1:4" x14ac:dyDescent="0.3">
      <c r="A89">
        <v>1300805</v>
      </c>
      <c r="B89" t="s">
        <v>1123</v>
      </c>
      <c r="C89">
        <v>-4.390619891472725</v>
      </c>
      <c r="D89">
        <v>-59.594559019496884</v>
      </c>
    </row>
    <row r="90" spans="1:4" x14ac:dyDescent="0.3">
      <c r="A90">
        <v>1300839</v>
      </c>
      <c r="B90" t="s">
        <v>1124</v>
      </c>
      <c r="C90">
        <v>-3.3300933919416003</v>
      </c>
      <c r="D90">
        <v>-61.211334133181673</v>
      </c>
    </row>
    <row r="91" spans="1:4" x14ac:dyDescent="0.3">
      <c r="A91">
        <v>1300904</v>
      </c>
      <c r="B91" t="s">
        <v>1125</v>
      </c>
      <c r="C91">
        <v>-6.529106075826137</v>
      </c>
      <c r="D91">
        <v>-64.394230818928818</v>
      </c>
    </row>
    <row r="92" spans="1:4" x14ac:dyDescent="0.3">
      <c r="A92">
        <v>1301001</v>
      </c>
      <c r="B92" t="s">
        <v>1126</v>
      </c>
      <c r="C92">
        <v>-4.881665904204131</v>
      </c>
      <c r="D92">
        <v>-66.896635281683686</v>
      </c>
    </row>
    <row r="93" spans="1:4" x14ac:dyDescent="0.3">
      <c r="A93">
        <v>1301100</v>
      </c>
      <c r="B93" t="s">
        <v>1127</v>
      </c>
      <c r="C93">
        <v>-3.8224472700459908</v>
      </c>
      <c r="D93">
        <v>-60.3638098437089</v>
      </c>
    </row>
    <row r="94" spans="1:4" x14ac:dyDescent="0.3">
      <c r="A94">
        <v>1301159</v>
      </c>
      <c r="B94" t="s">
        <v>1128</v>
      </c>
      <c r="C94">
        <v>-3.1973965948695953</v>
      </c>
      <c r="D94">
        <v>-59.826314060833866</v>
      </c>
    </row>
    <row r="95" spans="1:4" x14ac:dyDescent="0.3">
      <c r="A95">
        <v>1301209</v>
      </c>
      <c r="B95" t="s">
        <v>1129</v>
      </c>
      <c r="C95">
        <v>-4.0842191587758814</v>
      </c>
      <c r="D95">
        <v>-63.14218398405616</v>
      </c>
    </row>
    <row r="96" spans="1:4" x14ac:dyDescent="0.3">
      <c r="A96">
        <v>1301308</v>
      </c>
      <c r="B96" t="s">
        <v>1130</v>
      </c>
      <c r="C96">
        <v>-3.8430459327389204</v>
      </c>
      <c r="D96">
        <v>-62.063429660488289</v>
      </c>
    </row>
    <row r="97" spans="1:4" x14ac:dyDescent="0.3">
      <c r="A97">
        <v>1301407</v>
      </c>
      <c r="B97" t="s">
        <v>1131</v>
      </c>
      <c r="C97">
        <v>-6.6673525668518154</v>
      </c>
      <c r="D97">
        <v>-69.866290262441552</v>
      </c>
    </row>
    <row r="98" spans="1:4" x14ac:dyDescent="0.3">
      <c r="A98">
        <v>1301506</v>
      </c>
      <c r="B98" t="s">
        <v>1132</v>
      </c>
      <c r="C98">
        <v>-7.4398175439683811</v>
      </c>
      <c r="D98">
        <v>-70.030412542982489</v>
      </c>
    </row>
    <row r="99" spans="1:4" x14ac:dyDescent="0.3">
      <c r="A99">
        <v>1301605</v>
      </c>
      <c r="B99" t="s">
        <v>1133</v>
      </c>
      <c r="C99">
        <v>-2.5122706845477856</v>
      </c>
      <c r="D99">
        <v>-66.096502989834718</v>
      </c>
    </row>
    <row r="100" spans="1:4" x14ac:dyDescent="0.3">
      <c r="A100">
        <v>1301654</v>
      </c>
      <c r="B100" t="s">
        <v>1134</v>
      </c>
      <c r="C100">
        <v>-7.5477744148336008</v>
      </c>
      <c r="D100">
        <v>-72.582430538339636</v>
      </c>
    </row>
    <row r="101" spans="1:4" x14ac:dyDescent="0.3">
      <c r="A101">
        <v>1301704</v>
      </c>
      <c r="B101" t="s">
        <v>1135</v>
      </c>
      <c r="C101">
        <v>-7.5122249506113867</v>
      </c>
      <c r="D101">
        <v>-63.026698021928318</v>
      </c>
    </row>
    <row r="102" spans="1:4" x14ac:dyDescent="0.3">
      <c r="A102">
        <v>1301803</v>
      </c>
      <c r="B102" t="s">
        <v>1136</v>
      </c>
      <c r="C102">
        <v>-7.05098011443721</v>
      </c>
      <c r="D102">
        <v>-71.694418060308365</v>
      </c>
    </row>
    <row r="103" spans="1:4" x14ac:dyDescent="0.3">
      <c r="A103">
        <v>1301852</v>
      </c>
      <c r="B103" t="s">
        <v>1137</v>
      </c>
      <c r="C103">
        <v>-3.2810538776068956</v>
      </c>
      <c r="D103">
        <v>-60.193388166130681</v>
      </c>
    </row>
    <row r="104" spans="1:4" x14ac:dyDescent="0.3">
      <c r="A104">
        <v>1301902</v>
      </c>
      <c r="B104" t="s">
        <v>1138</v>
      </c>
      <c r="C104">
        <v>-3.1403788039163452</v>
      </c>
      <c r="D104">
        <v>-58.440175436757137</v>
      </c>
    </row>
    <row r="105" spans="1:4" x14ac:dyDescent="0.3">
      <c r="A105">
        <v>1301951</v>
      </c>
      <c r="B105" t="s">
        <v>1139</v>
      </c>
      <c r="C105">
        <v>-6.4377993486191771</v>
      </c>
      <c r="D105">
        <v>-68.247917435978181</v>
      </c>
    </row>
    <row r="106" spans="1:4" x14ac:dyDescent="0.3">
      <c r="A106">
        <v>1302009</v>
      </c>
      <c r="B106" t="s">
        <v>1140</v>
      </c>
      <c r="C106">
        <v>-2.7418427523288407</v>
      </c>
      <c r="D106">
        <v>-58.034545883966203</v>
      </c>
    </row>
    <row r="107" spans="1:4" x14ac:dyDescent="0.3">
      <c r="A107">
        <v>1302108</v>
      </c>
      <c r="B107" t="s">
        <v>1141</v>
      </c>
      <c r="C107">
        <v>-1.8808448587030002</v>
      </c>
      <c r="D107">
        <v>-66.99690349464133</v>
      </c>
    </row>
    <row r="108" spans="1:4" x14ac:dyDescent="0.3">
      <c r="A108">
        <v>1302207</v>
      </c>
      <c r="B108" t="s">
        <v>1142</v>
      </c>
      <c r="C108">
        <v>-3.4748895988906803</v>
      </c>
      <c r="D108">
        <v>-66.063041925543416</v>
      </c>
    </row>
    <row r="109" spans="1:4" x14ac:dyDescent="0.3">
      <c r="A109">
        <v>1302306</v>
      </c>
      <c r="B109" t="s">
        <v>1143</v>
      </c>
      <c r="C109">
        <v>-2.7446464468578555</v>
      </c>
      <c r="D109">
        <v>-66.771327546687829</v>
      </c>
    </row>
    <row r="110" spans="1:4" x14ac:dyDescent="0.3">
      <c r="A110">
        <v>1302405</v>
      </c>
      <c r="B110" t="s">
        <v>1144</v>
      </c>
      <c r="C110">
        <v>-7.2619465533270509</v>
      </c>
      <c r="D110">
        <v>-64.794773027520037</v>
      </c>
    </row>
    <row r="111" spans="1:4" x14ac:dyDescent="0.3">
      <c r="A111">
        <v>1302504</v>
      </c>
      <c r="B111" t="s">
        <v>1145</v>
      </c>
      <c r="C111">
        <v>-3.2982780354675501</v>
      </c>
      <c r="D111">
        <v>-60.620589445870621</v>
      </c>
    </row>
    <row r="112" spans="1:4" x14ac:dyDescent="0.3">
      <c r="A112">
        <v>1302553</v>
      </c>
      <c r="B112" t="s">
        <v>1146</v>
      </c>
      <c r="C112">
        <v>-3.4290796693526207</v>
      </c>
      <c r="D112">
        <v>-60.458881306374529</v>
      </c>
    </row>
    <row r="113" spans="1:4" x14ac:dyDescent="0.3">
      <c r="A113">
        <v>1302603</v>
      </c>
      <c r="B113" t="s">
        <v>1147</v>
      </c>
      <c r="C113">
        <v>-3.1346914912019459</v>
      </c>
      <c r="D113">
        <v>-60.023335181061036</v>
      </c>
    </row>
    <row r="114" spans="1:4" x14ac:dyDescent="0.3">
      <c r="A114">
        <v>1302702</v>
      </c>
      <c r="B114" t="s">
        <v>1148</v>
      </c>
      <c r="C114">
        <v>-5.8132052611881315</v>
      </c>
      <c r="D114">
        <v>-61.299248408850772</v>
      </c>
    </row>
    <row r="115" spans="1:4" x14ac:dyDescent="0.3">
      <c r="A115">
        <v>1302801</v>
      </c>
      <c r="B115" t="s">
        <v>1149</v>
      </c>
      <c r="C115">
        <v>-1.8664368773012503</v>
      </c>
      <c r="D115">
        <v>-65.574283703164056</v>
      </c>
    </row>
    <row r="116" spans="1:4" x14ac:dyDescent="0.3">
      <c r="A116">
        <v>1302900</v>
      </c>
      <c r="B116" t="s">
        <v>1150</v>
      </c>
      <c r="C116">
        <v>-3.3864279262110557</v>
      </c>
      <c r="D116">
        <v>-57.715034386752464</v>
      </c>
    </row>
    <row r="117" spans="1:4" x14ac:dyDescent="0.3">
      <c r="A117">
        <v>1303007</v>
      </c>
      <c r="B117" t="s">
        <v>1151</v>
      </c>
      <c r="C117">
        <v>-2.1889837668969006</v>
      </c>
      <c r="D117">
        <v>-56.716769913337643</v>
      </c>
    </row>
    <row r="118" spans="1:4" x14ac:dyDescent="0.3">
      <c r="A118">
        <v>1303106</v>
      </c>
      <c r="B118" t="s">
        <v>1152</v>
      </c>
      <c r="C118">
        <v>-3.8875928319113813</v>
      </c>
      <c r="D118">
        <v>-59.093074026043276</v>
      </c>
    </row>
    <row r="119" spans="1:4" x14ac:dyDescent="0.3">
      <c r="A119">
        <v>1303205</v>
      </c>
      <c r="B119" t="s">
        <v>1153</v>
      </c>
      <c r="C119">
        <v>-2.6234324590276255</v>
      </c>
      <c r="D119">
        <v>-60.948810707829011</v>
      </c>
    </row>
    <row r="120" spans="1:4" x14ac:dyDescent="0.3">
      <c r="A120">
        <v>1303304</v>
      </c>
      <c r="B120" t="s">
        <v>1154</v>
      </c>
      <c r="C120">
        <v>-5.1226693141961652</v>
      </c>
      <c r="D120">
        <v>-60.377045669000864</v>
      </c>
    </row>
    <row r="121" spans="1:4" x14ac:dyDescent="0.3">
      <c r="A121">
        <v>1303403</v>
      </c>
      <c r="B121" t="s">
        <v>1155</v>
      </c>
      <c r="C121">
        <v>-2.6270525858372253</v>
      </c>
      <c r="D121">
        <v>-56.73629214519508</v>
      </c>
    </row>
    <row r="122" spans="1:4" x14ac:dyDescent="0.3">
      <c r="A122">
        <v>1303502</v>
      </c>
      <c r="B122" t="s">
        <v>1156</v>
      </c>
      <c r="C122">
        <v>-7.7140436443221914</v>
      </c>
      <c r="D122">
        <v>-67.002097488528165</v>
      </c>
    </row>
    <row r="123" spans="1:4" x14ac:dyDescent="0.3">
      <c r="A123">
        <v>1303536</v>
      </c>
      <c r="B123" t="s">
        <v>1157</v>
      </c>
      <c r="C123">
        <v>-2.0584290852330001</v>
      </c>
      <c r="D123">
        <v>-60.025646834467466</v>
      </c>
    </row>
    <row r="124" spans="1:4" x14ac:dyDescent="0.3">
      <c r="A124">
        <v>1303569</v>
      </c>
      <c r="B124" t="s">
        <v>1158</v>
      </c>
      <c r="C124">
        <v>-2.6933015416450954</v>
      </c>
      <c r="D124">
        <v>-59.70473809419898</v>
      </c>
    </row>
    <row r="125" spans="1:4" x14ac:dyDescent="0.3">
      <c r="A125">
        <v>1303601</v>
      </c>
      <c r="B125" t="s">
        <v>1159</v>
      </c>
      <c r="C125">
        <v>-0.41669483188186357</v>
      </c>
      <c r="D125">
        <v>-65.020022639511964</v>
      </c>
    </row>
    <row r="126" spans="1:4" x14ac:dyDescent="0.3">
      <c r="A126">
        <v>1303700</v>
      </c>
      <c r="B126" t="s">
        <v>1160</v>
      </c>
      <c r="C126">
        <v>-3.1074863091815108</v>
      </c>
      <c r="D126">
        <v>-67.946485143884061</v>
      </c>
    </row>
    <row r="127" spans="1:4" x14ac:dyDescent="0.3">
      <c r="A127">
        <v>1303809</v>
      </c>
      <c r="B127" t="s">
        <v>1161</v>
      </c>
      <c r="C127">
        <v>-0.13646278811652154</v>
      </c>
      <c r="D127">
        <v>-67.083642896346291</v>
      </c>
    </row>
    <row r="128" spans="1:4" x14ac:dyDescent="0.3">
      <c r="A128">
        <v>1303908</v>
      </c>
      <c r="B128" t="s">
        <v>1162</v>
      </c>
      <c r="C128">
        <v>-3.4665096234913206</v>
      </c>
      <c r="D128">
        <v>-68.944853488135792</v>
      </c>
    </row>
    <row r="129" spans="1:4" x14ac:dyDescent="0.3">
      <c r="A129">
        <v>1303957</v>
      </c>
      <c r="B129" t="s">
        <v>1163</v>
      </c>
      <c r="C129">
        <v>-2.5701525796778504</v>
      </c>
      <c r="D129">
        <v>-57.870346355834599</v>
      </c>
    </row>
    <row r="130" spans="1:4" x14ac:dyDescent="0.3">
      <c r="A130">
        <v>1304005</v>
      </c>
      <c r="B130" t="s">
        <v>1164</v>
      </c>
      <c r="C130">
        <v>-2.8364274296658354</v>
      </c>
      <c r="D130">
        <v>-58.214800860826934</v>
      </c>
    </row>
    <row r="131" spans="1:4" x14ac:dyDescent="0.3">
      <c r="A131">
        <v>1304062</v>
      </c>
      <c r="B131" t="s">
        <v>1165</v>
      </c>
      <c r="C131">
        <v>-4.2318836756466451</v>
      </c>
      <c r="D131">
        <v>-69.946244375227167</v>
      </c>
    </row>
    <row r="132" spans="1:4" x14ac:dyDescent="0.3">
      <c r="A132">
        <v>1304104</v>
      </c>
      <c r="B132" t="s">
        <v>1166</v>
      </c>
      <c r="C132">
        <v>-5.6242235177879358</v>
      </c>
      <c r="D132">
        <v>-63.187094867180178</v>
      </c>
    </row>
    <row r="133" spans="1:4" x14ac:dyDescent="0.3">
      <c r="A133">
        <v>1304203</v>
      </c>
      <c r="B133" t="s">
        <v>1167</v>
      </c>
      <c r="C133">
        <v>-3.3483724939415054</v>
      </c>
      <c r="D133">
        <v>-64.708419663302678</v>
      </c>
    </row>
    <row r="134" spans="1:4" x14ac:dyDescent="0.3">
      <c r="A134">
        <v>1304237</v>
      </c>
      <c r="B134" t="s">
        <v>1168</v>
      </c>
      <c r="C134">
        <v>-2.8610912498354257</v>
      </c>
      <c r="D134">
        <v>-67.776482280695205</v>
      </c>
    </row>
    <row r="135" spans="1:4" x14ac:dyDescent="0.3">
      <c r="A135">
        <v>1304260</v>
      </c>
      <c r="B135" t="s">
        <v>1169</v>
      </c>
      <c r="C135">
        <v>-2.9836092426921006</v>
      </c>
      <c r="D135">
        <v>-65.155345640155375</v>
      </c>
    </row>
    <row r="136" spans="1:4" x14ac:dyDescent="0.3">
      <c r="A136">
        <v>1304302</v>
      </c>
      <c r="B136" t="s">
        <v>1170</v>
      </c>
      <c r="C136">
        <v>-2.5366116718403804</v>
      </c>
      <c r="D136">
        <v>-57.759828174595569</v>
      </c>
    </row>
    <row r="137" spans="1:4" x14ac:dyDescent="0.3">
      <c r="A137">
        <v>1304401</v>
      </c>
      <c r="B137" t="s">
        <v>1171</v>
      </c>
      <c r="C137">
        <v>-3.1346331156473006</v>
      </c>
      <c r="D137">
        <v>-58.159641041309818</v>
      </c>
    </row>
    <row r="138" spans="1:4" x14ac:dyDescent="0.3">
      <c r="A138">
        <v>1400027</v>
      </c>
      <c r="B138" t="s">
        <v>1172</v>
      </c>
      <c r="C138">
        <v>3.6521184454458959</v>
      </c>
      <c r="D138">
        <v>-61.420590172663054</v>
      </c>
    </row>
    <row r="139" spans="1:4" x14ac:dyDescent="0.3">
      <c r="A139">
        <v>1400050</v>
      </c>
      <c r="B139" t="s">
        <v>74</v>
      </c>
      <c r="C139">
        <v>2.9938229476548361</v>
      </c>
      <c r="D139">
        <v>-61.314022390117806</v>
      </c>
    </row>
    <row r="140" spans="1:4" x14ac:dyDescent="0.3">
      <c r="A140">
        <v>1400100</v>
      </c>
      <c r="B140" t="s">
        <v>1173</v>
      </c>
      <c r="C140">
        <v>2.8166819191043904</v>
      </c>
      <c r="D140">
        <v>-60.670532672965052</v>
      </c>
    </row>
    <row r="141" spans="1:4" x14ac:dyDescent="0.3">
      <c r="A141">
        <v>1400159</v>
      </c>
      <c r="B141" t="s">
        <v>1174</v>
      </c>
      <c r="C141">
        <v>3.3502886191103158</v>
      </c>
      <c r="D141">
        <v>-59.878006628909937</v>
      </c>
    </row>
    <row r="142" spans="1:4" x14ac:dyDescent="0.3">
      <c r="A142">
        <v>1400175</v>
      </c>
      <c r="B142" t="s">
        <v>1175</v>
      </c>
      <c r="C142">
        <v>2.60766639841651</v>
      </c>
      <c r="D142">
        <v>-60.602062847611236</v>
      </c>
    </row>
    <row r="143" spans="1:4" x14ac:dyDescent="0.3">
      <c r="A143">
        <v>1400209</v>
      </c>
      <c r="B143" t="s">
        <v>1176</v>
      </c>
      <c r="C143">
        <v>1.8038712472975902</v>
      </c>
      <c r="D143">
        <v>-61.149176870129992</v>
      </c>
    </row>
    <row r="144" spans="1:4" x14ac:dyDescent="0.3">
      <c r="A144">
        <v>1400233</v>
      </c>
      <c r="B144" t="s">
        <v>1177</v>
      </c>
      <c r="C144">
        <v>0.87267450718656214</v>
      </c>
      <c r="D144">
        <v>-59.69481007367574</v>
      </c>
    </row>
    <row r="145" spans="1:4" x14ac:dyDescent="0.3">
      <c r="A145">
        <v>1400282</v>
      </c>
      <c r="B145" t="s">
        <v>77</v>
      </c>
      <c r="C145">
        <v>2.1682147652038704</v>
      </c>
      <c r="D145">
        <v>-61.052258585019707</v>
      </c>
    </row>
    <row r="146" spans="1:4" x14ac:dyDescent="0.3">
      <c r="A146">
        <v>1400308</v>
      </c>
      <c r="B146" t="s">
        <v>1178</v>
      </c>
      <c r="C146">
        <v>2.4797722350534177</v>
      </c>
      <c r="D146">
        <v>-60.911518530621642</v>
      </c>
    </row>
    <row r="147" spans="1:4" x14ac:dyDescent="0.3">
      <c r="A147">
        <v>1400407</v>
      </c>
      <c r="B147" t="s">
        <v>1179</v>
      </c>
      <c r="C147">
        <v>3.8829782853018107</v>
      </c>
      <c r="D147">
        <v>-59.635206283568323</v>
      </c>
    </row>
    <row r="148" spans="1:4" x14ac:dyDescent="0.3">
      <c r="A148">
        <v>1400456</v>
      </c>
      <c r="B148" t="s">
        <v>1180</v>
      </c>
      <c r="C148">
        <v>4.4752593402122551</v>
      </c>
      <c r="D148">
        <v>-61.147306347149311</v>
      </c>
    </row>
    <row r="149" spans="1:4" x14ac:dyDescent="0.3">
      <c r="A149">
        <v>1400472</v>
      </c>
      <c r="B149" t="s">
        <v>1181</v>
      </c>
      <c r="C149">
        <v>0.93719539359755621</v>
      </c>
      <c r="D149">
        <v>-60.425060493981924</v>
      </c>
    </row>
    <row r="150" spans="1:4" x14ac:dyDescent="0.3">
      <c r="A150">
        <v>1400506</v>
      </c>
      <c r="B150" t="s">
        <v>1182</v>
      </c>
      <c r="C150">
        <v>0.94715742746668119</v>
      </c>
      <c r="D150">
        <v>-59.906044345154449</v>
      </c>
    </row>
    <row r="151" spans="1:4" x14ac:dyDescent="0.3">
      <c r="A151">
        <v>1400605</v>
      </c>
      <c r="B151" t="s">
        <v>1183</v>
      </c>
      <c r="C151">
        <v>1.0181116273912603</v>
      </c>
      <c r="D151">
        <v>-60.028266774190257</v>
      </c>
    </row>
    <row r="152" spans="1:4" x14ac:dyDescent="0.3">
      <c r="A152">
        <v>1400704</v>
      </c>
      <c r="B152" t="s">
        <v>1184</v>
      </c>
      <c r="C152">
        <v>4.5854403875425485</v>
      </c>
      <c r="D152">
        <v>-60.195716148042038</v>
      </c>
    </row>
    <row r="153" spans="1:4" x14ac:dyDescent="0.3">
      <c r="A153">
        <v>1500107</v>
      </c>
      <c r="B153" t="s">
        <v>1185</v>
      </c>
      <c r="C153">
        <v>-1.7234698628459053</v>
      </c>
      <c r="D153">
        <v>-48.884403820723051</v>
      </c>
    </row>
    <row r="154" spans="1:4" x14ac:dyDescent="0.3">
      <c r="A154">
        <v>1500131</v>
      </c>
      <c r="B154" t="s">
        <v>1186</v>
      </c>
      <c r="C154">
        <v>-4.9513908955312962</v>
      </c>
      <c r="D154">
        <v>-48.396762125794474</v>
      </c>
    </row>
    <row r="155" spans="1:4" x14ac:dyDescent="0.3">
      <c r="A155">
        <v>1500206</v>
      </c>
      <c r="B155" t="s">
        <v>1187</v>
      </c>
      <c r="C155">
        <v>-1.9634365000000003</v>
      </c>
      <c r="D155">
        <v>-48.200456431750133</v>
      </c>
    </row>
    <row r="156" spans="1:4" x14ac:dyDescent="0.3">
      <c r="A156">
        <v>1500305</v>
      </c>
      <c r="B156" t="s">
        <v>1188</v>
      </c>
      <c r="C156">
        <v>-0.15917169377979654</v>
      </c>
      <c r="D156">
        <v>-50.391427589233245</v>
      </c>
    </row>
    <row r="157" spans="1:4" x14ac:dyDescent="0.3">
      <c r="A157">
        <v>1500347</v>
      </c>
      <c r="B157" t="s">
        <v>1189</v>
      </c>
      <c r="C157">
        <v>-6.8049488674053764</v>
      </c>
      <c r="D157">
        <v>-50.485274507253138</v>
      </c>
    </row>
    <row r="158" spans="1:4" x14ac:dyDescent="0.3">
      <c r="A158">
        <v>1500404</v>
      </c>
      <c r="B158" t="s">
        <v>1190</v>
      </c>
      <c r="C158">
        <v>-1.9513975050000003</v>
      </c>
      <c r="D158">
        <v>-54.740862350189623</v>
      </c>
    </row>
    <row r="159" spans="1:4" x14ac:dyDescent="0.3">
      <c r="A159">
        <v>1500503</v>
      </c>
      <c r="B159" t="s">
        <v>1191</v>
      </c>
      <c r="C159">
        <v>-1.5273388027647801</v>
      </c>
      <c r="D159">
        <v>-52.576835086812743</v>
      </c>
    </row>
    <row r="160" spans="1:4" x14ac:dyDescent="0.3">
      <c r="A160">
        <v>1500602</v>
      </c>
      <c r="B160" t="s">
        <v>1192</v>
      </c>
      <c r="C160">
        <v>-3.2056595100000007</v>
      </c>
      <c r="D160">
        <v>-52.214376305207828</v>
      </c>
    </row>
    <row r="161" spans="1:4" x14ac:dyDescent="0.3">
      <c r="A161">
        <v>1500701</v>
      </c>
      <c r="B161" t="s">
        <v>1193</v>
      </c>
      <c r="C161">
        <v>-0.98445139400870219</v>
      </c>
      <c r="D161">
        <v>-49.945001040543993</v>
      </c>
    </row>
    <row r="162" spans="1:4" x14ac:dyDescent="0.3">
      <c r="A162">
        <v>1500800</v>
      </c>
      <c r="B162" t="s">
        <v>1194</v>
      </c>
      <c r="C162">
        <v>-1.3687135682694551</v>
      </c>
      <c r="D162">
        <v>-48.372066654168023</v>
      </c>
    </row>
    <row r="163" spans="1:4" x14ac:dyDescent="0.3">
      <c r="A163">
        <v>1500859</v>
      </c>
      <c r="B163" t="s">
        <v>1195</v>
      </c>
      <c r="C163">
        <v>-3.4761046350686806</v>
      </c>
      <c r="D163">
        <v>-51.201621798458063</v>
      </c>
    </row>
    <row r="164" spans="1:4" x14ac:dyDescent="0.3">
      <c r="A164">
        <v>1500909</v>
      </c>
      <c r="B164" t="s">
        <v>1196</v>
      </c>
      <c r="C164">
        <v>-1.0229210100000004</v>
      </c>
      <c r="D164">
        <v>-46.641645785671138</v>
      </c>
    </row>
    <row r="165" spans="1:4" x14ac:dyDescent="0.3">
      <c r="A165">
        <v>1500958</v>
      </c>
      <c r="B165" t="s">
        <v>1197</v>
      </c>
      <c r="C165">
        <v>-2.1293760131944404</v>
      </c>
      <c r="D165">
        <v>-47.556174603612824</v>
      </c>
    </row>
    <row r="166" spans="1:4" x14ac:dyDescent="0.3">
      <c r="A166">
        <v>1501006</v>
      </c>
      <c r="B166" t="s">
        <v>1198</v>
      </c>
      <c r="C166">
        <v>-3.60559525928393</v>
      </c>
      <c r="D166">
        <v>-55.330734389817835</v>
      </c>
    </row>
    <row r="167" spans="1:4" x14ac:dyDescent="0.3">
      <c r="A167">
        <v>1501105</v>
      </c>
      <c r="B167" t="s">
        <v>1199</v>
      </c>
      <c r="C167">
        <v>-1.8898080603617204</v>
      </c>
      <c r="D167">
        <v>-50.221986920613453</v>
      </c>
    </row>
    <row r="168" spans="1:4" x14ac:dyDescent="0.3">
      <c r="A168">
        <v>1501204</v>
      </c>
      <c r="B168" t="s">
        <v>1200</v>
      </c>
      <c r="C168">
        <v>-2.7919618613613602</v>
      </c>
      <c r="D168">
        <v>-49.672753373325271</v>
      </c>
    </row>
    <row r="169" spans="1:4" x14ac:dyDescent="0.3">
      <c r="A169">
        <v>1501253</v>
      </c>
      <c r="B169" t="s">
        <v>1201</v>
      </c>
      <c r="C169">
        <v>-7.351072192424402</v>
      </c>
      <c r="D169">
        <v>-50.406047121519549</v>
      </c>
    </row>
    <row r="170" spans="1:4" x14ac:dyDescent="0.3">
      <c r="A170">
        <v>1501303</v>
      </c>
      <c r="B170" t="s">
        <v>1202</v>
      </c>
      <c r="C170">
        <v>-1.5057670050000003</v>
      </c>
      <c r="D170">
        <v>-48.627072892515599</v>
      </c>
    </row>
    <row r="171" spans="1:4" x14ac:dyDescent="0.3">
      <c r="A171">
        <v>1501402</v>
      </c>
      <c r="B171" t="s">
        <v>1203</v>
      </c>
      <c r="C171">
        <v>-1.4598450000000003</v>
      </c>
      <c r="D171">
        <v>-48.487825687487558</v>
      </c>
    </row>
    <row r="172" spans="1:4" x14ac:dyDescent="0.3">
      <c r="A172">
        <v>1501451</v>
      </c>
      <c r="B172" t="s">
        <v>1204</v>
      </c>
      <c r="C172">
        <v>-2.6490201694685607</v>
      </c>
      <c r="D172">
        <v>-54.942674739326186</v>
      </c>
    </row>
    <row r="173" spans="1:4" x14ac:dyDescent="0.3">
      <c r="A173">
        <v>1501501</v>
      </c>
      <c r="B173" t="s">
        <v>1205</v>
      </c>
      <c r="C173">
        <v>-1.3614375150000002</v>
      </c>
      <c r="D173">
        <v>-48.241836450570268</v>
      </c>
    </row>
    <row r="174" spans="1:4" x14ac:dyDescent="0.3">
      <c r="A174">
        <v>1501576</v>
      </c>
      <c r="B174" t="s">
        <v>1206</v>
      </c>
      <c r="C174">
        <v>-5.0473627043202862</v>
      </c>
      <c r="D174">
        <v>-48.59903995906145</v>
      </c>
    </row>
    <row r="175" spans="1:4" x14ac:dyDescent="0.3">
      <c r="A175">
        <v>1501600</v>
      </c>
      <c r="B175" t="s">
        <v>1207</v>
      </c>
      <c r="C175">
        <v>-1.3674743568725352</v>
      </c>
      <c r="D175">
        <v>-47.30589181686387</v>
      </c>
    </row>
    <row r="176" spans="1:4" x14ac:dyDescent="0.3">
      <c r="A176">
        <v>1501709</v>
      </c>
      <c r="B176" t="s">
        <v>1208</v>
      </c>
      <c r="C176">
        <v>-1.0535239562056351</v>
      </c>
      <c r="D176">
        <v>-46.765754213664032</v>
      </c>
    </row>
    <row r="177" spans="1:4" x14ac:dyDescent="0.3">
      <c r="A177">
        <v>1501725</v>
      </c>
      <c r="B177" t="s">
        <v>1209</v>
      </c>
      <c r="C177">
        <v>-3.2978037040083708</v>
      </c>
      <c r="D177">
        <v>-52.543441192278841</v>
      </c>
    </row>
    <row r="178" spans="1:4" x14ac:dyDescent="0.3">
      <c r="A178">
        <v>1501758</v>
      </c>
      <c r="B178" t="s">
        <v>1210</v>
      </c>
      <c r="C178">
        <v>-5.70729615383609</v>
      </c>
      <c r="D178">
        <v>-48.405760422387381</v>
      </c>
    </row>
    <row r="179" spans="1:4" x14ac:dyDescent="0.3">
      <c r="A179">
        <v>1501782</v>
      </c>
      <c r="B179" t="s">
        <v>1211</v>
      </c>
      <c r="C179">
        <v>-3.7781354128786706</v>
      </c>
      <c r="D179">
        <v>-49.569879683285734</v>
      </c>
    </row>
    <row r="180" spans="1:4" x14ac:dyDescent="0.3">
      <c r="A180">
        <v>1501808</v>
      </c>
      <c r="B180" t="s">
        <v>1212</v>
      </c>
      <c r="C180">
        <v>-1.6907365000000001</v>
      </c>
      <c r="D180">
        <v>-50.480894799019509</v>
      </c>
    </row>
    <row r="181" spans="1:4" x14ac:dyDescent="0.3">
      <c r="A181">
        <v>1501907</v>
      </c>
      <c r="B181" t="s">
        <v>1213</v>
      </c>
      <c r="C181">
        <v>-1.5139914623006052</v>
      </c>
      <c r="D181">
        <v>-48.035875014396034</v>
      </c>
    </row>
    <row r="182" spans="1:4" x14ac:dyDescent="0.3">
      <c r="A182">
        <v>1501956</v>
      </c>
      <c r="B182" t="s">
        <v>1214</v>
      </c>
      <c r="C182">
        <v>-1.7528970049312402</v>
      </c>
      <c r="D182">
        <v>-46.547391416625487</v>
      </c>
    </row>
    <row r="183" spans="1:4" x14ac:dyDescent="0.3">
      <c r="A183">
        <v>1502004</v>
      </c>
      <c r="B183" t="s">
        <v>1215</v>
      </c>
      <c r="C183">
        <v>-1.0087862656392803</v>
      </c>
      <c r="D183">
        <v>-48.960667577387085</v>
      </c>
    </row>
    <row r="184" spans="1:4" x14ac:dyDescent="0.3">
      <c r="A184">
        <v>1502103</v>
      </c>
      <c r="B184" t="s">
        <v>1216</v>
      </c>
      <c r="C184">
        <v>-2.2468384800000005</v>
      </c>
      <c r="D184">
        <v>-49.497830168996977</v>
      </c>
    </row>
    <row r="185" spans="1:4" x14ac:dyDescent="0.3">
      <c r="A185">
        <v>1502152</v>
      </c>
      <c r="B185" t="s">
        <v>1217</v>
      </c>
      <c r="C185">
        <v>-6.5321966156294016</v>
      </c>
      <c r="D185">
        <v>-49.848958431915328</v>
      </c>
    </row>
    <row r="186" spans="1:4" x14ac:dyDescent="0.3">
      <c r="A186">
        <v>1502202</v>
      </c>
      <c r="B186" t="s">
        <v>1218</v>
      </c>
      <c r="C186">
        <v>-1.1924419950000003</v>
      </c>
      <c r="D186">
        <v>-47.175126123134397</v>
      </c>
    </row>
    <row r="187" spans="1:4" x14ac:dyDescent="0.3">
      <c r="A187">
        <v>1502301</v>
      </c>
      <c r="B187" t="s">
        <v>1219</v>
      </c>
      <c r="C187">
        <v>-1.7461872932375151</v>
      </c>
      <c r="D187">
        <v>-47.062825377400898</v>
      </c>
    </row>
    <row r="188" spans="1:4" x14ac:dyDescent="0.3">
      <c r="A188">
        <v>1502400</v>
      </c>
      <c r="B188" t="s">
        <v>1220</v>
      </c>
      <c r="C188">
        <v>-1.2957568050452453</v>
      </c>
      <c r="D188">
        <v>-47.926643141944233</v>
      </c>
    </row>
    <row r="189" spans="1:4" x14ac:dyDescent="0.3">
      <c r="A189">
        <v>1502509</v>
      </c>
      <c r="B189" t="s">
        <v>1221</v>
      </c>
      <c r="C189">
        <v>-0.16243729012191152</v>
      </c>
      <c r="D189">
        <v>-49.989318605071354</v>
      </c>
    </row>
    <row r="190" spans="1:4" x14ac:dyDescent="0.3">
      <c r="A190">
        <v>1502608</v>
      </c>
      <c r="B190" t="s">
        <v>1222</v>
      </c>
      <c r="C190">
        <v>-0.93209124395773923</v>
      </c>
      <c r="D190">
        <v>-48.288728431949444</v>
      </c>
    </row>
    <row r="191" spans="1:4" x14ac:dyDescent="0.3">
      <c r="A191">
        <v>1502707</v>
      </c>
      <c r="B191" t="s">
        <v>1223</v>
      </c>
      <c r="C191">
        <v>-8.2648635299999995</v>
      </c>
      <c r="D191">
        <v>-49.264500812495669</v>
      </c>
    </row>
    <row r="192" spans="1:4" x14ac:dyDescent="0.3">
      <c r="A192">
        <v>1502756</v>
      </c>
      <c r="B192" t="s">
        <v>1224</v>
      </c>
      <c r="C192">
        <v>-1.984521462772755</v>
      </c>
      <c r="D192">
        <v>-47.949886939004742</v>
      </c>
    </row>
    <row r="193" spans="1:4" x14ac:dyDescent="0.3">
      <c r="A193">
        <v>1502764</v>
      </c>
      <c r="B193" t="s">
        <v>1225</v>
      </c>
      <c r="C193">
        <v>-7.8111065368992669</v>
      </c>
      <c r="D193">
        <v>-50.771578377513052</v>
      </c>
    </row>
    <row r="194" spans="1:4" x14ac:dyDescent="0.3">
      <c r="A194">
        <v>1502772</v>
      </c>
      <c r="B194" t="s">
        <v>1226</v>
      </c>
      <c r="C194">
        <v>-6.0968199522066611</v>
      </c>
      <c r="D194">
        <v>-49.602214224950409</v>
      </c>
    </row>
    <row r="195" spans="1:4" x14ac:dyDescent="0.3">
      <c r="A195">
        <v>1502806</v>
      </c>
      <c r="B195" t="s">
        <v>1227</v>
      </c>
      <c r="C195">
        <v>-1.8094234196669303</v>
      </c>
      <c r="D195">
        <v>-49.791522847085382</v>
      </c>
    </row>
    <row r="196" spans="1:4" x14ac:dyDescent="0.3">
      <c r="A196">
        <v>1502855</v>
      </c>
      <c r="B196" t="s">
        <v>1228</v>
      </c>
      <c r="C196">
        <v>-1.8899287043054851</v>
      </c>
      <c r="D196">
        <v>-55.11967860873078</v>
      </c>
    </row>
    <row r="197" spans="1:4" x14ac:dyDescent="0.3">
      <c r="A197">
        <v>1502905</v>
      </c>
      <c r="B197" t="s">
        <v>1229</v>
      </c>
      <c r="C197">
        <v>-0.73249551000000024</v>
      </c>
      <c r="D197">
        <v>-47.851265085935154</v>
      </c>
    </row>
    <row r="198" spans="1:4" x14ac:dyDescent="0.3">
      <c r="A198">
        <v>1502939</v>
      </c>
      <c r="B198" t="s">
        <v>1230</v>
      </c>
      <c r="C198">
        <v>-4.2907777200000004</v>
      </c>
      <c r="D198">
        <v>-47.555914885993438</v>
      </c>
    </row>
    <row r="199" spans="1:4" x14ac:dyDescent="0.3">
      <c r="A199">
        <v>1502954</v>
      </c>
      <c r="B199" t="s">
        <v>1231</v>
      </c>
      <c r="C199">
        <v>-6.1035251610713868</v>
      </c>
      <c r="D199">
        <v>-49.373951942152217</v>
      </c>
    </row>
    <row r="200" spans="1:4" x14ac:dyDescent="0.3">
      <c r="A200">
        <v>1503002</v>
      </c>
      <c r="B200" t="s">
        <v>1232</v>
      </c>
      <c r="C200">
        <v>-2.1729752419497652</v>
      </c>
      <c r="D200">
        <v>-56.745753017306967</v>
      </c>
    </row>
    <row r="201" spans="1:4" x14ac:dyDescent="0.3">
      <c r="A201">
        <v>1503044</v>
      </c>
      <c r="B201" t="s">
        <v>1233</v>
      </c>
      <c r="C201">
        <v>-7.5587008723700757</v>
      </c>
      <c r="D201">
        <v>-49.697578412237299</v>
      </c>
    </row>
    <row r="202" spans="1:4" x14ac:dyDescent="0.3">
      <c r="A202">
        <v>1503077</v>
      </c>
      <c r="B202" t="s">
        <v>1234</v>
      </c>
      <c r="C202">
        <v>-1.9316970431066902</v>
      </c>
      <c r="D202">
        <v>-47.045046017297253</v>
      </c>
    </row>
    <row r="203" spans="1:4" x14ac:dyDescent="0.3">
      <c r="A203">
        <v>1503093</v>
      </c>
      <c r="B203" t="s">
        <v>1235</v>
      </c>
      <c r="C203">
        <v>-3.8424680000000002</v>
      </c>
      <c r="D203">
        <v>-49.10104492374257</v>
      </c>
    </row>
    <row r="204" spans="1:4" x14ac:dyDescent="0.3">
      <c r="A204">
        <v>1503101</v>
      </c>
      <c r="B204" t="s">
        <v>1236</v>
      </c>
      <c r="C204">
        <v>-1.4049180000000003</v>
      </c>
      <c r="D204">
        <v>-51.643695723394075</v>
      </c>
    </row>
    <row r="205" spans="1:4" x14ac:dyDescent="0.3">
      <c r="A205">
        <v>1503200</v>
      </c>
      <c r="B205" t="s">
        <v>1237</v>
      </c>
      <c r="C205">
        <v>-1.124322</v>
      </c>
      <c r="D205">
        <v>-47.622375492027096</v>
      </c>
    </row>
    <row r="206" spans="1:4" x14ac:dyDescent="0.3">
      <c r="A206">
        <v>1503309</v>
      </c>
      <c r="B206" t="s">
        <v>1238</v>
      </c>
      <c r="C206">
        <v>-1.9831160000000005</v>
      </c>
      <c r="D206">
        <v>-48.962299468946604</v>
      </c>
    </row>
    <row r="207" spans="1:4" x14ac:dyDescent="0.3">
      <c r="A207">
        <v>1503408</v>
      </c>
      <c r="B207" t="s">
        <v>1239</v>
      </c>
      <c r="C207">
        <v>-1.4265819809103102</v>
      </c>
      <c r="D207">
        <v>-47.913392746588528</v>
      </c>
    </row>
    <row r="208" spans="1:4" x14ac:dyDescent="0.3">
      <c r="A208">
        <v>1503457</v>
      </c>
      <c r="B208" t="s">
        <v>1240</v>
      </c>
      <c r="C208">
        <v>-2.5575285000000005</v>
      </c>
      <c r="D208">
        <v>-47.499717588798291</v>
      </c>
    </row>
    <row r="209" spans="1:4" x14ac:dyDescent="0.3">
      <c r="A209">
        <v>1503507</v>
      </c>
      <c r="B209" t="s">
        <v>1241</v>
      </c>
      <c r="C209">
        <v>-1.7714749950000004</v>
      </c>
      <c r="D209">
        <v>-47.440755612848321</v>
      </c>
    </row>
    <row r="210" spans="1:4" x14ac:dyDescent="0.3">
      <c r="A210">
        <v>1503606</v>
      </c>
      <c r="B210" t="s">
        <v>1242</v>
      </c>
      <c r="C210">
        <v>-4.2637294800000012</v>
      </c>
      <c r="D210">
        <v>-55.990048857277742</v>
      </c>
    </row>
    <row r="211" spans="1:4" x14ac:dyDescent="0.3">
      <c r="A211">
        <v>1503705</v>
      </c>
      <c r="B211" t="s">
        <v>1243</v>
      </c>
      <c r="C211">
        <v>-5.1288370263609107</v>
      </c>
      <c r="D211">
        <v>-49.324425861286095</v>
      </c>
    </row>
    <row r="212" spans="1:4" x14ac:dyDescent="0.3">
      <c r="A212">
        <v>1503754</v>
      </c>
      <c r="B212" t="s">
        <v>1244</v>
      </c>
      <c r="C212">
        <v>-6.2235517313864452</v>
      </c>
      <c r="D212">
        <v>-57.766339858379439</v>
      </c>
    </row>
    <row r="213" spans="1:4" x14ac:dyDescent="0.3">
      <c r="A213">
        <v>1503804</v>
      </c>
      <c r="B213" t="s">
        <v>1245</v>
      </c>
      <c r="C213">
        <v>-4.4484054750000013</v>
      </c>
      <c r="D213">
        <v>-49.112781562567484</v>
      </c>
    </row>
    <row r="214" spans="1:4" x14ac:dyDescent="0.3">
      <c r="A214">
        <v>1503903</v>
      </c>
      <c r="B214" t="s">
        <v>1246</v>
      </c>
      <c r="C214">
        <v>-2.1552529950000006</v>
      </c>
      <c r="D214">
        <v>-56.094997688400113</v>
      </c>
    </row>
    <row r="215" spans="1:4" x14ac:dyDescent="0.3">
      <c r="A215">
        <v>1504000</v>
      </c>
      <c r="B215" t="s">
        <v>1247</v>
      </c>
      <c r="C215">
        <v>-1.8919485000000003</v>
      </c>
      <c r="D215">
        <v>-49.381533901201919</v>
      </c>
    </row>
    <row r="216" spans="1:4" x14ac:dyDescent="0.3">
      <c r="A216">
        <v>1504059</v>
      </c>
      <c r="B216" t="s">
        <v>1248</v>
      </c>
      <c r="C216">
        <v>-2.0477074407907554</v>
      </c>
      <c r="D216">
        <v>-47.552290179477346</v>
      </c>
    </row>
    <row r="217" spans="1:4" x14ac:dyDescent="0.3">
      <c r="A217">
        <v>1504109</v>
      </c>
      <c r="B217" t="s">
        <v>1249</v>
      </c>
      <c r="C217">
        <v>-0.79585015602116083</v>
      </c>
      <c r="D217">
        <v>-47.599181896491203</v>
      </c>
    </row>
    <row r="218" spans="1:4" x14ac:dyDescent="0.3">
      <c r="A218">
        <v>1504208</v>
      </c>
      <c r="B218" t="s">
        <v>1250</v>
      </c>
      <c r="C218">
        <v>-5.3526057631302502</v>
      </c>
      <c r="D218">
        <v>-49.142025333406693</v>
      </c>
    </row>
    <row r="219" spans="1:4" x14ac:dyDescent="0.3">
      <c r="A219">
        <v>1504307</v>
      </c>
      <c r="B219" t="s">
        <v>1251</v>
      </c>
      <c r="C219">
        <v>-0.76241945998123117</v>
      </c>
      <c r="D219">
        <v>-47.4552679594076</v>
      </c>
    </row>
    <row r="220" spans="1:4" x14ac:dyDescent="0.3">
      <c r="A220">
        <v>1504406</v>
      </c>
      <c r="B220" t="s">
        <v>1252</v>
      </c>
      <c r="C220">
        <v>-0.7121509963478192</v>
      </c>
      <c r="D220">
        <v>-47.702548753767744</v>
      </c>
    </row>
    <row r="221" spans="1:4" x14ac:dyDescent="0.3">
      <c r="A221">
        <v>1504422</v>
      </c>
      <c r="B221" t="s">
        <v>1253</v>
      </c>
      <c r="C221">
        <v>-1.3464172655757951</v>
      </c>
      <c r="D221">
        <v>-48.340535877783033</v>
      </c>
    </row>
    <row r="222" spans="1:4" x14ac:dyDescent="0.3">
      <c r="A222">
        <v>1504455</v>
      </c>
      <c r="B222" t="s">
        <v>1254</v>
      </c>
      <c r="C222">
        <v>-3.4454174121868806</v>
      </c>
      <c r="D222">
        <v>-52.888345350724272</v>
      </c>
    </row>
    <row r="223" spans="1:4" x14ac:dyDescent="0.3">
      <c r="A223">
        <v>1504505</v>
      </c>
      <c r="B223" t="s">
        <v>1255</v>
      </c>
      <c r="C223">
        <v>-1.8034466986409954</v>
      </c>
      <c r="D223">
        <v>-50.717464697696407</v>
      </c>
    </row>
    <row r="224" spans="1:4" x14ac:dyDescent="0.3">
      <c r="A224">
        <v>1504604</v>
      </c>
      <c r="B224" t="s">
        <v>1256</v>
      </c>
      <c r="C224">
        <v>-2.5828729732715305</v>
      </c>
      <c r="D224">
        <v>-49.509023461272861</v>
      </c>
    </row>
    <row r="225" spans="1:4" x14ac:dyDescent="0.3">
      <c r="A225">
        <v>1504703</v>
      </c>
      <c r="B225" t="s">
        <v>1257</v>
      </c>
      <c r="C225">
        <v>-1.8858890000000001</v>
      </c>
      <c r="D225">
        <v>-48.767199127371867</v>
      </c>
    </row>
    <row r="226" spans="1:4" x14ac:dyDescent="0.3">
      <c r="A226">
        <v>1504802</v>
      </c>
      <c r="B226" t="s">
        <v>1258</v>
      </c>
      <c r="C226">
        <v>-2.0033280000000002</v>
      </c>
      <c r="D226">
        <v>-54.073374725635993</v>
      </c>
    </row>
    <row r="227" spans="1:4" x14ac:dyDescent="0.3">
      <c r="A227">
        <v>1504901</v>
      </c>
      <c r="B227" t="s">
        <v>1259</v>
      </c>
      <c r="C227">
        <v>-1.530026208354905</v>
      </c>
      <c r="D227">
        <v>-49.216832442473702</v>
      </c>
    </row>
    <row r="228" spans="1:4" x14ac:dyDescent="0.3">
      <c r="A228">
        <v>1504950</v>
      </c>
      <c r="B228" t="s">
        <v>1260</v>
      </c>
      <c r="C228">
        <v>-2.2676259890312953</v>
      </c>
      <c r="D228">
        <v>-46.962092883673591</v>
      </c>
    </row>
    <row r="229" spans="1:4" x14ac:dyDescent="0.3">
      <c r="A229">
        <v>1504976</v>
      </c>
      <c r="B229" t="s">
        <v>1261</v>
      </c>
      <c r="C229">
        <v>-4.9230863070264865</v>
      </c>
      <c r="D229">
        <v>-49.079886938016415</v>
      </c>
    </row>
    <row r="230" spans="1:4" x14ac:dyDescent="0.3">
      <c r="A230">
        <v>1505007</v>
      </c>
      <c r="B230" t="s">
        <v>1262</v>
      </c>
      <c r="C230">
        <v>-1.2041436474668652</v>
      </c>
      <c r="D230">
        <v>-47.393202276459888</v>
      </c>
    </row>
    <row r="231" spans="1:4" x14ac:dyDescent="0.3">
      <c r="A231">
        <v>1505031</v>
      </c>
      <c r="B231" t="s">
        <v>1263</v>
      </c>
      <c r="C231">
        <v>-7.0348359132881164</v>
      </c>
      <c r="D231">
        <v>-55.419870117978391</v>
      </c>
    </row>
    <row r="232" spans="1:4" x14ac:dyDescent="0.3">
      <c r="A232">
        <v>1505064</v>
      </c>
      <c r="B232" t="s">
        <v>1264</v>
      </c>
      <c r="C232">
        <v>-4.248148500000001</v>
      </c>
      <c r="D232">
        <v>-49.948638244342618</v>
      </c>
    </row>
    <row r="233" spans="1:4" x14ac:dyDescent="0.3">
      <c r="A233">
        <v>1505106</v>
      </c>
      <c r="B233" t="s">
        <v>1265</v>
      </c>
      <c r="C233">
        <v>-1.909235495881205</v>
      </c>
      <c r="D233">
        <v>-55.516323509712599</v>
      </c>
    </row>
    <row r="234" spans="1:4" x14ac:dyDescent="0.3">
      <c r="A234">
        <v>1505205</v>
      </c>
      <c r="B234" t="s">
        <v>1266</v>
      </c>
      <c r="C234">
        <v>-2.0047340000000005</v>
      </c>
      <c r="D234">
        <v>-49.855106108773505</v>
      </c>
    </row>
    <row r="235" spans="1:4" x14ac:dyDescent="0.3">
      <c r="A235">
        <v>1505304</v>
      </c>
      <c r="B235" t="s">
        <v>1267</v>
      </c>
      <c r="C235">
        <v>-1.7637535000000004</v>
      </c>
      <c r="D235">
        <v>-55.862799515235935</v>
      </c>
    </row>
    <row r="236" spans="1:4" x14ac:dyDescent="0.3">
      <c r="A236">
        <v>1505403</v>
      </c>
      <c r="B236" t="s">
        <v>1268</v>
      </c>
      <c r="C236">
        <v>-1.5489471423024403</v>
      </c>
      <c r="D236">
        <v>-47.117619362850149</v>
      </c>
    </row>
    <row r="237" spans="1:4" x14ac:dyDescent="0.3">
      <c r="A237">
        <v>1505437</v>
      </c>
      <c r="B237" t="s">
        <v>1269</v>
      </c>
      <c r="C237">
        <v>-6.7406170863773571</v>
      </c>
      <c r="D237">
        <v>-51.090832774681573</v>
      </c>
    </row>
    <row r="238" spans="1:4" x14ac:dyDescent="0.3">
      <c r="A238">
        <v>1505486</v>
      </c>
      <c r="B238" t="s">
        <v>1270</v>
      </c>
      <c r="C238">
        <v>-3.8303057037573005</v>
      </c>
      <c r="D238">
        <v>-50.634840830429766</v>
      </c>
    </row>
    <row r="239" spans="1:4" x14ac:dyDescent="0.3">
      <c r="A239">
        <v>1505494</v>
      </c>
      <c r="B239" t="s">
        <v>1271</v>
      </c>
      <c r="C239">
        <v>-5.7499341062260516</v>
      </c>
      <c r="D239">
        <v>-48.321793726163683</v>
      </c>
    </row>
    <row r="240" spans="1:4" x14ac:dyDescent="0.3">
      <c r="A240">
        <v>1505502</v>
      </c>
      <c r="B240" t="s">
        <v>1272</v>
      </c>
      <c r="C240">
        <v>-2.9941905000000002</v>
      </c>
      <c r="D240">
        <v>-47.356961561051861</v>
      </c>
    </row>
    <row r="241" spans="1:4" x14ac:dyDescent="0.3">
      <c r="A241">
        <v>1505536</v>
      </c>
      <c r="B241" t="s">
        <v>1273</v>
      </c>
      <c r="C241">
        <v>-6.0727298876318363</v>
      </c>
      <c r="D241">
        <v>-49.90078063429695</v>
      </c>
    </row>
    <row r="242" spans="1:4" x14ac:dyDescent="0.3">
      <c r="A242">
        <v>1505551</v>
      </c>
      <c r="B242" t="s">
        <v>1274</v>
      </c>
      <c r="C242">
        <v>-7.8367944039735669</v>
      </c>
      <c r="D242">
        <v>-50.048275531899804</v>
      </c>
    </row>
    <row r="243" spans="1:4" x14ac:dyDescent="0.3">
      <c r="A243">
        <v>1505601</v>
      </c>
      <c r="B243" t="s">
        <v>1275</v>
      </c>
      <c r="C243">
        <v>-1.1895692407565404</v>
      </c>
      <c r="D243">
        <v>-47.317927021559143</v>
      </c>
    </row>
    <row r="244" spans="1:4" x14ac:dyDescent="0.3">
      <c r="A244">
        <v>1505635</v>
      </c>
      <c r="B244" t="s">
        <v>1276</v>
      </c>
      <c r="C244">
        <v>-6.4536762345579204</v>
      </c>
      <c r="D244">
        <v>-48.868400667218658</v>
      </c>
    </row>
    <row r="245" spans="1:4" x14ac:dyDescent="0.3">
      <c r="A245">
        <v>1505650</v>
      </c>
      <c r="B245" t="s">
        <v>1277</v>
      </c>
      <c r="C245">
        <v>-3.8673155621353552</v>
      </c>
      <c r="D245">
        <v>-54.216968131265382</v>
      </c>
    </row>
    <row r="246" spans="1:4" x14ac:dyDescent="0.3">
      <c r="A246">
        <v>1505700</v>
      </c>
      <c r="B246" t="s">
        <v>1278</v>
      </c>
      <c r="C246">
        <v>-1.3965999975235002</v>
      </c>
      <c r="D246">
        <v>-48.871785560043328</v>
      </c>
    </row>
    <row r="247" spans="1:4" x14ac:dyDescent="0.3">
      <c r="A247">
        <v>1505809</v>
      </c>
      <c r="B247" t="s">
        <v>1279</v>
      </c>
      <c r="C247">
        <v>-1.9364510000000004</v>
      </c>
      <c r="D247">
        <v>-50.822490442210999</v>
      </c>
    </row>
    <row r="248" spans="1:4" x14ac:dyDescent="0.3">
      <c r="A248">
        <v>1505908</v>
      </c>
      <c r="B248" t="s">
        <v>1280</v>
      </c>
      <c r="C248">
        <v>-1.7460900888088453</v>
      </c>
      <c r="D248">
        <v>-52.242476919020071</v>
      </c>
    </row>
    <row r="249" spans="1:4" x14ac:dyDescent="0.3">
      <c r="A249">
        <v>1506005</v>
      </c>
      <c r="B249" t="s">
        <v>1281</v>
      </c>
      <c r="C249">
        <v>-1.8056945000000002</v>
      </c>
      <c r="D249">
        <v>-53.481813940789479</v>
      </c>
    </row>
    <row r="250" spans="1:4" x14ac:dyDescent="0.3">
      <c r="A250">
        <v>1506104</v>
      </c>
      <c r="B250" t="s">
        <v>1282</v>
      </c>
      <c r="C250">
        <v>-0.94011151593057418</v>
      </c>
      <c r="D250">
        <v>-47.117251258912553</v>
      </c>
    </row>
    <row r="251" spans="1:4" x14ac:dyDescent="0.3">
      <c r="A251">
        <v>1506112</v>
      </c>
      <c r="B251" t="s">
        <v>1283</v>
      </c>
      <c r="C251">
        <v>-0.90011585373932523</v>
      </c>
      <c r="D251">
        <v>-47.006786993576021</v>
      </c>
    </row>
    <row r="252" spans="1:4" x14ac:dyDescent="0.3">
      <c r="A252">
        <v>1506138</v>
      </c>
      <c r="B252" t="s">
        <v>1284</v>
      </c>
      <c r="C252">
        <v>-8.0276045000000007</v>
      </c>
      <c r="D252">
        <v>-50.029641825509252</v>
      </c>
    </row>
    <row r="253" spans="1:4" x14ac:dyDescent="0.3">
      <c r="A253">
        <v>1506161</v>
      </c>
      <c r="B253" t="s">
        <v>1285</v>
      </c>
      <c r="C253">
        <v>-7.3111152446881462</v>
      </c>
      <c r="D253">
        <v>-50.046410877522369</v>
      </c>
    </row>
    <row r="254" spans="1:4" x14ac:dyDescent="0.3">
      <c r="A254">
        <v>1506187</v>
      </c>
      <c r="B254" t="s">
        <v>1286</v>
      </c>
      <c r="C254">
        <v>-4.777821727035545</v>
      </c>
      <c r="D254">
        <v>-48.069973749398223</v>
      </c>
    </row>
    <row r="255" spans="1:4" x14ac:dyDescent="0.3">
      <c r="A255">
        <v>1506195</v>
      </c>
      <c r="B255" t="s">
        <v>1287</v>
      </c>
      <c r="C255">
        <v>-4.0990653900000007</v>
      </c>
      <c r="D255">
        <v>-54.905862259869053</v>
      </c>
    </row>
    <row r="256" spans="1:4" x14ac:dyDescent="0.3">
      <c r="A256">
        <v>1506203</v>
      </c>
      <c r="B256" t="s">
        <v>1288</v>
      </c>
      <c r="C256">
        <v>-0.62363800000000003</v>
      </c>
      <c r="D256">
        <v>-47.353120263153635</v>
      </c>
    </row>
    <row r="257" spans="1:4" x14ac:dyDescent="0.3">
      <c r="A257">
        <v>1506302</v>
      </c>
      <c r="B257" t="s">
        <v>1289</v>
      </c>
      <c r="C257">
        <v>-0.7545259743530468</v>
      </c>
      <c r="D257">
        <v>-48.513186599446918</v>
      </c>
    </row>
    <row r="258" spans="1:4" x14ac:dyDescent="0.3">
      <c r="A258">
        <v>1506351</v>
      </c>
      <c r="B258" t="s">
        <v>1290</v>
      </c>
      <c r="C258">
        <v>-1.2294394669924402</v>
      </c>
      <c r="D258">
        <v>-48.2977406497887</v>
      </c>
    </row>
    <row r="259" spans="1:4" x14ac:dyDescent="0.3">
      <c r="A259">
        <v>1506401</v>
      </c>
      <c r="B259" t="s">
        <v>1291</v>
      </c>
      <c r="C259">
        <v>-0.65997412559925361</v>
      </c>
      <c r="D259">
        <v>-49.171615566125219</v>
      </c>
    </row>
    <row r="260" spans="1:4" x14ac:dyDescent="0.3">
      <c r="A260">
        <v>1506500</v>
      </c>
      <c r="B260" t="s">
        <v>1292</v>
      </c>
      <c r="C260">
        <v>-1.2973959012914251</v>
      </c>
      <c r="D260">
        <v>-48.163059940953069</v>
      </c>
    </row>
    <row r="261" spans="1:4" x14ac:dyDescent="0.3">
      <c r="A261">
        <v>1506559</v>
      </c>
      <c r="B261" t="s">
        <v>1293</v>
      </c>
      <c r="C261">
        <v>-1.5188278913875151</v>
      </c>
      <c r="D261">
        <v>-46.906169202698344</v>
      </c>
    </row>
    <row r="262" spans="1:4" x14ac:dyDescent="0.3">
      <c r="A262">
        <v>1506583</v>
      </c>
      <c r="B262" t="s">
        <v>1294</v>
      </c>
      <c r="C262">
        <v>-8.8705505396929407</v>
      </c>
      <c r="D262">
        <v>-49.719351857225682</v>
      </c>
    </row>
    <row r="263" spans="1:4" x14ac:dyDescent="0.3">
      <c r="A263">
        <v>1506609</v>
      </c>
      <c r="B263" t="s">
        <v>1295</v>
      </c>
      <c r="C263">
        <v>-1.3478664592967002</v>
      </c>
      <c r="D263">
        <v>-47.57469541380906</v>
      </c>
    </row>
    <row r="264" spans="1:4" x14ac:dyDescent="0.3">
      <c r="A264">
        <v>1506708</v>
      </c>
      <c r="B264" t="s">
        <v>1296</v>
      </c>
      <c r="C264">
        <v>-9.3294245250000021</v>
      </c>
      <c r="D264">
        <v>-50.344804321128983</v>
      </c>
    </row>
    <row r="265" spans="1:4" x14ac:dyDescent="0.3">
      <c r="A265">
        <v>1506807</v>
      </c>
      <c r="B265" t="s">
        <v>1297</v>
      </c>
      <c r="C265">
        <v>-2.4362133299999607</v>
      </c>
      <c r="D265">
        <v>-54.718570167271061</v>
      </c>
    </row>
    <row r="266" spans="1:4" x14ac:dyDescent="0.3">
      <c r="A266">
        <v>1506906</v>
      </c>
      <c r="B266" t="s">
        <v>1298</v>
      </c>
      <c r="C266">
        <v>-0.92871953578320787</v>
      </c>
      <c r="D266">
        <v>-47.400924744867972</v>
      </c>
    </row>
    <row r="267" spans="1:4" x14ac:dyDescent="0.3">
      <c r="A267">
        <v>1507003</v>
      </c>
      <c r="B267" t="s">
        <v>1299</v>
      </c>
      <c r="C267">
        <v>-1.1516925</v>
      </c>
      <c r="D267">
        <v>-48.132433074845736</v>
      </c>
    </row>
    <row r="268" spans="1:4" x14ac:dyDescent="0.3">
      <c r="A268">
        <v>1507102</v>
      </c>
      <c r="B268" t="s">
        <v>1300</v>
      </c>
      <c r="C268">
        <v>-0.7466177599948608</v>
      </c>
      <c r="D268">
        <v>-48.025805498083095</v>
      </c>
    </row>
    <row r="269" spans="1:4" x14ac:dyDescent="0.3">
      <c r="A269">
        <v>1507151</v>
      </c>
      <c r="B269" t="s">
        <v>1301</v>
      </c>
      <c r="C269">
        <v>-5.5498410000000007</v>
      </c>
      <c r="D269">
        <v>-48.720373410784354</v>
      </c>
    </row>
    <row r="270" spans="1:4" x14ac:dyDescent="0.3">
      <c r="A270">
        <v>1507201</v>
      </c>
      <c r="B270" t="s">
        <v>1302</v>
      </c>
      <c r="C270">
        <v>-1.6758145000000004</v>
      </c>
      <c r="D270">
        <v>-47.774784569225652</v>
      </c>
    </row>
    <row r="271" spans="1:4" x14ac:dyDescent="0.3">
      <c r="A271">
        <v>1507300</v>
      </c>
      <c r="B271" t="s">
        <v>1303</v>
      </c>
      <c r="C271">
        <v>-6.6424832783407819</v>
      </c>
      <c r="D271">
        <v>-51.993782523964349</v>
      </c>
    </row>
    <row r="272" spans="1:4" x14ac:dyDescent="0.3">
      <c r="A272">
        <v>1507409</v>
      </c>
      <c r="B272" t="s">
        <v>1304</v>
      </c>
      <c r="C272">
        <v>-1.1701887846769752</v>
      </c>
      <c r="D272">
        <v>-47.790514610705095</v>
      </c>
    </row>
    <row r="273" spans="1:4" x14ac:dyDescent="0.3">
      <c r="A273">
        <v>1507458</v>
      </c>
      <c r="B273" t="s">
        <v>1305</v>
      </c>
      <c r="C273">
        <v>-6.3989579700000014</v>
      </c>
      <c r="D273">
        <v>-48.555712486192569</v>
      </c>
    </row>
    <row r="274" spans="1:4" x14ac:dyDescent="0.3">
      <c r="A274">
        <v>1507466</v>
      </c>
      <c r="B274" t="s">
        <v>1306</v>
      </c>
      <c r="C274">
        <v>-0.85100214526960727</v>
      </c>
      <c r="D274">
        <v>-47.920724165646178</v>
      </c>
    </row>
    <row r="275" spans="1:4" x14ac:dyDescent="0.3">
      <c r="A275">
        <v>1507474</v>
      </c>
      <c r="B275" t="s">
        <v>1307</v>
      </c>
      <c r="C275">
        <v>-0.76644253151537112</v>
      </c>
      <c r="D275">
        <v>-47.172674297920523</v>
      </c>
    </row>
    <row r="276" spans="1:4" x14ac:dyDescent="0.3">
      <c r="A276">
        <v>1507508</v>
      </c>
      <c r="B276" t="s">
        <v>1308</v>
      </c>
      <c r="C276">
        <v>-5.3590027244164053</v>
      </c>
      <c r="D276">
        <v>-48.788633402046123</v>
      </c>
    </row>
    <row r="277" spans="1:4" x14ac:dyDescent="0.3">
      <c r="A277">
        <v>1507607</v>
      </c>
      <c r="B277" t="s">
        <v>1309</v>
      </c>
      <c r="C277">
        <v>-1.6171359144904804</v>
      </c>
      <c r="D277">
        <v>-47.482408944489229</v>
      </c>
    </row>
    <row r="278" spans="1:4" x14ac:dyDescent="0.3">
      <c r="A278">
        <v>1507706</v>
      </c>
      <c r="B278" t="s">
        <v>1310</v>
      </c>
      <c r="C278">
        <v>-1.7188505000000003</v>
      </c>
      <c r="D278">
        <v>-49.532312174616138</v>
      </c>
    </row>
    <row r="279" spans="1:4" x14ac:dyDescent="0.3">
      <c r="A279">
        <v>1507755</v>
      </c>
      <c r="B279" t="s">
        <v>1311</v>
      </c>
      <c r="C279">
        <v>-6.942857112573841</v>
      </c>
      <c r="D279">
        <v>-49.703580711884349</v>
      </c>
    </row>
    <row r="280" spans="1:4" x14ac:dyDescent="0.3">
      <c r="A280">
        <v>1507805</v>
      </c>
      <c r="B280" t="s">
        <v>1312</v>
      </c>
      <c r="C280">
        <v>-2.5948504183235155</v>
      </c>
      <c r="D280">
        <v>-51.953056418017134</v>
      </c>
    </row>
    <row r="281" spans="1:4" x14ac:dyDescent="0.3">
      <c r="A281">
        <v>1507904</v>
      </c>
      <c r="B281" t="s">
        <v>1313</v>
      </c>
      <c r="C281">
        <v>-0.72592550000000011</v>
      </c>
      <c r="D281">
        <v>-48.516012662277333</v>
      </c>
    </row>
    <row r="282" spans="1:4" x14ac:dyDescent="0.3">
      <c r="A282">
        <v>1507953</v>
      </c>
      <c r="B282" t="s">
        <v>1314</v>
      </c>
      <c r="C282">
        <v>-2.9370795000000003</v>
      </c>
      <c r="D282">
        <v>-48.951281629575782</v>
      </c>
    </row>
    <row r="283" spans="1:4" x14ac:dyDescent="0.3">
      <c r="A283">
        <v>1507961</v>
      </c>
      <c r="B283" t="s">
        <v>1315</v>
      </c>
      <c r="C283">
        <v>-1.0348266636162902</v>
      </c>
      <c r="D283">
        <v>-47.907808348374353</v>
      </c>
    </row>
    <row r="284" spans="1:4" x14ac:dyDescent="0.3">
      <c r="A284">
        <v>1507979</v>
      </c>
      <c r="B284" t="s">
        <v>1316</v>
      </c>
      <c r="C284">
        <v>-2.1081144737390303</v>
      </c>
      <c r="D284">
        <v>-56.490904772243205</v>
      </c>
    </row>
    <row r="285" spans="1:4" x14ac:dyDescent="0.3">
      <c r="A285">
        <v>1508001</v>
      </c>
      <c r="B285" t="s">
        <v>1317</v>
      </c>
      <c r="C285">
        <v>-2.4193668552673255</v>
      </c>
      <c r="D285">
        <v>-48.146896586571998</v>
      </c>
    </row>
    <row r="286" spans="1:4" x14ac:dyDescent="0.3">
      <c r="A286">
        <v>1508035</v>
      </c>
      <c r="B286" t="s">
        <v>1318</v>
      </c>
      <c r="C286">
        <v>-1.0687840585683503</v>
      </c>
      <c r="D286">
        <v>-46.89947833711706</v>
      </c>
    </row>
    <row r="287" spans="1:4" x14ac:dyDescent="0.3">
      <c r="A287">
        <v>1508050</v>
      </c>
      <c r="B287" t="s">
        <v>1319</v>
      </c>
      <c r="C287">
        <v>-4.6998191496972703</v>
      </c>
      <c r="D287">
        <v>-55.99617003492731</v>
      </c>
    </row>
    <row r="288" spans="1:4" x14ac:dyDescent="0.3">
      <c r="A288">
        <v>1508084</v>
      </c>
      <c r="B288" t="s">
        <v>1320</v>
      </c>
      <c r="C288">
        <v>-6.7499720073822855</v>
      </c>
      <c r="D288">
        <v>-51.139539246635799</v>
      </c>
    </row>
    <row r="289" spans="1:4" x14ac:dyDescent="0.3">
      <c r="A289">
        <v>1508100</v>
      </c>
      <c r="B289" t="s">
        <v>1321</v>
      </c>
      <c r="C289">
        <v>-3.7668890843116358</v>
      </c>
      <c r="D289">
        <v>-49.667184367224785</v>
      </c>
    </row>
    <row r="290" spans="1:4" x14ac:dyDescent="0.3">
      <c r="A290">
        <v>1508126</v>
      </c>
      <c r="B290" t="s">
        <v>1322</v>
      </c>
      <c r="C290">
        <v>-3.7571930100000004</v>
      </c>
      <c r="D290">
        <v>-47.503144754999155</v>
      </c>
    </row>
    <row r="291" spans="1:4" x14ac:dyDescent="0.3">
      <c r="A291">
        <v>1508159</v>
      </c>
      <c r="B291" t="s">
        <v>1323</v>
      </c>
      <c r="C291">
        <v>-3.7065285000000006</v>
      </c>
      <c r="D291">
        <v>-53.737031050459393</v>
      </c>
    </row>
    <row r="292" spans="1:4" x14ac:dyDescent="0.3">
      <c r="A292">
        <v>1508209</v>
      </c>
      <c r="B292" t="s">
        <v>1324</v>
      </c>
      <c r="C292">
        <v>-0.85553257366776314</v>
      </c>
      <c r="D292">
        <v>-48.141498585206932</v>
      </c>
    </row>
    <row r="293" spans="1:4" x14ac:dyDescent="0.3">
      <c r="A293">
        <v>1508308</v>
      </c>
      <c r="B293" t="s">
        <v>1325</v>
      </c>
      <c r="C293">
        <v>-1.2032785266772701</v>
      </c>
      <c r="D293">
        <v>-46.138765216149565</v>
      </c>
    </row>
    <row r="294" spans="1:4" x14ac:dyDescent="0.3">
      <c r="A294">
        <v>1508357</v>
      </c>
      <c r="B294" t="s">
        <v>1326</v>
      </c>
      <c r="C294">
        <v>-2.8837657102287957</v>
      </c>
      <c r="D294">
        <v>-52.011260353815409</v>
      </c>
    </row>
    <row r="295" spans="1:4" x14ac:dyDescent="0.3">
      <c r="A295">
        <v>1508407</v>
      </c>
      <c r="B295" t="s">
        <v>1327</v>
      </c>
      <c r="C295">
        <v>-7.1015128271460366</v>
      </c>
      <c r="D295">
        <v>-49.942700584375245</v>
      </c>
    </row>
    <row r="296" spans="1:4" x14ac:dyDescent="0.3">
      <c r="A296">
        <v>1600055</v>
      </c>
      <c r="B296" t="s">
        <v>1328</v>
      </c>
      <c r="C296">
        <v>0.89784104097192363</v>
      </c>
      <c r="D296">
        <v>-52.003538435291752</v>
      </c>
    </row>
    <row r="297" spans="1:4" x14ac:dyDescent="0.3">
      <c r="A297">
        <v>1600105</v>
      </c>
      <c r="B297" t="s">
        <v>1329</v>
      </c>
      <c r="C297">
        <v>2.0539212446820501</v>
      </c>
      <c r="D297">
        <v>-50.793214470269866</v>
      </c>
    </row>
    <row r="298" spans="1:4" x14ac:dyDescent="0.3">
      <c r="A298">
        <v>1600154</v>
      </c>
      <c r="B298" t="s">
        <v>1330</v>
      </c>
      <c r="C298">
        <v>0.77688286056394418</v>
      </c>
      <c r="D298">
        <v>-51.946594273274336</v>
      </c>
    </row>
    <row r="299" spans="1:4" x14ac:dyDescent="0.3">
      <c r="A299">
        <v>1600204</v>
      </c>
      <c r="B299" t="s">
        <v>1331</v>
      </c>
      <c r="C299">
        <v>2.4965590445669754</v>
      </c>
      <c r="D299">
        <v>-50.944772734266472</v>
      </c>
    </row>
    <row r="300" spans="1:4" x14ac:dyDescent="0.3">
      <c r="A300">
        <v>1600212</v>
      </c>
      <c r="B300" t="s">
        <v>1332</v>
      </c>
      <c r="C300">
        <v>0.9710780554171502</v>
      </c>
      <c r="D300">
        <v>-50.801626029877639</v>
      </c>
    </row>
    <row r="301" spans="1:4" x14ac:dyDescent="0.3">
      <c r="A301">
        <v>1600238</v>
      </c>
      <c r="B301" t="s">
        <v>1333</v>
      </c>
      <c r="C301">
        <v>0.85397739314295618</v>
      </c>
      <c r="D301">
        <v>-51.18742904600461</v>
      </c>
    </row>
    <row r="302" spans="1:4" x14ac:dyDescent="0.3">
      <c r="A302">
        <v>1600253</v>
      </c>
      <c r="B302" t="s">
        <v>1334</v>
      </c>
      <c r="C302">
        <v>0.60065328830460862</v>
      </c>
      <c r="D302">
        <v>-50.700179437418278</v>
      </c>
    </row>
    <row r="303" spans="1:4" x14ac:dyDescent="0.3">
      <c r="A303">
        <v>1600279</v>
      </c>
      <c r="B303" t="s">
        <v>1335</v>
      </c>
      <c r="C303">
        <v>-0.85566450000000016</v>
      </c>
      <c r="D303">
        <v>-52.539020736939257</v>
      </c>
    </row>
    <row r="304" spans="1:4" x14ac:dyDescent="0.3">
      <c r="A304">
        <v>1600303</v>
      </c>
      <c r="B304" t="s">
        <v>1336</v>
      </c>
      <c r="C304">
        <v>3.8951010000000008E-2</v>
      </c>
      <c r="D304">
        <v>-51.057405457035955</v>
      </c>
    </row>
    <row r="305" spans="1:4" x14ac:dyDescent="0.3">
      <c r="A305">
        <v>1600402</v>
      </c>
      <c r="B305" t="s">
        <v>1337</v>
      </c>
      <c r="C305">
        <v>-0.12439632882110103</v>
      </c>
      <c r="D305">
        <v>-51.286076856101253</v>
      </c>
    </row>
    <row r="306" spans="1:4" x14ac:dyDescent="0.3">
      <c r="A306">
        <v>1600501</v>
      </c>
      <c r="B306" t="s">
        <v>1338</v>
      </c>
      <c r="C306">
        <v>3.8511307325592905</v>
      </c>
      <c r="D306">
        <v>-51.83055255527308</v>
      </c>
    </row>
    <row r="307" spans="1:4" x14ac:dyDescent="0.3">
      <c r="A307">
        <v>1600535</v>
      </c>
      <c r="B307" t="s">
        <v>1339</v>
      </c>
      <c r="C307">
        <v>0.71255470182432312</v>
      </c>
      <c r="D307">
        <v>-51.414448822991524</v>
      </c>
    </row>
    <row r="308" spans="1:4" x14ac:dyDescent="0.3">
      <c r="A308">
        <v>1600550</v>
      </c>
      <c r="B308" t="s">
        <v>1340</v>
      </c>
      <c r="C308">
        <v>1.7425084870783354</v>
      </c>
      <c r="D308">
        <v>-50.784253721288273</v>
      </c>
    </row>
    <row r="309" spans="1:4" x14ac:dyDescent="0.3">
      <c r="A309">
        <v>1600600</v>
      </c>
      <c r="B309" t="s">
        <v>1341</v>
      </c>
      <c r="C309">
        <v>-3.8373479095660253E-2</v>
      </c>
      <c r="D309">
        <v>-51.172846465068709</v>
      </c>
    </row>
    <row r="310" spans="1:4" x14ac:dyDescent="0.3">
      <c r="A310">
        <v>1600709</v>
      </c>
      <c r="B310" t="s">
        <v>1342</v>
      </c>
      <c r="C310">
        <v>1.5098482403110702</v>
      </c>
      <c r="D310">
        <v>-50.91278615231424</v>
      </c>
    </row>
    <row r="311" spans="1:4" x14ac:dyDescent="0.3">
      <c r="A311">
        <v>1600808</v>
      </c>
      <c r="B311" t="s">
        <v>1343</v>
      </c>
      <c r="C311">
        <v>-0.91897708854279858</v>
      </c>
      <c r="D311">
        <v>-52.419614779571845</v>
      </c>
    </row>
    <row r="312" spans="1:4" x14ac:dyDescent="0.3">
      <c r="A312">
        <v>1700251</v>
      </c>
      <c r="B312" t="s">
        <v>1344</v>
      </c>
      <c r="C312">
        <v>-9.6217907119983561</v>
      </c>
      <c r="D312">
        <v>-49.162437555479713</v>
      </c>
    </row>
    <row r="313" spans="1:4" x14ac:dyDescent="0.3">
      <c r="A313">
        <v>1700301</v>
      </c>
      <c r="B313" t="s">
        <v>1345</v>
      </c>
      <c r="C313">
        <v>-6.547170820618101</v>
      </c>
      <c r="D313">
        <v>-47.470456587944994</v>
      </c>
    </row>
    <row r="314" spans="1:4" x14ac:dyDescent="0.3">
      <c r="A314">
        <v>1700350</v>
      </c>
      <c r="B314" t="s">
        <v>1346</v>
      </c>
      <c r="C314">
        <v>-11.303743046508851</v>
      </c>
      <c r="D314">
        <v>-48.941240022140882</v>
      </c>
    </row>
    <row r="315" spans="1:4" x14ac:dyDescent="0.3">
      <c r="A315">
        <v>1700400</v>
      </c>
      <c r="B315" t="s">
        <v>942</v>
      </c>
      <c r="C315">
        <v>-11.574523469447804</v>
      </c>
      <c r="D315">
        <v>-47.174171684235809</v>
      </c>
    </row>
    <row r="316" spans="1:4" x14ac:dyDescent="0.3">
      <c r="A316">
        <v>1700707</v>
      </c>
      <c r="B316" t="s">
        <v>1347</v>
      </c>
      <c r="C316">
        <v>-12.478815320822651</v>
      </c>
      <c r="D316">
        <v>-49.126811406729992</v>
      </c>
    </row>
    <row r="317" spans="1:4" x14ac:dyDescent="0.3">
      <c r="A317">
        <v>1701002</v>
      </c>
      <c r="B317" t="s">
        <v>1348</v>
      </c>
      <c r="C317">
        <v>-6.3628181541000801</v>
      </c>
      <c r="D317">
        <v>-48.079764606194821</v>
      </c>
    </row>
    <row r="318" spans="1:4" x14ac:dyDescent="0.3">
      <c r="A318">
        <v>1701051</v>
      </c>
      <c r="B318" t="s">
        <v>1349</v>
      </c>
      <c r="C318">
        <v>-6.3877527497247959</v>
      </c>
      <c r="D318">
        <v>-47.862077839173523</v>
      </c>
    </row>
    <row r="319" spans="1:4" x14ac:dyDescent="0.3">
      <c r="A319">
        <v>1701101</v>
      </c>
      <c r="B319" t="s">
        <v>1350</v>
      </c>
      <c r="C319">
        <v>-9.9558777145604971</v>
      </c>
      <c r="D319">
        <v>-47.976670011351111</v>
      </c>
    </row>
    <row r="320" spans="1:4" x14ac:dyDescent="0.3">
      <c r="A320">
        <v>1701309</v>
      </c>
      <c r="B320" t="s">
        <v>1351</v>
      </c>
      <c r="C320">
        <v>-7.1643492714436965</v>
      </c>
      <c r="D320">
        <v>-48.523430192291706</v>
      </c>
    </row>
    <row r="321" spans="1:4" x14ac:dyDescent="0.3">
      <c r="A321">
        <v>1701903</v>
      </c>
      <c r="B321" t="s">
        <v>1352</v>
      </c>
      <c r="C321">
        <v>-8.8018025441111458</v>
      </c>
      <c r="D321">
        <v>-49.561812639607346</v>
      </c>
    </row>
    <row r="322" spans="1:4" x14ac:dyDescent="0.3">
      <c r="A322">
        <v>1702000</v>
      </c>
      <c r="B322" t="s">
        <v>1353</v>
      </c>
      <c r="C322">
        <v>-12.9255837118616</v>
      </c>
      <c r="D322">
        <v>-49.828612443278203</v>
      </c>
    </row>
    <row r="323" spans="1:4" x14ac:dyDescent="0.3">
      <c r="A323">
        <v>1702109</v>
      </c>
      <c r="B323" t="s">
        <v>1354</v>
      </c>
      <c r="C323">
        <v>-7.191328939654956</v>
      </c>
      <c r="D323">
        <v>-48.208705251855818</v>
      </c>
    </row>
    <row r="324" spans="1:4" x14ac:dyDescent="0.3">
      <c r="A324">
        <v>1702158</v>
      </c>
      <c r="B324" t="s">
        <v>1355</v>
      </c>
      <c r="C324">
        <v>-6.582249420029191</v>
      </c>
      <c r="D324">
        <v>-48.643749546943056</v>
      </c>
    </row>
    <row r="325" spans="1:4" x14ac:dyDescent="0.3">
      <c r="A325">
        <v>1702208</v>
      </c>
      <c r="B325" t="s">
        <v>935</v>
      </c>
      <c r="C325">
        <v>-5.6505864729999509</v>
      </c>
      <c r="D325">
        <v>-48.123507343029381</v>
      </c>
    </row>
    <row r="326" spans="1:4" x14ac:dyDescent="0.3">
      <c r="A326">
        <v>1702307</v>
      </c>
      <c r="B326" t="s">
        <v>1356</v>
      </c>
      <c r="C326">
        <v>-7.6525697354190321</v>
      </c>
      <c r="D326">
        <v>-49.075637385272117</v>
      </c>
    </row>
    <row r="327" spans="1:4" x14ac:dyDescent="0.3">
      <c r="A327">
        <v>1702406</v>
      </c>
      <c r="B327" t="s">
        <v>803</v>
      </c>
      <c r="C327">
        <v>-12.934419859259252</v>
      </c>
      <c r="D327">
        <v>-46.946107058553359</v>
      </c>
    </row>
    <row r="328" spans="1:4" x14ac:dyDescent="0.3">
      <c r="A328">
        <v>1702554</v>
      </c>
      <c r="B328" t="s">
        <v>1357</v>
      </c>
      <c r="C328">
        <v>-5.4654142958965206</v>
      </c>
      <c r="D328">
        <v>-47.880956791004671</v>
      </c>
    </row>
    <row r="329" spans="1:4" x14ac:dyDescent="0.3">
      <c r="A329">
        <v>1702703</v>
      </c>
      <c r="B329" t="s">
        <v>1358</v>
      </c>
      <c r="C329">
        <v>-12.708489861061452</v>
      </c>
      <c r="D329">
        <v>-46.407082980860686</v>
      </c>
    </row>
    <row r="330" spans="1:4" x14ac:dyDescent="0.3">
      <c r="A330">
        <v>1702901</v>
      </c>
      <c r="B330" t="s">
        <v>1359</v>
      </c>
      <c r="C330">
        <v>-5.6243090659274459</v>
      </c>
      <c r="D330">
        <v>-47.774156032522136</v>
      </c>
    </row>
    <row r="331" spans="1:4" x14ac:dyDescent="0.3">
      <c r="A331">
        <v>1703008</v>
      </c>
      <c r="B331" t="s">
        <v>1360</v>
      </c>
      <c r="C331">
        <v>-7.2018645320614771</v>
      </c>
      <c r="D331">
        <v>-47.758816127032354</v>
      </c>
    </row>
    <row r="332" spans="1:4" x14ac:dyDescent="0.3">
      <c r="A332">
        <v>1703057</v>
      </c>
      <c r="B332" t="s">
        <v>1361</v>
      </c>
      <c r="C332">
        <v>-7.7648591412533259</v>
      </c>
      <c r="D332">
        <v>-48.578380604864392</v>
      </c>
    </row>
    <row r="333" spans="1:4" x14ac:dyDescent="0.3">
      <c r="A333">
        <v>1703073</v>
      </c>
      <c r="B333" t="s">
        <v>1362</v>
      </c>
      <c r="C333">
        <v>-7.691766598656872</v>
      </c>
      <c r="D333">
        <v>-47.687134969224445</v>
      </c>
    </row>
    <row r="334" spans="1:4" x14ac:dyDescent="0.3">
      <c r="A334">
        <v>1703107</v>
      </c>
      <c r="B334" t="s">
        <v>1363</v>
      </c>
      <c r="C334">
        <v>-9.831653364533425</v>
      </c>
      <c r="D334">
        <v>-48.731460590721788</v>
      </c>
    </row>
    <row r="335" spans="1:4" x14ac:dyDescent="0.3">
      <c r="A335">
        <v>1703206</v>
      </c>
      <c r="B335" t="s">
        <v>1364</v>
      </c>
      <c r="C335">
        <v>-7.8685124833128102</v>
      </c>
      <c r="D335">
        <v>-48.899054346727617</v>
      </c>
    </row>
    <row r="336" spans="1:4" x14ac:dyDescent="0.3">
      <c r="A336">
        <v>1703305</v>
      </c>
      <c r="B336" t="s">
        <v>1206</v>
      </c>
      <c r="C336">
        <v>-8.9633480128552083</v>
      </c>
      <c r="D336">
        <v>-48.166380493540522</v>
      </c>
    </row>
    <row r="337" spans="1:4" x14ac:dyDescent="0.3">
      <c r="A337">
        <v>1703602</v>
      </c>
      <c r="B337" t="s">
        <v>1365</v>
      </c>
      <c r="C337">
        <v>-8.3848893510779909</v>
      </c>
      <c r="D337">
        <v>-48.485374419123971</v>
      </c>
    </row>
    <row r="338" spans="1:4" x14ac:dyDescent="0.3">
      <c r="A338">
        <v>1703701</v>
      </c>
      <c r="B338" t="s">
        <v>1366</v>
      </c>
      <c r="C338">
        <v>-11.0108050561865</v>
      </c>
      <c r="D338">
        <v>-48.558660228150707</v>
      </c>
    </row>
    <row r="339" spans="1:4" x14ac:dyDescent="0.3">
      <c r="A339">
        <v>1703800</v>
      </c>
      <c r="B339" t="s">
        <v>1367</v>
      </c>
      <c r="C339">
        <v>-5.3135388563891652</v>
      </c>
      <c r="D339">
        <v>-48.223250128074994</v>
      </c>
    </row>
    <row r="340" spans="1:4" x14ac:dyDescent="0.3">
      <c r="A340">
        <v>1703826</v>
      </c>
      <c r="B340" t="s">
        <v>1001</v>
      </c>
      <c r="C340">
        <v>-6.1132416465046608</v>
      </c>
      <c r="D340">
        <v>-47.914197778558957</v>
      </c>
    </row>
    <row r="341" spans="1:4" x14ac:dyDescent="0.3">
      <c r="A341">
        <v>1703842</v>
      </c>
      <c r="B341" t="s">
        <v>1368</v>
      </c>
      <c r="C341">
        <v>-7.9716813941373115</v>
      </c>
      <c r="D341">
        <v>-46.801974346706743</v>
      </c>
    </row>
    <row r="342" spans="1:4" x14ac:dyDescent="0.3">
      <c r="A342">
        <v>1703867</v>
      </c>
      <c r="B342" t="s">
        <v>1369</v>
      </c>
      <c r="C342">
        <v>-11.888997463874404</v>
      </c>
      <c r="D342">
        <v>-49.171040728988878</v>
      </c>
    </row>
    <row r="343" spans="1:4" x14ac:dyDescent="0.3">
      <c r="A343">
        <v>1703883</v>
      </c>
      <c r="B343" t="s">
        <v>1370</v>
      </c>
      <c r="C343">
        <v>-7.0314787778610564</v>
      </c>
      <c r="D343">
        <v>-48.395959930627434</v>
      </c>
    </row>
    <row r="344" spans="1:4" x14ac:dyDescent="0.3">
      <c r="A344">
        <v>1703891</v>
      </c>
      <c r="B344" t="s">
        <v>1371</v>
      </c>
      <c r="C344">
        <v>-5.3226613548580461</v>
      </c>
      <c r="D344">
        <v>-48.030633426569224</v>
      </c>
    </row>
    <row r="345" spans="1:4" x14ac:dyDescent="0.3">
      <c r="A345">
        <v>1703909</v>
      </c>
      <c r="B345" t="s">
        <v>1372</v>
      </c>
      <c r="C345">
        <v>-9.2674062189034796</v>
      </c>
      <c r="D345">
        <v>-49.948692267778718</v>
      </c>
    </row>
    <row r="346" spans="1:4" x14ac:dyDescent="0.3">
      <c r="A346">
        <v>1704105</v>
      </c>
      <c r="B346" t="s">
        <v>1373</v>
      </c>
      <c r="C346">
        <v>-8.9584636390938019</v>
      </c>
      <c r="D346">
        <v>-47.338398514587297</v>
      </c>
    </row>
    <row r="347" spans="1:4" x14ac:dyDescent="0.3">
      <c r="A347">
        <v>1704600</v>
      </c>
      <c r="B347" t="s">
        <v>1374</v>
      </c>
      <c r="C347">
        <v>-10.141988583333351</v>
      </c>
      <c r="D347">
        <v>-49.183107858031448</v>
      </c>
    </row>
    <row r="348" spans="1:4" x14ac:dyDescent="0.3">
      <c r="A348">
        <v>1705102</v>
      </c>
      <c r="B348" t="s">
        <v>1375</v>
      </c>
      <c r="C348">
        <v>-11.624267831362102</v>
      </c>
      <c r="D348">
        <v>-47.753904891856472</v>
      </c>
    </row>
    <row r="349" spans="1:4" x14ac:dyDescent="0.3">
      <c r="A349">
        <v>1705508</v>
      </c>
      <c r="B349" t="s">
        <v>1376</v>
      </c>
      <c r="C349">
        <v>-8.0546246754999515</v>
      </c>
      <c r="D349">
        <v>-48.481594543748926</v>
      </c>
    </row>
    <row r="350" spans="1:4" x14ac:dyDescent="0.3">
      <c r="A350">
        <v>1705557</v>
      </c>
      <c r="B350" t="s">
        <v>1377</v>
      </c>
      <c r="C350">
        <v>-12.818607672031101</v>
      </c>
      <c r="D350">
        <v>-46.552072340266051</v>
      </c>
    </row>
    <row r="351" spans="1:4" x14ac:dyDescent="0.3">
      <c r="A351">
        <v>1705607</v>
      </c>
      <c r="B351" t="s">
        <v>1378</v>
      </c>
      <c r="C351">
        <v>-12.217277766965402</v>
      </c>
      <c r="D351">
        <v>-47.292868810806986</v>
      </c>
    </row>
    <row r="352" spans="1:4" x14ac:dyDescent="0.3">
      <c r="A352">
        <v>1706001</v>
      </c>
      <c r="B352" t="s">
        <v>1379</v>
      </c>
      <c r="C352">
        <v>-8.3551183696352371</v>
      </c>
      <c r="D352">
        <v>-49.176571570852992</v>
      </c>
    </row>
    <row r="353" spans="1:4" x14ac:dyDescent="0.3">
      <c r="A353">
        <v>1706100</v>
      </c>
      <c r="B353" t="s">
        <v>1380</v>
      </c>
      <c r="C353">
        <v>-10.590724637117651</v>
      </c>
      <c r="D353">
        <v>-49.186300291261162</v>
      </c>
    </row>
    <row r="354" spans="1:4" x14ac:dyDescent="0.3">
      <c r="A354">
        <v>1706258</v>
      </c>
      <c r="B354" t="s">
        <v>1381</v>
      </c>
      <c r="C354">
        <v>-11.10427429360425</v>
      </c>
      <c r="D354">
        <v>-48.915513825647714</v>
      </c>
    </row>
    <row r="355" spans="1:4" x14ac:dyDescent="0.3">
      <c r="A355">
        <v>1706506</v>
      </c>
      <c r="B355" t="s">
        <v>1382</v>
      </c>
      <c r="C355">
        <v>-6.7123510014817596</v>
      </c>
      <c r="D355">
        <v>-47.752161110279935</v>
      </c>
    </row>
    <row r="356" spans="1:4" x14ac:dyDescent="0.3">
      <c r="A356">
        <v>1707009</v>
      </c>
      <c r="B356" t="s">
        <v>1383</v>
      </c>
      <c r="C356">
        <v>-11.625231878065001</v>
      </c>
      <c r="D356">
        <v>-46.820409066943476</v>
      </c>
    </row>
    <row r="357" spans="1:4" x14ac:dyDescent="0.3">
      <c r="A357">
        <v>1707108</v>
      </c>
      <c r="B357" t="s">
        <v>1384</v>
      </c>
      <c r="C357">
        <v>-9.7953011402294603</v>
      </c>
      <c r="D357">
        <v>-49.205413187350281</v>
      </c>
    </row>
    <row r="358" spans="1:4" x14ac:dyDescent="0.3">
      <c r="A358">
        <v>1707207</v>
      </c>
      <c r="B358" t="s">
        <v>1385</v>
      </c>
      <c r="C358">
        <v>-9.2612967097971115</v>
      </c>
      <c r="D358">
        <v>-49.067338644272333</v>
      </c>
    </row>
    <row r="359" spans="1:4" x14ac:dyDescent="0.3">
      <c r="A359">
        <v>1707306</v>
      </c>
      <c r="B359" t="s">
        <v>1386</v>
      </c>
      <c r="C359">
        <v>-11.341285416779815</v>
      </c>
      <c r="D359">
        <v>-49.265875916162834</v>
      </c>
    </row>
    <row r="360" spans="1:4" x14ac:dyDescent="0.3">
      <c r="A360">
        <v>1707405</v>
      </c>
      <c r="B360" t="s">
        <v>1387</v>
      </c>
      <c r="C360">
        <v>-5.3666080594045109</v>
      </c>
      <c r="D360">
        <v>-48.54414760041238</v>
      </c>
    </row>
    <row r="361" spans="1:4" x14ac:dyDescent="0.3">
      <c r="A361">
        <v>1707553</v>
      </c>
      <c r="B361" t="s">
        <v>1388</v>
      </c>
      <c r="C361">
        <v>-10.75250872808475</v>
      </c>
      <c r="D361">
        <v>-48.898982658680843</v>
      </c>
    </row>
    <row r="362" spans="1:4" x14ac:dyDescent="0.3">
      <c r="A362">
        <v>1707652</v>
      </c>
      <c r="B362" t="s">
        <v>1389</v>
      </c>
      <c r="C362">
        <v>-12.136779983222503</v>
      </c>
      <c r="D362">
        <v>-49.173846730743357</v>
      </c>
    </row>
    <row r="363" spans="1:4" x14ac:dyDescent="0.3">
      <c r="A363">
        <v>1707702</v>
      </c>
      <c r="B363" t="s">
        <v>1390</v>
      </c>
      <c r="C363">
        <v>-7.3376119059307978</v>
      </c>
      <c r="D363">
        <v>-47.484964141531954</v>
      </c>
    </row>
    <row r="364" spans="1:4" x14ac:dyDescent="0.3">
      <c r="A364">
        <v>1708205</v>
      </c>
      <c r="B364" t="s">
        <v>923</v>
      </c>
      <c r="C364">
        <v>-11.805141968649453</v>
      </c>
      <c r="D364">
        <v>-49.52686036291248</v>
      </c>
    </row>
    <row r="365" spans="1:4" x14ac:dyDescent="0.3">
      <c r="A365">
        <v>1708254</v>
      </c>
      <c r="B365" t="s">
        <v>1391</v>
      </c>
      <c r="C365">
        <v>-9.0589653011498203</v>
      </c>
      <c r="D365">
        <v>-48.517426421048775</v>
      </c>
    </row>
    <row r="366" spans="1:4" x14ac:dyDescent="0.3">
      <c r="A366">
        <v>1708304</v>
      </c>
      <c r="B366" t="s">
        <v>1392</v>
      </c>
      <c r="C366">
        <v>-8.7705208048293866</v>
      </c>
      <c r="D366">
        <v>-48.936890192361133</v>
      </c>
    </row>
    <row r="367" spans="1:4" x14ac:dyDescent="0.3">
      <c r="A367">
        <v>1709005</v>
      </c>
      <c r="B367" t="s">
        <v>1393</v>
      </c>
      <c r="C367">
        <v>-7.7091723901957003</v>
      </c>
      <c r="D367">
        <v>-47.315435489158261</v>
      </c>
    </row>
    <row r="368" spans="1:4" x14ac:dyDescent="0.3">
      <c r="A368">
        <v>1709302</v>
      </c>
      <c r="B368" t="s">
        <v>1394</v>
      </c>
      <c r="C368">
        <v>-8.8361656575044254</v>
      </c>
      <c r="D368">
        <v>-48.508640606470181</v>
      </c>
    </row>
    <row r="369" spans="1:4" x14ac:dyDescent="0.3">
      <c r="A369">
        <v>1709500</v>
      </c>
      <c r="B369" t="s">
        <v>1395</v>
      </c>
      <c r="C369">
        <v>-11.72977232285996</v>
      </c>
      <c r="D369">
        <v>-49.071477468930304</v>
      </c>
    </row>
    <row r="370" spans="1:4" x14ac:dyDescent="0.3">
      <c r="A370">
        <v>1709807</v>
      </c>
      <c r="B370" t="s">
        <v>1396</v>
      </c>
      <c r="C370">
        <v>-11.246288621591702</v>
      </c>
      <c r="D370">
        <v>-48.451926228894685</v>
      </c>
    </row>
    <row r="371" spans="1:4" x14ac:dyDescent="0.3">
      <c r="A371">
        <v>1710508</v>
      </c>
      <c r="B371" t="s">
        <v>1397</v>
      </c>
      <c r="C371">
        <v>-8.3909805523185614</v>
      </c>
      <c r="D371">
        <v>-47.768112402677964</v>
      </c>
    </row>
    <row r="372" spans="1:4" x14ac:dyDescent="0.3">
      <c r="A372">
        <v>1710706</v>
      </c>
      <c r="B372" t="s">
        <v>1398</v>
      </c>
      <c r="C372">
        <v>-5.7753850884022206</v>
      </c>
      <c r="D372">
        <v>-47.479935948983332</v>
      </c>
    </row>
    <row r="373" spans="1:4" x14ac:dyDescent="0.3">
      <c r="A373">
        <v>1710904</v>
      </c>
      <c r="B373" t="s">
        <v>1399</v>
      </c>
      <c r="C373">
        <v>-8.3843295934429651</v>
      </c>
      <c r="D373">
        <v>-48.111199609469111</v>
      </c>
    </row>
    <row r="374" spans="1:4" x14ac:dyDescent="0.3">
      <c r="A374">
        <v>1711100</v>
      </c>
      <c r="B374" t="s">
        <v>1400</v>
      </c>
      <c r="C374">
        <v>-8.5688286115605354</v>
      </c>
      <c r="D374">
        <v>-48.693263703224829</v>
      </c>
    </row>
    <row r="375" spans="1:4" x14ac:dyDescent="0.3">
      <c r="A375">
        <v>1711506</v>
      </c>
      <c r="B375" t="s">
        <v>937</v>
      </c>
      <c r="C375">
        <v>-12.652926369270553</v>
      </c>
      <c r="D375">
        <v>-48.594608292724836</v>
      </c>
    </row>
    <row r="376" spans="1:4" x14ac:dyDescent="0.3">
      <c r="A376">
        <v>1711803</v>
      </c>
      <c r="B376" t="s">
        <v>1401</v>
      </c>
      <c r="C376">
        <v>-8.1174239676067756</v>
      </c>
      <c r="D376">
        <v>-49.098643185427207</v>
      </c>
    </row>
    <row r="377" spans="1:4" x14ac:dyDescent="0.3">
      <c r="A377">
        <v>1711902</v>
      </c>
      <c r="B377" t="s">
        <v>1402</v>
      </c>
      <c r="C377">
        <v>-10.788695557589749</v>
      </c>
      <c r="D377">
        <v>-49.620085339145987</v>
      </c>
    </row>
    <row r="378" spans="1:4" x14ac:dyDescent="0.3">
      <c r="A378">
        <v>1711951</v>
      </c>
      <c r="B378" t="s">
        <v>1403</v>
      </c>
      <c r="C378">
        <v>-10.296886696999751</v>
      </c>
      <c r="D378">
        <v>-47.561446630273799</v>
      </c>
    </row>
    <row r="379" spans="1:4" x14ac:dyDescent="0.3">
      <c r="A379">
        <v>1712009</v>
      </c>
      <c r="B379" t="s">
        <v>1404</v>
      </c>
      <c r="C379">
        <v>-9.7446824357355926</v>
      </c>
      <c r="D379">
        <v>-48.358503950690121</v>
      </c>
    </row>
    <row r="380" spans="1:4" x14ac:dyDescent="0.3">
      <c r="A380">
        <v>1712157</v>
      </c>
      <c r="B380" t="s">
        <v>1405</v>
      </c>
      <c r="C380">
        <v>-12.791658787651752</v>
      </c>
      <c r="D380">
        <v>-46.506675715743548</v>
      </c>
    </row>
    <row r="381" spans="1:4" x14ac:dyDescent="0.3">
      <c r="A381">
        <v>1712405</v>
      </c>
      <c r="B381" t="s">
        <v>925</v>
      </c>
      <c r="C381">
        <v>-9.5945702878096721</v>
      </c>
      <c r="D381">
        <v>-46.675165455846134</v>
      </c>
    </row>
    <row r="382" spans="1:4" x14ac:dyDescent="0.3">
      <c r="A382">
        <v>1712454</v>
      </c>
      <c r="B382" t="s">
        <v>1406</v>
      </c>
      <c r="C382">
        <v>-6.1939896602357658</v>
      </c>
      <c r="D382">
        <v>-47.856828041414033</v>
      </c>
    </row>
    <row r="383" spans="1:4" x14ac:dyDescent="0.3">
      <c r="A383">
        <v>1712504</v>
      </c>
      <c r="B383" t="s">
        <v>1407</v>
      </c>
      <c r="C383">
        <v>-9.7988803593505818</v>
      </c>
      <c r="D383">
        <v>-49.651033994437775</v>
      </c>
    </row>
    <row r="384" spans="1:4" x14ac:dyDescent="0.3">
      <c r="A384">
        <v>1712702</v>
      </c>
      <c r="B384" t="s">
        <v>1408</v>
      </c>
      <c r="C384">
        <v>-10.544428846077752</v>
      </c>
      <c r="D384">
        <v>-46.412465743091978</v>
      </c>
    </row>
    <row r="385" spans="1:4" x14ac:dyDescent="0.3">
      <c r="A385">
        <v>1712801</v>
      </c>
      <c r="B385" t="s">
        <v>1409</v>
      </c>
      <c r="C385">
        <v>-5.9525664212104461</v>
      </c>
      <c r="D385">
        <v>-47.504879960175067</v>
      </c>
    </row>
    <row r="386" spans="1:4" x14ac:dyDescent="0.3">
      <c r="A386">
        <v>1713205</v>
      </c>
      <c r="B386" t="s">
        <v>1410</v>
      </c>
      <c r="C386">
        <v>-9.568346077646515</v>
      </c>
      <c r="D386">
        <v>-48.387991311519301</v>
      </c>
    </row>
    <row r="387" spans="1:4" x14ac:dyDescent="0.3">
      <c r="A387">
        <v>1713304</v>
      </c>
      <c r="B387" t="s">
        <v>1411</v>
      </c>
      <c r="C387">
        <v>-9.5174047310931211</v>
      </c>
      <c r="D387">
        <v>-48.592631936913925</v>
      </c>
    </row>
    <row r="388" spans="1:4" x14ac:dyDescent="0.3">
      <c r="A388">
        <v>1713601</v>
      </c>
      <c r="B388" t="s">
        <v>1412</v>
      </c>
      <c r="C388">
        <v>-10.763542194623751</v>
      </c>
      <c r="D388">
        <v>-48.110420029911239</v>
      </c>
    </row>
    <row r="389" spans="1:4" x14ac:dyDescent="0.3">
      <c r="A389">
        <v>1713700</v>
      </c>
      <c r="B389" t="s">
        <v>1413</v>
      </c>
      <c r="C389">
        <v>-10.005591431794022</v>
      </c>
      <c r="D389">
        <v>-48.990890603393531</v>
      </c>
    </row>
    <row r="390" spans="1:4" x14ac:dyDescent="0.3">
      <c r="A390">
        <v>1713809</v>
      </c>
      <c r="B390" t="s">
        <v>1414</v>
      </c>
      <c r="C390">
        <v>-6.6118623345617067</v>
      </c>
      <c r="D390">
        <v>-47.558683526282529</v>
      </c>
    </row>
    <row r="391" spans="1:4" x14ac:dyDescent="0.3">
      <c r="A391">
        <v>1713957</v>
      </c>
      <c r="B391" t="s">
        <v>1415</v>
      </c>
      <c r="C391">
        <v>-7.1385192851603314</v>
      </c>
      <c r="D391">
        <v>-48.606745277006731</v>
      </c>
    </row>
    <row r="392" spans="1:4" x14ac:dyDescent="0.3">
      <c r="A392">
        <v>1714203</v>
      </c>
      <c r="B392" t="s">
        <v>1416</v>
      </c>
      <c r="C392">
        <v>-11.705357382504202</v>
      </c>
      <c r="D392">
        <v>-47.727257533823163</v>
      </c>
    </row>
    <row r="393" spans="1:4" x14ac:dyDescent="0.3">
      <c r="A393">
        <v>1714302</v>
      </c>
      <c r="B393" t="s">
        <v>1417</v>
      </c>
      <c r="C393">
        <v>-6.3725579692856114</v>
      </c>
      <c r="D393">
        <v>-47.666977182526281</v>
      </c>
    </row>
    <row r="394" spans="1:4" x14ac:dyDescent="0.3">
      <c r="A394">
        <v>1714880</v>
      </c>
      <c r="B394" t="s">
        <v>1418</v>
      </c>
      <c r="C394">
        <v>-7.6333149106924969</v>
      </c>
      <c r="D394">
        <v>-48.424806790016405</v>
      </c>
    </row>
    <row r="395" spans="1:4" x14ac:dyDescent="0.3">
      <c r="A395">
        <v>1715002</v>
      </c>
      <c r="B395" t="s">
        <v>1419</v>
      </c>
      <c r="C395">
        <v>-10.566871139332301</v>
      </c>
      <c r="D395">
        <v>-48.906180724502264</v>
      </c>
    </row>
    <row r="396" spans="1:4" x14ac:dyDescent="0.3">
      <c r="A396">
        <v>1715101</v>
      </c>
      <c r="B396" t="s">
        <v>1420</v>
      </c>
      <c r="C396">
        <v>-9.9684864657016909</v>
      </c>
      <c r="D396">
        <v>-47.6681483922167</v>
      </c>
    </row>
    <row r="397" spans="1:4" x14ac:dyDescent="0.3">
      <c r="A397">
        <v>1715150</v>
      </c>
      <c r="B397" t="s">
        <v>1421</v>
      </c>
      <c r="C397">
        <v>-12.909938674408101</v>
      </c>
      <c r="D397">
        <v>-46.577297353667539</v>
      </c>
    </row>
    <row r="398" spans="1:4" x14ac:dyDescent="0.3">
      <c r="A398">
        <v>1715259</v>
      </c>
      <c r="B398" t="s">
        <v>1422</v>
      </c>
      <c r="C398">
        <v>-11.815875050148954</v>
      </c>
      <c r="D398">
        <v>-46.630787295889874</v>
      </c>
    </row>
    <row r="399" spans="1:4" x14ac:dyDescent="0.3">
      <c r="A399">
        <v>1715507</v>
      </c>
      <c r="B399" t="s">
        <v>1423</v>
      </c>
      <c r="C399">
        <v>-10.708362709061801</v>
      </c>
      <c r="D399">
        <v>-48.90740156890319</v>
      </c>
    </row>
    <row r="400" spans="1:4" x14ac:dyDescent="0.3">
      <c r="A400">
        <v>1715705</v>
      </c>
      <c r="B400" t="s">
        <v>1424</v>
      </c>
      <c r="C400">
        <v>-7.8575613761450462</v>
      </c>
      <c r="D400">
        <v>-47.934249708984197</v>
      </c>
    </row>
    <row r="401" spans="1:4" x14ac:dyDescent="0.3">
      <c r="A401">
        <v>1715754</v>
      </c>
      <c r="B401" t="s">
        <v>1425</v>
      </c>
      <c r="C401">
        <v>-13.039888433669203</v>
      </c>
      <c r="D401">
        <v>-48.413413955231569</v>
      </c>
    </row>
    <row r="402" spans="1:4" x14ac:dyDescent="0.3">
      <c r="A402">
        <v>1716109</v>
      </c>
      <c r="B402" t="s">
        <v>1426</v>
      </c>
      <c r="C402">
        <v>-10.171220754999901</v>
      </c>
      <c r="D402">
        <v>-48.886630084016922</v>
      </c>
    </row>
    <row r="403" spans="1:4" x14ac:dyDescent="0.3">
      <c r="A403">
        <v>1716208</v>
      </c>
      <c r="B403" t="s">
        <v>1427</v>
      </c>
      <c r="C403">
        <v>-12.620481488718251</v>
      </c>
      <c r="D403">
        <v>-47.884083728442604</v>
      </c>
    </row>
    <row r="404" spans="1:4" x14ac:dyDescent="0.3">
      <c r="A404">
        <v>1716307</v>
      </c>
      <c r="B404" t="s">
        <v>1274</v>
      </c>
      <c r="C404">
        <v>-7.5399983556999715</v>
      </c>
      <c r="D404">
        <v>-49.363306481009104</v>
      </c>
    </row>
    <row r="405" spans="1:4" x14ac:dyDescent="0.3">
      <c r="A405">
        <v>1716505</v>
      </c>
      <c r="B405" t="s">
        <v>1428</v>
      </c>
      <c r="C405">
        <v>-8.9644495924229428</v>
      </c>
      <c r="D405">
        <v>-48.17755611273865</v>
      </c>
    </row>
    <row r="406" spans="1:4" x14ac:dyDescent="0.3">
      <c r="A406">
        <v>1716604</v>
      </c>
      <c r="B406" t="s">
        <v>1429</v>
      </c>
      <c r="C406">
        <v>-12.029773830853001</v>
      </c>
      <c r="D406">
        <v>-48.537810626336032</v>
      </c>
    </row>
    <row r="407" spans="1:4" x14ac:dyDescent="0.3">
      <c r="A407">
        <v>1716653</v>
      </c>
      <c r="B407" t="s">
        <v>1430</v>
      </c>
      <c r="C407">
        <v>-8.5933406544484452</v>
      </c>
      <c r="D407">
        <v>-48.935179866915817</v>
      </c>
    </row>
    <row r="408" spans="1:4" x14ac:dyDescent="0.3">
      <c r="A408">
        <v>1716703</v>
      </c>
      <c r="B408" t="s">
        <v>1431</v>
      </c>
      <c r="C408">
        <v>-8.729371806818591</v>
      </c>
      <c r="D408">
        <v>-48.757066585694787</v>
      </c>
    </row>
    <row r="409" spans="1:4" x14ac:dyDescent="0.3">
      <c r="A409">
        <v>1717008</v>
      </c>
      <c r="B409" t="s">
        <v>1432</v>
      </c>
      <c r="C409">
        <v>-11.138202584680801</v>
      </c>
      <c r="D409">
        <v>-47.575687717287693</v>
      </c>
    </row>
    <row r="410" spans="1:4" x14ac:dyDescent="0.3">
      <c r="A410">
        <v>1717206</v>
      </c>
      <c r="B410" t="s">
        <v>1433</v>
      </c>
      <c r="C410">
        <v>-6.7697770334073457</v>
      </c>
      <c r="D410">
        <v>-48.29370739109315</v>
      </c>
    </row>
    <row r="411" spans="1:4" x14ac:dyDescent="0.3">
      <c r="A411">
        <v>1717503</v>
      </c>
      <c r="B411" t="s">
        <v>1434</v>
      </c>
      <c r="C411">
        <v>-10.440931117930452</v>
      </c>
      <c r="D411">
        <v>-49.16665801157469</v>
      </c>
    </row>
    <row r="412" spans="1:4" x14ac:dyDescent="0.3">
      <c r="A412">
        <v>1717800</v>
      </c>
      <c r="B412" t="s">
        <v>932</v>
      </c>
      <c r="C412">
        <v>-12.087812908434403</v>
      </c>
      <c r="D412">
        <v>-46.469586792395198</v>
      </c>
    </row>
    <row r="413" spans="1:4" x14ac:dyDescent="0.3">
      <c r="A413">
        <v>1717909</v>
      </c>
      <c r="B413" t="s">
        <v>939</v>
      </c>
      <c r="C413">
        <v>-10.740672848681452</v>
      </c>
      <c r="D413">
        <v>-47.541180358301936</v>
      </c>
    </row>
    <row r="414" spans="1:4" x14ac:dyDescent="0.3">
      <c r="A414">
        <v>1718006</v>
      </c>
      <c r="B414" t="s">
        <v>1435</v>
      </c>
      <c r="C414">
        <v>-11.60725909908845</v>
      </c>
      <c r="D414">
        <v>-47.047425600429513</v>
      </c>
    </row>
    <row r="415" spans="1:4" x14ac:dyDescent="0.3">
      <c r="A415">
        <v>1718204</v>
      </c>
      <c r="B415" t="s">
        <v>1436</v>
      </c>
      <c r="C415">
        <v>-10.708569916999954</v>
      </c>
      <c r="D415">
        <v>-48.4121534584309</v>
      </c>
    </row>
    <row r="416" spans="1:4" x14ac:dyDescent="0.3">
      <c r="A416">
        <v>1718303</v>
      </c>
      <c r="B416" t="s">
        <v>1437</v>
      </c>
      <c r="C416">
        <v>-5.3967128773782651</v>
      </c>
      <c r="D416">
        <v>-47.814731733342292</v>
      </c>
    </row>
    <row r="417" spans="1:4" x14ac:dyDescent="0.3">
      <c r="A417">
        <v>1718402</v>
      </c>
      <c r="B417" t="s">
        <v>1438</v>
      </c>
      <c r="C417">
        <v>-8.5299608276191758</v>
      </c>
      <c r="D417">
        <v>-48.504330670109034</v>
      </c>
    </row>
    <row r="418" spans="1:4" x14ac:dyDescent="0.3">
      <c r="A418">
        <v>1718451</v>
      </c>
      <c r="B418" t="s">
        <v>1439</v>
      </c>
      <c r="C418">
        <v>-10.424307156246753</v>
      </c>
      <c r="D418">
        <v>-48.894220448783109</v>
      </c>
    </row>
    <row r="419" spans="1:4" x14ac:dyDescent="0.3">
      <c r="A419">
        <v>1718501</v>
      </c>
      <c r="B419" t="s">
        <v>1440</v>
      </c>
      <c r="C419">
        <v>-8.7353604538801211</v>
      </c>
      <c r="D419">
        <v>-47.238041195020784</v>
      </c>
    </row>
    <row r="420" spans="1:4" x14ac:dyDescent="0.3">
      <c r="A420">
        <v>1718550</v>
      </c>
      <c r="B420" t="s">
        <v>1441</v>
      </c>
      <c r="C420">
        <v>-6.4422113876974061</v>
      </c>
      <c r="D420">
        <v>-48.141045502037962</v>
      </c>
    </row>
    <row r="421" spans="1:4" x14ac:dyDescent="0.3">
      <c r="A421">
        <v>1718659</v>
      </c>
      <c r="B421" t="s">
        <v>1442</v>
      </c>
      <c r="C421">
        <v>-11.404940023898975</v>
      </c>
      <c r="D421">
        <v>-46.880399704572184</v>
      </c>
    </row>
    <row r="422" spans="1:4" x14ac:dyDescent="0.3">
      <c r="A422">
        <v>1718709</v>
      </c>
      <c r="B422" t="s">
        <v>1443</v>
      </c>
      <c r="C422">
        <v>-9.3437422386879003</v>
      </c>
      <c r="D422">
        <v>-48.533047971601448</v>
      </c>
    </row>
    <row r="423" spans="1:4" x14ac:dyDescent="0.3">
      <c r="A423">
        <v>1718758</v>
      </c>
      <c r="B423" t="s">
        <v>977</v>
      </c>
      <c r="C423">
        <v>-9.347789334116106</v>
      </c>
      <c r="D423">
        <v>-47.89994163913947</v>
      </c>
    </row>
    <row r="424" spans="1:4" x14ac:dyDescent="0.3">
      <c r="A424">
        <v>1718808</v>
      </c>
      <c r="B424" t="s">
        <v>1444</v>
      </c>
      <c r="C424">
        <v>-5.349295616496696</v>
      </c>
      <c r="D424">
        <v>-47.875792457199381</v>
      </c>
    </row>
    <row r="425" spans="1:4" x14ac:dyDescent="0.3">
      <c r="A425">
        <v>1718840</v>
      </c>
      <c r="B425" t="s">
        <v>1445</v>
      </c>
      <c r="C425">
        <v>-12.541600167483253</v>
      </c>
      <c r="D425">
        <v>-49.933388154301184</v>
      </c>
    </row>
    <row r="426" spans="1:4" x14ac:dyDescent="0.3">
      <c r="A426">
        <v>1718865</v>
      </c>
      <c r="B426" t="s">
        <v>1446</v>
      </c>
      <c r="C426">
        <v>-7.1499363850312019</v>
      </c>
      <c r="D426">
        <v>-48.693941803437639</v>
      </c>
    </row>
    <row r="427" spans="1:4" x14ac:dyDescent="0.3">
      <c r="A427">
        <v>1718881</v>
      </c>
      <c r="B427" t="s">
        <v>1447</v>
      </c>
      <c r="C427">
        <v>-8.7749764492665108</v>
      </c>
      <c r="D427">
        <v>-47.745270419224617</v>
      </c>
    </row>
    <row r="428" spans="1:4" x14ac:dyDescent="0.3">
      <c r="A428">
        <v>1718899</v>
      </c>
      <c r="B428" t="s">
        <v>1448</v>
      </c>
      <c r="C428">
        <v>-10.866455369402901</v>
      </c>
      <c r="D428">
        <v>-48.909294007358952</v>
      </c>
    </row>
    <row r="429" spans="1:4" x14ac:dyDescent="0.3">
      <c r="A429">
        <v>1718907</v>
      </c>
      <c r="B429" t="s">
        <v>1449</v>
      </c>
      <c r="C429">
        <v>-11.4514039985494</v>
      </c>
      <c r="D429">
        <v>-48.119954221752408</v>
      </c>
    </row>
    <row r="430" spans="1:4" x14ac:dyDescent="0.3">
      <c r="A430">
        <v>1719004</v>
      </c>
      <c r="B430" t="s">
        <v>1450</v>
      </c>
      <c r="C430">
        <v>-10.282361527818702</v>
      </c>
      <c r="D430">
        <v>-47.806288321508141</v>
      </c>
    </row>
    <row r="431" spans="1:4" x14ac:dyDescent="0.3">
      <c r="A431">
        <v>1720002</v>
      </c>
      <c r="B431" t="s">
        <v>1451</v>
      </c>
      <c r="C431">
        <v>-6.4369976184442512</v>
      </c>
      <c r="D431">
        <v>-47.684285363008058</v>
      </c>
    </row>
    <row r="432" spans="1:4" x14ac:dyDescent="0.3">
      <c r="A432">
        <v>1720101</v>
      </c>
      <c r="B432" t="s">
        <v>1452</v>
      </c>
      <c r="C432">
        <v>-6.0449992571923881</v>
      </c>
      <c r="D432">
        <v>-47.919392287053363</v>
      </c>
    </row>
    <row r="433" spans="1:4" x14ac:dyDescent="0.3">
      <c r="A433">
        <v>1720150</v>
      </c>
      <c r="B433" t="s">
        <v>1453</v>
      </c>
      <c r="C433">
        <v>-10.173285853962801</v>
      </c>
      <c r="D433">
        <v>-46.654980831012253</v>
      </c>
    </row>
    <row r="434" spans="1:4" x14ac:dyDescent="0.3">
      <c r="A434">
        <v>1720200</v>
      </c>
      <c r="B434" t="s">
        <v>1454</v>
      </c>
      <c r="C434">
        <v>-5.5538195287942909</v>
      </c>
      <c r="D434">
        <v>-47.573002339373119</v>
      </c>
    </row>
    <row r="435" spans="1:4" x14ac:dyDescent="0.3">
      <c r="A435">
        <v>1720259</v>
      </c>
      <c r="B435" t="s">
        <v>1455</v>
      </c>
      <c r="C435">
        <v>-12.747433414495351</v>
      </c>
      <c r="D435">
        <v>-48.232084991681134</v>
      </c>
    </row>
    <row r="436" spans="1:4" x14ac:dyDescent="0.3">
      <c r="A436">
        <v>1720309</v>
      </c>
      <c r="B436" t="s">
        <v>1456</v>
      </c>
      <c r="C436">
        <v>-5.2589614537350657</v>
      </c>
      <c r="D436">
        <v>-48.203834149028843</v>
      </c>
    </row>
    <row r="437" spans="1:4" x14ac:dyDescent="0.3">
      <c r="A437">
        <v>1720499</v>
      </c>
      <c r="B437" t="s">
        <v>1457</v>
      </c>
      <c r="C437">
        <v>-11.973067459479651</v>
      </c>
      <c r="D437">
        <v>-48.232948433380216</v>
      </c>
    </row>
    <row r="438" spans="1:4" x14ac:dyDescent="0.3">
      <c r="A438">
        <v>1720655</v>
      </c>
      <c r="B438" t="s">
        <v>1458</v>
      </c>
      <c r="C438">
        <v>-11.149861308562802</v>
      </c>
      <c r="D438">
        <v>-48.179824135532115</v>
      </c>
    </row>
    <row r="439" spans="1:4" x14ac:dyDescent="0.3">
      <c r="A439">
        <v>1720804</v>
      </c>
      <c r="B439" t="s">
        <v>1459</v>
      </c>
      <c r="C439">
        <v>-5.604726856653091</v>
      </c>
      <c r="D439">
        <v>-47.637422650460366</v>
      </c>
    </row>
    <row r="440" spans="1:4" x14ac:dyDescent="0.3">
      <c r="A440">
        <v>1720853</v>
      </c>
      <c r="B440" t="s">
        <v>1460</v>
      </c>
      <c r="C440">
        <v>-11.98622151085995</v>
      </c>
      <c r="D440">
        <v>-48.911126282687064</v>
      </c>
    </row>
    <row r="441" spans="1:4" x14ac:dyDescent="0.3">
      <c r="A441">
        <v>1720903</v>
      </c>
      <c r="B441" t="s">
        <v>1461</v>
      </c>
      <c r="C441">
        <v>-12.396141738681251</v>
      </c>
      <c r="D441">
        <v>-46.438731700883132</v>
      </c>
    </row>
    <row r="442" spans="1:4" x14ac:dyDescent="0.3">
      <c r="A442">
        <v>1720937</v>
      </c>
      <c r="B442" t="s">
        <v>1462</v>
      </c>
      <c r="C442">
        <v>-12.192837209054202</v>
      </c>
      <c r="D442">
        <v>-46.984571795932304</v>
      </c>
    </row>
    <row r="443" spans="1:4" x14ac:dyDescent="0.3">
      <c r="A443">
        <v>1720978</v>
      </c>
      <c r="B443" t="s">
        <v>1463</v>
      </c>
      <c r="C443">
        <v>-12.787538406860252</v>
      </c>
      <c r="D443">
        <v>-49.091118433933445</v>
      </c>
    </row>
    <row r="444" spans="1:4" x14ac:dyDescent="0.3">
      <c r="A444">
        <v>1721000</v>
      </c>
      <c r="B444" t="s">
        <v>982</v>
      </c>
      <c r="C444">
        <v>-10.16325332679275</v>
      </c>
      <c r="D444">
        <v>-48.351043708246195</v>
      </c>
    </row>
    <row r="445" spans="1:4" x14ac:dyDescent="0.3">
      <c r="A445">
        <v>1721109</v>
      </c>
      <c r="B445" t="s">
        <v>1464</v>
      </c>
      <c r="C445">
        <v>-9.5581477340057219</v>
      </c>
      <c r="D445">
        <v>-48.375879671426652</v>
      </c>
    </row>
    <row r="446" spans="1:4" x14ac:dyDescent="0.3">
      <c r="A446">
        <v>1721208</v>
      </c>
      <c r="B446" t="s">
        <v>1011</v>
      </c>
      <c r="C446">
        <v>-6.3256343760279616</v>
      </c>
      <c r="D446">
        <v>-47.427412928692668</v>
      </c>
    </row>
    <row r="447" spans="1:4" x14ac:dyDescent="0.3">
      <c r="A447">
        <v>1721257</v>
      </c>
      <c r="B447" t="s">
        <v>1465</v>
      </c>
      <c r="C447">
        <v>-8.980569549417142</v>
      </c>
      <c r="D447">
        <v>-48.206684803064064</v>
      </c>
    </row>
    <row r="448" spans="1:4" x14ac:dyDescent="0.3">
      <c r="A448">
        <v>1721307</v>
      </c>
      <c r="B448" t="s">
        <v>1466</v>
      </c>
      <c r="C448">
        <v>-8.3955299969580128</v>
      </c>
      <c r="D448">
        <v>-48.122995740868774</v>
      </c>
    </row>
    <row r="449" spans="1:4" x14ac:dyDescent="0.3">
      <c r="A449">
        <v>1722081</v>
      </c>
      <c r="B449" t="s">
        <v>1467</v>
      </c>
      <c r="C449">
        <v>-6.8501255166884958</v>
      </c>
      <c r="D449">
        <v>-47.956267726028322</v>
      </c>
    </row>
    <row r="450" spans="1:4" x14ac:dyDescent="0.3">
      <c r="A450">
        <v>1722107</v>
      </c>
      <c r="B450" t="s">
        <v>1468</v>
      </c>
      <c r="C450">
        <v>-6.4118850201798407</v>
      </c>
      <c r="D450">
        <v>-48.531601072816969</v>
      </c>
    </row>
    <row r="451" spans="1:4" x14ac:dyDescent="0.3">
      <c r="A451">
        <v>2100055</v>
      </c>
      <c r="B451" t="s">
        <v>1469</v>
      </c>
      <c r="C451">
        <v>-4.9513770001624797</v>
      </c>
      <c r="D451">
        <v>-47.506664593111928</v>
      </c>
    </row>
    <row r="452" spans="1:4" x14ac:dyDescent="0.3">
      <c r="A452">
        <v>2100105</v>
      </c>
      <c r="B452" t="s">
        <v>1470</v>
      </c>
      <c r="C452">
        <v>-4.1350154768700804</v>
      </c>
      <c r="D452">
        <v>-43.32086900396849</v>
      </c>
    </row>
    <row r="453" spans="1:4" x14ac:dyDescent="0.3">
      <c r="A453">
        <v>2100154</v>
      </c>
      <c r="B453" t="s">
        <v>1471</v>
      </c>
      <c r="C453">
        <v>-2.8402782791368053</v>
      </c>
      <c r="D453">
        <v>-42.115551201721338</v>
      </c>
    </row>
    <row r="454" spans="1:4" x14ac:dyDescent="0.3">
      <c r="A454">
        <v>2100204</v>
      </c>
      <c r="B454" t="s">
        <v>1472</v>
      </c>
      <c r="C454">
        <v>-2.4032765250791708</v>
      </c>
      <c r="D454">
        <v>-44.417012537284585</v>
      </c>
    </row>
    <row r="455" spans="1:4" x14ac:dyDescent="0.3">
      <c r="A455">
        <v>2100303</v>
      </c>
      <c r="B455" t="s">
        <v>1473</v>
      </c>
      <c r="C455">
        <v>-4.6307794951520558</v>
      </c>
      <c r="D455">
        <v>-43.468734852939839</v>
      </c>
    </row>
    <row r="456" spans="1:4" x14ac:dyDescent="0.3">
      <c r="A456">
        <v>2100402</v>
      </c>
      <c r="B456" t="s">
        <v>1474</v>
      </c>
      <c r="C456">
        <v>-4.162269266853146</v>
      </c>
      <c r="D456">
        <v>-45.464675831160434</v>
      </c>
    </row>
    <row r="457" spans="1:4" x14ac:dyDescent="0.3">
      <c r="A457">
        <v>2100436</v>
      </c>
      <c r="B457" t="s">
        <v>1475</v>
      </c>
      <c r="C457">
        <v>-4.2072270000000005</v>
      </c>
      <c r="D457">
        <v>-44.448247494523237</v>
      </c>
    </row>
    <row r="458" spans="1:4" x14ac:dyDescent="0.3">
      <c r="A458">
        <v>2100477</v>
      </c>
      <c r="B458" t="s">
        <v>1476</v>
      </c>
      <c r="C458">
        <v>-3.6651703744532806</v>
      </c>
      <c r="D458">
        <v>-45.842079616170544</v>
      </c>
    </row>
    <row r="459" spans="1:4" x14ac:dyDescent="0.3">
      <c r="A459">
        <v>2100501</v>
      </c>
      <c r="B459" t="s">
        <v>1477</v>
      </c>
      <c r="C459">
        <v>-9.1083659321911163</v>
      </c>
      <c r="D459">
        <v>-45.927344013338434</v>
      </c>
    </row>
    <row r="460" spans="1:4" x14ac:dyDescent="0.3">
      <c r="A460">
        <v>2100550</v>
      </c>
      <c r="B460" t="s">
        <v>1478</v>
      </c>
      <c r="C460">
        <v>-1.6809214951217855</v>
      </c>
      <c r="D460">
        <v>-46.009179900387466</v>
      </c>
    </row>
    <row r="461" spans="1:4" x14ac:dyDescent="0.3">
      <c r="A461">
        <v>2100600</v>
      </c>
      <c r="B461" t="s">
        <v>1479</v>
      </c>
      <c r="C461">
        <v>-5.5576620001821402</v>
      </c>
      <c r="D461">
        <v>-46.750637545497248</v>
      </c>
    </row>
    <row r="462" spans="1:4" x14ac:dyDescent="0.3">
      <c r="A462">
        <v>2100709</v>
      </c>
      <c r="B462" t="s">
        <v>1480</v>
      </c>
      <c r="C462">
        <v>-3.2575548421272402</v>
      </c>
      <c r="D462">
        <v>-44.620670027762891</v>
      </c>
    </row>
    <row r="463" spans="1:4" x14ac:dyDescent="0.3">
      <c r="A463">
        <v>2100808</v>
      </c>
      <c r="B463" t="s">
        <v>1481</v>
      </c>
      <c r="C463">
        <v>-3.667034662346861</v>
      </c>
      <c r="D463">
        <v>-43.105792509689273</v>
      </c>
    </row>
    <row r="464" spans="1:4" x14ac:dyDescent="0.3">
      <c r="A464">
        <v>2100832</v>
      </c>
      <c r="B464" t="s">
        <v>1482</v>
      </c>
      <c r="C464">
        <v>-1.5305915777548553</v>
      </c>
      <c r="D464">
        <v>-45.076652073448592</v>
      </c>
    </row>
    <row r="465" spans="1:4" x14ac:dyDescent="0.3">
      <c r="A465">
        <v>2100873</v>
      </c>
      <c r="B465" t="s">
        <v>1355</v>
      </c>
      <c r="C465">
        <v>-2.9491256232770509</v>
      </c>
      <c r="D465">
        <v>-45.668794476100594</v>
      </c>
    </row>
    <row r="466" spans="1:4" x14ac:dyDescent="0.3">
      <c r="A466">
        <v>2100907</v>
      </c>
      <c r="B466" t="s">
        <v>1483</v>
      </c>
      <c r="C466">
        <v>-2.8892558464330556</v>
      </c>
      <c r="D466">
        <v>-41.899139449865409</v>
      </c>
    </row>
    <row r="467" spans="1:4" x14ac:dyDescent="0.3">
      <c r="A467">
        <v>2100956</v>
      </c>
      <c r="B467" t="s">
        <v>1484</v>
      </c>
      <c r="C467">
        <v>-4.8860815050000008</v>
      </c>
      <c r="D467">
        <v>-46.013636277835062</v>
      </c>
    </row>
    <row r="468" spans="1:4" x14ac:dyDescent="0.3">
      <c r="A468">
        <v>2101004</v>
      </c>
      <c r="B468" t="s">
        <v>1485</v>
      </c>
      <c r="C468">
        <v>-3.4591709701138051</v>
      </c>
      <c r="D468">
        <v>-44.778834654710586</v>
      </c>
    </row>
    <row r="469" spans="1:4" x14ac:dyDescent="0.3">
      <c r="A469">
        <v>2101103</v>
      </c>
      <c r="B469" t="s">
        <v>1486</v>
      </c>
      <c r="C469">
        <v>-2.8377968371321205</v>
      </c>
      <c r="D469">
        <v>-44.054585809077302</v>
      </c>
    </row>
    <row r="470" spans="1:4" x14ac:dyDescent="0.3">
      <c r="A470">
        <v>2101202</v>
      </c>
      <c r="B470" t="s">
        <v>1487</v>
      </c>
      <c r="C470">
        <v>-4.2315246297805063</v>
      </c>
      <c r="D470">
        <v>-44.781555964089058</v>
      </c>
    </row>
    <row r="471" spans="1:4" x14ac:dyDescent="0.3">
      <c r="A471">
        <v>2101251</v>
      </c>
      <c r="B471" t="s">
        <v>1488</v>
      </c>
      <c r="C471">
        <v>-2.9858247787756906</v>
      </c>
      <c r="D471">
        <v>-44.315422986567143</v>
      </c>
    </row>
    <row r="472" spans="1:4" x14ac:dyDescent="0.3">
      <c r="A472">
        <v>2101301</v>
      </c>
      <c r="B472" t="s">
        <v>1489</v>
      </c>
      <c r="C472">
        <v>-1.7240463184732253</v>
      </c>
      <c r="D472">
        <v>-45.137348939626484</v>
      </c>
    </row>
    <row r="473" spans="1:4" x14ac:dyDescent="0.3">
      <c r="A473">
        <v>2101350</v>
      </c>
      <c r="B473" t="s">
        <v>1490</v>
      </c>
      <c r="C473">
        <v>-2.7108719765206106</v>
      </c>
      <c r="D473">
        <v>-44.735742006157857</v>
      </c>
    </row>
    <row r="474" spans="1:4" x14ac:dyDescent="0.3">
      <c r="A474">
        <v>2101400</v>
      </c>
      <c r="B474" t="s">
        <v>1491</v>
      </c>
      <c r="C474">
        <v>-7.531169990245516</v>
      </c>
      <c r="D474">
        <v>-46.038992673340523</v>
      </c>
    </row>
    <row r="475" spans="1:4" x14ac:dyDescent="0.3">
      <c r="A475">
        <v>2101509</v>
      </c>
      <c r="B475" t="s">
        <v>1492</v>
      </c>
      <c r="C475">
        <v>-6.7589552055804569</v>
      </c>
      <c r="D475">
        <v>-43.026452699426912</v>
      </c>
    </row>
    <row r="476" spans="1:4" x14ac:dyDescent="0.3">
      <c r="A476">
        <v>2101608</v>
      </c>
      <c r="B476" t="s">
        <v>1493</v>
      </c>
      <c r="C476">
        <v>-5.5083395000000017</v>
      </c>
      <c r="D476">
        <v>-45.239011016110986</v>
      </c>
    </row>
    <row r="477" spans="1:4" x14ac:dyDescent="0.3">
      <c r="A477">
        <v>2101707</v>
      </c>
      <c r="B477" t="s">
        <v>1494</v>
      </c>
      <c r="C477">
        <v>-2.7500859487581102</v>
      </c>
      <c r="D477">
        <v>-42.827802513204077</v>
      </c>
    </row>
    <row r="478" spans="1:4" x14ac:dyDescent="0.3">
      <c r="A478">
        <v>2101731</v>
      </c>
      <c r="B478" t="s">
        <v>1495</v>
      </c>
      <c r="C478">
        <v>-3.1567722275296455</v>
      </c>
      <c r="D478">
        <v>-43.510061642741</v>
      </c>
    </row>
    <row r="479" spans="1:4" x14ac:dyDescent="0.3">
      <c r="A479">
        <v>2101772</v>
      </c>
      <c r="B479" t="s">
        <v>1496</v>
      </c>
      <c r="C479">
        <v>-3.7377332499082803</v>
      </c>
      <c r="D479">
        <v>-45.248245878184868</v>
      </c>
    </row>
    <row r="480" spans="1:4" x14ac:dyDescent="0.3">
      <c r="A480">
        <v>2101806</v>
      </c>
      <c r="B480" t="s">
        <v>1497</v>
      </c>
      <c r="C480">
        <v>-7.2187997953852019</v>
      </c>
      <c r="D480">
        <v>-44.559856799009523</v>
      </c>
    </row>
    <row r="481" spans="1:4" x14ac:dyDescent="0.3">
      <c r="A481">
        <v>2101905</v>
      </c>
      <c r="B481" t="s">
        <v>1498</v>
      </c>
      <c r="C481">
        <v>-2.4620629950811002</v>
      </c>
      <c r="D481">
        <v>-44.785730156867274</v>
      </c>
    </row>
    <row r="482" spans="1:4" x14ac:dyDescent="0.3">
      <c r="A482">
        <v>2101939</v>
      </c>
      <c r="B482" t="s">
        <v>1499</v>
      </c>
      <c r="C482">
        <v>-4.6302874907922904</v>
      </c>
      <c r="D482">
        <v>-44.764323103487776</v>
      </c>
    </row>
    <row r="483" spans="1:4" x14ac:dyDescent="0.3">
      <c r="A483">
        <v>2101970</v>
      </c>
      <c r="B483" t="s">
        <v>1500</v>
      </c>
      <c r="C483">
        <v>-1.7932961357987902</v>
      </c>
      <c r="D483">
        <v>-46.29871005252739</v>
      </c>
    </row>
    <row r="484" spans="1:4" x14ac:dyDescent="0.3">
      <c r="A484">
        <v>2102002</v>
      </c>
      <c r="B484" t="s">
        <v>1501</v>
      </c>
      <c r="C484">
        <v>-3.5441609778557157</v>
      </c>
      <c r="D484">
        <v>-45.601889389051095</v>
      </c>
    </row>
    <row r="485" spans="1:4" x14ac:dyDescent="0.3">
      <c r="A485">
        <v>2102036</v>
      </c>
      <c r="B485" t="s">
        <v>1502</v>
      </c>
      <c r="C485">
        <v>-4.4899683531069154</v>
      </c>
      <c r="D485">
        <v>-46.853241223148892</v>
      </c>
    </row>
    <row r="486" spans="1:4" x14ac:dyDescent="0.3">
      <c r="A486">
        <v>2102077</v>
      </c>
      <c r="B486" t="s">
        <v>1503</v>
      </c>
      <c r="C486">
        <v>-4.3755096014642358</v>
      </c>
      <c r="D486">
        <v>-45.031107856323786</v>
      </c>
    </row>
    <row r="487" spans="1:4" x14ac:dyDescent="0.3">
      <c r="A487">
        <v>2102101</v>
      </c>
      <c r="B487" t="s">
        <v>1504</v>
      </c>
      <c r="C487">
        <v>-3.6791780000000003</v>
      </c>
      <c r="D487">
        <v>-42.750847826819573</v>
      </c>
    </row>
    <row r="488" spans="1:4" x14ac:dyDescent="0.3">
      <c r="A488">
        <v>2102150</v>
      </c>
      <c r="B488" t="s">
        <v>1505</v>
      </c>
      <c r="C488">
        <v>-4.3306298974950108</v>
      </c>
      <c r="D488">
        <v>-45.582095271781348</v>
      </c>
    </row>
    <row r="489" spans="1:4" x14ac:dyDescent="0.3">
      <c r="A489">
        <v>2102200</v>
      </c>
      <c r="B489" t="s">
        <v>1506</v>
      </c>
      <c r="C489">
        <v>-3.9455715000000011</v>
      </c>
      <c r="D489">
        <v>-42.925106177780314</v>
      </c>
    </row>
    <row r="490" spans="1:4" x14ac:dyDescent="0.3">
      <c r="A490">
        <v>2102309</v>
      </c>
      <c r="B490" t="s">
        <v>1507</v>
      </c>
      <c r="C490">
        <v>-5.8352881321467418</v>
      </c>
      <c r="D490">
        <v>-43.835621541510555</v>
      </c>
    </row>
    <row r="491" spans="1:4" x14ac:dyDescent="0.3">
      <c r="A491">
        <v>2102325</v>
      </c>
      <c r="B491" t="s">
        <v>1508</v>
      </c>
      <c r="C491">
        <v>-4.3259477263015453</v>
      </c>
      <c r="D491">
        <v>-46.451495319051027</v>
      </c>
    </row>
    <row r="492" spans="1:4" x14ac:dyDescent="0.3">
      <c r="A492">
        <v>2102358</v>
      </c>
      <c r="B492" t="s">
        <v>1509</v>
      </c>
      <c r="C492">
        <v>-5.5889151417115617</v>
      </c>
      <c r="D492">
        <v>-47.017225093217654</v>
      </c>
    </row>
    <row r="493" spans="1:4" x14ac:dyDescent="0.3">
      <c r="A493">
        <v>2102374</v>
      </c>
      <c r="B493" t="s">
        <v>1510</v>
      </c>
      <c r="C493">
        <v>-2.93192103905761</v>
      </c>
      <c r="D493">
        <v>-44.059685015783202</v>
      </c>
    </row>
    <row r="494" spans="1:4" x14ac:dyDescent="0.3">
      <c r="A494">
        <v>2102408</v>
      </c>
      <c r="B494" t="s">
        <v>1511</v>
      </c>
      <c r="C494">
        <v>-2.8828822031575205</v>
      </c>
      <c r="D494">
        <v>-44.673377164586178</v>
      </c>
    </row>
    <row r="495" spans="1:4" x14ac:dyDescent="0.3">
      <c r="A495">
        <v>2102507</v>
      </c>
      <c r="B495" t="s">
        <v>1512</v>
      </c>
      <c r="C495">
        <v>-3.3238688309169206</v>
      </c>
      <c r="D495">
        <v>-45.007965334966265</v>
      </c>
    </row>
    <row r="496" spans="1:4" x14ac:dyDescent="0.3">
      <c r="A496">
        <v>2102556</v>
      </c>
      <c r="B496" t="s">
        <v>1513</v>
      </c>
      <c r="C496">
        <v>-6.1647166458351856</v>
      </c>
      <c r="D496">
        <v>-47.367632863334187</v>
      </c>
    </row>
    <row r="497" spans="1:4" x14ac:dyDescent="0.3">
      <c r="A497">
        <v>2102606</v>
      </c>
      <c r="B497" t="s">
        <v>1514</v>
      </c>
      <c r="C497">
        <v>-1.4538891085279952</v>
      </c>
      <c r="D497">
        <v>-45.737268365591746</v>
      </c>
    </row>
    <row r="498" spans="1:4" x14ac:dyDescent="0.3">
      <c r="A498">
        <v>2102705</v>
      </c>
      <c r="B498" t="s">
        <v>1515</v>
      </c>
      <c r="C498">
        <v>-3.628364311872736</v>
      </c>
      <c r="D498">
        <v>-44.381816135839024</v>
      </c>
    </row>
    <row r="499" spans="1:4" x14ac:dyDescent="0.3">
      <c r="A499">
        <v>2102754</v>
      </c>
      <c r="B499" t="s">
        <v>1516</v>
      </c>
      <c r="C499">
        <v>-4.7212453887721955</v>
      </c>
      <c r="D499">
        <v>-44.330436251995529</v>
      </c>
    </row>
    <row r="500" spans="1:4" x14ac:dyDescent="0.3">
      <c r="A500">
        <v>2102804</v>
      </c>
      <c r="B500" t="s">
        <v>1517</v>
      </c>
      <c r="C500">
        <v>-7.3307830052391321</v>
      </c>
      <c r="D500">
        <v>-47.47009180282793</v>
      </c>
    </row>
    <row r="501" spans="1:4" x14ac:dyDescent="0.3">
      <c r="A501">
        <v>2102903</v>
      </c>
      <c r="B501" t="s">
        <v>1518</v>
      </c>
      <c r="C501">
        <v>-1.2006020000000002</v>
      </c>
      <c r="D501">
        <v>-46.023150834604976</v>
      </c>
    </row>
    <row r="502" spans="1:4" x14ac:dyDescent="0.3">
      <c r="A502">
        <v>2103000</v>
      </c>
      <c r="B502" t="s">
        <v>1519</v>
      </c>
      <c r="C502">
        <v>-4.8616749901595711</v>
      </c>
      <c r="D502">
        <v>-43.358539428519173</v>
      </c>
    </row>
    <row r="503" spans="1:4" x14ac:dyDescent="0.3">
      <c r="A503">
        <v>2103109</v>
      </c>
      <c r="B503" t="s">
        <v>1520</v>
      </c>
      <c r="C503">
        <v>-1.9979159255715906</v>
      </c>
      <c r="D503">
        <v>-44.530789527805453</v>
      </c>
    </row>
    <row r="504" spans="1:4" x14ac:dyDescent="0.3">
      <c r="A504">
        <v>2103125</v>
      </c>
      <c r="B504" t="s">
        <v>1521</v>
      </c>
      <c r="C504">
        <v>-2.191313907617785</v>
      </c>
      <c r="D504">
        <v>-44.831843702498595</v>
      </c>
    </row>
    <row r="505" spans="1:4" x14ac:dyDescent="0.3">
      <c r="A505">
        <v>2103158</v>
      </c>
      <c r="B505" t="s">
        <v>1522</v>
      </c>
      <c r="C505">
        <v>-2.4569850818081953</v>
      </c>
      <c r="D505">
        <v>-46.039960113187213</v>
      </c>
    </row>
    <row r="506" spans="1:4" x14ac:dyDescent="0.3">
      <c r="A506">
        <v>2103174</v>
      </c>
      <c r="B506" t="s">
        <v>1523</v>
      </c>
      <c r="C506">
        <v>-2.1442916985583858</v>
      </c>
      <c r="D506">
        <v>-46.128408954978127</v>
      </c>
    </row>
    <row r="507" spans="1:4" x14ac:dyDescent="0.3">
      <c r="A507">
        <v>2103208</v>
      </c>
      <c r="B507" t="s">
        <v>1524</v>
      </c>
      <c r="C507">
        <v>-3.7400245200000009</v>
      </c>
      <c r="D507">
        <v>-43.361120781752</v>
      </c>
    </row>
    <row r="508" spans="1:4" x14ac:dyDescent="0.3">
      <c r="A508">
        <v>2103257</v>
      </c>
      <c r="B508" t="s">
        <v>1525</v>
      </c>
      <c r="C508">
        <v>-5.1774210472115856</v>
      </c>
      <c r="D508">
        <v>-47.784232775671612</v>
      </c>
    </row>
    <row r="509" spans="1:4" x14ac:dyDescent="0.3">
      <c r="A509">
        <v>2103307</v>
      </c>
      <c r="B509" t="s">
        <v>1526</v>
      </c>
      <c r="C509">
        <v>-4.4513375001462103</v>
      </c>
      <c r="D509">
        <v>-43.886080235032445</v>
      </c>
    </row>
    <row r="510" spans="1:4" x14ac:dyDescent="0.3">
      <c r="A510">
        <v>2103406</v>
      </c>
      <c r="B510" t="s">
        <v>1527</v>
      </c>
      <c r="C510">
        <v>-4.2547375001398064</v>
      </c>
      <c r="D510">
        <v>-43.014013615549501</v>
      </c>
    </row>
    <row r="511" spans="1:4" x14ac:dyDescent="0.3">
      <c r="A511">
        <v>2103505</v>
      </c>
      <c r="B511" t="s">
        <v>1528</v>
      </c>
      <c r="C511">
        <v>-6.0273655201973151</v>
      </c>
      <c r="D511">
        <v>-44.249780230535158</v>
      </c>
    </row>
    <row r="512" spans="1:4" x14ac:dyDescent="0.3">
      <c r="A512">
        <v>2103554</v>
      </c>
      <c r="B512" t="s">
        <v>1529</v>
      </c>
      <c r="C512">
        <v>-3.8411184578557456</v>
      </c>
      <c r="D512">
        <v>-44.903015905179593</v>
      </c>
    </row>
    <row r="513" spans="1:4" x14ac:dyDescent="0.3">
      <c r="A513">
        <v>2103604</v>
      </c>
      <c r="B513" t="s">
        <v>1530</v>
      </c>
      <c r="C513">
        <v>-4.1289760000000006</v>
      </c>
      <c r="D513">
        <v>-44.125599201464389</v>
      </c>
    </row>
    <row r="514" spans="1:4" x14ac:dyDescent="0.3">
      <c r="A514">
        <v>2103703</v>
      </c>
      <c r="B514" t="s">
        <v>1531</v>
      </c>
      <c r="C514">
        <v>-1.8255207812192953</v>
      </c>
      <c r="D514">
        <v>-44.867761616976082</v>
      </c>
    </row>
    <row r="515" spans="1:4" x14ac:dyDescent="0.3">
      <c r="A515">
        <v>2103752</v>
      </c>
      <c r="B515" t="s">
        <v>1532</v>
      </c>
      <c r="C515">
        <v>-5.5344562161063457</v>
      </c>
      <c r="D515">
        <v>-47.404996387528072</v>
      </c>
    </row>
    <row r="516" spans="1:4" x14ac:dyDescent="0.3">
      <c r="A516">
        <v>2103802</v>
      </c>
      <c r="B516" t="s">
        <v>1533</v>
      </c>
      <c r="C516">
        <v>-5.0384476351653111</v>
      </c>
      <c r="D516">
        <v>-44.440009910968946</v>
      </c>
    </row>
    <row r="517" spans="1:4" x14ac:dyDescent="0.3">
      <c r="A517">
        <v>2103901</v>
      </c>
      <c r="B517" t="s">
        <v>1534</v>
      </c>
      <c r="C517">
        <v>-4.1478190971135662</v>
      </c>
      <c r="D517">
        <v>-42.944180203607267</v>
      </c>
    </row>
    <row r="518" spans="1:4" x14ac:dyDescent="0.3">
      <c r="A518">
        <v>2104008</v>
      </c>
      <c r="B518" t="s">
        <v>1535</v>
      </c>
      <c r="C518">
        <v>-4.8703008974764304</v>
      </c>
      <c r="D518">
        <v>-44.886068699018757</v>
      </c>
    </row>
    <row r="519" spans="1:4" x14ac:dyDescent="0.3">
      <c r="A519">
        <v>2104057</v>
      </c>
      <c r="B519" t="s">
        <v>1536</v>
      </c>
      <c r="C519">
        <v>-6.5680849802147154</v>
      </c>
      <c r="D519">
        <v>-47.447882986137714</v>
      </c>
    </row>
    <row r="520" spans="1:4" x14ac:dyDescent="0.3">
      <c r="A520">
        <v>2104073</v>
      </c>
      <c r="B520" t="s">
        <v>1537</v>
      </c>
      <c r="C520">
        <v>-6.9631355406272863</v>
      </c>
      <c r="D520">
        <v>-46.687355215963777</v>
      </c>
    </row>
    <row r="521" spans="1:4" x14ac:dyDescent="0.3">
      <c r="A521">
        <v>2104081</v>
      </c>
      <c r="B521" t="s">
        <v>1538</v>
      </c>
      <c r="C521">
        <v>-6.154978462915996</v>
      </c>
      <c r="D521">
        <v>-44.91070740221312</v>
      </c>
    </row>
    <row r="522" spans="1:4" x14ac:dyDescent="0.3">
      <c r="A522">
        <v>2104099</v>
      </c>
      <c r="B522" t="s">
        <v>1539</v>
      </c>
      <c r="C522">
        <v>-6.4353041056139215</v>
      </c>
      <c r="D522">
        <v>-46.186357006886119</v>
      </c>
    </row>
    <row r="523" spans="1:4" x14ac:dyDescent="0.3">
      <c r="A523">
        <v>2104107</v>
      </c>
      <c r="B523" t="s">
        <v>1540</v>
      </c>
      <c r="C523">
        <v>-6.9659260874922957</v>
      </c>
      <c r="D523">
        <v>-46.185557541983606</v>
      </c>
    </row>
    <row r="524" spans="1:4" x14ac:dyDescent="0.3">
      <c r="A524">
        <v>2104206</v>
      </c>
      <c r="B524" t="s">
        <v>1541</v>
      </c>
      <c r="C524">
        <v>-5.7362241324770205</v>
      </c>
      <c r="D524">
        <v>-44.160628427225866</v>
      </c>
    </row>
    <row r="525" spans="1:4" x14ac:dyDescent="0.3">
      <c r="A525">
        <v>2104305</v>
      </c>
      <c r="B525" t="s">
        <v>1542</v>
      </c>
      <c r="C525">
        <v>-1.4098001867327803</v>
      </c>
      <c r="D525">
        <v>-45.771754808052272</v>
      </c>
    </row>
    <row r="526" spans="1:4" x14ac:dyDescent="0.3">
      <c r="A526">
        <v>2104404</v>
      </c>
      <c r="B526" t="s">
        <v>1543</v>
      </c>
      <c r="C526">
        <v>-5.1439555694610357</v>
      </c>
      <c r="D526">
        <v>-44.305906535937474</v>
      </c>
    </row>
    <row r="527" spans="1:4" x14ac:dyDescent="0.3">
      <c r="A527">
        <v>2104503</v>
      </c>
      <c r="B527" t="s">
        <v>1544</v>
      </c>
      <c r="C527">
        <v>-5.0253878239268355</v>
      </c>
      <c r="D527">
        <v>-44.275756526125335</v>
      </c>
    </row>
    <row r="528" spans="1:4" x14ac:dyDescent="0.3">
      <c r="A528">
        <v>2104552</v>
      </c>
      <c r="B528" t="s">
        <v>1545</v>
      </c>
      <c r="C528">
        <v>-5.7474117385125405</v>
      </c>
      <c r="D528">
        <v>-47.368935839037292</v>
      </c>
    </row>
    <row r="529" spans="1:4" x14ac:dyDescent="0.3">
      <c r="A529">
        <v>2104602</v>
      </c>
      <c r="B529" t="s">
        <v>1546</v>
      </c>
      <c r="C529">
        <v>-5.3224910015295359</v>
      </c>
      <c r="D529">
        <v>-44.246962646020386</v>
      </c>
    </row>
    <row r="530" spans="1:4" x14ac:dyDescent="0.3">
      <c r="A530">
        <v>2104628</v>
      </c>
      <c r="B530" t="s">
        <v>1547</v>
      </c>
      <c r="C530">
        <v>-5.4728646849178109</v>
      </c>
      <c r="D530">
        <v>-44.070887335516936</v>
      </c>
    </row>
    <row r="531" spans="1:4" x14ac:dyDescent="0.3">
      <c r="A531">
        <v>2104651</v>
      </c>
      <c r="B531" t="s">
        <v>1548</v>
      </c>
      <c r="C531">
        <v>-3.4297047199035653</v>
      </c>
      <c r="D531">
        <v>-45.674501797009249</v>
      </c>
    </row>
    <row r="532" spans="1:4" x14ac:dyDescent="0.3">
      <c r="A532">
        <v>2104677</v>
      </c>
      <c r="B532" t="s">
        <v>1549</v>
      </c>
      <c r="C532">
        <v>-2.1349623600000007</v>
      </c>
      <c r="D532">
        <v>-45.881481132794242</v>
      </c>
    </row>
    <row r="533" spans="1:4" x14ac:dyDescent="0.3">
      <c r="A533">
        <v>2104701</v>
      </c>
      <c r="B533" t="s">
        <v>1550</v>
      </c>
      <c r="C533">
        <v>-5.4048212130546265</v>
      </c>
      <c r="D533">
        <v>-44.335791259919979</v>
      </c>
    </row>
    <row r="534" spans="1:4" x14ac:dyDescent="0.3">
      <c r="A534">
        <v>2104800</v>
      </c>
      <c r="B534" t="s">
        <v>1551</v>
      </c>
      <c r="C534">
        <v>-5.8185484313310365</v>
      </c>
      <c r="D534">
        <v>-46.142395635993395</v>
      </c>
    </row>
    <row r="535" spans="1:4" x14ac:dyDescent="0.3">
      <c r="A535">
        <v>2104909</v>
      </c>
      <c r="B535" t="s">
        <v>1552</v>
      </c>
      <c r="C535">
        <v>-2.1350771583845156</v>
      </c>
      <c r="D535">
        <v>-44.597746456337084</v>
      </c>
    </row>
    <row r="536" spans="1:4" x14ac:dyDescent="0.3">
      <c r="A536">
        <v>2105005</v>
      </c>
      <c r="B536" t="s">
        <v>1553</v>
      </c>
      <c r="C536">
        <v>-2.5912239722608352</v>
      </c>
      <c r="D536">
        <v>-43.465092144314625</v>
      </c>
    </row>
    <row r="537" spans="1:4" x14ac:dyDescent="0.3">
      <c r="A537">
        <v>2105104</v>
      </c>
      <c r="B537" t="s">
        <v>1554</v>
      </c>
      <c r="C537">
        <v>-2.7748278630992504</v>
      </c>
      <c r="D537">
        <v>-44.065848468639985</v>
      </c>
    </row>
    <row r="538" spans="1:4" x14ac:dyDescent="0.3">
      <c r="A538">
        <v>2105153</v>
      </c>
      <c r="B538" t="s">
        <v>1555</v>
      </c>
      <c r="C538">
        <v>-3.6367085218654305</v>
      </c>
      <c r="D538">
        <v>-45.183327702170594</v>
      </c>
    </row>
    <row r="539" spans="1:4" x14ac:dyDescent="0.3">
      <c r="A539">
        <v>2105203</v>
      </c>
      <c r="B539" t="s">
        <v>1556</v>
      </c>
      <c r="C539">
        <v>-4.6608538062374505</v>
      </c>
      <c r="D539">
        <v>-44.867403345860275</v>
      </c>
    </row>
    <row r="540" spans="1:4" x14ac:dyDescent="0.3">
      <c r="A540">
        <v>2105302</v>
      </c>
      <c r="B540" t="s">
        <v>1557</v>
      </c>
      <c r="C540">
        <v>-5.5265240251811365</v>
      </c>
      <c r="D540">
        <v>-47.47981080576816</v>
      </c>
    </row>
    <row r="541" spans="1:4" x14ac:dyDescent="0.3">
      <c r="A541">
        <v>2105351</v>
      </c>
      <c r="B541" t="s">
        <v>1558</v>
      </c>
      <c r="C541">
        <v>-5.144582261769802</v>
      </c>
      <c r="D541">
        <v>-45.792682503469031</v>
      </c>
    </row>
    <row r="542" spans="1:4" x14ac:dyDescent="0.3">
      <c r="A542">
        <v>2105401</v>
      </c>
      <c r="B542" t="s">
        <v>1559</v>
      </c>
      <c r="C542">
        <v>-3.3990454801118406</v>
      </c>
      <c r="D542">
        <v>-44.354263390434021</v>
      </c>
    </row>
    <row r="543" spans="1:4" x14ac:dyDescent="0.3">
      <c r="A543">
        <v>2105427</v>
      </c>
      <c r="B543" t="s">
        <v>1560</v>
      </c>
      <c r="C543">
        <v>-4.4550039984458811</v>
      </c>
      <c r="D543">
        <v>-47.527909963757374</v>
      </c>
    </row>
    <row r="544" spans="1:4" x14ac:dyDescent="0.3">
      <c r="A544">
        <v>2105450</v>
      </c>
      <c r="B544" t="s">
        <v>1561</v>
      </c>
      <c r="C544">
        <v>-5.8196669367750369</v>
      </c>
      <c r="D544">
        <v>-44.219914769815816</v>
      </c>
    </row>
    <row r="545" spans="1:4" x14ac:dyDescent="0.3">
      <c r="A545">
        <v>2105476</v>
      </c>
      <c r="B545" t="s">
        <v>1562</v>
      </c>
      <c r="C545">
        <v>-5.3694249264333918</v>
      </c>
      <c r="D545">
        <v>-45.633379107420275</v>
      </c>
    </row>
    <row r="546" spans="1:4" x14ac:dyDescent="0.3">
      <c r="A546">
        <v>2105500</v>
      </c>
      <c r="B546" t="s">
        <v>1563</v>
      </c>
      <c r="C546">
        <v>-5.4536629415591715</v>
      </c>
      <c r="D546">
        <v>-47.405036149768392</v>
      </c>
    </row>
    <row r="547" spans="1:4" x14ac:dyDescent="0.3">
      <c r="A547">
        <v>2105609</v>
      </c>
      <c r="B547" t="s">
        <v>1564</v>
      </c>
      <c r="C547">
        <v>-4.9726933289474458</v>
      </c>
      <c r="D547">
        <v>-44.699152564500501</v>
      </c>
    </row>
    <row r="548" spans="1:4" x14ac:dyDescent="0.3">
      <c r="A548">
        <v>2105658</v>
      </c>
      <c r="B548" t="s">
        <v>1565</v>
      </c>
      <c r="C548">
        <v>-1.8746095975027603</v>
      </c>
      <c r="D548">
        <v>-46.070726073213685</v>
      </c>
    </row>
    <row r="549" spans="1:4" x14ac:dyDescent="0.3">
      <c r="A549">
        <v>2105708</v>
      </c>
      <c r="B549" t="s">
        <v>1566</v>
      </c>
      <c r="C549">
        <v>-4.564744515000001</v>
      </c>
      <c r="D549">
        <v>-45.12589135591454</v>
      </c>
    </row>
    <row r="550" spans="1:4" x14ac:dyDescent="0.3">
      <c r="A550">
        <v>2105807</v>
      </c>
      <c r="B550" t="s">
        <v>1567</v>
      </c>
      <c r="C550">
        <v>-4.6076432176836564</v>
      </c>
      <c r="D550">
        <v>-45.051344392116526</v>
      </c>
    </row>
    <row r="551" spans="1:4" x14ac:dyDescent="0.3">
      <c r="A551">
        <v>2105906</v>
      </c>
      <c r="B551" t="s">
        <v>1568</v>
      </c>
      <c r="C551">
        <v>-4.0387112952766557</v>
      </c>
      <c r="D551">
        <v>-44.937635231994236</v>
      </c>
    </row>
    <row r="552" spans="1:4" x14ac:dyDescent="0.3">
      <c r="A552">
        <v>2105922</v>
      </c>
      <c r="B552" t="s">
        <v>1569</v>
      </c>
      <c r="C552">
        <v>-6.0452772965708208</v>
      </c>
      <c r="D552">
        <v>-43.527559116562664</v>
      </c>
    </row>
    <row r="553" spans="1:4" x14ac:dyDescent="0.3">
      <c r="A553">
        <v>2105948</v>
      </c>
      <c r="B553" t="s">
        <v>1570</v>
      </c>
      <c r="C553">
        <v>-4.6123757769314802</v>
      </c>
      <c r="D553">
        <v>-44.976442325587691</v>
      </c>
    </row>
    <row r="554" spans="1:4" x14ac:dyDescent="0.3">
      <c r="A554">
        <v>2105963</v>
      </c>
      <c r="B554" t="s">
        <v>1571</v>
      </c>
      <c r="C554">
        <v>-4.9931237371371262</v>
      </c>
      <c r="D554">
        <v>-45.390614279361337</v>
      </c>
    </row>
    <row r="555" spans="1:4" x14ac:dyDescent="0.3">
      <c r="A555">
        <v>2105989</v>
      </c>
      <c r="B555" t="s">
        <v>1572</v>
      </c>
      <c r="C555">
        <v>-6.1916092266668601</v>
      </c>
      <c r="D555">
        <v>-47.032447517100366</v>
      </c>
    </row>
    <row r="556" spans="1:4" x14ac:dyDescent="0.3">
      <c r="A556">
        <v>2106003</v>
      </c>
      <c r="B556" t="s">
        <v>1573</v>
      </c>
      <c r="C556">
        <v>-4.5170459872175304</v>
      </c>
      <c r="D556">
        <v>-44.469340329223634</v>
      </c>
    </row>
    <row r="557" spans="1:4" x14ac:dyDescent="0.3">
      <c r="A557">
        <v>2106102</v>
      </c>
      <c r="B557" t="s">
        <v>1574</v>
      </c>
      <c r="C557">
        <v>-7.0944541653822215</v>
      </c>
      <c r="D557">
        <v>-45.139241637527334</v>
      </c>
    </row>
    <row r="558" spans="1:4" x14ac:dyDescent="0.3">
      <c r="A558">
        <v>2106201</v>
      </c>
      <c r="B558" t="s">
        <v>1575</v>
      </c>
      <c r="C558">
        <v>-1.3254602443530903</v>
      </c>
      <c r="D558">
        <v>-45.895331992078376</v>
      </c>
    </row>
    <row r="559" spans="1:4" x14ac:dyDescent="0.3">
      <c r="A559">
        <v>2106300</v>
      </c>
      <c r="B559" t="s">
        <v>1576</v>
      </c>
      <c r="C559">
        <v>-3.3966676742208008</v>
      </c>
      <c r="D559">
        <v>-42.201506691375052</v>
      </c>
    </row>
    <row r="560" spans="1:4" x14ac:dyDescent="0.3">
      <c r="A560">
        <v>2106326</v>
      </c>
      <c r="B560" t="s">
        <v>1577</v>
      </c>
      <c r="C560">
        <v>-2.0561645495151404</v>
      </c>
      <c r="D560">
        <v>-45.958639037167906</v>
      </c>
    </row>
    <row r="561" spans="1:4" x14ac:dyDescent="0.3">
      <c r="A561">
        <v>2106359</v>
      </c>
      <c r="B561" t="s">
        <v>1578</v>
      </c>
      <c r="C561">
        <v>-4.620313324124111</v>
      </c>
      <c r="D561">
        <v>-45.457237652578108</v>
      </c>
    </row>
    <row r="562" spans="1:4" x14ac:dyDescent="0.3">
      <c r="A562">
        <v>2106375</v>
      </c>
      <c r="B562" t="s">
        <v>1579</v>
      </c>
      <c r="C562">
        <v>-2.2356169920759954</v>
      </c>
      <c r="D562">
        <v>-45.855611454866761</v>
      </c>
    </row>
    <row r="563" spans="1:4" x14ac:dyDescent="0.3">
      <c r="A563">
        <v>2106409</v>
      </c>
      <c r="B563" t="s">
        <v>1580</v>
      </c>
      <c r="C563">
        <v>-3.6190455098937209</v>
      </c>
      <c r="D563">
        <v>-43.120389423571829</v>
      </c>
    </row>
    <row r="564" spans="1:4" x14ac:dyDescent="0.3">
      <c r="A564">
        <v>2106508</v>
      </c>
      <c r="B564" t="s">
        <v>1581</v>
      </c>
      <c r="C564">
        <v>-3.098400030000001</v>
      </c>
      <c r="D564">
        <v>-45.036428940106219</v>
      </c>
    </row>
    <row r="565" spans="1:4" x14ac:dyDescent="0.3">
      <c r="A565">
        <v>2106607</v>
      </c>
      <c r="B565" t="s">
        <v>1582</v>
      </c>
      <c r="C565">
        <v>-5.5224650194340512</v>
      </c>
      <c r="D565">
        <v>-43.201208282913008</v>
      </c>
    </row>
    <row r="566" spans="1:4" x14ac:dyDescent="0.3">
      <c r="A566">
        <v>2106631</v>
      </c>
      <c r="B566" t="s">
        <v>1583</v>
      </c>
      <c r="C566">
        <v>-3.6275187802167208</v>
      </c>
      <c r="D566">
        <v>-44.550244506940153</v>
      </c>
    </row>
    <row r="567" spans="1:4" x14ac:dyDescent="0.3">
      <c r="A567">
        <v>2106672</v>
      </c>
      <c r="B567" t="s">
        <v>1584</v>
      </c>
      <c r="C567">
        <v>-3.58220664139805</v>
      </c>
      <c r="D567">
        <v>-42.610752832510308</v>
      </c>
    </row>
    <row r="568" spans="1:4" x14ac:dyDescent="0.3">
      <c r="A568">
        <v>2106706</v>
      </c>
      <c r="B568" t="s">
        <v>1585</v>
      </c>
      <c r="C568">
        <v>-6.3775656953877506</v>
      </c>
      <c r="D568">
        <v>-44.362609793878931</v>
      </c>
    </row>
    <row r="569" spans="1:4" x14ac:dyDescent="0.3">
      <c r="A569">
        <v>2106755</v>
      </c>
      <c r="B569" t="s">
        <v>1586</v>
      </c>
      <c r="C569">
        <v>-3.5626447744298253</v>
      </c>
      <c r="D569">
        <v>-44.584275691732053</v>
      </c>
    </row>
    <row r="570" spans="1:4" x14ac:dyDescent="0.3">
      <c r="A570">
        <v>2106805</v>
      </c>
      <c r="B570" t="s">
        <v>1587</v>
      </c>
      <c r="C570">
        <v>-2.06422419159107</v>
      </c>
      <c r="D570">
        <v>-44.785755986478343</v>
      </c>
    </row>
    <row r="571" spans="1:4" x14ac:dyDescent="0.3">
      <c r="A571">
        <v>2106904</v>
      </c>
      <c r="B571" t="s">
        <v>1588</v>
      </c>
      <c r="C571">
        <v>-3.4939324800000002</v>
      </c>
      <c r="D571">
        <v>-45.247584670644109</v>
      </c>
    </row>
    <row r="572" spans="1:4" x14ac:dyDescent="0.3">
      <c r="A572">
        <v>2107001</v>
      </c>
      <c r="B572" t="s">
        <v>1589</v>
      </c>
      <c r="C572">
        <v>-5.8285625041641707</v>
      </c>
      <c r="D572">
        <v>-47.070439508014573</v>
      </c>
    </row>
    <row r="573" spans="1:4" x14ac:dyDescent="0.3">
      <c r="A573">
        <v>2107100</v>
      </c>
      <c r="B573" t="s">
        <v>1590</v>
      </c>
      <c r="C573">
        <v>-2.8614789530879055</v>
      </c>
      <c r="D573">
        <v>-44.04454454317564</v>
      </c>
    </row>
    <row r="574" spans="1:4" x14ac:dyDescent="0.3">
      <c r="A574">
        <v>2107209</v>
      </c>
      <c r="B574" t="s">
        <v>1591</v>
      </c>
      <c r="C574">
        <v>-3.4624642894470159</v>
      </c>
      <c r="D574">
        <v>-43.904484760349746</v>
      </c>
    </row>
    <row r="575" spans="1:4" x14ac:dyDescent="0.3">
      <c r="A575">
        <v>2107258</v>
      </c>
      <c r="B575" t="s">
        <v>1592</v>
      </c>
      <c r="C575">
        <v>-7.1205660035625113</v>
      </c>
      <c r="D575">
        <v>-46.259325222915322</v>
      </c>
    </row>
    <row r="576" spans="1:4" x14ac:dyDescent="0.3">
      <c r="A576">
        <v>2107308</v>
      </c>
      <c r="B576" t="s">
        <v>1593</v>
      </c>
      <c r="C576">
        <v>-6.7332033057915819</v>
      </c>
      <c r="D576">
        <v>-44.048626727101343</v>
      </c>
    </row>
    <row r="577" spans="1:4" x14ac:dyDescent="0.3">
      <c r="A577">
        <v>2107357</v>
      </c>
      <c r="B577" t="s">
        <v>1594</v>
      </c>
      <c r="C577">
        <v>-2.7998865440601155</v>
      </c>
      <c r="D577">
        <v>-45.704536040834796</v>
      </c>
    </row>
    <row r="578" spans="1:4" x14ac:dyDescent="0.3">
      <c r="A578">
        <v>2107407</v>
      </c>
      <c r="B578" t="s">
        <v>1595</v>
      </c>
      <c r="C578">
        <v>-4.1372759298054111</v>
      </c>
      <c r="D578">
        <v>-45.119579620499962</v>
      </c>
    </row>
    <row r="579" spans="1:4" x14ac:dyDescent="0.3">
      <c r="A579">
        <v>2107456</v>
      </c>
      <c r="B579" t="s">
        <v>1596</v>
      </c>
      <c r="C579">
        <v>-2.9974776154095353</v>
      </c>
      <c r="D579">
        <v>-45.003235374472673</v>
      </c>
    </row>
    <row r="580" spans="1:4" x14ac:dyDescent="0.3">
      <c r="A580">
        <v>2107506</v>
      </c>
      <c r="B580" t="s">
        <v>1597</v>
      </c>
      <c r="C580">
        <v>-2.5280630000000004</v>
      </c>
      <c r="D580">
        <v>-44.098692354840445</v>
      </c>
    </row>
    <row r="581" spans="1:4" x14ac:dyDescent="0.3">
      <c r="A581">
        <v>2107605</v>
      </c>
      <c r="B581" t="s">
        <v>1598</v>
      </c>
      <c r="C581">
        <v>-2.6477742782638853</v>
      </c>
      <c r="D581">
        <v>-44.90446389231014</v>
      </c>
    </row>
    <row r="582" spans="1:4" x14ac:dyDescent="0.3">
      <c r="A582">
        <v>2107704</v>
      </c>
      <c r="B582" t="s">
        <v>1599</v>
      </c>
      <c r="C582">
        <v>-6.4318254141389168</v>
      </c>
      <c r="D582">
        <v>-43.985762048822551</v>
      </c>
    </row>
    <row r="583" spans="1:4" x14ac:dyDescent="0.3">
      <c r="A583">
        <v>2107803</v>
      </c>
      <c r="B583" t="s">
        <v>1600</v>
      </c>
      <c r="C583">
        <v>-5.6844671764059003</v>
      </c>
      <c r="D583">
        <v>-43.090401353470149</v>
      </c>
    </row>
    <row r="584" spans="1:4" x14ac:dyDescent="0.3">
      <c r="A584">
        <v>2107902</v>
      </c>
      <c r="B584" t="s">
        <v>1601</v>
      </c>
      <c r="C584">
        <v>-6.173994425558706</v>
      </c>
      <c r="D584">
        <v>-43.781745225861997</v>
      </c>
    </row>
    <row r="585" spans="1:4" x14ac:dyDescent="0.3">
      <c r="A585">
        <v>2108009</v>
      </c>
      <c r="B585" t="s">
        <v>1602</v>
      </c>
      <c r="C585">
        <v>-6.6040277320639813</v>
      </c>
      <c r="D585">
        <v>-44.088602513371889</v>
      </c>
    </row>
    <row r="586" spans="1:4" x14ac:dyDescent="0.3">
      <c r="A586">
        <v>2108058</v>
      </c>
      <c r="B586" t="s">
        <v>1603</v>
      </c>
      <c r="C586">
        <v>-2.7182059898270756</v>
      </c>
      <c r="D586">
        <v>-42.545423980937343</v>
      </c>
    </row>
    <row r="587" spans="1:4" x14ac:dyDescent="0.3">
      <c r="A587">
        <v>2108108</v>
      </c>
      <c r="B587" t="s">
        <v>1604</v>
      </c>
      <c r="C587">
        <v>-4.4479567659363557</v>
      </c>
      <c r="D587">
        <v>-45.239980004729908</v>
      </c>
    </row>
    <row r="588" spans="1:4" x14ac:dyDescent="0.3">
      <c r="A588">
        <v>2108207</v>
      </c>
      <c r="B588" t="s">
        <v>1605</v>
      </c>
      <c r="C588">
        <v>-4.5693506880990462</v>
      </c>
      <c r="D588">
        <v>-44.603734876327053</v>
      </c>
    </row>
    <row r="589" spans="1:4" x14ac:dyDescent="0.3">
      <c r="A589">
        <v>2108256</v>
      </c>
      <c r="B589" t="s">
        <v>1606</v>
      </c>
      <c r="C589">
        <v>-2.9681146726782157</v>
      </c>
      <c r="D589">
        <v>-45.346453734141548</v>
      </c>
    </row>
    <row r="590" spans="1:4" x14ac:dyDescent="0.3">
      <c r="A590">
        <v>2108306</v>
      </c>
      <c r="B590" t="s">
        <v>1607</v>
      </c>
      <c r="C590">
        <v>-3.2932333177692206</v>
      </c>
      <c r="D590">
        <v>-45.176461688768804</v>
      </c>
    </row>
    <row r="591" spans="1:4" x14ac:dyDescent="0.3">
      <c r="A591">
        <v>2108405</v>
      </c>
      <c r="B591" t="s">
        <v>1608</v>
      </c>
      <c r="C591">
        <v>-2.5730546485060755</v>
      </c>
      <c r="D591">
        <v>-44.850290700058885</v>
      </c>
    </row>
    <row r="592" spans="1:4" x14ac:dyDescent="0.3">
      <c r="A592">
        <v>2108454</v>
      </c>
      <c r="B592" t="s">
        <v>1609</v>
      </c>
      <c r="C592">
        <v>-4.3702251176571112</v>
      </c>
      <c r="D592">
        <v>-44.32585352391488</v>
      </c>
    </row>
    <row r="593" spans="1:4" x14ac:dyDescent="0.3">
      <c r="A593">
        <v>2108504</v>
      </c>
      <c r="B593" t="s">
        <v>1610</v>
      </c>
      <c r="C593">
        <v>-3.6055005749138855</v>
      </c>
      <c r="D593">
        <v>-45.346867917843277</v>
      </c>
    </row>
    <row r="594" spans="1:4" x14ac:dyDescent="0.3">
      <c r="A594">
        <v>2108603</v>
      </c>
      <c r="B594" t="s">
        <v>1611</v>
      </c>
      <c r="C594">
        <v>-2.5227405000000007</v>
      </c>
      <c r="D594">
        <v>-45.083926601293747</v>
      </c>
    </row>
    <row r="595" spans="1:4" x14ac:dyDescent="0.3">
      <c r="A595">
        <v>2108702</v>
      </c>
      <c r="B595" t="s">
        <v>1612</v>
      </c>
      <c r="C595">
        <v>-3.8875875301278162</v>
      </c>
      <c r="D595">
        <v>-45.169960388664997</v>
      </c>
    </row>
    <row r="596" spans="1:4" x14ac:dyDescent="0.3">
      <c r="A596">
        <v>2108801</v>
      </c>
      <c r="B596" t="s">
        <v>1613</v>
      </c>
      <c r="C596">
        <v>-3.7253290661168306</v>
      </c>
      <c r="D596">
        <v>-44.228280883841535</v>
      </c>
    </row>
    <row r="597" spans="1:4" x14ac:dyDescent="0.3">
      <c r="A597">
        <v>2108900</v>
      </c>
      <c r="B597" t="s">
        <v>1614</v>
      </c>
      <c r="C597">
        <v>-4.7500252112449513</v>
      </c>
      <c r="D597">
        <v>-44.95155140031514</v>
      </c>
    </row>
    <row r="598" spans="1:4" x14ac:dyDescent="0.3">
      <c r="A598">
        <v>2109007</v>
      </c>
      <c r="B598" t="s">
        <v>1615</v>
      </c>
      <c r="C598">
        <v>-6.3541818639141416</v>
      </c>
      <c r="D598">
        <v>-47.382164901919289</v>
      </c>
    </row>
    <row r="599" spans="1:4" x14ac:dyDescent="0.3">
      <c r="A599">
        <v>2109056</v>
      </c>
      <c r="B599" t="s">
        <v>1616</v>
      </c>
      <c r="C599">
        <v>-1.8572232148441303</v>
      </c>
      <c r="D599">
        <v>-44.583747889556832</v>
      </c>
    </row>
    <row r="600" spans="1:4" x14ac:dyDescent="0.3">
      <c r="A600">
        <v>2109106</v>
      </c>
      <c r="B600" t="s">
        <v>1617</v>
      </c>
      <c r="C600">
        <v>-5.2823742577588311</v>
      </c>
      <c r="D600">
        <v>-44.492918862424638</v>
      </c>
    </row>
    <row r="601" spans="1:4" x14ac:dyDescent="0.3">
      <c r="A601">
        <v>2109205</v>
      </c>
      <c r="B601" t="s">
        <v>1618</v>
      </c>
      <c r="C601">
        <v>-2.928229246149225</v>
      </c>
      <c r="D601">
        <v>-44.076779421418465</v>
      </c>
    </row>
    <row r="602" spans="1:4" x14ac:dyDescent="0.3">
      <c r="A602">
        <v>2109239</v>
      </c>
      <c r="B602" t="s">
        <v>1053</v>
      </c>
      <c r="C602">
        <v>-2.3836640465391352</v>
      </c>
      <c r="D602">
        <v>-45.82070864755385</v>
      </c>
    </row>
    <row r="603" spans="1:4" x14ac:dyDescent="0.3">
      <c r="A603">
        <v>2109270</v>
      </c>
      <c r="B603" t="s">
        <v>1619</v>
      </c>
      <c r="C603">
        <v>-2.5955305599059852</v>
      </c>
      <c r="D603">
        <v>-45.37130226064491</v>
      </c>
    </row>
    <row r="604" spans="1:4" x14ac:dyDescent="0.3">
      <c r="A604">
        <v>2109304</v>
      </c>
      <c r="B604" t="s">
        <v>1620</v>
      </c>
      <c r="C604">
        <v>-3.4020115222065552</v>
      </c>
      <c r="D604">
        <v>-44.033401867334234</v>
      </c>
    </row>
    <row r="605" spans="1:4" x14ac:dyDescent="0.3">
      <c r="A605">
        <v>2109403</v>
      </c>
      <c r="B605" t="s">
        <v>1621</v>
      </c>
      <c r="C605">
        <v>-2.5105831719635754</v>
      </c>
      <c r="D605">
        <v>-43.442443304698685</v>
      </c>
    </row>
    <row r="606" spans="1:4" x14ac:dyDescent="0.3">
      <c r="A606">
        <v>2109452</v>
      </c>
      <c r="B606" t="s">
        <v>1622</v>
      </c>
      <c r="C606">
        <v>-2.4150749026286755</v>
      </c>
      <c r="D606">
        <v>-44.102516164203131</v>
      </c>
    </row>
    <row r="607" spans="1:4" x14ac:dyDescent="0.3">
      <c r="A607">
        <v>2109502</v>
      </c>
      <c r="B607" t="s">
        <v>1623</v>
      </c>
      <c r="C607">
        <v>-7.3645650002402068</v>
      </c>
      <c r="D607">
        <v>-46.623350142907434</v>
      </c>
    </row>
    <row r="608" spans="1:4" x14ac:dyDescent="0.3">
      <c r="A608">
        <v>2109551</v>
      </c>
      <c r="B608" t="s">
        <v>1624</v>
      </c>
      <c r="C608">
        <v>-5.9338228588185711</v>
      </c>
      <c r="D608">
        <v>-47.383477787079933</v>
      </c>
    </row>
    <row r="609" spans="1:4" x14ac:dyDescent="0.3">
      <c r="A609">
        <v>2109601</v>
      </c>
      <c r="B609" t="s">
        <v>1625</v>
      </c>
      <c r="C609">
        <v>-2.9415430350000009</v>
      </c>
      <c r="D609">
        <v>-44.247518595261518</v>
      </c>
    </row>
    <row r="610" spans="1:4" x14ac:dyDescent="0.3">
      <c r="A610">
        <v>2109700</v>
      </c>
      <c r="B610" t="s">
        <v>1626</v>
      </c>
      <c r="C610">
        <v>-7.1383508974979613</v>
      </c>
      <c r="D610">
        <v>-45.344203198013908</v>
      </c>
    </row>
    <row r="611" spans="1:4" x14ac:dyDescent="0.3">
      <c r="A611">
        <v>2109759</v>
      </c>
      <c r="B611" t="s">
        <v>1627</v>
      </c>
      <c r="C611">
        <v>-5.4997668067220955</v>
      </c>
      <c r="D611">
        <v>-44.563714040131167</v>
      </c>
    </row>
    <row r="612" spans="1:4" x14ac:dyDescent="0.3">
      <c r="A612">
        <v>2109809</v>
      </c>
      <c r="B612" t="s">
        <v>1628</v>
      </c>
      <c r="C612">
        <v>-2.2345325089267556</v>
      </c>
      <c r="D612">
        <v>-45.305161193237865</v>
      </c>
    </row>
    <row r="613" spans="1:4" x14ac:dyDescent="0.3">
      <c r="A613">
        <v>2109908</v>
      </c>
      <c r="B613" t="s">
        <v>1629</v>
      </c>
      <c r="C613">
        <v>-3.6585745200000006</v>
      </c>
      <c r="D613">
        <v>-45.378272452302404</v>
      </c>
    </row>
    <row r="614" spans="1:4" x14ac:dyDescent="0.3">
      <c r="A614">
        <v>2110005</v>
      </c>
      <c r="B614" t="s">
        <v>1630</v>
      </c>
      <c r="C614">
        <v>-3.9683914650000007</v>
      </c>
      <c r="D614">
        <v>-45.665011724937195</v>
      </c>
    </row>
    <row r="615" spans="1:4" x14ac:dyDescent="0.3">
      <c r="A615">
        <v>2110039</v>
      </c>
      <c r="B615" t="s">
        <v>1631</v>
      </c>
      <c r="C615">
        <v>-2.5461614748149053</v>
      </c>
      <c r="D615">
        <v>-45.776461561590068</v>
      </c>
    </row>
    <row r="616" spans="1:4" x14ac:dyDescent="0.3">
      <c r="A616">
        <v>2110104</v>
      </c>
      <c r="B616" t="s">
        <v>1632</v>
      </c>
      <c r="C616">
        <v>-3.4984849951150911</v>
      </c>
      <c r="D616">
        <v>-42.56287300973522</v>
      </c>
    </row>
    <row r="617" spans="1:4" x14ac:dyDescent="0.3">
      <c r="A617">
        <v>2110203</v>
      </c>
      <c r="B617" t="s">
        <v>1633</v>
      </c>
      <c r="C617">
        <v>-3.1341167656710209</v>
      </c>
      <c r="D617">
        <v>-44.319948081875737</v>
      </c>
    </row>
    <row r="618" spans="1:4" x14ac:dyDescent="0.3">
      <c r="A618">
        <v>2110237</v>
      </c>
      <c r="B618" t="s">
        <v>1634</v>
      </c>
      <c r="C618">
        <v>-3.1130683427816854</v>
      </c>
      <c r="D618">
        <v>-42.400767757189342</v>
      </c>
    </row>
    <row r="619" spans="1:4" x14ac:dyDescent="0.3">
      <c r="A619">
        <v>2110278</v>
      </c>
      <c r="B619" t="s">
        <v>1635</v>
      </c>
      <c r="C619">
        <v>-2.5027211989686955</v>
      </c>
      <c r="D619">
        <v>-43.255284942244757</v>
      </c>
    </row>
    <row r="620" spans="1:4" x14ac:dyDescent="0.3">
      <c r="A620">
        <v>2110302</v>
      </c>
      <c r="B620" t="s">
        <v>1636</v>
      </c>
      <c r="C620">
        <v>-4.8738195755970262</v>
      </c>
      <c r="D620">
        <v>-44.361447433801935</v>
      </c>
    </row>
    <row r="621" spans="1:4" x14ac:dyDescent="0.3">
      <c r="A621">
        <v>2110401</v>
      </c>
      <c r="B621" t="s">
        <v>1637</v>
      </c>
      <c r="C621">
        <v>-3.3327660037302556</v>
      </c>
      <c r="D621">
        <v>-43.529991870162931</v>
      </c>
    </row>
    <row r="622" spans="1:4" x14ac:dyDescent="0.3">
      <c r="A622">
        <v>2110500</v>
      </c>
      <c r="B622" t="s">
        <v>1638</v>
      </c>
      <c r="C622">
        <v>-2.6970075000000002</v>
      </c>
      <c r="D622">
        <v>-44.828345179924248</v>
      </c>
    </row>
    <row r="623" spans="1:4" x14ac:dyDescent="0.3">
      <c r="A623">
        <v>2110609</v>
      </c>
      <c r="B623" t="s">
        <v>1639</v>
      </c>
      <c r="C623">
        <v>-3.3654365101107353</v>
      </c>
      <c r="D623">
        <v>-42.423009660914055</v>
      </c>
    </row>
    <row r="624" spans="1:4" x14ac:dyDescent="0.3">
      <c r="A624">
        <v>2110658</v>
      </c>
      <c r="B624" t="s">
        <v>1640</v>
      </c>
      <c r="C624">
        <v>-6.8044250097513803</v>
      </c>
      <c r="D624">
        <v>-44.650423910253579</v>
      </c>
    </row>
    <row r="625" spans="1:4" x14ac:dyDescent="0.3">
      <c r="A625">
        <v>2110708</v>
      </c>
      <c r="B625" t="s">
        <v>1641</v>
      </c>
      <c r="C625">
        <v>-5.5656420001824012</v>
      </c>
      <c r="D625">
        <v>-44.392879256866571</v>
      </c>
    </row>
    <row r="626" spans="1:4" x14ac:dyDescent="0.3">
      <c r="A626">
        <v>2110807</v>
      </c>
      <c r="B626" t="s">
        <v>1642</v>
      </c>
      <c r="C626">
        <v>-7.0846851542497564</v>
      </c>
      <c r="D626">
        <v>-44.811447661475121</v>
      </c>
    </row>
    <row r="627" spans="1:4" x14ac:dyDescent="0.3">
      <c r="A627">
        <v>2110856</v>
      </c>
      <c r="B627" t="s">
        <v>1643</v>
      </c>
      <c r="C627">
        <v>-5.1302007871662711</v>
      </c>
      <c r="D627">
        <v>-47.391137398594658</v>
      </c>
    </row>
    <row r="628" spans="1:4" x14ac:dyDescent="0.3">
      <c r="A628">
        <v>2110906</v>
      </c>
      <c r="B628" t="s">
        <v>1644</v>
      </c>
      <c r="C628">
        <v>-6.2527979166509011</v>
      </c>
      <c r="D628">
        <v>-42.865321727557699</v>
      </c>
    </row>
    <row r="629" spans="1:4" x14ac:dyDescent="0.3">
      <c r="A629">
        <v>2111003</v>
      </c>
      <c r="B629" t="s">
        <v>1645</v>
      </c>
      <c r="C629">
        <v>-2.9533329124580505</v>
      </c>
      <c r="D629">
        <v>-44.81176185306483</v>
      </c>
    </row>
    <row r="630" spans="1:4" x14ac:dyDescent="0.3">
      <c r="A630">
        <v>2111029</v>
      </c>
      <c r="B630" t="s">
        <v>1646</v>
      </c>
      <c r="C630">
        <v>-3.5608034068608601</v>
      </c>
      <c r="D630">
        <v>-46.254925482726314</v>
      </c>
    </row>
    <row r="631" spans="1:4" x14ac:dyDescent="0.3">
      <c r="A631">
        <v>2111052</v>
      </c>
      <c r="B631" t="s">
        <v>1647</v>
      </c>
      <c r="C631">
        <v>-6.4662222863639762</v>
      </c>
      <c r="D631">
        <v>-47.05061042049519</v>
      </c>
    </row>
    <row r="632" spans="1:4" x14ac:dyDescent="0.3">
      <c r="A632">
        <v>2111078</v>
      </c>
      <c r="B632" t="s">
        <v>1648</v>
      </c>
      <c r="C632">
        <v>-5.1157392643699708</v>
      </c>
      <c r="D632">
        <v>-43.818181795106135</v>
      </c>
    </row>
    <row r="633" spans="1:4" x14ac:dyDescent="0.3">
      <c r="A633">
        <v>2111102</v>
      </c>
      <c r="B633" t="s">
        <v>1649</v>
      </c>
      <c r="C633">
        <v>-6.4982081521098012</v>
      </c>
      <c r="D633">
        <v>-43.702910165795821</v>
      </c>
    </row>
    <row r="634" spans="1:4" x14ac:dyDescent="0.3">
      <c r="A634">
        <v>2111201</v>
      </c>
      <c r="B634" t="s">
        <v>1650</v>
      </c>
      <c r="C634">
        <v>-2.5558585200000006</v>
      </c>
      <c r="D634">
        <v>-44.057548115053152</v>
      </c>
    </row>
    <row r="635" spans="1:4" x14ac:dyDescent="0.3">
      <c r="A635">
        <v>2111250</v>
      </c>
      <c r="B635" t="s">
        <v>1651</v>
      </c>
      <c r="C635">
        <v>-5.0486872451511706</v>
      </c>
      <c r="D635">
        <v>-44.582446517558068</v>
      </c>
    </row>
    <row r="636" spans="1:4" x14ac:dyDescent="0.3">
      <c r="A636">
        <v>2111300</v>
      </c>
      <c r="B636" t="s">
        <v>1652</v>
      </c>
      <c r="C636">
        <v>-2.5318859850833904</v>
      </c>
      <c r="D636">
        <v>-44.297918564244377</v>
      </c>
    </row>
    <row r="637" spans="1:4" x14ac:dyDescent="0.3">
      <c r="A637">
        <v>2111409</v>
      </c>
      <c r="B637" t="s">
        <v>1653</v>
      </c>
      <c r="C637">
        <v>-4.3739184905659254</v>
      </c>
      <c r="D637">
        <v>-44.662708496449802</v>
      </c>
    </row>
    <row r="638" spans="1:4" x14ac:dyDescent="0.3">
      <c r="A638">
        <v>2111508</v>
      </c>
      <c r="B638" t="s">
        <v>1654</v>
      </c>
      <c r="C638">
        <v>-4.0345505101326147</v>
      </c>
      <c r="D638">
        <v>-44.468562811094557</v>
      </c>
    </row>
    <row r="639" spans="1:4" x14ac:dyDescent="0.3">
      <c r="A639">
        <v>2111532</v>
      </c>
      <c r="B639" t="s">
        <v>1655</v>
      </c>
      <c r="C639">
        <v>-5.0889109974074058</v>
      </c>
      <c r="D639">
        <v>-48.423623593645623</v>
      </c>
    </row>
    <row r="640" spans="1:4" x14ac:dyDescent="0.3">
      <c r="A640">
        <v>2111573</v>
      </c>
      <c r="B640" t="s">
        <v>1656</v>
      </c>
      <c r="C640">
        <v>-6.8285556408383448</v>
      </c>
      <c r="D640">
        <v>-46.532580347369802</v>
      </c>
    </row>
    <row r="641" spans="1:4" x14ac:dyDescent="0.3">
      <c r="A641">
        <v>2111607</v>
      </c>
      <c r="B641" t="s">
        <v>1657</v>
      </c>
      <c r="C641">
        <v>-7.0269626571684762</v>
      </c>
      <c r="D641">
        <v>-45.484831430220225</v>
      </c>
    </row>
    <row r="642" spans="1:4" x14ac:dyDescent="0.3">
      <c r="A642">
        <v>2111631</v>
      </c>
      <c r="B642" t="s">
        <v>1658</v>
      </c>
      <c r="C642">
        <v>-5.1031818448971604</v>
      </c>
      <c r="D642">
        <v>-45.084162790278292</v>
      </c>
    </row>
    <row r="643" spans="1:4" x14ac:dyDescent="0.3">
      <c r="A643">
        <v>2111672</v>
      </c>
      <c r="B643" t="s">
        <v>1659</v>
      </c>
      <c r="C643">
        <v>-5.0173668823808866</v>
      </c>
      <c r="D643">
        <v>-44.991901159293405</v>
      </c>
    </row>
    <row r="644" spans="1:4" x14ac:dyDescent="0.3">
      <c r="A644">
        <v>2111706</v>
      </c>
      <c r="B644" t="s">
        <v>1660</v>
      </c>
      <c r="C644">
        <v>-2.8907310643779458</v>
      </c>
      <c r="D644">
        <v>-44.886904576614555</v>
      </c>
    </row>
    <row r="645" spans="1:4" x14ac:dyDescent="0.3">
      <c r="A645">
        <v>2111722</v>
      </c>
      <c r="B645" t="s">
        <v>1661</v>
      </c>
      <c r="C645">
        <v>-4.0357354948102806</v>
      </c>
      <c r="D645">
        <v>-45.233629576248077</v>
      </c>
    </row>
    <row r="646" spans="1:4" x14ac:dyDescent="0.3">
      <c r="A646">
        <v>2111748</v>
      </c>
      <c r="B646" t="s">
        <v>1662</v>
      </c>
      <c r="C646">
        <v>-5.2610765443838856</v>
      </c>
      <c r="D646">
        <v>-44.056301506417029</v>
      </c>
    </row>
    <row r="647" spans="1:4" x14ac:dyDescent="0.3">
      <c r="A647">
        <v>2111763</v>
      </c>
      <c r="B647" t="s">
        <v>1663</v>
      </c>
      <c r="C647">
        <v>-5.4418324951783861</v>
      </c>
      <c r="D647">
        <v>-47.289191423982174</v>
      </c>
    </row>
    <row r="648" spans="1:4" x14ac:dyDescent="0.3">
      <c r="A648">
        <v>2111789</v>
      </c>
      <c r="B648" t="s">
        <v>1664</v>
      </c>
      <c r="C648">
        <v>-1.8526455417275205</v>
      </c>
      <c r="D648">
        <v>-45.114640849743466</v>
      </c>
    </row>
    <row r="649" spans="1:4" x14ac:dyDescent="0.3">
      <c r="A649">
        <v>2111805</v>
      </c>
      <c r="B649" t="s">
        <v>814</v>
      </c>
      <c r="C649">
        <v>-5.8706298913123414</v>
      </c>
      <c r="D649">
        <v>-46.694983340680835</v>
      </c>
    </row>
    <row r="650" spans="1:4" x14ac:dyDescent="0.3">
      <c r="A650">
        <v>2111904</v>
      </c>
      <c r="B650" t="s">
        <v>1665</v>
      </c>
      <c r="C650">
        <v>-6.4782844476203607</v>
      </c>
      <c r="D650">
        <v>-44.18860270519027</v>
      </c>
    </row>
    <row r="651" spans="1:4" x14ac:dyDescent="0.3">
      <c r="A651">
        <v>2111953</v>
      </c>
      <c r="B651" t="s">
        <v>1666</v>
      </c>
      <c r="C651">
        <v>-6.420108405126471</v>
      </c>
      <c r="D651">
        <v>-43.545853320845154</v>
      </c>
    </row>
    <row r="652" spans="1:4" x14ac:dyDescent="0.3">
      <c r="A652">
        <v>2112001</v>
      </c>
      <c r="B652" t="s">
        <v>1667</v>
      </c>
      <c r="C652">
        <v>-8.4798310178668803</v>
      </c>
      <c r="D652">
        <v>-45.744123517510225</v>
      </c>
    </row>
    <row r="653" spans="1:4" x14ac:dyDescent="0.3">
      <c r="A653">
        <v>2112100</v>
      </c>
      <c r="B653" t="s">
        <v>1668</v>
      </c>
      <c r="C653">
        <v>-4.2538405050000012</v>
      </c>
      <c r="D653">
        <v>-43.938433973839146</v>
      </c>
    </row>
    <row r="654" spans="1:4" x14ac:dyDescent="0.3">
      <c r="A654">
        <v>2112209</v>
      </c>
      <c r="B654" t="s">
        <v>1669</v>
      </c>
      <c r="C654">
        <v>-5.1006811101293472</v>
      </c>
      <c r="D654">
        <v>-42.833727898859664</v>
      </c>
    </row>
    <row r="655" spans="1:4" x14ac:dyDescent="0.3">
      <c r="A655">
        <v>2112233</v>
      </c>
      <c r="B655" t="s">
        <v>1670</v>
      </c>
      <c r="C655">
        <v>-4.5701268566099706</v>
      </c>
      <c r="D655">
        <v>-44.610685196646109</v>
      </c>
    </row>
    <row r="656" spans="1:4" x14ac:dyDescent="0.3">
      <c r="A656">
        <v>2112274</v>
      </c>
      <c r="B656" t="s">
        <v>1671</v>
      </c>
      <c r="C656">
        <v>-3.6764041183838003</v>
      </c>
      <c r="D656">
        <v>-45.633916475681808</v>
      </c>
    </row>
    <row r="657" spans="1:4" x14ac:dyDescent="0.3">
      <c r="A657">
        <v>2112308</v>
      </c>
      <c r="B657" t="s">
        <v>1672</v>
      </c>
      <c r="C657">
        <v>-5.2496555400000009</v>
      </c>
      <c r="D657">
        <v>-44.649012151664735</v>
      </c>
    </row>
    <row r="658" spans="1:4" x14ac:dyDescent="0.3">
      <c r="A658">
        <v>2112407</v>
      </c>
      <c r="B658" t="s">
        <v>1673</v>
      </c>
      <c r="C658">
        <v>-1.6690220476817303</v>
      </c>
      <c r="D658">
        <v>-45.369152417224079</v>
      </c>
    </row>
    <row r="659" spans="1:4" x14ac:dyDescent="0.3">
      <c r="A659">
        <v>2112456</v>
      </c>
      <c r="B659" t="s">
        <v>1674</v>
      </c>
      <c r="C659">
        <v>-2.2288335249505207</v>
      </c>
      <c r="D659">
        <v>-45.306765311970011</v>
      </c>
    </row>
    <row r="660" spans="1:4" x14ac:dyDescent="0.3">
      <c r="A660">
        <v>2112506</v>
      </c>
      <c r="B660" t="s">
        <v>1675</v>
      </c>
      <c r="C660">
        <v>-2.7635501968886858</v>
      </c>
      <c r="D660">
        <v>-42.276847207694331</v>
      </c>
    </row>
    <row r="661" spans="1:4" x14ac:dyDescent="0.3">
      <c r="A661">
        <v>2112605</v>
      </c>
      <c r="B661" t="s">
        <v>1676</v>
      </c>
      <c r="C661">
        <v>-3.2084094995858652</v>
      </c>
      <c r="D661">
        <v>-43.404248472356237</v>
      </c>
    </row>
    <row r="662" spans="1:4" x14ac:dyDescent="0.3">
      <c r="A662">
        <v>2112704</v>
      </c>
      <c r="B662" t="s">
        <v>1677</v>
      </c>
      <c r="C662">
        <v>-3.5418960001165156</v>
      </c>
      <c r="D662">
        <v>-43.916664490165211</v>
      </c>
    </row>
    <row r="663" spans="1:4" x14ac:dyDescent="0.3">
      <c r="A663">
        <v>2112803</v>
      </c>
      <c r="B663" t="s">
        <v>1678</v>
      </c>
      <c r="C663">
        <v>-3.2145625130662459</v>
      </c>
      <c r="D663">
        <v>-45.001306695261597</v>
      </c>
    </row>
    <row r="664" spans="1:4" x14ac:dyDescent="0.3">
      <c r="A664">
        <v>2112852</v>
      </c>
      <c r="B664" t="s">
        <v>1679</v>
      </c>
      <c r="C664">
        <v>-5.1835115192042718</v>
      </c>
      <c r="D664">
        <v>-48.138926482600951</v>
      </c>
    </row>
    <row r="665" spans="1:4" x14ac:dyDescent="0.3">
      <c r="A665">
        <v>2112902</v>
      </c>
      <c r="B665" t="s">
        <v>1680</v>
      </c>
      <c r="C665">
        <v>-3.4820473645466108</v>
      </c>
      <c r="D665">
        <v>-44.869572240558945</v>
      </c>
    </row>
    <row r="666" spans="1:4" x14ac:dyDescent="0.3">
      <c r="A666">
        <v>2113009</v>
      </c>
      <c r="B666" t="s">
        <v>1681</v>
      </c>
      <c r="C666">
        <v>-4.2911865001409906</v>
      </c>
      <c r="D666">
        <v>-45.244185143155015</v>
      </c>
    </row>
    <row r="667" spans="1:4" x14ac:dyDescent="0.3">
      <c r="A667">
        <v>2114007</v>
      </c>
      <c r="B667" t="s">
        <v>1682</v>
      </c>
      <c r="C667">
        <v>-3.2754805</v>
      </c>
      <c r="D667">
        <v>-45.657697860604991</v>
      </c>
    </row>
    <row r="668" spans="1:4" x14ac:dyDescent="0.3">
      <c r="A668">
        <v>2200053</v>
      </c>
      <c r="B668" t="s">
        <v>1683</v>
      </c>
      <c r="C668">
        <v>-8.2207866628776216</v>
      </c>
      <c r="D668">
        <v>-41.08363781723866</v>
      </c>
    </row>
    <row r="669" spans="1:4" x14ac:dyDescent="0.3">
      <c r="A669">
        <v>2200103</v>
      </c>
      <c r="B669" t="s">
        <v>1684</v>
      </c>
      <c r="C669">
        <v>-5.7955019354348059</v>
      </c>
      <c r="D669">
        <v>-42.659183197435574</v>
      </c>
    </row>
    <row r="670" spans="1:4" x14ac:dyDescent="0.3">
      <c r="A670">
        <v>2200202</v>
      </c>
      <c r="B670" t="s">
        <v>1685</v>
      </c>
      <c r="C670">
        <v>-5.8932663379450796</v>
      </c>
      <c r="D670">
        <v>-42.635130859958537</v>
      </c>
    </row>
    <row r="671" spans="1:4" x14ac:dyDescent="0.3">
      <c r="A671">
        <v>2200251</v>
      </c>
      <c r="B671" t="s">
        <v>1686</v>
      </c>
      <c r="C671">
        <v>-7.0081752801499775</v>
      </c>
      <c r="D671">
        <v>-40.934634816919221</v>
      </c>
    </row>
    <row r="672" spans="1:4" x14ac:dyDescent="0.3">
      <c r="A672">
        <v>2200277</v>
      </c>
      <c r="B672" t="s">
        <v>1687</v>
      </c>
      <c r="C672">
        <v>-7.2453494663005005</v>
      </c>
      <c r="D672">
        <v>-40.857862989614596</v>
      </c>
    </row>
    <row r="673" spans="1:4" x14ac:dyDescent="0.3">
      <c r="A673">
        <v>2200301</v>
      </c>
      <c r="B673" t="s">
        <v>1688</v>
      </c>
      <c r="C673">
        <v>-5.2509930113512713</v>
      </c>
      <c r="D673">
        <v>-42.210321962160997</v>
      </c>
    </row>
    <row r="674" spans="1:4" x14ac:dyDescent="0.3">
      <c r="A674">
        <v>2200400</v>
      </c>
      <c r="B674" t="s">
        <v>1689</v>
      </c>
      <c r="C674">
        <v>-5.0365464343405515</v>
      </c>
      <c r="D674">
        <v>-42.460948035556832</v>
      </c>
    </row>
    <row r="675" spans="1:4" x14ac:dyDescent="0.3">
      <c r="A675">
        <v>2200459</v>
      </c>
      <c r="B675" t="s">
        <v>1690</v>
      </c>
      <c r="C675">
        <v>-8.4439590722839188</v>
      </c>
      <c r="D675">
        <v>-43.863071578921641</v>
      </c>
    </row>
    <row r="676" spans="1:4" x14ac:dyDescent="0.3">
      <c r="A676">
        <v>2200509</v>
      </c>
      <c r="B676" t="s">
        <v>1691</v>
      </c>
      <c r="C676">
        <v>-6.2466107721736659</v>
      </c>
      <c r="D676">
        <v>-42.853692823032709</v>
      </c>
    </row>
    <row r="677" spans="1:4" x14ac:dyDescent="0.3">
      <c r="A677">
        <v>2200608</v>
      </c>
      <c r="B677" t="s">
        <v>1692</v>
      </c>
      <c r="C677">
        <v>-6.0872416921295907</v>
      </c>
      <c r="D677">
        <v>-42.743865748428156</v>
      </c>
    </row>
    <row r="678" spans="1:4" x14ac:dyDescent="0.3">
      <c r="A678">
        <v>2200707</v>
      </c>
      <c r="B678" t="s">
        <v>1693</v>
      </c>
      <c r="C678">
        <v>-9.1749185309069343</v>
      </c>
      <c r="D678">
        <v>-43.03485333205456</v>
      </c>
    </row>
    <row r="679" spans="1:4" x14ac:dyDescent="0.3">
      <c r="A679">
        <v>2200806</v>
      </c>
      <c r="B679" t="s">
        <v>1694</v>
      </c>
      <c r="C679">
        <v>-7.2193558340069615</v>
      </c>
      <c r="D679">
        <v>-44.196535320018278</v>
      </c>
    </row>
    <row r="680" spans="1:4" x14ac:dyDescent="0.3">
      <c r="A680">
        <v>2200905</v>
      </c>
      <c r="B680" t="s">
        <v>1695</v>
      </c>
      <c r="C680">
        <v>-6.1128502562638154</v>
      </c>
      <c r="D680">
        <v>-41.797453338793964</v>
      </c>
    </row>
    <row r="681" spans="1:4" x14ac:dyDescent="0.3">
      <c r="A681">
        <v>2200954</v>
      </c>
      <c r="B681" t="s">
        <v>1696</v>
      </c>
      <c r="C681">
        <v>-7.2787454649721504</v>
      </c>
      <c r="D681">
        <v>-41.563204418261229</v>
      </c>
    </row>
    <row r="682" spans="1:4" x14ac:dyDescent="0.3">
      <c r="A682">
        <v>2201002</v>
      </c>
      <c r="B682" t="s">
        <v>1697</v>
      </c>
      <c r="C682">
        <v>-6.6508270274781314</v>
      </c>
      <c r="D682">
        <v>-42.536566624656899</v>
      </c>
    </row>
    <row r="683" spans="1:4" x14ac:dyDescent="0.3">
      <c r="A683">
        <v>2201051</v>
      </c>
      <c r="B683" t="s">
        <v>1698</v>
      </c>
      <c r="C683">
        <v>-5.8649144945275973</v>
      </c>
      <c r="D683">
        <v>-41.050829996482783</v>
      </c>
    </row>
    <row r="684" spans="1:4" x14ac:dyDescent="0.3">
      <c r="A684">
        <v>2201101</v>
      </c>
      <c r="B684" t="s">
        <v>1699</v>
      </c>
      <c r="C684">
        <v>-10.134745012848301</v>
      </c>
      <c r="D684">
        <v>-43.941510141795916</v>
      </c>
    </row>
    <row r="685" spans="1:4" x14ac:dyDescent="0.3">
      <c r="A685">
        <v>2201150</v>
      </c>
      <c r="B685" t="s">
        <v>1700</v>
      </c>
      <c r="C685">
        <v>-7.8533519591854866</v>
      </c>
      <c r="D685">
        <v>-45.212815292566987</v>
      </c>
    </row>
    <row r="686" spans="1:4" x14ac:dyDescent="0.3">
      <c r="A686">
        <v>2201176</v>
      </c>
      <c r="B686" t="s">
        <v>1701</v>
      </c>
      <c r="C686">
        <v>-6.5188730722938963</v>
      </c>
      <c r="D686">
        <v>-42.105002082581926</v>
      </c>
    </row>
    <row r="687" spans="1:4" x14ac:dyDescent="0.3">
      <c r="A687">
        <v>2201200</v>
      </c>
      <c r="B687" t="s">
        <v>1702</v>
      </c>
      <c r="C687">
        <v>-4.2430933543436753</v>
      </c>
      <c r="D687">
        <v>-42.295339857346384</v>
      </c>
    </row>
    <row r="688" spans="1:4" x14ac:dyDescent="0.3">
      <c r="A688">
        <v>2201309</v>
      </c>
      <c r="B688" t="s">
        <v>1703</v>
      </c>
      <c r="C688">
        <v>-9.9212468267430562</v>
      </c>
      <c r="D688">
        <v>-45.477787705450339</v>
      </c>
    </row>
    <row r="689" spans="1:4" x14ac:dyDescent="0.3">
      <c r="A689">
        <v>2201408</v>
      </c>
      <c r="B689" t="s">
        <v>1704</v>
      </c>
      <c r="C689">
        <v>-5.8123597078159204</v>
      </c>
      <c r="D689">
        <v>-42.513377822116283</v>
      </c>
    </row>
    <row r="690" spans="1:4" x14ac:dyDescent="0.3">
      <c r="A690">
        <v>2201507</v>
      </c>
      <c r="B690" t="s">
        <v>1705</v>
      </c>
      <c r="C690">
        <v>-4.0204123357539006</v>
      </c>
      <c r="D690">
        <v>-42.075218732031011</v>
      </c>
    </row>
    <row r="691" spans="1:4" x14ac:dyDescent="0.3">
      <c r="A691">
        <v>2201556</v>
      </c>
      <c r="B691" t="s">
        <v>1706</v>
      </c>
      <c r="C691">
        <v>-7.9721853195718655</v>
      </c>
      <c r="D691">
        <v>-41.871379643970897</v>
      </c>
    </row>
    <row r="692" spans="1:4" x14ac:dyDescent="0.3">
      <c r="A692">
        <v>2201572</v>
      </c>
      <c r="B692" t="s">
        <v>1707</v>
      </c>
      <c r="C692">
        <v>-7.3701396155186707</v>
      </c>
      <c r="D692">
        <v>-40.970302190694198</v>
      </c>
    </row>
    <row r="693" spans="1:4" x14ac:dyDescent="0.3">
      <c r="A693">
        <v>2201606</v>
      </c>
      <c r="B693" t="s">
        <v>1708</v>
      </c>
      <c r="C693">
        <v>-5.447602860240365</v>
      </c>
      <c r="D693">
        <v>-42.370616702474692</v>
      </c>
    </row>
    <row r="694" spans="1:4" x14ac:dyDescent="0.3">
      <c r="A694">
        <v>2201705</v>
      </c>
      <c r="B694" t="s">
        <v>1709</v>
      </c>
      <c r="C694">
        <v>-7.628624763104332</v>
      </c>
      <c r="D694">
        <v>-43.954387739102643</v>
      </c>
    </row>
    <row r="695" spans="1:4" x14ac:dyDescent="0.3">
      <c r="A695">
        <v>2201739</v>
      </c>
      <c r="B695" t="s">
        <v>1710</v>
      </c>
      <c r="C695">
        <v>-8.1456655772957607</v>
      </c>
      <c r="D695">
        <v>-40.796621928823491</v>
      </c>
    </row>
    <row r="696" spans="1:4" x14ac:dyDescent="0.3">
      <c r="A696">
        <v>2201770</v>
      </c>
      <c r="B696" t="s">
        <v>1711</v>
      </c>
      <c r="C696">
        <v>-4.409009605802356</v>
      </c>
      <c r="D696">
        <v>-42.125295735875532</v>
      </c>
    </row>
    <row r="697" spans="1:4" x14ac:dyDescent="0.3">
      <c r="A697">
        <v>2201804</v>
      </c>
      <c r="B697" t="s">
        <v>1712</v>
      </c>
      <c r="C697">
        <v>-6.954842332595577</v>
      </c>
      <c r="D697">
        <v>-41.322340682651337</v>
      </c>
    </row>
    <row r="698" spans="1:4" x14ac:dyDescent="0.3">
      <c r="A698">
        <v>2201903</v>
      </c>
      <c r="B698" t="s">
        <v>1713</v>
      </c>
      <c r="C698">
        <v>-9.0709489836737216</v>
      </c>
      <c r="D698">
        <v>-44.360525084823848</v>
      </c>
    </row>
    <row r="699" spans="1:4" x14ac:dyDescent="0.3">
      <c r="A699">
        <v>2201919</v>
      </c>
      <c r="B699" t="s">
        <v>1714</v>
      </c>
      <c r="C699">
        <v>-3.189858687605386</v>
      </c>
      <c r="D699">
        <v>-41.645209570125537</v>
      </c>
    </row>
    <row r="700" spans="1:4" x14ac:dyDescent="0.3">
      <c r="A700">
        <v>2201929</v>
      </c>
      <c r="B700" t="s">
        <v>1715</v>
      </c>
      <c r="C700">
        <v>-9.1665605392746574</v>
      </c>
      <c r="D700">
        <v>-42.879663065094313</v>
      </c>
    </row>
    <row r="701" spans="1:4" x14ac:dyDescent="0.3">
      <c r="A701">
        <v>2201945</v>
      </c>
      <c r="B701" t="s">
        <v>1716</v>
      </c>
      <c r="C701">
        <v>-4.4858196316437349</v>
      </c>
      <c r="D701">
        <v>-42.103627134747335</v>
      </c>
    </row>
    <row r="702" spans="1:4" x14ac:dyDescent="0.3">
      <c r="A702">
        <v>2201960</v>
      </c>
      <c r="B702" t="s">
        <v>1717</v>
      </c>
      <c r="C702">
        <v>-4.1378291077451612</v>
      </c>
      <c r="D702">
        <v>-41.789259643570865</v>
      </c>
    </row>
    <row r="703" spans="1:4" x14ac:dyDescent="0.3">
      <c r="A703">
        <v>2201988</v>
      </c>
      <c r="B703" t="s">
        <v>1718</v>
      </c>
      <c r="C703">
        <v>-8.2070647663720511</v>
      </c>
      <c r="D703">
        <v>-42.830301809824576</v>
      </c>
    </row>
    <row r="704" spans="1:4" x14ac:dyDescent="0.3">
      <c r="A704">
        <v>2202000</v>
      </c>
      <c r="B704" t="s">
        <v>1719</v>
      </c>
      <c r="C704">
        <v>-3.1727213350545855</v>
      </c>
      <c r="D704">
        <v>-41.869908847123078</v>
      </c>
    </row>
    <row r="705" spans="1:4" x14ac:dyDescent="0.3">
      <c r="A705">
        <v>2202026</v>
      </c>
      <c r="B705" t="s">
        <v>1720</v>
      </c>
      <c r="C705">
        <v>-5.31206678256848</v>
      </c>
      <c r="D705">
        <v>-41.101851393670323</v>
      </c>
    </row>
    <row r="706" spans="1:4" x14ac:dyDescent="0.3">
      <c r="A706">
        <v>2202059</v>
      </c>
      <c r="B706" t="s">
        <v>1721</v>
      </c>
      <c r="C706">
        <v>-4.4713312938013994</v>
      </c>
      <c r="D706">
        <v>-42.308316065312262</v>
      </c>
    </row>
    <row r="707" spans="1:4" x14ac:dyDescent="0.3">
      <c r="A707">
        <v>2202075</v>
      </c>
      <c r="B707" t="s">
        <v>1722</v>
      </c>
      <c r="C707">
        <v>-6.7941841175421311</v>
      </c>
      <c r="D707">
        <v>-42.39672729460144</v>
      </c>
    </row>
    <row r="708" spans="1:4" x14ac:dyDescent="0.3">
      <c r="A708">
        <v>2202083</v>
      </c>
      <c r="B708" t="s">
        <v>1723</v>
      </c>
      <c r="C708">
        <v>-2.9292271717717955</v>
      </c>
      <c r="D708">
        <v>-41.347150362160775</v>
      </c>
    </row>
    <row r="709" spans="1:4" x14ac:dyDescent="0.3">
      <c r="A709">
        <v>2202091</v>
      </c>
      <c r="B709" t="s">
        <v>1724</v>
      </c>
      <c r="C709">
        <v>-7.331559651784386</v>
      </c>
      <c r="D709">
        <v>-40.63741891268014</v>
      </c>
    </row>
    <row r="710" spans="1:4" x14ac:dyDescent="0.3">
      <c r="A710">
        <v>2202109</v>
      </c>
      <c r="B710" t="s">
        <v>1725</v>
      </c>
      <c r="C710">
        <v>-7.6547781279614462</v>
      </c>
      <c r="D710">
        <v>-41.880745292981786</v>
      </c>
    </row>
    <row r="711" spans="1:4" x14ac:dyDescent="0.3">
      <c r="A711">
        <v>2202117</v>
      </c>
      <c r="B711" t="s">
        <v>1726</v>
      </c>
      <c r="C711">
        <v>-8.3744803806649077</v>
      </c>
      <c r="D711">
        <v>-41.832013324157991</v>
      </c>
    </row>
    <row r="712" spans="1:4" x14ac:dyDescent="0.3">
      <c r="A712">
        <v>2202133</v>
      </c>
      <c r="B712" t="s">
        <v>1727</v>
      </c>
      <c r="C712">
        <v>-7.1359931202487363</v>
      </c>
      <c r="D712">
        <v>-41.031200960401968</v>
      </c>
    </row>
    <row r="713" spans="1:4" x14ac:dyDescent="0.3">
      <c r="A713">
        <v>2202174</v>
      </c>
      <c r="B713" t="s">
        <v>1728</v>
      </c>
      <c r="C713">
        <v>-3.8078689391976002</v>
      </c>
      <c r="D713">
        <v>-42.626041041660905</v>
      </c>
    </row>
    <row r="714" spans="1:4" x14ac:dyDescent="0.3">
      <c r="A714">
        <v>2202208</v>
      </c>
      <c r="B714" t="s">
        <v>1729</v>
      </c>
      <c r="C714">
        <v>-4.8291139265716962</v>
      </c>
      <c r="D714">
        <v>-42.166744604689953</v>
      </c>
    </row>
    <row r="715" spans="1:4" x14ac:dyDescent="0.3">
      <c r="A715">
        <v>2202251</v>
      </c>
      <c r="B715" t="s">
        <v>1730</v>
      </c>
      <c r="C715">
        <v>-7.6946215595311571</v>
      </c>
      <c r="D715">
        <v>-43.719428033365318</v>
      </c>
    </row>
    <row r="716" spans="1:4" x14ac:dyDescent="0.3">
      <c r="A716">
        <v>2202307</v>
      </c>
      <c r="B716" t="s">
        <v>1731</v>
      </c>
      <c r="C716">
        <v>-8.1082319197227619</v>
      </c>
      <c r="D716">
        <v>-42.944021021961184</v>
      </c>
    </row>
    <row r="717" spans="1:4" x14ac:dyDescent="0.3">
      <c r="A717">
        <v>2202406</v>
      </c>
      <c r="B717" t="s">
        <v>1732</v>
      </c>
      <c r="C717">
        <v>-4.4585592683976207</v>
      </c>
      <c r="D717">
        <v>-41.943521972432485</v>
      </c>
    </row>
    <row r="718" spans="1:4" x14ac:dyDescent="0.3">
      <c r="A718">
        <v>2202455</v>
      </c>
      <c r="B718" t="s">
        <v>1733</v>
      </c>
      <c r="C718">
        <v>-8.4968378683872601</v>
      </c>
      <c r="D718">
        <v>-41.816116312390498</v>
      </c>
    </row>
    <row r="719" spans="1:4" x14ac:dyDescent="0.3">
      <c r="A719">
        <v>2202505</v>
      </c>
      <c r="B719" t="s">
        <v>1734</v>
      </c>
      <c r="C719">
        <v>-9.2767652672051906</v>
      </c>
      <c r="D719">
        <v>-43.334200450751631</v>
      </c>
    </row>
    <row r="720" spans="1:4" x14ac:dyDescent="0.3">
      <c r="A720">
        <v>2202539</v>
      </c>
      <c r="B720" t="s">
        <v>1735</v>
      </c>
      <c r="C720">
        <v>-3.4785905375349602</v>
      </c>
      <c r="D720">
        <v>-41.841208125991791</v>
      </c>
    </row>
    <row r="721" spans="1:4" x14ac:dyDescent="0.3">
      <c r="A721">
        <v>2202554</v>
      </c>
      <c r="B721" t="s">
        <v>1736</v>
      </c>
      <c r="C721">
        <v>-7.7286523875636011</v>
      </c>
      <c r="D721">
        <v>-40.99033454675854</v>
      </c>
    </row>
    <row r="722" spans="1:4" x14ac:dyDescent="0.3">
      <c r="A722">
        <v>2202604</v>
      </c>
      <c r="B722" t="s">
        <v>1737</v>
      </c>
      <c r="C722">
        <v>-5.3215438708934508</v>
      </c>
      <c r="D722">
        <v>-41.547316242666092</v>
      </c>
    </row>
    <row r="723" spans="1:4" x14ac:dyDescent="0.3">
      <c r="A723">
        <v>2202653</v>
      </c>
      <c r="B723" t="s">
        <v>1738</v>
      </c>
      <c r="C723">
        <v>-3.4269384028484708</v>
      </c>
      <c r="D723">
        <v>-41.882683761064108</v>
      </c>
    </row>
    <row r="724" spans="1:4" x14ac:dyDescent="0.3">
      <c r="A724">
        <v>2202703</v>
      </c>
      <c r="B724" t="s">
        <v>1739</v>
      </c>
      <c r="C724">
        <v>-3.4704534896913311</v>
      </c>
      <c r="D724">
        <v>-41.556844834573482</v>
      </c>
    </row>
    <row r="725" spans="1:4" x14ac:dyDescent="0.3">
      <c r="A725">
        <v>2202711</v>
      </c>
      <c r="B725" t="s">
        <v>1740</v>
      </c>
      <c r="C725">
        <v>-4.5538157239161299</v>
      </c>
      <c r="D725">
        <v>-41.979047873964198</v>
      </c>
    </row>
    <row r="726" spans="1:4" x14ac:dyDescent="0.3">
      <c r="A726">
        <v>2202729</v>
      </c>
      <c r="B726" t="s">
        <v>1741</v>
      </c>
      <c r="C726">
        <v>-3.6060725907542608</v>
      </c>
      <c r="D726">
        <v>-41.455418910830502</v>
      </c>
    </row>
    <row r="727" spans="1:4" x14ac:dyDescent="0.3">
      <c r="A727">
        <v>2202737</v>
      </c>
      <c r="B727" t="s">
        <v>1742</v>
      </c>
      <c r="C727">
        <v>-5.0913083513540354</v>
      </c>
      <c r="D727">
        <v>-42.207315906284023</v>
      </c>
    </row>
    <row r="728" spans="1:4" x14ac:dyDescent="0.3">
      <c r="A728">
        <v>2202752</v>
      </c>
      <c r="B728" t="s">
        <v>1743</v>
      </c>
      <c r="C728">
        <v>-8.1875742163409413</v>
      </c>
      <c r="D728">
        <v>-43.796017156065666</v>
      </c>
    </row>
    <row r="729" spans="1:4" x14ac:dyDescent="0.3">
      <c r="A729">
        <v>2202778</v>
      </c>
      <c r="B729" t="s">
        <v>1744</v>
      </c>
      <c r="C729">
        <v>-7.2236575639522105</v>
      </c>
      <c r="D729">
        <v>-42.177118506394564</v>
      </c>
    </row>
    <row r="730" spans="1:4" x14ac:dyDescent="0.3">
      <c r="A730">
        <v>2202802</v>
      </c>
      <c r="B730" t="s">
        <v>1745</v>
      </c>
      <c r="C730">
        <v>-7.8827041538753271</v>
      </c>
      <c r="D730">
        <v>-41.596633943915812</v>
      </c>
    </row>
    <row r="731" spans="1:4" x14ac:dyDescent="0.3">
      <c r="A731">
        <v>2202851</v>
      </c>
      <c r="B731" t="s">
        <v>1746</v>
      </c>
      <c r="C731">
        <v>-8.816369411489891</v>
      </c>
      <c r="D731">
        <v>-42.470357101219236</v>
      </c>
    </row>
    <row r="732" spans="1:4" x14ac:dyDescent="0.3">
      <c r="A732">
        <v>2202901</v>
      </c>
      <c r="B732" t="s">
        <v>1747</v>
      </c>
      <c r="C732">
        <v>-10.4409360381237</v>
      </c>
      <c r="D732">
        <v>-45.163312523576742</v>
      </c>
    </row>
    <row r="733" spans="1:4" x14ac:dyDescent="0.3">
      <c r="A733">
        <v>2203008</v>
      </c>
      <c r="B733" t="s">
        <v>1748</v>
      </c>
      <c r="C733">
        <v>-10.647803751798451</v>
      </c>
      <c r="D733">
        <v>-45.186030700132576</v>
      </c>
    </row>
    <row r="734" spans="1:4" x14ac:dyDescent="0.3">
      <c r="A734">
        <v>2203107</v>
      </c>
      <c r="B734" t="s">
        <v>1749</v>
      </c>
      <c r="C734">
        <v>-8.8201862885101523</v>
      </c>
      <c r="D734">
        <v>-44.224414747345222</v>
      </c>
    </row>
    <row r="735" spans="1:4" x14ac:dyDescent="0.3">
      <c r="A735">
        <v>2203206</v>
      </c>
      <c r="B735" t="s">
        <v>1750</v>
      </c>
      <c r="C735">
        <v>-10.031292430329353</v>
      </c>
      <c r="D735">
        <v>-44.300722232874911</v>
      </c>
    </row>
    <row r="736" spans="1:4" x14ac:dyDescent="0.3">
      <c r="A736">
        <v>2203230</v>
      </c>
      <c r="B736" t="s">
        <v>1751</v>
      </c>
      <c r="C736">
        <v>-9.0124338389367864</v>
      </c>
      <c r="D736">
        <v>-44.40300215304547</v>
      </c>
    </row>
    <row r="737" spans="1:4" x14ac:dyDescent="0.3">
      <c r="A737">
        <v>2203255</v>
      </c>
      <c r="B737" t="s">
        <v>1752</v>
      </c>
      <c r="C737">
        <v>-5.6204532293569756</v>
      </c>
      <c r="D737">
        <v>-42.832210519304425</v>
      </c>
    </row>
    <row r="738" spans="1:4" x14ac:dyDescent="0.3">
      <c r="A738">
        <v>2203271</v>
      </c>
      <c r="B738" t="s">
        <v>1753</v>
      </c>
      <c r="C738">
        <v>-7.8307971883909557</v>
      </c>
      <c r="D738">
        <v>-40.901069470701479</v>
      </c>
    </row>
    <row r="739" spans="1:4" x14ac:dyDescent="0.3">
      <c r="A739">
        <v>2203305</v>
      </c>
      <c r="B739" t="s">
        <v>1754</v>
      </c>
      <c r="C739">
        <v>-5.358465465910486</v>
      </c>
      <c r="D739">
        <v>-42.674228611091159</v>
      </c>
    </row>
    <row r="740" spans="1:4" x14ac:dyDescent="0.3">
      <c r="A740">
        <v>2203354</v>
      </c>
      <c r="B740" t="s">
        <v>1755</v>
      </c>
      <c r="C740">
        <v>-9.3352000440684115</v>
      </c>
      <c r="D740">
        <v>-42.439569962008939</v>
      </c>
    </row>
    <row r="741" spans="1:4" x14ac:dyDescent="0.3">
      <c r="A741">
        <v>2203404</v>
      </c>
      <c r="B741" t="s">
        <v>1756</v>
      </c>
      <c r="C741">
        <v>-6.9579018426874164</v>
      </c>
      <c r="D741">
        <v>-41.652385211308406</v>
      </c>
    </row>
    <row r="742" spans="1:4" x14ac:dyDescent="0.3">
      <c r="A742">
        <v>2203420</v>
      </c>
      <c r="B742" t="s">
        <v>1757</v>
      </c>
      <c r="C742">
        <v>-4.2534336344923007</v>
      </c>
      <c r="D742">
        <v>-41.271881448866736</v>
      </c>
    </row>
    <row r="743" spans="1:4" x14ac:dyDescent="0.3">
      <c r="A743">
        <v>2203453</v>
      </c>
      <c r="B743" t="s">
        <v>1758</v>
      </c>
      <c r="C743">
        <v>-9.0080749434279266</v>
      </c>
      <c r="D743">
        <v>-41.976851118755086</v>
      </c>
    </row>
    <row r="744" spans="1:4" x14ac:dyDescent="0.3">
      <c r="A744">
        <v>2203503</v>
      </c>
      <c r="B744" t="s">
        <v>1759</v>
      </c>
      <c r="C744">
        <v>-6.2017194613116704</v>
      </c>
      <c r="D744">
        <v>-42.13814444950355</v>
      </c>
    </row>
    <row r="745" spans="1:4" x14ac:dyDescent="0.3">
      <c r="A745">
        <v>2203602</v>
      </c>
      <c r="B745" t="s">
        <v>1760</v>
      </c>
      <c r="C745">
        <v>-8.0964622895840925</v>
      </c>
      <c r="D745">
        <v>-43.664811131697284</v>
      </c>
    </row>
    <row r="746" spans="1:4" x14ac:dyDescent="0.3">
      <c r="A746">
        <v>2203701</v>
      </c>
      <c r="B746" t="s">
        <v>1387</v>
      </c>
      <c r="C746">
        <v>-3.8956045306383102</v>
      </c>
      <c r="D746">
        <v>-42.23536452510384</v>
      </c>
    </row>
    <row r="747" spans="1:4" x14ac:dyDescent="0.3">
      <c r="A747">
        <v>2203750</v>
      </c>
      <c r="B747" t="s">
        <v>1761</v>
      </c>
      <c r="C747">
        <v>-9.4786062862875351</v>
      </c>
      <c r="D747">
        <v>-42.794401403178156</v>
      </c>
    </row>
    <row r="748" spans="1:4" x14ac:dyDescent="0.3">
      <c r="A748">
        <v>2203800</v>
      </c>
      <c r="B748" t="s">
        <v>1762</v>
      </c>
      <c r="C748">
        <v>-7.7917756017730211</v>
      </c>
      <c r="D748">
        <v>-42.924305801985916</v>
      </c>
    </row>
    <row r="749" spans="1:4" x14ac:dyDescent="0.3">
      <c r="A749">
        <v>2203859</v>
      </c>
      <c r="B749" t="s">
        <v>1763</v>
      </c>
      <c r="C749">
        <v>-7.4667953749068712</v>
      </c>
      <c r="D749">
        <v>-41.800314291438987</v>
      </c>
    </row>
    <row r="750" spans="1:4" x14ac:dyDescent="0.3">
      <c r="A750">
        <v>2203909</v>
      </c>
      <c r="B750" t="s">
        <v>1764</v>
      </c>
      <c r="C750">
        <v>-6.7696724337863605</v>
      </c>
      <c r="D750">
        <v>-43.020644738325494</v>
      </c>
    </row>
    <row r="751" spans="1:4" x14ac:dyDescent="0.3">
      <c r="A751">
        <v>2204006</v>
      </c>
      <c r="B751" t="s">
        <v>1765</v>
      </c>
      <c r="C751">
        <v>-6.3952926225871263</v>
      </c>
      <c r="D751">
        <v>-42.263366098962415</v>
      </c>
    </row>
    <row r="752" spans="1:4" x14ac:dyDescent="0.3">
      <c r="A752">
        <v>2204105</v>
      </c>
      <c r="B752" t="s">
        <v>1766</v>
      </c>
      <c r="C752">
        <v>-6.6233435319053857</v>
      </c>
      <c r="D752">
        <v>-42.691127844808804</v>
      </c>
    </row>
    <row r="753" spans="1:4" x14ac:dyDescent="0.3">
      <c r="A753">
        <v>2204154</v>
      </c>
      <c r="B753" t="s">
        <v>1767</v>
      </c>
      <c r="C753">
        <v>-7.327871040554351</v>
      </c>
      <c r="D753">
        <v>-40.79556735413248</v>
      </c>
    </row>
    <row r="754" spans="1:4" x14ac:dyDescent="0.3">
      <c r="A754">
        <v>2204204</v>
      </c>
      <c r="B754" t="s">
        <v>1768</v>
      </c>
      <c r="C754">
        <v>-6.99417113754419</v>
      </c>
      <c r="D754">
        <v>-41.13615733650024</v>
      </c>
    </row>
    <row r="755" spans="1:4" x14ac:dyDescent="0.3">
      <c r="A755">
        <v>2204303</v>
      </c>
      <c r="B755" t="s">
        <v>1769</v>
      </c>
      <c r="C755">
        <v>-7.0884125328916303</v>
      </c>
      <c r="D755">
        <v>-40.617232930657117</v>
      </c>
    </row>
    <row r="756" spans="1:4" x14ac:dyDescent="0.3">
      <c r="A756">
        <v>2204352</v>
      </c>
      <c r="B756" t="s">
        <v>1770</v>
      </c>
      <c r="C756">
        <v>-7.1584176258898156</v>
      </c>
      <c r="D756">
        <v>-41.357579760471388</v>
      </c>
    </row>
    <row r="757" spans="1:4" x14ac:dyDescent="0.3">
      <c r="A757">
        <v>2204402</v>
      </c>
      <c r="B757" t="s">
        <v>1771</v>
      </c>
      <c r="C757">
        <v>-9.8345699055161173</v>
      </c>
      <c r="D757">
        <v>-45.346919978209172</v>
      </c>
    </row>
    <row r="758" spans="1:4" x14ac:dyDescent="0.3">
      <c r="A758">
        <v>2204501</v>
      </c>
      <c r="B758" t="s">
        <v>1772</v>
      </c>
      <c r="C758">
        <v>-6.7852469086730887</v>
      </c>
      <c r="D758">
        <v>-43.566923654532353</v>
      </c>
    </row>
    <row r="759" spans="1:4" x14ac:dyDescent="0.3">
      <c r="A759">
        <v>2204550</v>
      </c>
      <c r="B759" t="s">
        <v>1773</v>
      </c>
      <c r="C759">
        <v>-9.3951113037193057</v>
      </c>
      <c r="D759">
        <v>-43.687721027429049</v>
      </c>
    </row>
    <row r="760" spans="1:4" x14ac:dyDescent="0.3">
      <c r="A760">
        <v>2204600</v>
      </c>
      <c r="B760" t="s">
        <v>1774</v>
      </c>
      <c r="C760">
        <v>-5.9877878906995248</v>
      </c>
      <c r="D760">
        <v>-42.562563046624788</v>
      </c>
    </row>
    <row r="761" spans="1:4" x14ac:dyDescent="0.3">
      <c r="A761">
        <v>2204659</v>
      </c>
      <c r="B761" t="s">
        <v>1775</v>
      </c>
      <c r="C761">
        <v>-2.8540086071972102</v>
      </c>
      <c r="D761">
        <v>-41.819773184042411</v>
      </c>
    </row>
    <row r="762" spans="1:4" x14ac:dyDescent="0.3">
      <c r="A762">
        <v>2204709</v>
      </c>
      <c r="B762" t="s">
        <v>1776</v>
      </c>
      <c r="C762">
        <v>-6.6671203406794159</v>
      </c>
      <c r="D762">
        <v>-41.71019405649276</v>
      </c>
    </row>
    <row r="763" spans="1:4" x14ac:dyDescent="0.3">
      <c r="A763">
        <v>2204808</v>
      </c>
      <c r="B763" t="s">
        <v>1777</v>
      </c>
      <c r="C763">
        <v>-6.826932678287025</v>
      </c>
      <c r="D763">
        <v>-41.739914127943827</v>
      </c>
    </row>
    <row r="764" spans="1:4" x14ac:dyDescent="0.3">
      <c r="A764">
        <v>2204907</v>
      </c>
      <c r="B764" t="s">
        <v>1778</v>
      </c>
      <c r="C764">
        <v>-7.7343106966578308</v>
      </c>
      <c r="D764">
        <v>-41.679448082497785</v>
      </c>
    </row>
    <row r="765" spans="1:4" x14ac:dyDescent="0.3">
      <c r="A765">
        <v>2205003</v>
      </c>
      <c r="B765" t="s">
        <v>1779</v>
      </c>
      <c r="C765">
        <v>-7.4512808131422812</v>
      </c>
      <c r="D765">
        <v>-41.480025310496821</v>
      </c>
    </row>
    <row r="766" spans="1:4" x14ac:dyDescent="0.3">
      <c r="A766">
        <v>2205102</v>
      </c>
      <c r="B766" t="s">
        <v>1780</v>
      </c>
      <c r="C766">
        <v>-7.6081166325284402</v>
      </c>
      <c r="D766">
        <v>-43.025496507781661</v>
      </c>
    </row>
    <row r="767" spans="1:4" x14ac:dyDescent="0.3">
      <c r="A767">
        <v>2205151</v>
      </c>
      <c r="B767" t="s">
        <v>1781</v>
      </c>
      <c r="C767">
        <v>-7.9362644875044763</v>
      </c>
      <c r="D767">
        <v>-41.210762050670212</v>
      </c>
    </row>
    <row r="768" spans="1:4" x14ac:dyDescent="0.3">
      <c r="A768">
        <v>2205201</v>
      </c>
      <c r="B768" t="s">
        <v>1782</v>
      </c>
      <c r="C768">
        <v>-7.3531523272213359</v>
      </c>
      <c r="D768">
        <v>-41.146474813496773</v>
      </c>
    </row>
    <row r="769" spans="1:4" x14ac:dyDescent="0.3">
      <c r="A769">
        <v>2205250</v>
      </c>
      <c r="B769" t="s">
        <v>1783</v>
      </c>
      <c r="C769">
        <v>-6.0965775947566963</v>
      </c>
      <c r="D769">
        <v>-42.633959563210261</v>
      </c>
    </row>
    <row r="770" spans="1:4" x14ac:dyDescent="0.3">
      <c r="A770">
        <v>2205276</v>
      </c>
      <c r="B770" t="s">
        <v>1784</v>
      </c>
      <c r="C770">
        <v>-4.7731589442887463</v>
      </c>
      <c r="D770">
        <v>-41.81982221856709</v>
      </c>
    </row>
    <row r="771" spans="1:4" x14ac:dyDescent="0.3">
      <c r="A771">
        <v>2205300</v>
      </c>
      <c r="B771" t="s">
        <v>1785</v>
      </c>
      <c r="C771">
        <v>-7.0846321938725714</v>
      </c>
      <c r="D771">
        <v>-43.502743006402056</v>
      </c>
    </row>
    <row r="772" spans="1:4" x14ac:dyDescent="0.3">
      <c r="A772">
        <v>2205359</v>
      </c>
      <c r="B772" t="s">
        <v>1786</v>
      </c>
      <c r="C772">
        <v>-8.4891257219295717</v>
      </c>
      <c r="D772">
        <v>-42.417848580647075</v>
      </c>
    </row>
    <row r="773" spans="1:4" x14ac:dyDescent="0.3">
      <c r="A773">
        <v>2205409</v>
      </c>
      <c r="B773" t="s">
        <v>1787</v>
      </c>
      <c r="C773">
        <v>-3.5131035478766655</v>
      </c>
      <c r="D773">
        <v>-42.18768980355329</v>
      </c>
    </row>
    <row r="774" spans="1:4" x14ac:dyDescent="0.3">
      <c r="A774">
        <v>2205458</v>
      </c>
      <c r="B774" t="s">
        <v>1788</v>
      </c>
      <c r="C774">
        <v>-3.4880338255658607</v>
      </c>
      <c r="D774">
        <v>-42.427737078981387</v>
      </c>
    </row>
    <row r="775" spans="1:4" x14ac:dyDescent="0.3">
      <c r="A775">
        <v>2205508</v>
      </c>
      <c r="B775" t="s">
        <v>1789</v>
      </c>
      <c r="C775">
        <v>-4.7630506394826559</v>
      </c>
      <c r="D775">
        <v>-42.578374531545656</v>
      </c>
    </row>
    <row r="776" spans="1:4" x14ac:dyDescent="0.3">
      <c r="A776">
        <v>2205516</v>
      </c>
      <c r="B776" t="s">
        <v>1790</v>
      </c>
      <c r="C776">
        <v>-5.1613727542935104</v>
      </c>
      <c r="D776">
        <v>-41.702600759666133</v>
      </c>
    </row>
    <row r="777" spans="1:4" x14ac:dyDescent="0.3">
      <c r="A777">
        <v>2205524</v>
      </c>
      <c r="B777" t="s">
        <v>1791</v>
      </c>
      <c r="C777">
        <v>-10.326786813698952</v>
      </c>
      <c r="D777">
        <v>-44.243700632399872</v>
      </c>
    </row>
    <row r="778" spans="1:4" x14ac:dyDescent="0.3">
      <c r="A778">
        <v>2205532</v>
      </c>
      <c r="B778" t="s">
        <v>1792</v>
      </c>
      <c r="C778">
        <v>-9.2220247204558401</v>
      </c>
      <c r="D778">
        <v>-43.133109743046774</v>
      </c>
    </row>
    <row r="779" spans="1:4" x14ac:dyDescent="0.3">
      <c r="A779">
        <v>2205540</v>
      </c>
      <c r="B779" t="s">
        <v>1793</v>
      </c>
      <c r="C779">
        <v>-5.8365834406235102</v>
      </c>
      <c r="D779">
        <v>-42.627383729854863</v>
      </c>
    </row>
    <row r="780" spans="1:4" x14ac:dyDescent="0.3">
      <c r="A780">
        <v>2205557</v>
      </c>
      <c r="B780" t="s">
        <v>1794</v>
      </c>
      <c r="C780">
        <v>-4.5087297492294054</v>
      </c>
      <c r="D780">
        <v>-42.616742539048822</v>
      </c>
    </row>
    <row r="781" spans="1:4" x14ac:dyDescent="0.3">
      <c r="A781">
        <v>2205565</v>
      </c>
      <c r="B781" t="s">
        <v>1795</v>
      </c>
      <c r="C781">
        <v>-8.4824371151592661</v>
      </c>
      <c r="D781">
        <v>-41.530275405735047</v>
      </c>
    </row>
    <row r="782" spans="1:4" x14ac:dyDescent="0.3">
      <c r="A782">
        <v>2205573</v>
      </c>
      <c r="B782" t="s">
        <v>1796</v>
      </c>
      <c r="C782">
        <v>-4.3927463866533154</v>
      </c>
      <c r="D782">
        <v>-41.605468690243057</v>
      </c>
    </row>
    <row r="783" spans="1:4" x14ac:dyDescent="0.3">
      <c r="A783">
        <v>2205581</v>
      </c>
      <c r="B783" t="s">
        <v>1797</v>
      </c>
      <c r="C783">
        <v>-5.4121441696234767</v>
      </c>
      <c r="D783">
        <v>-42.6490132063022</v>
      </c>
    </row>
    <row r="784" spans="1:4" x14ac:dyDescent="0.3">
      <c r="A784">
        <v>2205599</v>
      </c>
      <c r="B784" t="s">
        <v>1798</v>
      </c>
      <c r="C784">
        <v>-6.5153476297760058</v>
      </c>
      <c r="D784">
        <v>-41.582386301286128</v>
      </c>
    </row>
    <row r="785" spans="1:4" x14ac:dyDescent="0.3">
      <c r="A785">
        <v>2205607</v>
      </c>
      <c r="B785" t="s">
        <v>1799</v>
      </c>
      <c r="C785">
        <v>-7.2665999754135155</v>
      </c>
      <c r="D785">
        <v>-43.931045515144362</v>
      </c>
    </row>
    <row r="786" spans="1:4" x14ac:dyDescent="0.3">
      <c r="A786">
        <v>2205706</v>
      </c>
      <c r="B786" t="s">
        <v>1800</v>
      </c>
      <c r="C786">
        <v>-2.8815665358482208</v>
      </c>
      <c r="D786">
        <v>-41.664567232274806</v>
      </c>
    </row>
    <row r="787" spans="1:4" x14ac:dyDescent="0.3">
      <c r="A787">
        <v>2205805</v>
      </c>
      <c r="B787" t="s">
        <v>1801</v>
      </c>
      <c r="C787">
        <v>-3.4608176351806708</v>
      </c>
      <c r="D787">
        <v>-42.371637523824553</v>
      </c>
    </row>
    <row r="788" spans="1:4" x14ac:dyDescent="0.3">
      <c r="A788">
        <v>2205854</v>
      </c>
      <c r="B788" t="s">
        <v>1802</v>
      </c>
      <c r="C788">
        <v>-3.4842120051906855</v>
      </c>
      <c r="D788">
        <v>-42.505141246490993</v>
      </c>
    </row>
    <row r="789" spans="1:4" x14ac:dyDescent="0.3">
      <c r="A789">
        <v>2205904</v>
      </c>
      <c r="B789" t="s">
        <v>1803</v>
      </c>
      <c r="C789">
        <v>-8.0113586739756908</v>
      </c>
      <c r="D789">
        <v>-43.875474671666147</v>
      </c>
    </row>
    <row r="790" spans="1:4" x14ac:dyDescent="0.3">
      <c r="A790">
        <v>2205953</v>
      </c>
      <c r="B790" t="s">
        <v>1804</v>
      </c>
      <c r="C790">
        <v>-7.4435566613610762</v>
      </c>
      <c r="D790">
        <v>-40.662854291382423</v>
      </c>
    </row>
    <row r="791" spans="1:4" x14ac:dyDescent="0.3">
      <c r="A791">
        <v>2206001</v>
      </c>
      <c r="B791" t="s">
        <v>1805</v>
      </c>
      <c r="C791">
        <v>-7.1192953774512109</v>
      </c>
      <c r="D791">
        <v>-43.888314008621251</v>
      </c>
    </row>
    <row r="792" spans="1:4" x14ac:dyDescent="0.3">
      <c r="A792">
        <v>2206050</v>
      </c>
      <c r="B792" t="s">
        <v>1806</v>
      </c>
      <c r="C792">
        <v>-7.4654826844832263</v>
      </c>
      <c r="D792">
        <v>-41.123854684618912</v>
      </c>
    </row>
    <row r="793" spans="1:4" x14ac:dyDescent="0.3">
      <c r="A793">
        <v>2206100</v>
      </c>
      <c r="B793" t="s">
        <v>1807</v>
      </c>
      <c r="C793">
        <v>-3.7110272834389253</v>
      </c>
      <c r="D793">
        <v>-42.55862890276078</v>
      </c>
    </row>
    <row r="794" spans="1:4" x14ac:dyDescent="0.3">
      <c r="A794">
        <v>2206209</v>
      </c>
      <c r="B794" t="s">
        <v>1808</v>
      </c>
      <c r="C794">
        <v>-4.1682155823206761</v>
      </c>
      <c r="D794">
        <v>-42.893166649262717</v>
      </c>
    </row>
    <row r="795" spans="1:4" x14ac:dyDescent="0.3">
      <c r="A795">
        <v>2206308</v>
      </c>
      <c r="B795" t="s">
        <v>1809</v>
      </c>
      <c r="C795">
        <v>-5.6822417804360068</v>
      </c>
      <c r="D795">
        <v>-42.735829525240298</v>
      </c>
    </row>
    <row r="796" spans="1:4" x14ac:dyDescent="0.3">
      <c r="A796">
        <v>2206357</v>
      </c>
      <c r="B796" t="s">
        <v>1810</v>
      </c>
      <c r="C796">
        <v>-4.6999534775574405</v>
      </c>
      <c r="D796">
        <v>-41.447959541232073</v>
      </c>
    </row>
    <row r="797" spans="1:4" x14ac:dyDescent="0.3">
      <c r="A797">
        <v>2206407</v>
      </c>
      <c r="B797" t="s">
        <v>1811</v>
      </c>
      <c r="C797">
        <v>-5.5514856313947147</v>
      </c>
      <c r="D797">
        <v>-42.617398915907053</v>
      </c>
    </row>
    <row r="798" spans="1:4" x14ac:dyDescent="0.3">
      <c r="A798">
        <v>2206506</v>
      </c>
      <c r="B798" t="s">
        <v>1812</v>
      </c>
      <c r="C798">
        <v>-7.0035024726463195</v>
      </c>
      <c r="D798">
        <v>-41.032893403647677</v>
      </c>
    </row>
    <row r="799" spans="1:4" x14ac:dyDescent="0.3">
      <c r="A799">
        <v>2206605</v>
      </c>
      <c r="B799" t="s">
        <v>1813</v>
      </c>
      <c r="C799">
        <v>-9.7558336680883411</v>
      </c>
      <c r="D799">
        <v>-45.295740220857503</v>
      </c>
    </row>
    <row r="800" spans="1:4" x14ac:dyDescent="0.3">
      <c r="A800">
        <v>2206654</v>
      </c>
      <c r="B800" t="s">
        <v>1814</v>
      </c>
      <c r="C800">
        <v>-9.7193194921544279</v>
      </c>
      <c r="D800">
        <v>-43.901874365361373</v>
      </c>
    </row>
    <row r="801" spans="1:4" x14ac:dyDescent="0.3">
      <c r="A801">
        <v>2206670</v>
      </c>
      <c r="B801" t="s">
        <v>1815</v>
      </c>
      <c r="C801">
        <v>-3.7422550962199401</v>
      </c>
      <c r="D801">
        <v>-42.309063394958947</v>
      </c>
    </row>
    <row r="802" spans="1:4" x14ac:dyDescent="0.3">
      <c r="A802">
        <v>2206696</v>
      </c>
      <c r="B802" t="s">
        <v>1816</v>
      </c>
      <c r="C802">
        <v>-3.3238597850735405</v>
      </c>
      <c r="D802">
        <v>-42.096769081771022</v>
      </c>
    </row>
    <row r="803" spans="1:4" x14ac:dyDescent="0.3">
      <c r="A803">
        <v>2206704</v>
      </c>
      <c r="B803" t="s">
        <v>1817</v>
      </c>
      <c r="C803">
        <v>-6.9671284910969611</v>
      </c>
      <c r="D803">
        <v>-42.668227230091667</v>
      </c>
    </row>
    <row r="804" spans="1:4" x14ac:dyDescent="0.3">
      <c r="A804">
        <v>2206720</v>
      </c>
      <c r="B804" t="s">
        <v>1818</v>
      </c>
      <c r="C804">
        <v>-5.3469250000000006</v>
      </c>
      <c r="D804">
        <v>-42.814048469576811</v>
      </c>
    </row>
    <row r="805" spans="1:4" x14ac:dyDescent="0.3">
      <c r="A805">
        <v>2206753</v>
      </c>
      <c r="B805" t="s">
        <v>1819</v>
      </c>
      <c r="C805">
        <v>-4.6269320917417085</v>
      </c>
      <c r="D805">
        <v>-42.179303078465317</v>
      </c>
    </row>
    <row r="806" spans="1:4" x14ac:dyDescent="0.3">
      <c r="A806">
        <v>2206803</v>
      </c>
      <c r="B806" t="s">
        <v>1820</v>
      </c>
      <c r="C806">
        <v>-3.9912253517845855</v>
      </c>
      <c r="D806">
        <v>-42.623951048489495</v>
      </c>
    </row>
    <row r="807" spans="1:4" x14ac:dyDescent="0.3">
      <c r="A807">
        <v>2206902</v>
      </c>
      <c r="B807" t="s">
        <v>1821</v>
      </c>
      <c r="C807">
        <v>-6.4494051369150371</v>
      </c>
      <c r="D807">
        <v>-41.92872231440203</v>
      </c>
    </row>
    <row r="808" spans="1:4" x14ac:dyDescent="0.3">
      <c r="A808">
        <v>2206951</v>
      </c>
      <c r="B808" t="s">
        <v>1822</v>
      </c>
      <c r="C808">
        <v>-5.2860576439612554</v>
      </c>
      <c r="D808">
        <v>-41.934507497855328</v>
      </c>
    </row>
    <row r="809" spans="1:4" x14ac:dyDescent="0.3">
      <c r="A809">
        <v>2207009</v>
      </c>
      <c r="B809" t="s">
        <v>1823</v>
      </c>
      <c r="C809">
        <v>-7.0164180059628869</v>
      </c>
      <c r="D809">
        <v>-42.131405660425067</v>
      </c>
    </row>
    <row r="810" spans="1:4" x14ac:dyDescent="0.3">
      <c r="A810">
        <v>2207108</v>
      </c>
      <c r="B810" t="s">
        <v>1824</v>
      </c>
      <c r="C810">
        <v>-5.8471585734454354</v>
      </c>
      <c r="D810">
        <v>-42.578551608969569</v>
      </c>
    </row>
    <row r="811" spans="1:4" x14ac:dyDescent="0.3">
      <c r="A811">
        <v>2207207</v>
      </c>
      <c r="B811" t="s">
        <v>1825</v>
      </c>
      <c r="C811">
        <v>-7.3547121155184456</v>
      </c>
      <c r="D811">
        <v>-40.905862082374163</v>
      </c>
    </row>
    <row r="812" spans="1:4" x14ac:dyDescent="0.3">
      <c r="A812">
        <v>2207306</v>
      </c>
      <c r="B812" t="s">
        <v>1826</v>
      </c>
      <c r="C812">
        <v>-7.7755629145092264</v>
      </c>
      <c r="D812">
        <v>-42.256957629424321</v>
      </c>
    </row>
    <row r="813" spans="1:4" x14ac:dyDescent="0.3">
      <c r="A813">
        <v>2207355</v>
      </c>
      <c r="B813" t="s">
        <v>1827</v>
      </c>
      <c r="C813">
        <v>-7.8525200921766416</v>
      </c>
      <c r="D813">
        <v>-42.8169360897963</v>
      </c>
    </row>
    <row r="814" spans="1:4" x14ac:dyDescent="0.3">
      <c r="A814">
        <v>2207405</v>
      </c>
      <c r="B814" t="s">
        <v>1828</v>
      </c>
      <c r="C814">
        <v>-8.7295011187650413</v>
      </c>
      <c r="D814">
        <v>-44.232568579172572</v>
      </c>
    </row>
    <row r="815" spans="1:4" x14ac:dyDescent="0.3">
      <c r="A815">
        <v>2207504</v>
      </c>
      <c r="B815" t="s">
        <v>1829</v>
      </c>
      <c r="C815">
        <v>-5.9797968360705518</v>
      </c>
      <c r="D815">
        <v>-43.061843522874945</v>
      </c>
    </row>
    <row r="816" spans="1:4" x14ac:dyDescent="0.3">
      <c r="A816">
        <v>2207553</v>
      </c>
      <c r="B816" t="s">
        <v>1830</v>
      </c>
      <c r="C816">
        <v>-7.101466244300596</v>
      </c>
      <c r="D816">
        <v>-41.701385245564914</v>
      </c>
    </row>
    <row r="817" spans="1:4" x14ac:dyDescent="0.3">
      <c r="A817">
        <v>2207603</v>
      </c>
      <c r="B817" t="s">
        <v>1831</v>
      </c>
      <c r="C817">
        <v>-10.21718097054295</v>
      </c>
      <c r="D817">
        <v>-44.634314613120154</v>
      </c>
    </row>
    <row r="818" spans="1:4" x14ac:dyDescent="0.3">
      <c r="A818">
        <v>2207702</v>
      </c>
      <c r="B818" t="s">
        <v>1832</v>
      </c>
      <c r="C818">
        <v>-2.9033601445089237</v>
      </c>
      <c r="D818">
        <v>-41.778170592024502</v>
      </c>
    </row>
    <row r="819" spans="1:4" x14ac:dyDescent="0.3">
      <c r="A819">
        <v>2207751</v>
      </c>
      <c r="B819" t="s">
        <v>1833</v>
      </c>
      <c r="C819">
        <v>-5.8562473203188103</v>
      </c>
      <c r="D819">
        <v>-42.440526746290018</v>
      </c>
    </row>
    <row r="820" spans="1:4" x14ac:dyDescent="0.3">
      <c r="A820">
        <v>2207777</v>
      </c>
      <c r="B820" t="s">
        <v>1834</v>
      </c>
      <c r="C820">
        <v>-7.680763935087465</v>
      </c>
      <c r="D820">
        <v>-41.252281396275187</v>
      </c>
    </row>
    <row r="821" spans="1:4" x14ac:dyDescent="0.3">
      <c r="A821">
        <v>2207793</v>
      </c>
      <c r="B821" t="s">
        <v>1835</v>
      </c>
      <c r="C821">
        <v>-5.2510934294111413</v>
      </c>
      <c r="D821">
        <v>-42.388865497144899</v>
      </c>
    </row>
    <row r="822" spans="1:4" x14ac:dyDescent="0.3">
      <c r="A822">
        <v>2207801</v>
      </c>
      <c r="B822" t="s">
        <v>1836</v>
      </c>
      <c r="C822">
        <v>-8.1414361348950948</v>
      </c>
      <c r="D822">
        <v>-41.147096485142406</v>
      </c>
    </row>
    <row r="823" spans="1:4" x14ac:dyDescent="0.3">
      <c r="A823">
        <v>2207850</v>
      </c>
      <c r="B823" t="s">
        <v>1837</v>
      </c>
      <c r="C823">
        <v>-7.9642869547704711</v>
      </c>
      <c r="D823">
        <v>-43.221752302613744</v>
      </c>
    </row>
    <row r="824" spans="1:4" x14ac:dyDescent="0.3">
      <c r="A824">
        <v>2207900</v>
      </c>
      <c r="B824" t="s">
        <v>1838</v>
      </c>
      <c r="C824">
        <v>-4.4270552654162305</v>
      </c>
      <c r="D824">
        <v>-41.458559933070887</v>
      </c>
    </row>
    <row r="825" spans="1:4" x14ac:dyDescent="0.3">
      <c r="A825">
        <v>2207934</v>
      </c>
      <c r="B825" t="s">
        <v>1839</v>
      </c>
      <c r="C825">
        <v>-8.0668825943877902</v>
      </c>
      <c r="D825">
        <v>-42.28607367001382</v>
      </c>
    </row>
    <row r="826" spans="1:4" x14ac:dyDescent="0.3">
      <c r="A826">
        <v>2207959</v>
      </c>
      <c r="B826" t="s">
        <v>1840</v>
      </c>
      <c r="C826">
        <v>-8.0749647181190323</v>
      </c>
      <c r="D826">
        <v>-42.048262001071059</v>
      </c>
    </row>
    <row r="827" spans="1:4" x14ac:dyDescent="0.3">
      <c r="A827">
        <v>2208007</v>
      </c>
      <c r="B827" t="s">
        <v>1841</v>
      </c>
      <c r="C827">
        <v>-7.0813739121993615</v>
      </c>
      <c r="D827">
        <v>-41.468826714667948</v>
      </c>
    </row>
    <row r="828" spans="1:4" x14ac:dyDescent="0.3">
      <c r="A828">
        <v>2208106</v>
      </c>
      <c r="B828" t="s">
        <v>1842</v>
      </c>
      <c r="C828">
        <v>-6.2416884096668648</v>
      </c>
      <c r="D828">
        <v>-41.415158607249261</v>
      </c>
    </row>
    <row r="829" spans="1:4" x14ac:dyDescent="0.3">
      <c r="A829">
        <v>2208205</v>
      </c>
      <c r="B829" t="s">
        <v>1843</v>
      </c>
      <c r="C829">
        <v>-6.8326873012450768</v>
      </c>
      <c r="D829">
        <v>-40.618272786301347</v>
      </c>
    </row>
    <row r="830" spans="1:4" x14ac:dyDescent="0.3">
      <c r="A830">
        <v>2208304</v>
      </c>
      <c r="B830" t="s">
        <v>1844</v>
      </c>
      <c r="C830">
        <v>-3.9292874935799005</v>
      </c>
      <c r="D830">
        <v>-41.70904154964979</v>
      </c>
    </row>
    <row r="831" spans="1:4" x14ac:dyDescent="0.3">
      <c r="A831">
        <v>2208403</v>
      </c>
      <c r="B831" t="s">
        <v>1845</v>
      </c>
      <c r="C831">
        <v>-4.2760686932553558</v>
      </c>
      <c r="D831">
        <v>-41.778504852353592</v>
      </c>
    </row>
    <row r="832" spans="1:4" x14ac:dyDescent="0.3">
      <c r="A832">
        <v>2208502</v>
      </c>
      <c r="B832" t="s">
        <v>1846</v>
      </c>
      <c r="C832">
        <v>-3.891422995034532</v>
      </c>
      <c r="D832">
        <v>-42.710925999347687</v>
      </c>
    </row>
    <row r="833" spans="1:4" x14ac:dyDescent="0.3">
      <c r="A833">
        <v>2208551</v>
      </c>
      <c r="B833" t="s">
        <v>1847</v>
      </c>
      <c r="C833">
        <v>-6.9717246866462812</v>
      </c>
      <c r="D833">
        <v>-44.194837101893903</v>
      </c>
    </row>
    <row r="834" spans="1:4" x14ac:dyDescent="0.3">
      <c r="A834">
        <v>2208601</v>
      </c>
      <c r="B834" t="s">
        <v>1848</v>
      </c>
      <c r="C834">
        <v>-5.6647976938027975</v>
      </c>
      <c r="D834">
        <v>-42.204223675331711</v>
      </c>
    </row>
    <row r="835" spans="1:4" x14ac:dyDescent="0.3">
      <c r="A835">
        <v>2208650</v>
      </c>
      <c r="B835" t="s">
        <v>1849</v>
      </c>
      <c r="C835">
        <v>-8.5854253469421966</v>
      </c>
      <c r="D835">
        <v>-41.41702492217933</v>
      </c>
    </row>
    <row r="836" spans="1:4" x14ac:dyDescent="0.3">
      <c r="A836">
        <v>2208700</v>
      </c>
      <c r="B836" t="s">
        <v>1850</v>
      </c>
      <c r="C836">
        <v>-9.4934482414447476</v>
      </c>
      <c r="D836">
        <v>-44.581214160560826</v>
      </c>
    </row>
    <row r="837" spans="1:4" x14ac:dyDescent="0.3">
      <c r="A837">
        <v>2208809</v>
      </c>
      <c r="B837" t="s">
        <v>1851</v>
      </c>
      <c r="C837">
        <v>-6.2401830211403411</v>
      </c>
      <c r="D837">
        <v>-42.685024231308276</v>
      </c>
    </row>
    <row r="838" spans="1:4" x14ac:dyDescent="0.3">
      <c r="A838">
        <v>2208858</v>
      </c>
      <c r="B838" t="s">
        <v>1852</v>
      </c>
      <c r="C838">
        <v>-10.128727688139501</v>
      </c>
      <c r="D838">
        <v>-44.952530048252946</v>
      </c>
    </row>
    <row r="839" spans="1:4" x14ac:dyDescent="0.3">
      <c r="A839">
        <v>2208874</v>
      </c>
      <c r="B839" t="s">
        <v>1853</v>
      </c>
      <c r="C839">
        <v>-7.6905755011573707</v>
      </c>
      <c r="D839">
        <v>-42.71404349134631</v>
      </c>
    </row>
    <row r="840" spans="1:4" x14ac:dyDescent="0.3">
      <c r="A840">
        <v>2208908</v>
      </c>
      <c r="B840" t="s">
        <v>1854</v>
      </c>
      <c r="C840">
        <v>-7.5580342449721867</v>
      </c>
      <c r="D840">
        <v>-45.24563868426015</v>
      </c>
    </row>
    <row r="841" spans="1:4" x14ac:dyDescent="0.3">
      <c r="A841">
        <v>2209005</v>
      </c>
      <c r="B841" t="s">
        <v>1855</v>
      </c>
      <c r="C841">
        <v>-7.7708571198051466</v>
      </c>
      <c r="D841">
        <v>-43.140182786010158</v>
      </c>
    </row>
    <row r="842" spans="1:4" x14ac:dyDescent="0.3">
      <c r="A842">
        <v>2209104</v>
      </c>
      <c r="B842" t="s">
        <v>1856</v>
      </c>
      <c r="C842">
        <v>-7.1776264961006158</v>
      </c>
      <c r="D842">
        <v>-41.761925689098781</v>
      </c>
    </row>
    <row r="843" spans="1:4" x14ac:dyDescent="0.3">
      <c r="A843">
        <v>2209153</v>
      </c>
      <c r="B843" t="s">
        <v>1857</v>
      </c>
      <c r="C843">
        <v>-5.8081209983530604</v>
      </c>
      <c r="D843">
        <v>-41.958445953059716</v>
      </c>
    </row>
    <row r="844" spans="1:4" x14ac:dyDescent="0.3">
      <c r="A844">
        <v>2209203</v>
      </c>
      <c r="B844" t="s">
        <v>1858</v>
      </c>
      <c r="C844">
        <v>-9.1067957053362836</v>
      </c>
      <c r="D844">
        <v>-45.920556441072613</v>
      </c>
    </row>
    <row r="845" spans="1:4" x14ac:dyDescent="0.3">
      <c r="A845">
        <v>2209302</v>
      </c>
      <c r="B845" t="s">
        <v>1859</v>
      </c>
      <c r="C845">
        <v>-8.944624216894832</v>
      </c>
      <c r="D845">
        <v>-44.129585906257411</v>
      </c>
    </row>
    <row r="846" spans="1:4" x14ac:dyDescent="0.3">
      <c r="A846">
        <v>2209351</v>
      </c>
      <c r="B846" t="s">
        <v>1860</v>
      </c>
      <c r="C846">
        <v>-6.9490717639244863</v>
      </c>
      <c r="D846">
        <v>-41.518480557974421</v>
      </c>
    </row>
    <row r="847" spans="1:4" x14ac:dyDescent="0.3">
      <c r="A847">
        <v>2209377</v>
      </c>
      <c r="B847" t="s">
        <v>1861</v>
      </c>
      <c r="C847">
        <v>-6.8014550582892257</v>
      </c>
      <c r="D847">
        <v>-42.28081387606592</v>
      </c>
    </row>
    <row r="848" spans="1:4" x14ac:dyDescent="0.3">
      <c r="A848">
        <v>2209401</v>
      </c>
      <c r="B848" t="s">
        <v>1862</v>
      </c>
      <c r="C848">
        <v>-6.9818484769769702</v>
      </c>
      <c r="D848">
        <v>-41.233764742124514</v>
      </c>
    </row>
    <row r="849" spans="1:4" x14ac:dyDescent="0.3">
      <c r="A849">
        <v>2209450</v>
      </c>
      <c r="B849" t="s">
        <v>1863</v>
      </c>
      <c r="C849">
        <v>-6.0467175962930613</v>
      </c>
      <c r="D849">
        <v>-42.71119680502381</v>
      </c>
    </row>
    <row r="850" spans="1:4" x14ac:dyDescent="0.3">
      <c r="A850">
        <v>2209500</v>
      </c>
      <c r="B850" t="s">
        <v>1864</v>
      </c>
      <c r="C850">
        <v>-7.4223368373732619</v>
      </c>
      <c r="D850">
        <v>-41.918212860020411</v>
      </c>
    </row>
    <row r="851" spans="1:4" x14ac:dyDescent="0.3">
      <c r="A851">
        <v>2209559</v>
      </c>
      <c r="B851" t="s">
        <v>1865</v>
      </c>
      <c r="C851">
        <v>-9.0625605358737307</v>
      </c>
      <c r="D851">
        <v>-42.99907251707257</v>
      </c>
    </row>
    <row r="852" spans="1:4" x14ac:dyDescent="0.3">
      <c r="A852">
        <v>2209609</v>
      </c>
      <c r="B852" t="s">
        <v>1866</v>
      </c>
      <c r="C852">
        <v>-5.9328676629867818</v>
      </c>
      <c r="D852">
        <v>-42.11350259018915</v>
      </c>
    </row>
    <row r="853" spans="1:4" x14ac:dyDescent="0.3">
      <c r="A853">
        <v>2209658</v>
      </c>
      <c r="B853" t="s">
        <v>1867</v>
      </c>
      <c r="C853">
        <v>-8.2377547497305716</v>
      </c>
      <c r="D853">
        <v>-41.689597151665744</v>
      </c>
    </row>
    <row r="854" spans="1:4" x14ac:dyDescent="0.3">
      <c r="A854">
        <v>2209708</v>
      </c>
      <c r="B854" t="s">
        <v>1868</v>
      </c>
      <c r="C854">
        <v>-7.2439761038638464</v>
      </c>
      <c r="D854">
        <v>-42.53853198700525</v>
      </c>
    </row>
    <row r="855" spans="1:4" x14ac:dyDescent="0.3">
      <c r="A855">
        <v>2209757</v>
      </c>
      <c r="B855" t="s">
        <v>1869</v>
      </c>
      <c r="C855">
        <v>-10.029940106233454</v>
      </c>
      <c r="D855">
        <v>-45.301405510563029</v>
      </c>
    </row>
    <row r="856" spans="1:4" x14ac:dyDescent="0.3">
      <c r="A856">
        <v>2209807</v>
      </c>
      <c r="B856" t="s">
        <v>1870</v>
      </c>
      <c r="C856">
        <v>-5.9896674395269667</v>
      </c>
      <c r="D856">
        <v>-42.698830984094876</v>
      </c>
    </row>
    <row r="857" spans="1:4" x14ac:dyDescent="0.3">
      <c r="A857">
        <v>2209856</v>
      </c>
      <c r="B857" t="s">
        <v>1871</v>
      </c>
      <c r="C857">
        <v>-6.8189309895029186</v>
      </c>
      <c r="D857">
        <v>-41.346053651936579</v>
      </c>
    </row>
    <row r="858" spans="1:4" x14ac:dyDescent="0.3">
      <c r="A858">
        <v>2209872</v>
      </c>
      <c r="B858" t="s">
        <v>1872</v>
      </c>
      <c r="C858">
        <v>-3.9385974341152612</v>
      </c>
      <c r="D858">
        <v>-41.256286959289049</v>
      </c>
    </row>
    <row r="859" spans="1:4" x14ac:dyDescent="0.3">
      <c r="A859">
        <v>2209906</v>
      </c>
      <c r="B859" t="s">
        <v>1873</v>
      </c>
      <c r="C859">
        <v>-5.5087975377752416</v>
      </c>
      <c r="D859">
        <v>-41.899263751096449</v>
      </c>
    </row>
    <row r="860" spans="1:4" x14ac:dyDescent="0.3">
      <c r="A860">
        <v>2209955</v>
      </c>
      <c r="B860" t="s">
        <v>1874</v>
      </c>
      <c r="C860">
        <v>-6.9190178385234118</v>
      </c>
      <c r="D860">
        <v>-41.863742204946732</v>
      </c>
    </row>
    <row r="861" spans="1:4" x14ac:dyDescent="0.3">
      <c r="A861">
        <v>2209971</v>
      </c>
      <c r="B861" t="s">
        <v>1875</v>
      </c>
      <c r="C861">
        <v>-3.8131688736188805</v>
      </c>
      <c r="D861">
        <v>-42.453126173304483</v>
      </c>
    </row>
    <row r="862" spans="1:4" x14ac:dyDescent="0.3">
      <c r="A862">
        <v>2210003</v>
      </c>
      <c r="B862" t="s">
        <v>1876</v>
      </c>
      <c r="C862">
        <v>-8.3488496879934093</v>
      </c>
      <c r="D862">
        <v>-42.256437532940609</v>
      </c>
    </row>
    <row r="863" spans="1:4" x14ac:dyDescent="0.3">
      <c r="A863">
        <v>2210052</v>
      </c>
      <c r="B863" t="s">
        <v>1877</v>
      </c>
      <c r="C863">
        <v>-3.8057163564995058</v>
      </c>
      <c r="D863">
        <v>-41.830108769217055</v>
      </c>
    </row>
    <row r="864" spans="1:4" x14ac:dyDescent="0.3">
      <c r="A864">
        <v>2210102</v>
      </c>
      <c r="B864" t="s">
        <v>1878</v>
      </c>
      <c r="C864">
        <v>-7.4930087809078207</v>
      </c>
      <c r="D864">
        <v>-42.570179415786342</v>
      </c>
    </row>
    <row r="865" spans="1:4" x14ac:dyDescent="0.3">
      <c r="A865">
        <v>2210201</v>
      </c>
      <c r="B865" t="s">
        <v>1879</v>
      </c>
      <c r="C865">
        <v>-6.8706262446521311</v>
      </c>
      <c r="D865">
        <v>-41.479407234178204</v>
      </c>
    </row>
    <row r="866" spans="1:4" x14ac:dyDescent="0.3">
      <c r="A866">
        <v>2210300</v>
      </c>
      <c r="B866" t="s">
        <v>1880</v>
      </c>
      <c r="C866">
        <v>-7.0853150045771764</v>
      </c>
      <c r="D866">
        <v>-40.836913244799817</v>
      </c>
    </row>
    <row r="867" spans="1:4" x14ac:dyDescent="0.3">
      <c r="A867">
        <v>2210359</v>
      </c>
      <c r="B867" t="s">
        <v>1881</v>
      </c>
      <c r="C867">
        <v>-9.1720018770772764</v>
      </c>
      <c r="D867">
        <v>-42.544351990386581</v>
      </c>
    </row>
    <row r="868" spans="1:4" x14ac:dyDescent="0.3">
      <c r="A868">
        <v>2210375</v>
      </c>
      <c r="B868" t="s">
        <v>1882</v>
      </c>
      <c r="C868">
        <v>-6.8281438297645467</v>
      </c>
      <c r="D868">
        <v>-41.322837819174715</v>
      </c>
    </row>
    <row r="869" spans="1:4" x14ac:dyDescent="0.3">
      <c r="A869">
        <v>2210383</v>
      </c>
      <c r="B869" t="s">
        <v>1883</v>
      </c>
      <c r="C869">
        <v>-5.8622986342878356</v>
      </c>
      <c r="D869">
        <v>-42.185377373754449</v>
      </c>
    </row>
    <row r="870" spans="1:4" x14ac:dyDescent="0.3">
      <c r="A870">
        <v>2210391</v>
      </c>
      <c r="B870" t="s">
        <v>1884</v>
      </c>
      <c r="C870">
        <v>-7.5849691189279911</v>
      </c>
      <c r="D870">
        <v>-42.370529041191155</v>
      </c>
    </row>
    <row r="871" spans="1:4" x14ac:dyDescent="0.3">
      <c r="A871">
        <v>2210409</v>
      </c>
      <c r="B871" t="s">
        <v>1885</v>
      </c>
      <c r="C871">
        <v>-5.5006636991274762</v>
      </c>
      <c r="D871">
        <v>-41.319798489524011</v>
      </c>
    </row>
    <row r="872" spans="1:4" x14ac:dyDescent="0.3">
      <c r="A872">
        <v>2210508</v>
      </c>
      <c r="B872" t="s">
        <v>1886</v>
      </c>
      <c r="C872">
        <v>-5.9139516465609665</v>
      </c>
      <c r="D872">
        <v>-42.723660172060271</v>
      </c>
    </row>
    <row r="873" spans="1:4" x14ac:dyDescent="0.3">
      <c r="A873">
        <v>2210607</v>
      </c>
      <c r="B873" t="s">
        <v>1887</v>
      </c>
      <c r="C873">
        <v>-9.0153604823547013</v>
      </c>
      <c r="D873">
        <v>-42.692285164190757</v>
      </c>
    </row>
    <row r="874" spans="1:4" x14ac:dyDescent="0.3">
      <c r="A874">
        <v>2210623</v>
      </c>
      <c r="B874" t="s">
        <v>1888</v>
      </c>
      <c r="C874">
        <v>-10.816675220601605</v>
      </c>
      <c r="D874">
        <v>-44.833284177516198</v>
      </c>
    </row>
    <row r="875" spans="1:4" x14ac:dyDescent="0.3">
      <c r="A875">
        <v>2210631</v>
      </c>
      <c r="B875" t="s">
        <v>1889</v>
      </c>
      <c r="C875">
        <v>-7.5773856301519453</v>
      </c>
      <c r="D875">
        <v>-44.067691769610377</v>
      </c>
    </row>
    <row r="876" spans="1:4" x14ac:dyDescent="0.3">
      <c r="A876">
        <v>2210656</v>
      </c>
      <c r="B876" t="s">
        <v>1890</v>
      </c>
      <c r="C876">
        <v>-4.911689164237365</v>
      </c>
      <c r="D876">
        <v>-41.727559224798988</v>
      </c>
    </row>
    <row r="877" spans="1:4" x14ac:dyDescent="0.3">
      <c r="A877">
        <v>2210706</v>
      </c>
      <c r="B877" t="s">
        <v>1891</v>
      </c>
      <c r="C877">
        <v>-7.5991371656833566</v>
      </c>
      <c r="D877">
        <v>-40.81750906835552</v>
      </c>
    </row>
    <row r="878" spans="1:4" x14ac:dyDescent="0.3">
      <c r="A878">
        <v>2210805</v>
      </c>
      <c r="B878" t="s">
        <v>1892</v>
      </c>
      <c r="C878">
        <v>-7.8579572938829871</v>
      </c>
      <c r="D878">
        <v>-41.910910361651887</v>
      </c>
    </row>
    <row r="879" spans="1:4" x14ac:dyDescent="0.3">
      <c r="A879">
        <v>2210904</v>
      </c>
      <c r="B879" t="s">
        <v>1893</v>
      </c>
      <c r="C879">
        <v>-7.864938057103906</v>
      </c>
      <c r="D879">
        <v>-42.504691723720256</v>
      </c>
    </row>
    <row r="880" spans="1:4" x14ac:dyDescent="0.3">
      <c r="A880">
        <v>2210938</v>
      </c>
      <c r="B880" t="s">
        <v>1894</v>
      </c>
      <c r="C880">
        <v>-7.0170105888280858</v>
      </c>
      <c r="D880">
        <v>-41.392267730940986</v>
      </c>
    </row>
    <row r="881" spans="1:4" x14ac:dyDescent="0.3">
      <c r="A881">
        <v>2210953</v>
      </c>
      <c r="B881" t="s">
        <v>1895</v>
      </c>
      <c r="C881">
        <v>-8.4004317800923065</v>
      </c>
      <c r="D881">
        <v>-42.909688830206953</v>
      </c>
    </row>
    <row r="882" spans="1:4" x14ac:dyDescent="0.3">
      <c r="A882">
        <v>2210979</v>
      </c>
      <c r="B882" t="s">
        <v>1896</v>
      </c>
      <c r="C882">
        <v>-6.5963534674198199</v>
      </c>
      <c r="D882">
        <v>-42.283901340488285</v>
      </c>
    </row>
    <row r="883" spans="1:4" x14ac:dyDescent="0.3">
      <c r="A883">
        <v>2211001</v>
      </c>
      <c r="B883" t="s">
        <v>1897</v>
      </c>
      <c r="C883">
        <v>-5.0863419523217006</v>
      </c>
      <c r="D883">
        <v>-42.805270458223347</v>
      </c>
    </row>
    <row r="884" spans="1:4" x14ac:dyDescent="0.3">
      <c r="A884">
        <v>2211100</v>
      </c>
      <c r="B884" t="s">
        <v>1898</v>
      </c>
      <c r="C884">
        <v>-4.5860181591400604</v>
      </c>
      <c r="D884">
        <v>-42.86292971595055</v>
      </c>
    </row>
    <row r="885" spans="1:4" x14ac:dyDescent="0.3">
      <c r="A885">
        <v>2211209</v>
      </c>
      <c r="B885" t="s">
        <v>1899</v>
      </c>
      <c r="C885">
        <v>-7.2295033445624721</v>
      </c>
      <c r="D885">
        <v>-44.56025592385253</v>
      </c>
    </row>
    <row r="886" spans="1:4" x14ac:dyDescent="0.3">
      <c r="A886">
        <v>2211308</v>
      </c>
      <c r="B886" t="s">
        <v>1900</v>
      </c>
      <c r="C886">
        <v>-6.3981960227157106</v>
      </c>
      <c r="D886">
        <v>-41.740535991329942</v>
      </c>
    </row>
    <row r="887" spans="1:4" x14ac:dyDescent="0.3">
      <c r="A887">
        <v>2211357</v>
      </c>
      <c r="B887" t="s">
        <v>1901</v>
      </c>
      <c r="C887">
        <v>-9.2365410893456303</v>
      </c>
      <c r="D887">
        <v>-42.969444535029702</v>
      </c>
    </row>
    <row r="888" spans="1:4" x14ac:dyDescent="0.3">
      <c r="A888">
        <v>2211407</v>
      </c>
      <c r="B888" t="s">
        <v>1902</v>
      </c>
      <c r="C888">
        <v>-6.5429475544246953</v>
      </c>
      <c r="D888">
        <v>-42.253101623343845</v>
      </c>
    </row>
    <row r="889" spans="1:4" x14ac:dyDescent="0.3">
      <c r="A889">
        <v>2211506</v>
      </c>
      <c r="B889" t="s">
        <v>1903</v>
      </c>
      <c r="C889">
        <v>-7.6028492828919907</v>
      </c>
      <c r="D889">
        <v>-41.479736750035364</v>
      </c>
    </row>
    <row r="890" spans="1:4" x14ac:dyDescent="0.3">
      <c r="A890">
        <v>2211605</v>
      </c>
      <c r="B890" t="s">
        <v>1904</v>
      </c>
      <c r="C890">
        <v>-7.1410464339525417</v>
      </c>
      <c r="D890">
        <v>-40.937801396493022</v>
      </c>
    </row>
    <row r="891" spans="1:4" x14ac:dyDescent="0.3">
      <c r="A891">
        <v>2211704</v>
      </c>
      <c r="B891" t="s">
        <v>1905</v>
      </c>
      <c r="C891">
        <v>-7.2357790064126455</v>
      </c>
      <c r="D891">
        <v>-41.908953620303883</v>
      </c>
    </row>
    <row r="892" spans="1:4" x14ac:dyDescent="0.3">
      <c r="A892">
        <v>2300101</v>
      </c>
      <c r="B892" t="s">
        <v>1906</v>
      </c>
      <c r="C892">
        <v>-7.3569765958983062</v>
      </c>
      <c r="D892">
        <v>-39.047546636185125</v>
      </c>
    </row>
    <row r="893" spans="1:4" x14ac:dyDescent="0.3">
      <c r="A893">
        <v>2300150</v>
      </c>
      <c r="B893" t="s">
        <v>1907</v>
      </c>
      <c r="C893">
        <v>-4.2231384093724449</v>
      </c>
      <c r="D893">
        <v>-38.705623770982641</v>
      </c>
    </row>
    <row r="894" spans="1:4" x14ac:dyDescent="0.3">
      <c r="A894">
        <v>2300200</v>
      </c>
      <c r="B894" t="s">
        <v>1908</v>
      </c>
      <c r="C894">
        <v>-2.8853105400949959</v>
      </c>
      <c r="D894">
        <v>-40.118241471165476</v>
      </c>
    </row>
    <row r="895" spans="1:4" x14ac:dyDescent="0.3">
      <c r="A895">
        <v>2300309</v>
      </c>
      <c r="B895" t="s">
        <v>1909</v>
      </c>
      <c r="C895">
        <v>-6.0927619950000009</v>
      </c>
      <c r="D895">
        <v>-39.455705276177163</v>
      </c>
    </row>
    <row r="896" spans="1:4" x14ac:dyDescent="0.3">
      <c r="A896">
        <v>2300408</v>
      </c>
      <c r="B896" t="s">
        <v>1910</v>
      </c>
      <c r="C896">
        <v>-6.5632984400516836</v>
      </c>
      <c r="D896">
        <v>-40.123160077554139</v>
      </c>
    </row>
    <row r="897" spans="1:4" x14ac:dyDescent="0.3">
      <c r="A897">
        <v>2300507</v>
      </c>
      <c r="B897" t="s">
        <v>1911</v>
      </c>
      <c r="C897">
        <v>-3.5869837692481652</v>
      </c>
      <c r="D897">
        <v>-40.544638122573851</v>
      </c>
    </row>
    <row r="898" spans="1:4" x14ac:dyDescent="0.3">
      <c r="A898">
        <v>2300606</v>
      </c>
      <c r="B898" t="s">
        <v>1912</v>
      </c>
      <c r="C898">
        <v>-6.9974983508051967</v>
      </c>
      <c r="D898">
        <v>-39.745820638942057</v>
      </c>
    </row>
    <row r="899" spans="1:4" x14ac:dyDescent="0.3">
      <c r="A899">
        <v>2300705</v>
      </c>
      <c r="B899" t="s">
        <v>1913</v>
      </c>
      <c r="C899">
        <v>-5.5220817397452322</v>
      </c>
      <c r="D899">
        <v>-38.272778148719595</v>
      </c>
    </row>
    <row r="900" spans="1:4" x14ac:dyDescent="0.3">
      <c r="A900">
        <v>2300754</v>
      </c>
      <c r="B900" t="s">
        <v>1914</v>
      </c>
      <c r="C900">
        <v>-3.3648778034773055</v>
      </c>
      <c r="D900">
        <v>-39.828822791722509</v>
      </c>
    </row>
    <row r="901" spans="1:4" x14ac:dyDescent="0.3">
      <c r="A901">
        <v>2300804</v>
      </c>
      <c r="B901" t="s">
        <v>1915</v>
      </c>
      <c r="C901">
        <v>-6.7796878471182911</v>
      </c>
      <c r="D901">
        <v>-39.982386841881926</v>
      </c>
    </row>
    <row r="902" spans="1:4" x14ac:dyDescent="0.3">
      <c r="A902">
        <v>2300903</v>
      </c>
      <c r="B902" t="s">
        <v>1916</v>
      </c>
      <c r="C902">
        <v>-3.9480185186148056</v>
      </c>
      <c r="D902">
        <v>-39.430422783300386</v>
      </c>
    </row>
    <row r="903" spans="1:4" x14ac:dyDescent="0.3">
      <c r="A903">
        <v>2301000</v>
      </c>
      <c r="B903" t="s">
        <v>1917</v>
      </c>
      <c r="C903">
        <v>-3.9061945000000002</v>
      </c>
      <c r="D903">
        <v>-38.389802958850936</v>
      </c>
    </row>
    <row r="904" spans="1:4" x14ac:dyDescent="0.3">
      <c r="A904">
        <v>2301109</v>
      </c>
      <c r="B904" t="s">
        <v>1918</v>
      </c>
      <c r="C904">
        <v>-4.5670664700000012</v>
      </c>
      <c r="D904">
        <v>-37.772752598911282</v>
      </c>
    </row>
    <row r="905" spans="1:4" x14ac:dyDescent="0.3">
      <c r="A905">
        <v>2301208</v>
      </c>
      <c r="B905" t="s">
        <v>1919</v>
      </c>
      <c r="C905">
        <v>-4.3703938069767103</v>
      </c>
      <c r="D905">
        <v>-38.809440969165934</v>
      </c>
    </row>
    <row r="906" spans="1:4" x14ac:dyDescent="0.3">
      <c r="A906">
        <v>2301257</v>
      </c>
      <c r="B906" t="s">
        <v>1920</v>
      </c>
      <c r="C906">
        <v>-4.7519382719921603</v>
      </c>
      <c r="D906">
        <v>-40.831096734981379</v>
      </c>
    </row>
    <row r="907" spans="1:4" x14ac:dyDescent="0.3">
      <c r="A907">
        <v>2301307</v>
      </c>
      <c r="B907" t="s">
        <v>1921</v>
      </c>
      <c r="C907">
        <v>-7.2061837891806864</v>
      </c>
      <c r="D907">
        <v>-40.137445809356912</v>
      </c>
    </row>
    <row r="908" spans="1:4" x14ac:dyDescent="0.3">
      <c r="A908">
        <v>2301406</v>
      </c>
      <c r="B908" t="s">
        <v>1922</v>
      </c>
      <c r="C908">
        <v>-4.4169306449925605</v>
      </c>
      <c r="D908">
        <v>-39.047554561796012</v>
      </c>
    </row>
    <row r="909" spans="1:4" x14ac:dyDescent="0.3">
      <c r="A909">
        <v>2301505</v>
      </c>
      <c r="B909" t="s">
        <v>1923</v>
      </c>
      <c r="C909">
        <v>-6.3194258030221802</v>
      </c>
      <c r="D909">
        <v>-40.16144371237403</v>
      </c>
    </row>
    <row r="910" spans="1:4" x14ac:dyDescent="0.3">
      <c r="A910">
        <v>2301604</v>
      </c>
      <c r="B910" t="s">
        <v>1924</v>
      </c>
      <c r="C910">
        <v>-6.8726071122114867</v>
      </c>
      <c r="D910">
        <v>-39.871274747492599</v>
      </c>
    </row>
    <row r="911" spans="1:4" x14ac:dyDescent="0.3">
      <c r="A911">
        <v>2301703</v>
      </c>
      <c r="B911" t="s">
        <v>1925</v>
      </c>
      <c r="C911">
        <v>-6.9403918320064522</v>
      </c>
      <c r="D911">
        <v>-38.976990876944413</v>
      </c>
    </row>
    <row r="912" spans="1:4" x14ac:dyDescent="0.3">
      <c r="A912">
        <v>2301802</v>
      </c>
      <c r="B912" t="s">
        <v>1926</v>
      </c>
      <c r="C912">
        <v>-6.7271620493216959</v>
      </c>
      <c r="D912">
        <v>-38.720125915963806</v>
      </c>
    </row>
    <row r="913" spans="1:4" x14ac:dyDescent="0.3">
      <c r="A913">
        <v>2301851</v>
      </c>
      <c r="B913" t="s">
        <v>1927</v>
      </c>
      <c r="C913">
        <v>-5.3150473039947954</v>
      </c>
      <c r="D913">
        <v>-38.925784804929826</v>
      </c>
    </row>
    <row r="914" spans="1:4" x14ac:dyDescent="0.3">
      <c r="A914">
        <v>2301901</v>
      </c>
      <c r="B914" t="s">
        <v>1928</v>
      </c>
      <c r="C914">
        <v>-7.3071721269126755</v>
      </c>
      <c r="D914">
        <v>-39.302316369225707</v>
      </c>
    </row>
    <row r="915" spans="1:4" x14ac:dyDescent="0.3">
      <c r="A915">
        <v>2301950</v>
      </c>
      <c r="B915" t="s">
        <v>1929</v>
      </c>
      <c r="C915">
        <v>-4.2887622667681802</v>
      </c>
      <c r="D915">
        <v>-38.638501829557427</v>
      </c>
    </row>
    <row r="916" spans="1:4" x14ac:dyDescent="0.3">
      <c r="A916">
        <v>2302008</v>
      </c>
      <c r="B916" t="s">
        <v>1930</v>
      </c>
      <c r="C916">
        <v>-7.168208726685231</v>
      </c>
      <c r="D916">
        <v>-38.779880646052185</v>
      </c>
    </row>
    <row r="917" spans="1:4" x14ac:dyDescent="0.3">
      <c r="A917">
        <v>2302057</v>
      </c>
      <c r="B917" t="s">
        <v>1931</v>
      </c>
      <c r="C917">
        <v>-3.0091167461919102</v>
      </c>
      <c r="D917">
        <v>-41.139481538165491</v>
      </c>
    </row>
    <row r="918" spans="1:4" x14ac:dyDescent="0.3">
      <c r="A918">
        <v>2302107</v>
      </c>
      <c r="B918" t="s">
        <v>1932</v>
      </c>
      <c r="C918">
        <v>-4.3312051564085561</v>
      </c>
      <c r="D918">
        <v>-38.880021375629106</v>
      </c>
    </row>
    <row r="919" spans="1:4" x14ac:dyDescent="0.3">
      <c r="A919">
        <v>2302206</v>
      </c>
      <c r="B919" t="s">
        <v>1933</v>
      </c>
      <c r="C919">
        <v>-4.1747632211771508</v>
      </c>
      <c r="D919">
        <v>-38.123273042146344</v>
      </c>
    </row>
    <row r="920" spans="1:4" x14ac:dyDescent="0.3">
      <c r="A920">
        <v>2302305</v>
      </c>
      <c r="B920" t="s">
        <v>1934</v>
      </c>
      <c r="C920">
        <v>-3.0551067243132652</v>
      </c>
      <c r="D920">
        <v>-40.166842907024268</v>
      </c>
    </row>
    <row r="921" spans="1:4" x14ac:dyDescent="0.3">
      <c r="A921">
        <v>2302404</v>
      </c>
      <c r="B921" t="s">
        <v>1935</v>
      </c>
      <c r="C921">
        <v>-5.1257438700567564</v>
      </c>
      <c r="D921">
        <v>-39.733282342509483</v>
      </c>
    </row>
    <row r="922" spans="1:4" x14ac:dyDescent="0.3">
      <c r="A922">
        <v>2302503</v>
      </c>
      <c r="B922" t="s">
        <v>1936</v>
      </c>
      <c r="C922">
        <v>-7.4916380086613863</v>
      </c>
      <c r="D922">
        <v>-38.985513867363494</v>
      </c>
    </row>
    <row r="923" spans="1:4" x14ac:dyDescent="0.3">
      <c r="A923">
        <v>2302602</v>
      </c>
      <c r="B923" t="s">
        <v>1937</v>
      </c>
      <c r="C923">
        <v>-2.9009665745878959</v>
      </c>
      <c r="D923">
        <v>-40.847527740937998</v>
      </c>
    </row>
    <row r="924" spans="1:4" x14ac:dyDescent="0.3">
      <c r="A924">
        <v>2302701</v>
      </c>
      <c r="B924" t="s">
        <v>1938</v>
      </c>
      <c r="C924">
        <v>-7.0733835000000012</v>
      </c>
      <c r="D924">
        <v>-40.379003130168094</v>
      </c>
    </row>
    <row r="925" spans="1:4" x14ac:dyDescent="0.3">
      <c r="A925">
        <v>2302800</v>
      </c>
      <c r="B925" t="s">
        <v>1939</v>
      </c>
      <c r="C925">
        <v>-4.3553442896918577</v>
      </c>
      <c r="D925">
        <v>-39.310342952863806</v>
      </c>
    </row>
    <row r="926" spans="1:4" x14ac:dyDescent="0.3">
      <c r="A926">
        <v>2302909</v>
      </c>
      <c r="B926" t="s">
        <v>1940</v>
      </c>
      <c r="C926">
        <v>-4.4598966121401711</v>
      </c>
      <c r="D926">
        <v>-38.901828759505356</v>
      </c>
    </row>
    <row r="927" spans="1:4" x14ac:dyDescent="0.3">
      <c r="A927">
        <v>2303006</v>
      </c>
      <c r="B927" t="s">
        <v>1941</v>
      </c>
      <c r="C927">
        <v>-4.2249600007845709</v>
      </c>
      <c r="D927">
        <v>-39.193032914995392</v>
      </c>
    </row>
    <row r="928" spans="1:4" x14ac:dyDescent="0.3">
      <c r="A928">
        <v>2303105</v>
      </c>
      <c r="B928" t="s">
        <v>1942</v>
      </c>
      <c r="C928">
        <v>-3.9516118800128104</v>
      </c>
      <c r="D928">
        <v>-40.473844807733762</v>
      </c>
    </row>
    <row r="929" spans="1:4" x14ac:dyDescent="0.3">
      <c r="A929">
        <v>2303204</v>
      </c>
      <c r="B929" t="s">
        <v>1943</v>
      </c>
      <c r="C929">
        <v>-7.0415280000000013</v>
      </c>
      <c r="D929">
        <v>-39.284372029555691</v>
      </c>
    </row>
    <row r="930" spans="1:4" x14ac:dyDescent="0.3">
      <c r="A930">
        <v>2303303</v>
      </c>
      <c r="B930" t="s">
        <v>1944</v>
      </c>
      <c r="C930">
        <v>-6.5311279378647553</v>
      </c>
      <c r="D930">
        <v>-39.497688680060499</v>
      </c>
    </row>
    <row r="931" spans="1:4" x14ac:dyDescent="0.3">
      <c r="A931">
        <v>2303402</v>
      </c>
      <c r="B931" t="s">
        <v>1945</v>
      </c>
      <c r="C931">
        <v>-4.163988562365291</v>
      </c>
      <c r="D931">
        <v>-40.935631577279018</v>
      </c>
    </row>
    <row r="932" spans="1:4" x14ac:dyDescent="0.3">
      <c r="A932">
        <v>2303501</v>
      </c>
      <c r="B932" t="s">
        <v>1946</v>
      </c>
      <c r="C932">
        <v>-4.1314336782074514</v>
      </c>
      <c r="D932">
        <v>-38.23968594067707</v>
      </c>
    </row>
    <row r="933" spans="1:4" x14ac:dyDescent="0.3">
      <c r="A933">
        <v>2303600</v>
      </c>
      <c r="B933" t="s">
        <v>1947</v>
      </c>
      <c r="C933">
        <v>-6.1275562908168411</v>
      </c>
      <c r="D933">
        <v>-39.879466228338991</v>
      </c>
    </row>
    <row r="934" spans="1:4" x14ac:dyDescent="0.3">
      <c r="A934">
        <v>2303659</v>
      </c>
      <c r="B934" t="s">
        <v>1948</v>
      </c>
      <c r="C934">
        <v>-4.6515493856597203</v>
      </c>
      <c r="D934">
        <v>-40.205803789427847</v>
      </c>
    </row>
    <row r="935" spans="1:4" x14ac:dyDescent="0.3">
      <c r="A935">
        <v>2303709</v>
      </c>
      <c r="B935" t="s">
        <v>1949</v>
      </c>
      <c r="C935">
        <v>-3.7364870000000008</v>
      </c>
      <c r="D935">
        <v>-38.664017535838411</v>
      </c>
    </row>
    <row r="936" spans="1:4" x14ac:dyDescent="0.3">
      <c r="A936">
        <v>2303808</v>
      </c>
      <c r="B936" t="s">
        <v>1950</v>
      </c>
      <c r="C936">
        <v>-6.6049605000000016</v>
      </c>
      <c r="D936">
        <v>-39.059743148029433</v>
      </c>
    </row>
    <row r="937" spans="1:4" x14ac:dyDescent="0.3">
      <c r="A937">
        <v>2303907</v>
      </c>
      <c r="B937" t="s">
        <v>1951</v>
      </c>
      <c r="C937">
        <v>-3.0389011890917752</v>
      </c>
      <c r="D937">
        <v>-41.244595821943605</v>
      </c>
    </row>
    <row r="938" spans="1:4" x14ac:dyDescent="0.3">
      <c r="A938">
        <v>2303931</v>
      </c>
      <c r="B938" t="s">
        <v>1952</v>
      </c>
      <c r="C938">
        <v>-4.8425156592867156</v>
      </c>
      <c r="D938">
        <v>-39.137467531557569</v>
      </c>
    </row>
    <row r="939" spans="1:4" x14ac:dyDescent="0.3">
      <c r="A939">
        <v>2303956</v>
      </c>
      <c r="B939" t="s">
        <v>1953</v>
      </c>
      <c r="C939">
        <v>-4.3021709139785109</v>
      </c>
      <c r="D939">
        <v>-38.501285666658653</v>
      </c>
    </row>
    <row r="940" spans="1:4" x14ac:dyDescent="0.3">
      <c r="A940">
        <v>2304004</v>
      </c>
      <c r="B940" t="s">
        <v>1954</v>
      </c>
      <c r="C940">
        <v>-3.5494878611102449</v>
      </c>
      <c r="D940">
        <v>-40.656951075754471</v>
      </c>
    </row>
    <row r="941" spans="1:4" x14ac:dyDescent="0.3">
      <c r="A941">
        <v>2304103</v>
      </c>
      <c r="B941" t="s">
        <v>1955</v>
      </c>
      <c r="C941">
        <v>-5.1769505507954507</v>
      </c>
      <c r="D941">
        <v>-40.668400130844809</v>
      </c>
    </row>
    <row r="942" spans="1:4" x14ac:dyDescent="0.3">
      <c r="A942">
        <v>2304202</v>
      </c>
      <c r="B942" t="s">
        <v>1956</v>
      </c>
      <c r="C942">
        <v>-7.2317527899304457</v>
      </c>
      <c r="D942">
        <v>-39.408390297788607</v>
      </c>
    </row>
    <row r="943" spans="1:4" x14ac:dyDescent="0.3">
      <c r="A943">
        <v>2304236</v>
      </c>
      <c r="B943" t="s">
        <v>1957</v>
      </c>
      <c r="C943">
        <v>-4.4140572655122856</v>
      </c>
      <c r="D943">
        <v>-40.909045098157833</v>
      </c>
    </row>
    <row r="944" spans="1:4" x14ac:dyDescent="0.3">
      <c r="A944">
        <v>2304251</v>
      </c>
      <c r="B944" t="s">
        <v>1958</v>
      </c>
      <c r="C944">
        <v>-2.9167080503554756</v>
      </c>
      <c r="D944">
        <v>-40.171278706541955</v>
      </c>
    </row>
    <row r="945" spans="1:4" x14ac:dyDescent="0.3">
      <c r="A945">
        <v>2304269</v>
      </c>
      <c r="B945" t="s">
        <v>1959</v>
      </c>
      <c r="C945">
        <v>-5.9089623738293611</v>
      </c>
      <c r="D945">
        <v>-39.261541765087067</v>
      </c>
    </row>
    <row r="946" spans="1:4" x14ac:dyDescent="0.3">
      <c r="A946">
        <v>2304277</v>
      </c>
      <c r="B946" t="s">
        <v>1960</v>
      </c>
      <c r="C946">
        <v>-6.031332729934463</v>
      </c>
      <c r="D946">
        <v>-38.347258962096333</v>
      </c>
    </row>
    <row r="947" spans="1:4" x14ac:dyDescent="0.3">
      <c r="A947">
        <v>2304285</v>
      </c>
      <c r="B947" t="s">
        <v>1961</v>
      </c>
      <c r="C947">
        <v>-3.8869728866781106</v>
      </c>
      <c r="D947">
        <v>-38.445121838612287</v>
      </c>
    </row>
    <row r="948" spans="1:4" x14ac:dyDescent="0.3">
      <c r="A948">
        <v>2304301</v>
      </c>
      <c r="B948" t="s">
        <v>1962</v>
      </c>
      <c r="C948">
        <v>-6.9271099806491083</v>
      </c>
      <c r="D948">
        <v>-39.570835021206641</v>
      </c>
    </row>
    <row r="949" spans="1:4" x14ac:dyDescent="0.3">
      <c r="A949">
        <v>2304350</v>
      </c>
      <c r="B949" t="s">
        <v>1963</v>
      </c>
      <c r="C949">
        <v>-3.7989577430849453</v>
      </c>
      <c r="D949">
        <v>-40.258768998108231</v>
      </c>
    </row>
    <row r="950" spans="1:4" x14ac:dyDescent="0.3">
      <c r="A950">
        <v>2304400</v>
      </c>
      <c r="B950" t="s">
        <v>1964</v>
      </c>
      <c r="C950">
        <v>-3.7238050350000007</v>
      </c>
      <c r="D950">
        <v>-38.589927555043182</v>
      </c>
    </row>
    <row r="951" spans="1:4" x14ac:dyDescent="0.3">
      <c r="A951">
        <v>2304459</v>
      </c>
      <c r="B951" t="s">
        <v>1965</v>
      </c>
      <c r="C951">
        <v>-4.4498049174128207</v>
      </c>
      <c r="D951">
        <v>-37.798975486038422</v>
      </c>
    </row>
    <row r="952" spans="1:4" x14ac:dyDescent="0.3">
      <c r="A952">
        <v>2304509</v>
      </c>
      <c r="B952" t="s">
        <v>1966</v>
      </c>
      <c r="C952">
        <v>-3.760611931452758</v>
      </c>
      <c r="D952">
        <v>-40.821405201186828</v>
      </c>
    </row>
    <row r="953" spans="1:4" x14ac:dyDescent="0.3">
      <c r="A953">
        <v>2304608</v>
      </c>
      <c r="B953" t="s">
        <v>1967</v>
      </c>
      <c r="C953">
        <v>-4.0510412746534659</v>
      </c>
      <c r="D953">
        <v>-39.453529950428646</v>
      </c>
    </row>
    <row r="954" spans="1:4" x14ac:dyDescent="0.3">
      <c r="A954">
        <v>2304657</v>
      </c>
      <c r="B954" t="s">
        <v>1968</v>
      </c>
      <c r="C954">
        <v>-4.046938793989086</v>
      </c>
      <c r="D954">
        <v>-40.755524899564001</v>
      </c>
    </row>
    <row r="955" spans="1:4" x14ac:dyDescent="0.3">
      <c r="A955">
        <v>2304707</v>
      </c>
      <c r="B955" t="s">
        <v>1969</v>
      </c>
      <c r="C955">
        <v>-3.1189521561697657</v>
      </c>
      <c r="D955">
        <v>-40.829938991021542</v>
      </c>
    </row>
    <row r="956" spans="1:4" x14ac:dyDescent="0.3">
      <c r="A956">
        <v>2304806</v>
      </c>
      <c r="B956" t="s">
        <v>1970</v>
      </c>
      <c r="C956">
        <v>-6.8888843728803142</v>
      </c>
      <c r="D956">
        <v>-39.220308885846592</v>
      </c>
    </row>
    <row r="957" spans="1:4" x14ac:dyDescent="0.3">
      <c r="A957">
        <v>2304905</v>
      </c>
      <c r="B957" t="s">
        <v>1971</v>
      </c>
      <c r="C957">
        <v>-3.9119541292039464</v>
      </c>
      <c r="D957">
        <v>-40.38214602388603</v>
      </c>
    </row>
    <row r="958" spans="1:4" x14ac:dyDescent="0.3">
      <c r="A958">
        <v>2304954</v>
      </c>
      <c r="B958" t="s">
        <v>1972</v>
      </c>
      <c r="C958">
        <v>-4.0402435005007753</v>
      </c>
      <c r="D958">
        <v>-38.634434780521296</v>
      </c>
    </row>
    <row r="959" spans="1:4" x14ac:dyDescent="0.3">
      <c r="A959">
        <v>2305001</v>
      </c>
      <c r="B959" t="s">
        <v>1973</v>
      </c>
      <c r="C959">
        <v>-4.1624510671403963</v>
      </c>
      <c r="D959">
        <v>-40.752633177911271</v>
      </c>
    </row>
    <row r="960" spans="1:4" x14ac:dyDescent="0.3">
      <c r="A960">
        <v>2305100</v>
      </c>
      <c r="B960" t="s">
        <v>1974</v>
      </c>
      <c r="C960">
        <v>-4.2620509186038706</v>
      </c>
      <c r="D960">
        <v>-38.940633285059974</v>
      </c>
    </row>
    <row r="961" spans="1:4" x14ac:dyDescent="0.3">
      <c r="A961">
        <v>2305209</v>
      </c>
      <c r="B961" t="s">
        <v>1975</v>
      </c>
      <c r="C961">
        <v>-4.4079994442595654</v>
      </c>
      <c r="D961">
        <v>-40.401817124363667</v>
      </c>
    </row>
    <row r="962" spans="1:4" x14ac:dyDescent="0.3">
      <c r="A962">
        <v>2305233</v>
      </c>
      <c r="B962" t="s">
        <v>1976</v>
      </c>
      <c r="C962">
        <v>-4.0932780000000006</v>
      </c>
      <c r="D962">
        <v>-38.494239558552088</v>
      </c>
    </row>
    <row r="963" spans="1:4" x14ac:dyDescent="0.3">
      <c r="A963">
        <v>2305266</v>
      </c>
      <c r="B963" t="s">
        <v>1977</v>
      </c>
      <c r="C963">
        <v>-4.8186515779064054</v>
      </c>
      <c r="D963">
        <v>-38.821678312729524</v>
      </c>
    </row>
    <row r="964" spans="1:4" x14ac:dyDescent="0.3">
      <c r="A964">
        <v>2305308</v>
      </c>
      <c r="B964" t="s">
        <v>1978</v>
      </c>
      <c r="C964">
        <v>-3.9361312622411413</v>
      </c>
      <c r="D964">
        <v>-40.893929019795614</v>
      </c>
    </row>
    <row r="965" spans="1:4" x14ac:dyDescent="0.3">
      <c r="A965">
        <v>2305332</v>
      </c>
      <c r="B965" t="s">
        <v>1979</v>
      </c>
      <c r="C965">
        <v>-4.9691664228245598</v>
      </c>
      <c r="D965">
        <v>-38.640863048578566</v>
      </c>
    </row>
    <row r="966" spans="1:4" x14ac:dyDescent="0.3">
      <c r="A966">
        <v>2305357</v>
      </c>
      <c r="B966" t="s">
        <v>1980</v>
      </c>
      <c r="C966">
        <v>-4.7155494878312805</v>
      </c>
      <c r="D966">
        <v>-37.353563098597085</v>
      </c>
    </row>
    <row r="967" spans="1:4" x14ac:dyDescent="0.3">
      <c r="A967">
        <v>2305407</v>
      </c>
      <c r="B967" t="s">
        <v>1981</v>
      </c>
      <c r="C967">
        <v>-6.4030312519304067</v>
      </c>
      <c r="D967">
        <v>-38.863085178879807</v>
      </c>
    </row>
    <row r="968" spans="1:4" x14ac:dyDescent="0.3">
      <c r="A968">
        <v>2305506</v>
      </c>
      <c r="B968" t="s">
        <v>1982</v>
      </c>
      <c r="C968">
        <v>-6.3605547200459158</v>
      </c>
      <c r="D968">
        <v>-39.2999056781645</v>
      </c>
    </row>
    <row r="969" spans="1:4" x14ac:dyDescent="0.3">
      <c r="A969">
        <v>2305605</v>
      </c>
      <c r="B969" t="s">
        <v>1983</v>
      </c>
      <c r="C969">
        <v>-5.3980281002608601</v>
      </c>
      <c r="D969">
        <v>-40.309348260560704</v>
      </c>
    </row>
    <row r="970" spans="1:4" x14ac:dyDescent="0.3">
      <c r="A970">
        <v>2305654</v>
      </c>
      <c r="B970" t="s">
        <v>1984</v>
      </c>
      <c r="C970">
        <v>-4.9006297857144601</v>
      </c>
      <c r="D970">
        <v>-40.757966339977315</v>
      </c>
    </row>
    <row r="971" spans="1:4" x14ac:dyDescent="0.3">
      <c r="A971">
        <v>2305704</v>
      </c>
      <c r="B971" t="s">
        <v>1985</v>
      </c>
      <c r="C971">
        <v>-6.7883612602132715</v>
      </c>
      <c r="D971">
        <v>-38.715903744122421</v>
      </c>
    </row>
    <row r="972" spans="1:4" x14ac:dyDescent="0.3">
      <c r="A972">
        <v>2305803</v>
      </c>
      <c r="B972" t="s">
        <v>1986</v>
      </c>
      <c r="C972">
        <v>-4.313431685177215</v>
      </c>
      <c r="D972">
        <v>-40.71872614473012</v>
      </c>
    </row>
    <row r="973" spans="1:4" x14ac:dyDescent="0.3">
      <c r="A973">
        <v>2305902</v>
      </c>
      <c r="B973" t="s">
        <v>1396</v>
      </c>
      <c r="C973">
        <v>-4.5437854950000007</v>
      </c>
      <c r="D973">
        <v>-40.71569651059378</v>
      </c>
    </row>
    <row r="974" spans="1:4" x14ac:dyDescent="0.3">
      <c r="A974">
        <v>2306009</v>
      </c>
      <c r="B974" t="s">
        <v>77</v>
      </c>
      <c r="C974">
        <v>-5.8098425528637554</v>
      </c>
      <c r="D974">
        <v>-38.30466165569883</v>
      </c>
    </row>
    <row r="975" spans="1:4" x14ac:dyDescent="0.3">
      <c r="A975">
        <v>2306108</v>
      </c>
      <c r="B975" t="s">
        <v>1987</v>
      </c>
      <c r="C975">
        <v>-3.7454188017037704</v>
      </c>
      <c r="D975">
        <v>-39.792238115085652</v>
      </c>
    </row>
    <row r="976" spans="1:4" x14ac:dyDescent="0.3">
      <c r="A976">
        <v>2306207</v>
      </c>
      <c r="B976" t="s">
        <v>1988</v>
      </c>
      <c r="C976">
        <v>-4.6834047118556112</v>
      </c>
      <c r="D976">
        <v>-37.82162951368597</v>
      </c>
    </row>
    <row r="977" spans="1:4" x14ac:dyDescent="0.3">
      <c r="A977">
        <v>2306256</v>
      </c>
      <c r="B977" t="s">
        <v>1989</v>
      </c>
      <c r="C977">
        <v>-3.9704590163054458</v>
      </c>
      <c r="D977">
        <v>-38.526405149490792</v>
      </c>
    </row>
    <row r="978" spans="1:4" x14ac:dyDescent="0.3">
      <c r="A978">
        <v>2306306</v>
      </c>
      <c r="B978" t="s">
        <v>1990</v>
      </c>
      <c r="C978">
        <v>-3.6856731098419906</v>
      </c>
      <c r="D978">
        <v>-39.583533238622174</v>
      </c>
    </row>
    <row r="979" spans="1:4" x14ac:dyDescent="0.3">
      <c r="A979">
        <v>2306405</v>
      </c>
      <c r="B979" t="s">
        <v>1991</v>
      </c>
      <c r="C979">
        <v>-3.4994355000000006</v>
      </c>
      <c r="D979">
        <v>-39.583481575770968</v>
      </c>
    </row>
    <row r="980" spans="1:4" x14ac:dyDescent="0.3">
      <c r="A980">
        <v>2306504</v>
      </c>
      <c r="B980" t="s">
        <v>1992</v>
      </c>
      <c r="C980">
        <v>-4.5547401746512506</v>
      </c>
      <c r="D980">
        <v>-38.920673955925217</v>
      </c>
    </row>
    <row r="981" spans="1:4" x14ac:dyDescent="0.3">
      <c r="A981">
        <v>2306553</v>
      </c>
      <c r="B981" t="s">
        <v>1993</v>
      </c>
      <c r="C981">
        <v>-2.9233480000000007</v>
      </c>
      <c r="D981">
        <v>-39.915677748929006</v>
      </c>
    </row>
    <row r="982" spans="1:4" x14ac:dyDescent="0.3">
      <c r="A982">
        <v>2306603</v>
      </c>
      <c r="B982" t="s">
        <v>1994</v>
      </c>
      <c r="C982">
        <v>-4.5289225623329656</v>
      </c>
      <c r="D982">
        <v>-39.617904015884484</v>
      </c>
    </row>
    <row r="983" spans="1:4" x14ac:dyDescent="0.3">
      <c r="A983">
        <v>2306702</v>
      </c>
      <c r="B983" t="s">
        <v>1995</v>
      </c>
      <c r="C983">
        <v>-5.6108895632261513</v>
      </c>
      <c r="D983">
        <v>-38.762526297907399</v>
      </c>
    </row>
    <row r="984" spans="1:4" x14ac:dyDescent="0.3">
      <c r="A984">
        <v>2306801</v>
      </c>
      <c r="B984" t="s">
        <v>1996</v>
      </c>
      <c r="C984">
        <v>-5.4575020339634914</v>
      </c>
      <c r="D984">
        <v>-38.463097295550789</v>
      </c>
    </row>
    <row r="985" spans="1:4" x14ac:dyDescent="0.3">
      <c r="A985">
        <v>2306900</v>
      </c>
      <c r="B985" t="s">
        <v>1997</v>
      </c>
      <c r="C985">
        <v>-5.8864590450000014</v>
      </c>
      <c r="D985">
        <v>-38.623005049266844</v>
      </c>
    </row>
    <row r="986" spans="1:4" x14ac:dyDescent="0.3">
      <c r="A986">
        <v>2307007</v>
      </c>
      <c r="B986" t="s">
        <v>1998</v>
      </c>
      <c r="C986">
        <v>-4.8395551682976059</v>
      </c>
      <c r="D986">
        <v>-37.782391480958637</v>
      </c>
    </row>
    <row r="987" spans="1:4" x14ac:dyDescent="0.3">
      <c r="A987">
        <v>2307106</v>
      </c>
      <c r="B987" t="s">
        <v>1999</v>
      </c>
      <c r="C987">
        <v>-7.5855364656784268</v>
      </c>
      <c r="D987">
        <v>-39.284164457366103</v>
      </c>
    </row>
    <row r="988" spans="1:4" x14ac:dyDescent="0.3">
      <c r="A988">
        <v>2307205</v>
      </c>
      <c r="B988" t="s">
        <v>2000</v>
      </c>
      <c r="C988">
        <v>-7.6927415947833309</v>
      </c>
      <c r="D988">
        <v>-39.005138761229425</v>
      </c>
    </row>
    <row r="989" spans="1:4" x14ac:dyDescent="0.3">
      <c r="A989">
        <v>2307254</v>
      </c>
      <c r="B989" t="s">
        <v>2001</v>
      </c>
      <c r="C989">
        <v>-2.8996827088705555</v>
      </c>
      <c r="D989">
        <v>-40.438735401872727</v>
      </c>
    </row>
    <row r="990" spans="1:4" x14ac:dyDescent="0.3">
      <c r="A990">
        <v>2307304</v>
      </c>
      <c r="B990" t="s">
        <v>2002</v>
      </c>
      <c r="C990">
        <v>-7.2107660000000005</v>
      </c>
      <c r="D990">
        <v>-39.316993355614301</v>
      </c>
    </row>
    <row r="991" spans="1:4" x14ac:dyDescent="0.3">
      <c r="A991">
        <v>2307403</v>
      </c>
      <c r="B991" t="s">
        <v>2003</v>
      </c>
      <c r="C991">
        <v>-6.5225492730586261</v>
      </c>
      <c r="D991">
        <v>-39.526776243430291</v>
      </c>
    </row>
    <row r="992" spans="1:4" x14ac:dyDescent="0.3">
      <c r="A992">
        <v>2307502</v>
      </c>
      <c r="B992" t="s">
        <v>2004</v>
      </c>
      <c r="C992">
        <v>-6.7547479768401351</v>
      </c>
      <c r="D992">
        <v>-38.967275053927743</v>
      </c>
    </row>
    <row r="993" spans="1:4" x14ac:dyDescent="0.3">
      <c r="A993">
        <v>2307601</v>
      </c>
      <c r="B993" t="s">
        <v>2005</v>
      </c>
      <c r="C993">
        <v>-5.1502390200000008</v>
      </c>
      <c r="D993">
        <v>-38.099094870452923</v>
      </c>
    </row>
    <row r="994" spans="1:4" x14ac:dyDescent="0.3">
      <c r="A994">
        <v>2307635</v>
      </c>
      <c r="B994" t="s">
        <v>2006</v>
      </c>
      <c r="C994">
        <v>-4.8524341766019807</v>
      </c>
      <c r="D994">
        <v>-39.575788682600333</v>
      </c>
    </row>
    <row r="995" spans="1:4" x14ac:dyDescent="0.3">
      <c r="A995">
        <v>2307650</v>
      </c>
      <c r="B995" t="s">
        <v>2007</v>
      </c>
      <c r="C995">
        <v>-3.8769644510203611</v>
      </c>
      <c r="D995">
        <v>-38.624418646586491</v>
      </c>
    </row>
    <row r="996" spans="1:4" x14ac:dyDescent="0.3">
      <c r="A996">
        <v>2307700</v>
      </c>
      <c r="B996" t="s">
        <v>2008</v>
      </c>
      <c r="C996">
        <v>-3.8918694600000006</v>
      </c>
      <c r="D996">
        <v>-38.685851247687332</v>
      </c>
    </row>
    <row r="997" spans="1:4" x14ac:dyDescent="0.3">
      <c r="A997">
        <v>2307809</v>
      </c>
      <c r="B997" t="s">
        <v>2009</v>
      </c>
      <c r="C997">
        <v>-3.1207070250000002</v>
      </c>
      <c r="D997">
        <v>-40.151643642749626</v>
      </c>
    </row>
    <row r="998" spans="1:4" x14ac:dyDescent="0.3">
      <c r="A998">
        <v>2307908</v>
      </c>
      <c r="B998" t="s">
        <v>2010</v>
      </c>
      <c r="C998">
        <v>-3.2250122274421562</v>
      </c>
      <c r="D998">
        <v>-40.699355175069122</v>
      </c>
    </row>
    <row r="999" spans="1:4" x14ac:dyDescent="0.3">
      <c r="A999">
        <v>2308005</v>
      </c>
      <c r="B999" t="s">
        <v>2011</v>
      </c>
      <c r="C999">
        <v>-3.5238705842824922</v>
      </c>
      <c r="D999">
        <v>-40.342134864801253</v>
      </c>
    </row>
    <row r="1000" spans="1:4" x14ac:dyDescent="0.3">
      <c r="A1000">
        <v>2308104</v>
      </c>
      <c r="B1000" t="s">
        <v>2012</v>
      </c>
      <c r="C1000">
        <v>-7.3873980000000001</v>
      </c>
      <c r="D1000">
        <v>-38.77279543803099</v>
      </c>
    </row>
    <row r="1001" spans="1:4" x14ac:dyDescent="0.3">
      <c r="A1001">
        <v>2308203</v>
      </c>
      <c r="B1001" t="s">
        <v>2013</v>
      </c>
      <c r="C1001">
        <v>-3.5390066623198786</v>
      </c>
      <c r="D1001">
        <v>-40.450880956786129</v>
      </c>
    </row>
    <row r="1002" spans="1:4" x14ac:dyDescent="0.3">
      <c r="A1002">
        <v>2308302</v>
      </c>
      <c r="B1002" t="s">
        <v>2014</v>
      </c>
      <c r="C1002">
        <v>-7.3104277967818909</v>
      </c>
      <c r="D1002">
        <v>-38.943156766207615</v>
      </c>
    </row>
    <row r="1003" spans="1:4" x14ac:dyDescent="0.3">
      <c r="A1003">
        <v>2308351</v>
      </c>
      <c r="B1003" t="s">
        <v>2015</v>
      </c>
      <c r="C1003">
        <v>-5.6795641008869655</v>
      </c>
      <c r="D1003">
        <v>-39.203574181643575</v>
      </c>
    </row>
    <row r="1004" spans="1:4" x14ac:dyDescent="0.3">
      <c r="A1004">
        <v>2308377</v>
      </c>
      <c r="B1004" t="s">
        <v>2016</v>
      </c>
      <c r="C1004">
        <v>-3.5685999065573752</v>
      </c>
      <c r="D1004">
        <v>-39.970064882002113</v>
      </c>
    </row>
    <row r="1005" spans="1:4" x14ac:dyDescent="0.3">
      <c r="A1005">
        <v>2308401</v>
      </c>
      <c r="B1005" t="s">
        <v>2017</v>
      </c>
      <c r="C1005">
        <v>-7.2432315137851564</v>
      </c>
      <c r="D1005">
        <v>-39.145197707865272</v>
      </c>
    </row>
    <row r="1006" spans="1:4" x14ac:dyDescent="0.3">
      <c r="A1006">
        <v>2308500</v>
      </c>
      <c r="B1006" t="s">
        <v>2018</v>
      </c>
      <c r="C1006">
        <v>-5.7470045400000025</v>
      </c>
      <c r="D1006">
        <v>-39.624405247857176</v>
      </c>
    </row>
    <row r="1007" spans="1:4" x14ac:dyDescent="0.3">
      <c r="A1007">
        <v>2308609</v>
      </c>
      <c r="B1007" t="s">
        <v>2019</v>
      </c>
      <c r="C1007">
        <v>-4.7830912914587325</v>
      </c>
      <c r="D1007">
        <v>-40.07006746159287</v>
      </c>
    </row>
    <row r="1008" spans="1:4" x14ac:dyDescent="0.3">
      <c r="A1008">
        <v>2308708</v>
      </c>
      <c r="B1008" t="s">
        <v>2020</v>
      </c>
      <c r="C1008">
        <v>-5.0969520001672057</v>
      </c>
      <c r="D1008">
        <v>-38.364907345073121</v>
      </c>
    </row>
    <row r="1009" spans="1:4" x14ac:dyDescent="0.3">
      <c r="A1009">
        <v>2308807</v>
      </c>
      <c r="B1009" t="s">
        <v>2021</v>
      </c>
      <c r="C1009">
        <v>-3.4663632743992454</v>
      </c>
      <c r="D1009">
        <v>-40.683598927119768</v>
      </c>
    </row>
    <row r="1010" spans="1:4" x14ac:dyDescent="0.3">
      <c r="A1010">
        <v>2308906</v>
      </c>
      <c r="B1010" t="s">
        <v>2022</v>
      </c>
      <c r="C1010">
        <v>-3.2288305342538908</v>
      </c>
      <c r="D1010">
        <v>-40.124178892933124</v>
      </c>
    </row>
    <row r="1011" spans="1:4" x14ac:dyDescent="0.3">
      <c r="A1011">
        <v>2309003</v>
      </c>
      <c r="B1011" t="s">
        <v>2023</v>
      </c>
      <c r="C1011">
        <v>-3.9060299795982059</v>
      </c>
      <c r="D1011">
        <v>-40.745280465159304</v>
      </c>
    </row>
    <row r="1012" spans="1:4" x14ac:dyDescent="0.3">
      <c r="A1012">
        <v>2309102</v>
      </c>
      <c r="B1012" t="s">
        <v>2024</v>
      </c>
      <c r="C1012">
        <v>-4.2995283200776511</v>
      </c>
      <c r="D1012">
        <v>-38.993065923926785</v>
      </c>
    </row>
    <row r="1013" spans="1:4" x14ac:dyDescent="0.3">
      <c r="A1013">
        <v>2309201</v>
      </c>
      <c r="B1013" t="s">
        <v>1418</v>
      </c>
      <c r="C1013">
        <v>-7.0841028113890401</v>
      </c>
      <c r="D1013">
        <v>-39.679485472664418</v>
      </c>
    </row>
    <row r="1014" spans="1:4" x14ac:dyDescent="0.3">
      <c r="A1014">
        <v>2309300</v>
      </c>
      <c r="B1014" t="s">
        <v>2025</v>
      </c>
      <c r="C1014">
        <v>-4.7068083499366002</v>
      </c>
      <c r="D1014">
        <v>-40.565303354882495</v>
      </c>
    </row>
    <row r="1015" spans="1:4" x14ac:dyDescent="0.3">
      <c r="A1015">
        <v>2309409</v>
      </c>
      <c r="B1015" t="s">
        <v>2026</v>
      </c>
      <c r="C1015">
        <v>-5.5338648355461162</v>
      </c>
      <c r="D1015">
        <v>-40.77476726821174</v>
      </c>
    </row>
    <row r="1016" spans="1:4" x14ac:dyDescent="0.3">
      <c r="A1016">
        <v>2309458</v>
      </c>
      <c r="B1016" t="s">
        <v>2027</v>
      </c>
      <c r="C1016">
        <v>-4.4850665445477853</v>
      </c>
      <c r="D1016">
        <v>-38.598537982790198</v>
      </c>
    </row>
    <row r="1017" spans="1:4" x14ac:dyDescent="0.3">
      <c r="A1017">
        <v>2309508</v>
      </c>
      <c r="B1017" t="s">
        <v>2028</v>
      </c>
      <c r="C1017">
        <v>-6.2427987836876166</v>
      </c>
      <c r="D1017">
        <v>-38.913595984548714</v>
      </c>
    </row>
    <row r="1018" spans="1:4" x14ac:dyDescent="0.3">
      <c r="A1018">
        <v>2309607</v>
      </c>
      <c r="B1018" t="s">
        <v>2029</v>
      </c>
      <c r="C1018">
        <v>-4.1705405100000013</v>
      </c>
      <c r="D1018">
        <v>-38.46702226489348</v>
      </c>
    </row>
    <row r="1019" spans="1:4" x14ac:dyDescent="0.3">
      <c r="A1019">
        <v>2309706</v>
      </c>
      <c r="B1019" t="s">
        <v>2030</v>
      </c>
      <c r="C1019">
        <v>-3.9861200222938704</v>
      </c>
      <c r="D1019">
        <v>-38.618299312032484</v>
      </c>
    </row>
    <row r="1020" spans="1:4" x14ac:dyDescent="0.3">
      <c r="A1020">
        <v>2309805</v>
      </c>
      <c r="B1020" t="s">
        <v>2031</v>
      </c>
      <c r="C1020">
        <v>-4.2247654330706608</v>
      </c>
      <c r="D1020">
        <v>-38.925888938665857</v>
      </c>
    </row>
    <row r="1021" spans="1:4" x14ac:dyDescent="0.3">
      <c r="A1021">
        <v>2309904</v>
      </c>
      <c r="B1021" t="s">
        <v>2032</v>
      </c>
      <c r="C1021">
        <v>-3.9783943860571558</v>
      </c>
      <c r="D1021">
        <v>-40.696736107254218</v>
      </c>
    </row>
    <row r="1022" spans="1:4" x14ac:dyDescent="0.3">
      <c r="A1022">
        <v>2310001</v>
      </c>
      <c r="B1022" t="s">
        <v>2033</v>
      </c>
      <c r="C1022">
        <v>-4.7439450767732856</v>
      </c>
      <c r="D1022">
        <v>-37.966235161097387</v>
      </c>
    </row>
    <row r="1023" spans="1:4" x14ac:dyDescent="0.3">
      <c r="A1023">
        <v>2310100</v>
      </c>
      <c r="B1023" t="s">
        <v>2034</v>
      </c>
      <c r="C1023">
        <v>-4.1489817745243709</v>
      </c>
      <c r="D1023">
        <v>-38.845029066310282</v>
      </c>
    </row>
    <row r="1024" spans="1:4" x14ac:dyDescent="0.3">
      <c r="A1024">
        <v>2310209</v>
      </c>
      <c r="B1024" t="s">
        <v>2035</v>
      </c>
      <c r="C1024">
        <v>-3.4116350091571102</v>
      </c>
      <c r="D1024">
        <v>-39.029545344122454</v>
      </c>
    </row>
    <row r="1025" spans="1:4" x14ac:dyDescent="0.3">
      <c r="A1025">
        <v>2310258</v>
      </c>
      <c r="B1025" t="s">
        <v>2036</v>
      </c>
      <c r="C1025">
        <v>-3.4361967278710654</v>
      </c>
      <c r="D1025">
        <v>-39.14811552721234</v>
      </c>
    </row>
    <row r="1026" spans="1:4" x14ac:dyDescent="0.3">
      <c r="A1026">
        <v>2310308</v>
      </c>
      <c r="B1026" t="s">
        <v>2037</v>
      </c>
      <c r="C1026">
        <v>-6.2103360017224363</v>
      </c>
      <c r="D1026">
        <v>-40.694207241345701</v>
      </c>
    </row>
    <row r="1027" spans="1:4" x14ac:dyDescent="0.3">
      <c r="A1027">
        <v>2310407</v>
      </c>
      <c r="B1027" t="s">
        <v>2038</v>
      </c>
      <c r="C1027">
        <v>-4.0974323319734252</v>
      </c>
      <c r="D1027">
        <v>-39.239466495031287</v>
      </c>
    </row>
    <row r="1028" spans="1:4" x14ac:dyDescent="0.3">
      <c r="A1028">
        <v>2310506</v>
      </c>
      <c r="B1028" t="s">
        <v>2039</v>
      </c>
      <c r="C1028">
        <v>-5.454685500000001</v>
      </c>
      <c r="D1028">
        <v>-39.713937644703599</v>
      </c>
    </row>
    <row r="1029" spans="1:4" x14ac:dyDescent="0.3">
      <c r="A1029">
        <v>2310605</v>
      </c>
      <c r="B1029" t="s">
        <v>2040</v>
      </c>
      <c r="C1029">
        <v>-7.8299146120556662</v>
      </c>
      <c r="D1029">
        <v>-39.074127524080168</v>
      </c>
    </row>
    <row r="1030" spans="1:4" x14ac:dyDescent="0.3">
      <c r="A1030">
        <v>2310704</v>
      </c>
      <c r="B1030" t="s">
        <v>2041</v>
      </c>
      <c r="C1030">
        <v>-3.7962667361544349</v>
      </c>
      <c r="D1030">
        <v>-39.267008731469012</v>
      </c>
    </row>
    <row r="1031" spans="1:4" x14ac:dyDescent="0.3">
      <c r="A1031">
        <v>2310803</v>
      </c>
      <c r="B1031" t="s">
        <v>2042</v>
      </c>
      <c r="C1031">
        <v>-6.0450769020301465</v>
      </c>
      <c r="D1031">
        <v>-38.459136038954135</v>
      </c>
    </row>
    <row r="1032" spans="1:4" x14ac:dyDescent="0.3">
      <c r="A1032">
        <v>2310852</v>
      </c>
      <c r="B1032" t="s">
        <v>2043</v>
      </c>
      <c r="C1032">
        <v>-4.0278039927411848</v>
      </c>
      <c r="D1032">
        <v>-38.300087976256066</v>
      </c>
    </row>
    <row r="1033" spans="1:4" x14ac:dyDescent="0.3">
      <c r="A1033">
        <v>2310902</v>
      </c>
      <c r="B1033" t="s">
        <v>2044</v>
      </c>
      <c r="C1033">
        <v>-5.8085695597734306</v>
      </c>
      <c r="D1033">
        <v>-39.419406255537986</v>
      </c>
    </row>
    <row r="1034" spans="1:4" x14ac:dyDescent="0.3">
      <c r="A1034">
        <v>2310951</v>
      </c>
      <c r="B1034" t="s">
        <v>2045</v>
      </c>
      <c r="C1034">
        <v>-4.2421541432344156</v>
      </c>
      <c r="D1034">
        <v>-40.646541247752744</v>
      </c>
    </row>
    <row r="1035" spans="1:4" x14ac:dyDescent="0.3">
      <c r="A1035">
        <v>2311009</v>
      </c>
      <c r="B1035" t="s">
        <v>2046</v>
      </c>
      <c r="C1035">
        <v>-4.7439507319411698</v>
      </c>
      <c r="D1035">
        <v>-40.926379510265342</v>
      </c>
    </row>
    <row r="1036" spans="1:4" x14ac:dyDescent="0.3">
      <c r="A1036">
        <v>2311108</v>
      </c>
      <c r="B1036" t="s">
        <v>2047</v>
      </c>
      <c r="C1036">
        <v>-7.5357464416067055</v>
      </c>
      <c r="D1036">
        <v>-39.115331461482853</v>
      </c>
    </row>
    <row r="1037" spans="1:4" x14ac:dyDescent="0.3">
      <c r="A1037">
        <v>2311207</v>
      </c>
      <c r="B1037" t="s">
        <v>2048</v>
      </c>
      <c r="C1037">
        <v>-7.0901794696070706</v>
      </c>
      <c r="D1037">
        <v>-40.032132535687765</v>
      </c>
    </row>
    <row r="1038" spans="1:4" x14ac:dyDescent="0.3">
      <c r="A1038">
        <v>2311231</v>
      </c>
      <c r="B1038" t="s">
        <v>2049</v>
      </c>
      <c r="C1038">
        <v>-5.7216679037421914</v>
      </c>
      <c r="D1038">
        <v>-38.157917853164754</v>
      </c>
    </row>
    <row r="1039" spans="1:4" x14ac:dyDescent="0.3">
      <c r="A1039">
        <v>2311264</v>
      </c>
      <c r="B1039" t="s">
        <v>2050</v>
      </c>
      <c r="C1039">
        <v>-5.8470092293281954</v>
      </c>
      <c r="D1039">
        <v>-40.704488846833073</v>
      </c>
    </row>
    <row r="1040" spans="1:4" x14ac:dyDescent="0.3">
      <c r="A1040">
        <v>2311306</v>
      </c>
      <c r="B1040" t="s">
        <v>2051</v>
      </c>
      <c r="C1040">
        <v>-4.9637000000000002</v>
      </c>
      <c r="D1040">
        <v>-39.011744675830364</v>
      </c>
    </row>
    <row r="1041" spans="1:4" x14ac:dyDescent="0.3">
      <c r="A1041">
        <v>2311355</v>
      </c>
      <c r="B1041" t="s">
        <v>2052</v>
      </c>
      <c r="C1041">
        <v>-6.2512119003795323</v>
      </c>
      <c r="D1041">
        <v>-39.202294366455035</v>
      </c>
    </row>
    <row r="1042" spans="1:4" x14ac:dyDescent="0.3">
      <c r="A1042">
        <v>2311405</v>
      </c>
      <c r="B1042" t="s">
        <v>2053</v>
      </c>
      <c r="C1042">
        <v>-5.1984048374255751</v>
      </c>
      <c r="D1042">
        <v>-39.294354226963527</v>
      </c>
    </row>
    <row r="1043" spans="1:4" x14ac:dyDescent="0.3">
      <c r="A1043">
        <v>2311504</v>
      </c>
      <c r="B1043" t="s">
        <v>2054</v>
      </c>
      <c r="C1043">
        <v>-5.0687289544406715</v>
      </c>
      <c r="D1043">
        <v>-37.990522225086302</v>
      </c>
    </row>
    <row r="1044" spans="1:4" x14ac:dyDescent="0.3">
      <c r="A1044">
        <v>2311603</v>
      </c>
      <c r="B1044" t="s">
        <v>1284</v>
      </c>
      <c r="C1044">
        <v>-4.2229581502009905</v>
      </c>
      <c r="D1044">
        <v>-38.729570750590447</v>
      </c>
    </row>
    <row r="1045" spans="1:4" x14ac:dyDescent="0.3">
      <c r="A1045">
        <v>2311702</v>
      </c>
      <c r="B1045" t="s">
        <v>2055</v>
      </c>
      <c r="C1045">
        <v>-4.1415676008306104</v>
      </c>
      <c r="D1045">
        <v>-40.58461200365452</v>
      </c>
    </row>
    <row r="1046" spans="1:4" x14ac:dyDescent="0.3">
      <c r="A1046">
        <v>2311801</v>
      </c>
      <c r="B1046" t="s">
        <v>2056</v>
      </c>
      <c r="C1046">
        <v>-4.9397378153640199</v>
      </c>
      <c r="D1046">
        <v>-37.97543129690105</v>
      </c>
    </row>
    <row r="1047" spans="1:4" x14ac:dyDescent="0.3">
      <c r="A1047">
        <v>2311900</v>
      </c>
      <c r="B1047" t="s">
        <v>2057</v>
      </c>
      <c r="C1047">
        <v>-6.5364333524808291</v>
      </c>
      <c r="D1047">
        <v>-39.90458069841771</v>
      </c>
    </row>
    <row r="1048" spans="1:4" x14ac:dyDescent="0.3">
      <c r="A1048">
        <v>2311959</v>
      </c>
      <c r="B1048" t="s">
        <v>2058</v>
      </c>
      <c r="C1048">
        <v>-7.2845286849737159</v>
      </c>
      <c r="D1048">
        <v>-40.464752064629963</v>
      </c>
    </row>
    <row r="1049" spans="1:4" x14ac:dyDescent="0.3">
      <c r="A1049">
        <v>2312007</v>
      </c>
      <c r="B1049" t="s">
        <v>2059</v>
      </c>
      <c r="C1049">
        <v>-3.459775341731135</v>
      </c>
      <c r="D1049">
        <v>-40.209462859812668</v>
      </c>
    </row>
    <row r="1050" spans="1:4" x14ac:dyDescent="0.3">
      <c r="A1050">
        <v>2312106</v>
      </c>
      <c r="B1050" t="s">
        <v>2060</v>
      </c>
      <c r="C1050">
        <v>-7.1808977832821785</v>
      </c>
      <c r="D1050">
        <v>-39.737979781546649</v>
      </c>
    </row>
    <row r="1051" spans="1:4" x14ac:dyDescent="0.3">
      <c r="A1051">
        <v>2312205</v>
      </c>
      <c r="B1051" t="s">
        <v>2061</v>
      </c>
      <c r="C1051">
        <v>-4.3332705000000002</v>
      </c>
      <c r="D1051">
        <v>-40.153507813582017</v>
      </c>
    </row>
    <row r="1052" spans="1:4" x14ac:dyDescent="0.3">
      <c r="A1052">
        <v>2312304</v>
      </c>
      <c r="B1052" t="s">
        <v>2062</v>
      </c>
      <c r="C1052">
        <v>-4.0447269900000009</v>
      </c>
      <c r="D1052">
        <v>-40.864489875761059</v>
      </c>
    </row>
    <row r="1053" spans="1:4" x14ac:dyDescent="0.3">
      <c r="A1053">
        <v>2312403</v>
      </c>
      <c r="B1053" t="s">
        <v>2063</v>
      </c>
      <c r="C1053">
        <v>-3.6056325</v>
      </c>
      <c r="D1053">
        <v>-38.972075865280296</v>
      </c>
    </row>
    <row r="1054" spans="1:4" x14ac:dyDescent="0.3">
      <c r="A1054">
        <v>2312502</v>
      </c>
      <c r="B1054" t="s">
        <v>2064</v>
      </c>
      <c r="C1054">
        <v>-5.2686305504859101</v>
      </c>
      <c r="D1054">
        <v>-38.271940704379773</v>
      </c>
    </row>
    <row r="1055" spans="1:4" x14ac:dyDescent="0.3">
      <c r="A1055">
        <v>2312601</v>
      </c>
      <c r="B1055" t="s">
        <v>2065</v>
      </c>
      <c r="C1055">
        <v>-3.6730092532286358</v>
      </c>
      <c r="D1055">
        <v>-39.241606184971339</v>
      </c>
    </row>
    <row r="1056" spans="1:4" x14ac:dyDescent="0.3">
      <c r="A1056">
        <v>2312700</v>
      </c>
      <c r="B1056" t="s">
        <v>2066</v>
      </c>
      <c r="C1056">
        <v>-5.5893437521311204</v>
      </c>
      <c r="D1056">
        <v>-39.37532533084174</v>
      </c>
    </row>
    <row r="1057" spans="1:4" x14ac:dyDescent="0.3">
      <c r="A1057">
        <v>2312809</v>
      </c>
      <c r="B1057" t="s">
        <v>2067</v>
      </c>
      <c r="C1057">
        <v>-3.3517896280369808</v>
      </c>
      <c r="D1057">
        <v>-40.463792004414444</v>
      </c>
    </row>
    <row r="1058" spans="1:4" x14ac:dyDescent="0.3">
      <c r="A1058">
        <v>2312908</v>
      </c>
      <c r="B1058" t="s">
        <v>2068</v>
      </c>
      <c r="C1058">
        <v>-3.6880376837644202</v>
      </c>
      <c r="D1058">
        <v>-40.3486680336582</v>
      </c>
    </row>
    <row r="1059" spans="1:4" x14ac:dyDescent="0.3">
      <c r="A1059">
        <v>2313005</v>
      </c>
      <c r="B1059" t="s">
        <v>2069</v>
      </c>
      <c r="C1059">
        <v>-5.7263512910078305</v>
      </c>
      <c r="D1059">
        <v>-39.008224913244597</v>
      </c>
    </row>
    <row r="1060" spans="1:4" x14ac:dyDescent="0.3">
      <c r="A1060">
        <v>2313104</v>
      </c>
      <c r="B1060" t="s">
        <v>2070</v>
      </c>
      <c r="C1060">
        <v>-5.2438038698773513</v>
      </c>
      <c r="D1060">
        <v>-38.129737128172025</v>
      </c>
    </row>
    <row r="1061" spans="1:4" x14ac:dyDescent="0.3">
      <c r="A1061">
        <v>2313203</v>
      </c>
      <c r="B1061" t="s">
        <v>2071</v>
      </c>
      <c r="C1061">
        <v>-4.8339285831558811</v>
      </c>
      <c r="D1061">
        <v>-40.319068513295953</v>
      </c>
    </row>
    <row r="1062" spans="1:4" x14ac:dyDescent="0.3">
      <c r="A1062">
        <v>2313252</v>
      </c>
      <c r="B1062" t="s">
        <v>2072</v>
      </c>
      <c r="C1062">
        <v>-6.6825903147373662</v>
      </c>
      <c r="D1062">
        <v>-39.758494194865278</v>
      </c>
    </row>
    <row r="1063" spans="1:4" x14ac:dyDescent="0.3">
      <c r="A1063">
        <v>2313302</v>
      </c>
      <c r="B1063" t="s">
        <v>2073</v>
      </c>
      <c r="C1063">
        <v>-6.00299893985789</v>
      </c>
      <c r="D1063">
        <v>-40.292624655104945</v>
      </c>
    </row>
    <row r="1064" spans="1:4" x14ac:dyDescent="0.3">
      <c r="A1064">
        <v>2313351</v>
      </c>
      <c r="B1064" t="s">
        <v>2074</v>
      </c>
      <c r="C1064">
        <v>-3.9897118085937118</v>
      </c>
      <c r="D1064">
        <v>-39.576826361710559</v>
      </c>
    </row>
    <row r="1065" spans="1:4" x14ac:dyDescent="0.3">
      <c r="A1065">
        <v>2313401</v>
      </c>
      <c r="B1065" t="s">
        <v>2075</v>
      </c>
      <c r="C1065">
        <v>-3.7226740000000009</v>
      </c>
      <c r="D1065">
        <v>-40.99170562269159</v>
      </c>
    </row>
    <row r="1066" spans="1:4" x14ac:dyDescent="0.3">
      <c r="A1066">
        <v>2313500</v>
      </c>
      <c r="B1066" t="s">
        <v>2076</v>
      </c>
      <c r="C1066">
        <v>-3.2644201691338703</v>
      </c>
      <c r="D1066">
        <v>-39.272231872632958</v>
      </c>
    </row>
    <row r="1067" spans="1:4" x14ac:dyDescent="0.3">
      <c r="A1067">
        <v>2313559</v>
      </c>
      <c r="B1067" t="s">
        <v>2077</v>
      </c>
      <c r="C1067">
        <v>-3.5955952354998262</v>
      </c>
      <c r="D1067">
        <v>-39.434363536954059</v>
      </c>
    </row>
    <row r="1068" spans="1:4" x14ac:dyDescent="0.3">
      <c r="A1068">
        <v>2313609</v>
      </c>
      <c r="B1068" t="s">
        <v>2078</v>
      </c>
      <c r="C1068">
        <v>-3.8484914352165456</v>
      </c>
      <c r="D1068">
        <v>-40.90714392797144</v>
      </c>
    </row>
    <row r="1069" spans="1:4" x14ac:dyDescent="0.3">
      <c r="A1069">
        <v>2313708</v>
      </c>
      <c r="B1069" t="s">
        <v>2079</v>
      </c>
      <c r="C1069">
        <v>-6.6472443752098123</v>
      </c>
      <c r="D1069">
        <v>-38.701325715854288</v>
      </c>
    </row>
    <row r="1070" spans="1:4" x14ac:dyDescent="0.3">
      <c r="A1070">
        <v>2313757</v>
      </c>
      <c r="B1070" t="s">
        <v>2080</v>
      </c>
      <c r="C1070">
        <v>-3.6755618980980502</v>
      </c>
      <c r="D1070">
        <v>-39.342384404295522</v>
      </c>
    </row>
    <row r="1071" spans="1:4" x14ac:dyDescent="0.3">
      <c r="A1071">
        <v>2313807</v>
      </c>
      <c r="B1071" t="s">
        <v>2081</v>
      </c>
      <c r="C1071">
        <v>-3.6230168336817208</v>
      </c>
      <c r="D1071">
        <v>-39.508178069754209</v>
      </c>
    </row>
    <row r="1072" spans="1:4" x14ac:dyDescent="0.3">
      <c r="A1072">
        <v>2313906</v>
      </c>
      <c r="B1072" t="s">
        <v>2082</v>
      </c>
      <c r="C1072">
        <v>-3.3132306604292903</v>
      </c>
      <c r="D1072">
        <v>-40.561163027679619</v>
      </c>
    </row>
    <row r="1073" spans="1:4" x14ac:dyDescent="0.3">
      <c r="A1073">
        <v>2313955</v>
      </c>
      <c r="B1073" t="s">
        <v>2083</v>
      </c>
      <c r="C1073">
        <v>-4.1828222827599406</v>
      </c>
      <c r="D1073">
        <v>-40.478993274070099</v>
      </c>
    </row>
    <row r="1074" spans="1:4" x14ac:dyDescent="0.3">
      <c r="A1074">
        <v>2314003</v>
      </c>
      <c r="B1074" t="s">
        <v>2084</v>
      </c>
      <c r="C1074">
        <v>-6.7918458556432117</v>
      </c>
      <c r="D1074">
        <v>-39.298932997113688</v>
      </c>
    </row>
    <row r="1075" spans="1:4" x14ac:dyDescent="0.3">
      <c r="A1075">
        <v>2314102</v>
      </c>
      <c r="B1075" t="s">
        <v>2085</v>
      </c>
      <c r="C1075">
        <v>-3.5660127532006256</v>
      </c>
      <c r="D1075">
        <v>-41.091629075033559</v>
      </c>
    </row>
    <row r="1076" spans="1:4" x14ac:dyDescent="0.3">
      <c r="A1076">
        <v>2400109</v>
      </c>
      <c r="B1076" t="s">
        <v>2086</v>
      </c>
      <c r="C1076">
        <v>-6.4420850889338519</v>
      </c>
      <c r="D1076">
        <v>-36.643738869998323</v>
      </c>
    </row>
    <row r="1077" spans="1:4" x14ac:dyDescent="0.3">
      <c r="A1077">
        <v>2400208</v>
      </c>
      <c r="B1077" t="s">
        <v>2087</v>
      </c>
      <c r="C1077">
        <v>-5.5719459992466609</v>
      </c>
      <c r="D1077">
        <v>-36.917923219958936</v>
      </c>
    </row>
    <row r="1078" spans="1:4" x14ac:dyDescent="0.3">
      <c r="A1078">
        <v>2400307</v>
      </c>
      <c r="B1078" t="s">
        <v>2088</v>
      </c>
      <c r="C1078">
        <v>-5.498734268130816</v>
      </c>
      <c r="D1078">
        <v>-36.509148233959557</v>
      </c>
    </row>
    <row r="1079" spans="1:4" x14ac:dyDescent="0.3">
      <c r="A1079">
        <v>2400406</v>
      </c>
      <c r="B1079" t="s">
        <v>2089</v>
      </c>
      <c r="C1079">
        <v>-6.2047167188350061</v>
      </c>
      <c r="D1079">
        <v>-38.29082495422805</v>
      </c>
    </row>
    <row r="1080" spans="1:4" x14ac:dyDescent="0.3">
      <c r="A1080">
        <v>2400505</v>
      </c>
      <c r="B1080" t="s">
        <v>2090</v>
      </c>
      <c r="C1080">
        <v>-6.417136337944287</v>
      </c>
      <c r="D1080">
        <v>-38.01928889130636</v>
      </c>
    </row>
    <row r="1081" spans="1:4" x14ac:dyDescent="0.3">
      <c r="A1081">
        <v>2400604</v>
      </c>
      <c r="B1081" t="s">
        <v>2091</v>
      </c>
      <c r="C1081">
        <v>-6.1574206925253643</v>
      </c>
      <c r="D1081">
        <v>-37.763125302364898</v>
      </c>
    </row>
    <row r="1082" spans="1:4" x14ac:dyDescent="0.3">
      <c r="A1082">
        <v>2400703</v>
      </c>
      <c r="B1082" t="s">
        <v>2092</v>
      </c>
      <c r="C1082">
        <v>-5.293807787638003</v>
      </c>
      <c r="D1082">
        <v>-36.759492614210657</v>
      </c>
    </row>
    <row r="1083" spans="1:4" x14ac:dyDescent="0.3">
      <c r="A1083">
        <v>2400802</v>
      </c>
      <c r="B1083" t="s">
        <v>2093</v>
      </c>
      <c r="C1083">
        <v>-5.6603653290862903</v>
      </c>
      <c r="D1083">
        <v>-36.605432873779229</v>
      </c>
    </row>
    <row r="1084" spans="1:4" x14ac:dyDescent="0.3">
      <c r="A1084">
        <v>2400901</v>
      </c>
      <c r="B1084" t="s">
        <v>2094</v>
      </c>
      <c r="C1084">
        <v>-6.2160044547073614</v>
      </c>
      <c r="D1084">
        <v>-37.885734565639517</v>
      </c>
    </row>
    <row r="1085" spans="1:4" x14ac:dyDescent="0.3">
      <c r="A1085">
        <v>2401008</v>
      </c>
      <c r="B1085" t="s">
        <v>2095</v>
      </c>
      <c r="C1085">
        <v>-5.6637698192272152</v>
      </c>
      <c r="D1085">
        <v>-37.797784476271012</v>
      </c>
    </row>
    <row r="1086" spans="1:4" x14ac:dyDescent="0.3">
      <c r="A1086">
        <v>2401107</v>
      </c>
      <c r="B1086" t="s">
        <v>2096</v>
      </c>
      <c r="C1086">
        <v>-4.9528976305617007</v>
      </c>
      <c r="D1086">
        <v>-37.13127171569554</v>
      </c>
    </row>
    <row r="1087" spans="1:4" x14ac:dyDescent="0.3">
      <c r="A1087">
        <v>2401206</v>
      </c>
      <c r="B1087" t="s">
        <v>2097</v>
      </c>
      <c r="C1087">
        <v>-6.1937122744826061</v>
      </c>
      <c r="D1087">
        <v>-35.160636095941776</v>
      </c>
    </row>
    <row r="1088" spans="1:4" x14ac:dyDescent="0.3">
      <c r="A1088">
        <v>2401305</v>
      </c>
      <c r="B1088" t="s">
        <v>2098</v>
      </c>
      <c r="C1088">
        <v>-5.8581144240470655</v>
      </c>
      <c r="D1088">
        <v>-37.308872564224309</v>
      </c>
    </row>
    <row r="1089" spans="1:4" x14ac:dyDescent="0.3">
      <c r="A1089">
        <v>2401404</v>
      </c>
      <c r="B1089" t="s">
        <v>2099</v>
      </c>
      <c r="C1089">
        <v>-6.3699923041887425</v>
      </c>
      <c r="D1089">
        <v>-35.009036181788638</v>
      </c>
    </row>
    <row r="1090" spans="1:4" x14ac:dyDescent="0.3">
      <c r="A1090">
        <v>2401453</v>
      </c>
      <c r="B1090" t="s">
        <v>2100</v>
      </c>
      <c r="C1090">
        <v>-5.0766181048046857</v>
      </c>
      <c r="D1090">
        <v>-37.61818019506277</v>
      </c>
    </row>
    <row r="1091" spans="1:4" x14ac:dyDescent="0.3">
      <c r="A1091">
        <v>2401503</v>
      </c>
      <c r="B1091" t="s">
        <v>2101</v>
      </c>
      <c r="C1091">
        <v>-5.9481318482858958</v>
      </c>
      <c r="D1091">
        <v>-35.926794527953099</v>
      </c>
    </row>
    <row r="1092" spans="1:4" x14ac:dyDescent="0.3">
      <c r="A1092">
        <v>2401602</v>
      </c>
      <c r="B1092" t="s">
        <v>2102</v>
      </c>
      <c r="C1092">
        <v>-5.6923833176941319</v>
      </c>
      <c r="D1092">
        <v>-35.821698890706344</v>
      </c>
    </row>
    <row r="1093" spans="1:4" x14ac:dyDescent="0.3">
      <c r="A1093">
        <v>2401651</v>
      </c>
      <c r="B1093" t="s">
        <v>2103</v>
      </c>
      <c r="C1093">
        <v>-5.9880452499410461</v>
      </c>
      <c r="D1093">
        <v>-36.413837702334014</v>
      </c>
    </row>
    <row r="1094" spans="1:4" x14ac:dyDescent="0.3">
      <c r="A1094">
        <v>2401701</v>
      </c>
      <c r="B1094" t="s">
        <v>1713</v>
      </c>
      <c r="C1094">
        <v>-5.9863188523411406</v>
      </c>
      <c r="D1094">
        <v>-35.588803289795131</v>
      </c>
    </row>
    <row r="1095" spans="1:4" x14ac:dyDescent="0.3">
      <c r="A1095">
        <v>2401800</v>
      </c>
      <c r="B1095" t="s">
        <v>2104</v>
      </c>
      <c r="C1095">
        <v>-6.1925790587000407</v>
      </c>
      <c r="D1095">
        <v>-35.357354054041778</v>
      </c>
    </row>
    <row r="1096" spans="1:4" x14ac:dyDescent="0.3">
      <c r="A1096">
        <v>2401859</v>
      </c>
      <c r="B1096" t="s">
        <v>2105</v>
      </c>
      <c r="C1096">
        <v>-5.0629944093631654</v>
      </c>
      <c r="D1096">
        <v>-36.055857153845139</v>
      </c>
    </row>
    <row r="1097" spans="1:4" x14ac:dyDescent="0.3">
      <c r="A1097">
        <v>2401909</v>
      </c>
      <c r="B1097" t="s">
        <v>2106</v>
      </c>
      <c r="C1097">
        <v>-5.7590871427765453</v>
      </c>
      <c r="D1097">
        <v>-35.99979041108616</v>
      </c>
    </row>
    <row r="1098" spans="1:4" x14ac:dyDescent="0.3">
      <c r="A1098">
        <v>2402006</v>
      </c>
      <c r="B1098" t="s">
        <v>2107</v>
      </c>
      <c r="C1098">
        <v>-6.4591388313932807</v>
      </c>
      <c r="D1098">
        <v>-37.096488771192227</v>
      </c>
    </row>
    <row r="1099" spans="1:4" x14ac:dyDescent="0.3">
      <c r="A1099">
        <v>2402105</v>
      </c>
      <c r="B1099" t="s">
        <v>2108</v>
      </c>
      <c r="C1099">
        <v>-6.2433830531733854</v>
      </c>
      <c r="D1099">
        <v>-36.182504569409588</v>
      </c>
    </row>
    <row r="1100" spans="1:4" x14ac:dyDescent="0.3">
      <c r="A1100">
        <v>2402204</v>
      </c>
      <c r="B1100" t="s">
        <v>2109</v>
      </c>
      <c r="C1100">
        <v>-6.3749252157203165</v>
      </c>
      <c r="D1100">
        <v>-35.12853966399306</v>
      </c>
    </row>
    <row r="1101" spans="1:4" x14ac:dyDescent="0.3">
      <c r="A1101">
        <v>2402303</v>
      </c>
      <c r="B1101" t="s">
        <v>2110</v>
      </c>
      <c r="C1101">
        <v>-5.7911761028586808</v>
      </c>
      <c r="D1101">
        <v>-37.55370219784713</v>
      </c>
    </row>
    <row r="1102" spans="1:4" x14ac:dyDescent="0.3">
      <c r="A1102">
        <v>2402402</v>
      </c>
      <c r="B1102" t="s">
        <v>2111</v>
      </c>
      <c r="C1102">
        <v>-6.560732517366807</v>
      </c>
      <c r="D1102">
        <v>-36.595251921466442</v>
      </c>
    </row>
    <row r="1103" spans="1:4" x14ac:dyDescent="0.3">
      <c r="A1103">
        <v>2402501</v>
      </c>
      <c r="B1103" t="s">
        <v>2112</v>
      </c>
      <c r="C1103">
        <v>-5.3397853943190361</v>
      </c>
      <c r="D1103">
        <v>-36.834642356449677</v>
      </c>
    </row>
    <row r="1104" spans="1:4" x14ac:dyDescent="0.3">
      <c r="A1104">
        <v>2402600</v>
      </c>
      <c r="B1104" t="s">
        <v>2113</v>
      </c>
      <c r="C1104">
        <v>-5.640983591911751</v>
      </c>
      <c r="D1104">
        <v>-35.424486928530015</v>
      </c>
    </row>
    <row r="1105" spans="1:4" x14ac:dyDescent="0.3">
      <c r="A1105">
        <v>2402709</v>
      </c>
      <c r="B1105" t="s">
        <v>2114</v>
      </c>
      <c r="C1105">
        <v>-6.0348271931366009</v>
      </c>
      <c r="D1105">
        <v>-36.345741441450322</v>
      </c>
    </row>
    <row r="1106" spans="1:4" x14ac:dyDescent="0.3">
      <c r="A1106">
        <v>2402808</v>
      </c>
      <c r="B1106" t="s">
        <v>2115</v>
      </c>
      <c r="C1106">
        <v>-6.3834023902944121</v>
      </c>
      <c r="D1106">
        <v>-36.21477104442463</v>
      </c>
    </row>
    <row r="1107" spans="1:4" x14ac:dyDescent="0.3">
      <c r="A1107">
        <v>2402907</v>
      </c>
      <c r="B1107" t="s">
        <v>2116</v>
      </c>
      <c r="C1107">
        <v>-6.2601122113907781</v>
      </c>
      <c r="D1107">
        <v>-38.44025816271256</v>
      </c>
    </row>
    <row r="1108" spans="1:4" x14ac:dyDescent="0.3">
      <c r="A1108">
        <v>2403004</v>
      </c>
      <c r="B1108" t="s">
        <v>2117</v>
      </c>
      <c r="C1108">
        <v>-6.4131764069556665</v>
      </c>
      <c r="D1108">
        <v>-36.791705320315522</v>
      </c>
    </row>
    <row r="1109" spans="1:4" x14ac:dyDescent="0.3">
      <c r="A1109">
        <v>2403103</v>
      </c>
      <c r="B1109" t="s">
        <v>2118</v>
      </c>
      <c r="C1109">
        <v>-6.2646722189555826</v>
      </c>
      <c r="D1109">
        <v>-36.516219220959293</v>
      </c>
    </row>
    <row r="1110" spans="1:4" x14ac:dyDescent="0.3">
      <c r="A1110">
        <v>2403202</v>
      </c>
      <c r="B1110" t="s">
        <v>2119</v>
      </c>
      <c r="C1110">
        <v>-6.0936873705590857</v>
      </c>
      <c r="D1110">
        <v>-38.373683078822182</v>
      </c>
    </row>
    <row r="1111" spans="1:4" x14ac:dyDescent="0.3">
      <c r="A1111">
        <v>2403251</v>
      </c>
      <c r="B1111" t="s">
        <v>2120</v>
      </c>
      <c r="C1111">
        <v>-5.9103697582539363</v>
      </c>
      <c r="D1111">
        <v>-35.25920907386174</v>
      </c>
    </row>
    <row r="1112" spans="1:4" x14ac:dyDescent="0.3">
      <c r="A1112">
        <v>2403301</v>
      </c>
      <c r="B1112" t="s">
        <v>2121</v>
      </c>
      <c r="C1112">
        <v>-6.1111342006328968</v>
      </c>
      <c r="D1112">
        <v>-38.304878990651638</v>
      </c>
    </row>
    <row r="1113" spans="1:4" x14ac:dyDescent="0.3">
      <c r="A1113">
        <v>2403400</v>
      </c>
      <c r="B1113" t="s">
        <v>2122</v>
      </c>
      <c r="C1113">
        <v>-6.9458427490748251</v>
      </c>
      <c r="D1113">
        <v>-36.716412428859861</v>
      </c>
    </row>
    <row r="1114" spans="1:4" x14ac:dyDescent="0.3">
      <c r="A1114">
        <v>2403509</v>
      </c>
      <c r="B1114" t="s">
        <v>2123</v>
      </c>
      <c r="C1114">
        <v>-6.3355717032011567</v>
      </c>
      <c r="D1114">
        <v>-35.317090789228622</v>
      </c>
    </row>
    <row r="1115" spans="1:4" x14ac:dyDescent="0.3">
      <c r="A1115">
        <v>2403608</v>
      </c>
      <c r="B1115" t="s">
        <v>2124</v>
      </c>
      <c r="C1115">
        <v>-5.7027099362087403</v>
      </c>
      <c r="D1115">
        <v>-35.314025432023236</v>
      </c>
    </row>
    <row r="1116" spans="1:4" x14ac:dyDescent="0.3">
      <c r="A1116">
        <v>2403707</v>
      </c>
      <c r="B1116" t="s">
        <v>2125</v>
      </c>
      <c r="C1116">
        <v>-5.6019617698082138</v>
      </c>
      <c r="D1116">
        <v>-37.691385055714584</v>
      </c>
    </row>
    <row r="1117" spans="1:4" x14ac:dyDescent="0.3">
      <c r="A1117">
        <v>2403756</v>
      </c>
      <c r="B1117" t="s">
        <v>2126</v>
      </c>
      <c r="C1117">
        <v>-5.6960157814673851</v>
      </c>
      <c r="D1117">
        <v>-36.532453535365242</v>
      </c>
    </row>
    <row r="1118" spans="1:4" x14ac:dyDescent="0.3">
      <c r="A1118">
        <v>2403806</v>
      </c>
      <c r="B1118" t="s">
        <v>2127</v>
      </c>
      <c r="C1118">
        <v>-6.1269519550115454</v>
      </c>
      <c r="D1118">
        <v>-36.814076298810598</v>
      </c>
    </row>
    <row r="1119" spans="1:4" x14ac:dyDescent="0.3">
      <c r="A1119">
        <v>2403905</v>
      </c>
      <c r="B1119" t="s">
        <v>2128</v>
      </c>
      <c r="C1119">
        <v>-6.0880967167432605</v>
      </c>
      <c r="D1119">
        <v>-38.125649755418529</v>
      </c>
    </row>
    <row r="1120" spans="1:4" x14ac:dyDescent="0.3">
      <c r="A1120">
        <v>2404002</v>
      </c>
      <c r="B1120" t="s">
        <v>2129</v>
      </c>
      <c r="C1120">
        <v>-6.1562327992920141</v>
      </c>
      <c r="D1120">
        <v>-37.840960754041909</v>
      </c>
    </row>
    <row r="1121" spans="1:4" x14ac:dyDescent="0.3">
      <c r="A1121">
        <v>2404101</v>
      </c>
      <c r="B1121" t="s">
        <v>2130</v>
      </c>
      <c r="C1121">
        <v>-5.091689778411487</v>
      </c>
      <c r="D1121">
        <v>-36.274640069977941</v>
      </c>
    </row>
    <row r="1122" spans="1:4" x14ac:dyDescent="0.3">
      <c r="A1122">
        <v>2404200</v>
      </c>
      <c r="B1122" t="s">
        <v>2131</v>
      </c>
      <c r="C1122">
        <v>-6.2505903899506707</v>
      </c>
      <c r="D1122">
        <v>-35.217786124543487</v>
      </c>
    </row>
    <row r="1123" spans="1:4" x14ac:dyDescent="0.3">
      <c r="A1123">
        <v>2404309</v>
      </c>
      <c r="B1123" t="s">
        <v>2132</v>
      </c>
      <c r="C1123">
        <v>-5.4589138421059724</v>
      </c>
      <c r="D1123">
        <v>-37.52191184302179</v>
      </c>
    </row>
    <row r="1124" spans="1:4" x14ac:dyDescent="0.3">
      <c r="A1124">
        <v>2404408</v>
      </c>
      <c r="B1124" t="s">
        <v>2133</v>
      </c>
      <c r="C1124">
        <v>-4.975514807074136</v>
      </c>
      <c r="D1124">
        <v>-37.157484160026236</v>
      </c>
    </row>
    <row r="1125" spans="1:4" x14ac:dyDescent="0.3">
      <c r="A1125">
        <v>2404507</v>
      </c>
      <c r="B1125" t="s">
        <v>2134</v>
      </c>
      <c r="C1125">
        <v>-5.1073629545917756</v>
      </c>
      <c r="D1125">
        <v>-36.318144377396877</v>
      </c>
    </row>
    <row r="1126" spans="1:4" x14ac:dyDescent="0.3">
      <c r="A1126">
        <v>2404606</v>
      </c>
      <c r="B1126" t="s">
        <v>2135</v>
      </c>
      <c r="C1126">
        <v>-5.8153150382762213</v>
      </c>
      <c r="D1126">
        <v>-35.552829375062537</v>
      </c>
    </row>
    <row r="1127" spans="1:4" x14ac:dyDescent="0.3">
      <c r="A1127">
        <v>2404705</v>
      </c>
      <c r="B1127" t="s">
        <v>2136</v>
      </c>
      <c r="C1127">
        <v>-5.4971483533049605</v>
      </c>
      <c r="D1127">
        <v>-36.852874604654247</v>
      </c>
    </row>
    <row r="1128" spans="1:4" x14ac:dyDescent="0.3">
      <c r="A1128">
        <v>2404804</v>
      </c>
      <c r="B1128" t="s">
        <v>2137</v>
      </c>
      <c r="C1128">
        <v>-6.8155507618851363</v>
      </c>
      <c r="D1128">
        <v>-37.197856129886112</v>
      </c>
    </row>
    <row r="1129" spans="1:4" x14ac:dyDescent="0.3">
      <c r="A1129">
        <v>2404853</v>
      </c>
      <c r="B1129" t="s">
        <v>2138</v>
      </c>
      <c r="C1129">
        <v>-5.6435476089681549</v>
      </c>
      <c r="D1129">
        <v>-36.869818105335298</v>
      </c>
    </row>
    <row r="1130" spans="1:4" x14ac:dyDescent="0.3">
      <c r="A1130">
        <v>2404903</v>
      </c>
      <c r="B1130" t="s">
        <v>2139</v>
      </c>
      <c r="C1130">
        <v>-5.8379360734251211</v>
      </c>
      <c r="D1130">
        <v>-37.988268625690196</v>
      </c>
    </row>
    <row r="1131" spans="1:4" x14ac:dyDescent="0.3">
      <c r="A1131">
        <v>2405009</v>
      </c>
      <c r="B1131" t="s">
        <v>2140</v>
      </c>
      <c r="C1131">
        <v>-6.4249733473657713</v>
      </c>
      <c r="D1131">
        <v>-36.205592907733539</v>
      </c>
    </row>
    <row r="1132" spans="1:4" x14ac:dyDescent="0.3">
      <c r="A1132">
        <v>2405108</v>
      </c>
      <c r="B1132" t="s">
        <v>2141</v>
      </c>
      <c r="C1132">
        <v>-5.3552800000000005</v>
      </c>
      <c r="D1132">
        <v>-36.130585271942643</v>
      </c>
    </row>
    <row r="1133" spans="1:4" x14ac:dyDescent="0.3">
      <c r="A1133">
        <v>2405207</v>
      </c>
      <c r="B1133" t="s">
        <v>2142</v>
      </c>
      <c r="C1133">
        <v>-6.0160927028583169</v>
      </c>
      <c r="D1133">
        <v>-37.409211108913063</v>
      </c>
    </row>
    <row r="1134" spans="1:4" x14ac:dyDescent="0.3">
      <c r="A1134">
        <v>2405306</v>
      </c>
      <c r="B1134" t="s">
        <v>2143</v>
      </c>
      <c r="C1134">
        <v>-6.1560980225527908</v>
      </c>
      <c r="D1134">
        <v>-35.600891962574998</v>
      </c>
    </row>
    <row r="1135" spans="1:4" x14ac:dyDescent="0.3">
      <c r="A1135">
        <v>2405405</v>
      </c>
      <c r="B1135" t="s">
        <v>2144</v>
      </c>
      <c r="C1135">
        <v>-6.460566013316047</v>
      </c>
      <c r="D1135">
        <v>-35.945934828045601</v>
      </c>
    </row>
    <row r="1136" spans="1:4" x14ac:dyDescent="0.3">
      <c r="A1136">
        <v>2405504</v>
      </c>
      <c r="B1136" t="s">
        <v>2145</v>
      </c>
      <c r="C1136">
        <v>-5.6526312123533957</v>
      </c>
      <c r="D1136">
        <v>-35.969954329802015</v>
      </c>
    </row>
    <row r="1137" spans="1:4" x14ac:dyDescent="0.3">
      <c r="A1137">
        <v>2405603</v>
      </c>
      <c r="B1137" t="s">
        <v>2146</v>
      </c>
      <c r="C1137">
        <v>-6.3800975491907943</v>
      </c>
      <c r="D1137">
        <v>-37.349217852269192</v>
      </c>
    </row>
    <row r="1138" spans="1:4" x14ac:dyDescent="0.3">
      <c r="A1138">
        <v>2405702</v>
      </c>
      <c r="B1138" t="s">
        <v>2147</v>
      </c>
      <c r="C1138">
        <v>-6.5863362516830088</v>
      </c>
      <c r="D1138">
        <v>-36.774581523379965</v>
      </c>
    </row>
    <row r="1139" spans="1:4" x14ac:dyDescent="0.3">
      <c r="A1139">
        <v>2405801</v>
      </c>
      <c r="B1139" t="s">
        <v>2148</v>
      </c>
      <c r="C1139">
        <v>-5.5384233833633321</v>
      </c>
      <c r="D1139">
        <v>-35.816787873855304</v>
      </c>
    </row>
    <row r="1140" spans="1:4" x14ac:dyDescent="0.3">
      <c r="A1140">
        <v>2405900</v>
      </c>
      <c r="B1140" t="s">
        <v>2149</v>
      </c>
      <c r="C1140">
        <v>-6.2761140978430605</v>
      </c>
      <c r="D1140">
        <v>-37.796960782004774</v>
      </c>
    </row>
    <row r="1141" spans="1:4" x14ac:dyDescent="0.3">
      <c r="A1141">
        <v>2406007</v>
      </c>
      <c r="B1141" t="s">
        <v>2150</v>
      </c>
      <c r="C1141">
        <v>-6.3126884427709165</v>
      </c>
      <c r="D1141">
        <v>-38.284403070454445</v>
      </c>
    </row>
    <row r="1142" spans="1:4" x14ac:dyDescent="0.3">
      <c r="A1142">
        <v>2406106</v>
      </c>
      <c r="B1142" t="s">
        <v>2151</v>
      </c>
      <c r="C1142">
        <v>-6.0334187841274707</v>
      </c>
      <c r="D1142">
        <v>-37.020225829412965</v>
      </c>
    </row>
    <row r="1143" spans="1:4" x14ac:dyDescent="0.3">
      <c r="A1143">
        <v>2406155</v>
      </c>
      <c r="B1143" t="s">
        <v>2152</v>
      </c>
      <c r="C1143">
        <v>-6.2691693310890804</v>
      </c>
      <c r="D1143">
        <v>-35.327788521859631</v>
      </c>
    </row>
    <row r="1144" spans="1:4" x14ac:dyDescent="0.3">
      <c r="A1144">
        <v>2406205</v>
      </c>
      <c r="B1144" t="s">
        <v>2153</v>
      </c>
      <c r="C1144">
        <v>-6.3915023234988313</v>
      </c>
      <c r="D1144">
        <v>-35.599795177732808</v>
      </c>
    </row>
    <row r="1145" spans="1:4" x14ac:dyDescent="0.3">
      <c r="A1145">
        <v>2406304</v>
      </c>
      <c r="B1145" t="s">
        <v>2154</v>
      </c>
      <c r="C1145">
        <v>-6.1497391019905674</v>
      </c>
      <c r="D1145">
        <v>-35.433482732193198</v>
      </c>
    </row>
    <row r="1146" spans="1:4" x14ac:dyDescent="0.3">
      <c r="A1146">
        <v>2406403</v>
      </c>
      <c r="B1146" t="s">
        <v>2155</v>
      </c>
      <c r="C1146">
        <v>-5.9999155193028058</v>
      </c>
      <c r="D1146">
        <v>-35.870698833138398</v>
      </c>
    </row>
    <row r="1147" spans="1:4" x14ac:dyDescent="0.3">
      <c r="A1147">
        <v>2406502</v>
      </c>
      <c r="B1147" t="s">
        <v>2156</v>
      </c>
      <c r="C1147">
        <v>-6.0976692963938257</v>
      </c>
      <c r="D1147">
        <v>-36.458960669581735</v>
      </c>
    </row>
    <row r="1148" spans="1:4" x14ac:dyDescent="0.3">
      <c r="A1148">
        <v>2406601</v>
      </c>
      <c r="B1148" t="s">
        <v>2157</v>
      </c>
      <c r="C1148">
        <v>-6.1258182618582069</v>
      </c>
      <c r="D1148">
        <v>-35.472497567610297</v>
      </c>
    </row>
    <row r="1149" spans="1:4" x14ac:dyDescent="0.3">
      <c r="A1149">
        <v>2406700</v>
      </c>
      <c r="B1149" t="s">
        <v>2158</v>
      </c>
      <c r="C1149">
        <v>-5.6988303587816498</v>
      </c>
      <c r="D1149">
        <v>-36.242735126412981</v>
      </c>
    </row>
    <row r="1150" spans="1:4" x14ac:dyDescent="0.3">
      <c r="A1150">
        <v>2406809</v>
      </c>
      <c r="B1150" t="s">
        <v>2159</v>
      </c>
      <c r="C1150">
        <v>-6.1514320720581104</v>
      </c>
      <c r="D1150">
        <v>-36.118441792903418</v>
      </c>
    </row>
    <row r="1151" spans="1:4" x14ac:dyDescent="0.3">
      <c r="A1151">
        <v>2406908</v>
      </c>
      <c r="B1151" t="s">
        <v>2160</v>
      </c>
      <c r="C1151">
        <v>-6.1169236352247944</v>
      </c>
      <c r="D1151">
        <v>-37.815632847702808</v>
      </c>
    </row>
    <row r="1152" spans="1:4" x14ac:dyDescent="0.3">
      <c r="A1152">
        <v>2407005</v>
      </c>
      <c r="B1152" t="s">
        <v>2161</v>
      </c>
      <c r="C1152">
        <v>-6.4140281424327359</v>
      </c>
      <c r="D1152">
        <v>-38.386420375102965</v>
      </c>
    </row>
    <row r="1153" spans="1:4" x14ac:dyDescent="0.3">
      <c r="A1153">
        <v>2407104</v>
      </c>
      <c r="B1153" t="s">
        <v>2162</v>
      </c>
      <c r="C1153">
        <v>-5.8572366196262307</v>
      </c>
      <c r="D1153">
        <v>-35.355237133581603</v>
      </c>
    </row>
    <row r="1154" spans="1:4" x14ac:dyDescent="0.3">
      <c r="A1154">
        <v>2407203</v>
      </c>
      <c r="B1154" t="s">
        <v>2163</v>
      </c>
      <c r="C1154">
        <v>-5.1133676503086818</v>
      </c>
      <c r="D1154">
        <v>-36.63497318190101</v>
      </c>
    </row>
    <row r="1155" spans="1:4" x14ac:dyDescent="0.3">
      <c r="A1155">
        <v>2407252</v>
      </c>
      <c r="B1155" t="s">
        <v>2164</v>
      </c>
      <c r="C1155">
        <v>-6.40375656574908</v>
      </c>
      <c r="D1155">
        <v>-38.323455021228732</v>
      </c>
    </row>
    <row r="1156" spans="1:4" x14ac:dyDescent="0.3">
      <c r="A1156">
        <v>2407302</v>
      </c>
      <c r="B1156" t="s">
        <v>2165</v>
      </c>
      <c r="C1156">
        <v>-6.2935497877900302</v>
      </c>
      <c r="D1156">
        <v>-38.166612618735641</v>
      </c>
    </row>
    <row r="1157" spans="1:4" x14ac:dyDescent="0.3">
      <c r="A1157">
        <v>2407401</v>
      </c>
      <c r="B1157" t="s">
        <v>2166</v>
      </c>
      <c r="C1157">
        <v>-6.0963474928714758</v>
      </c>
      <c r="D1157">
        <v>-37.911327395668103</v>
      </c>
    </row>
    <row r="1158" spans="1:4" x14ac:dyDescent="0.3">
      <c r="A1158">
        <v>2407500</v>
      </c>
      <c r="B1158" t="s">
        <v>2167</v>
      </c>
      <c r="C1158">
        <v>-5.5054562657738204</v>
      </c>
      <c r="D1158">
        <v>-35.262074868072013</v>
      </c>
    </row>
    <row r="1159" spans="1:4" x14ac:dyDescent="0.3">
      <c r="A1159">
        <v>2407609</v>
      </c>
      <c r="B1159" t="s">
        <v>2168</v>
      </c>
      <c r="C1159">
        <v>-6.0764975053297769</v>
      </c>
      <c r="D1159">
        <v>-37.512058930159291</v>
      </c>
    </row>
    <row r="1160" spans="1:4" x14ac:dyDescent="0.3">
      <c r="A1160">
        <v>2407708</v>
      </c>
      <c r="B1160" t="s">
        <v>2169</v>
      </c>
      <c r="C1160">
        <v>-6.482242938935701</v>
      </c>
      <c r="D1160">
        <v>-35.287691957556454</v>
      </c>
    </row>
    <row r="1161" spans="1:4" x14ac:dyDescent="0.3">
      <c r="A1161">
        <v>2407807</v>
      </c>
      <c r="B1161" t="s">
        <v>1258</v>
      </c>
      <c r="C1161">
        <v>-6.0678766241082203</v>
      </c>
      <c r="D1161">
        <v>-35.332099269254265</v>
      </c>
    </row>
    <row r="1162" spans="1:4" x14ac:dyDescent="0.3">
      <c r="A1162">
        <v>2407906</v>
      </c>
      <c r="B1162" t="s">
        <v>2170</v>
      </c>
      <c r="C1162">
        <v>-6.4394660165221467</v>
      </c>
      <c r="D1162">
        <v>-35.786607123466588</v>
      </c>
    </row>
    <row r="1163" spans="1:4" x14ac:dyDescent="0.3">
      <c r="A1163">
        <v>2408003</v>
      </c>
      <c r="B1163" t="s">
        <v>2171</v>
      </c>
      <c r="C1163">
        <v>-5.1938012347086806</v>
      </c>
      <c r="D1163">
        <v>-37.356874136704278</v>
      </c>
    </row>
    <row r="1164" spans="1:4" x14ac:dyDescent="0.3">
      <c r="A1164">
        <v>2408102</v>
      </c>
      <c r="B1164" t="s">
        <v>2172</v>
      </c>
      <c r="C1164">
        <v>-5.7508985376120609</v>
      </c>
      <c r="D1164">
        <v>-35.252254728054304</v>
      </c>
    </row>
    <row r="1165" spans="1:4" x14ac:dyDescent="0.3">
      <c r="A1165">
        <v>2408201</v>
      </c>
      <c r="B1165" t="s">
        <v>2173</v>
      </c>
      <c r="C1165">
        <v>-6.0907141459034611</v>
      </c>
      <c r="D1165">
        <v>-35.211309564485006</v>
      </c>
    </row>
    <row r="1166" spans="1:4" x14ac:dyDescent="0.3">
      <c r="A1166">
        <v>2408300</v>
      </c>
      <c r="B1166" t="s">
        <v>2174</v>
      </c>
      <c r="C1166">
        <v>-6.4800647920147707</v>
      </c>
      <c r="D1166">
        <v>-35.432300394586875</v>
      </c>
    </row>
    <row r="1167" spans="1:4" x14ac:dyDescent="0.3">
      <c r="A1167">
        <v>2408409</v>
      </c>
      <c r="B1167" t="s">
        <v>2175</v>
      </c>
      <c r="C1167">
        <v>-5.9592583875311167</v>
      </c>
      <c r="D1167">
        <v>-37.711820978555934</v>
      </c>
    </row>
    <row r="1168" spans="1:4" x14ac:dyDescent="0.3">
      <c r="A1168">
        <v>2408508</v>
      </c>
      <c r="B1168" t="s">
        <v>2176</v>
      </c>
      <c r="C1168">
        <v>-6.6996589474255464</v>
      </c>
      <c r="D1168">
        <v>-36.946295076690063</v>
      </c>
    </row>
    <row r="1169" spans="1:4" x14ac:dyDescent="0.3">
      <c r="A1169">
        <v>2408607</v>
      </c>
      <c r="B1169" t="s">
        <v>1427</v>
      </c>
      <c r="C1169">
        <v>-6.4853305013424869</v>
      </c>
      <c r="D1169">
        <v>-38.311128850110499</v>
      </c>
    </row>
    <row r="1170" spans="1:4" x14ac:dyDescent="0.3">
      <c r="A1170">
        <v>2408706</v>
      </c>
      <c r="B1170" t="s">
        <v>2177</v>
      </c>
      <c r="C1170">
        <v>-5.7770555176126406</v>
      </c>
      <c r="D1170">
        <v>-37.10165013526764</v>
      </c>
    </row>
    <row r="1171" spans="1:4" x14ac:dyDescent="0.3">
      <c r="A1171">
        <v>2408805</v>
      </c>
      <c r="B1171" t="s">
        <v>2178</v>
      </c>
      <c r="C1171">
        <v>-5.2307807344903852</v>
      </c>
      <c r="D1171">
        <v>-35.844989522357807</v>
      </c>
    </row>
    <row r="1172" spans="1:4" x14ac:dyDescent="0.3">
      <c r="A1172">
        <v>2408904</v>
      </c>
      <c r="B1172" t="s">
        <v>2179</v>
      </c>
      <c r="C1172">
        <v>-6.6887551971745731</v>
      </c>
      <c r="D1172">
        <v>-36.657804856204855</v>
      </c>
    </row>
    <row r="1173" spans="1:4" x14ac:dyDescent="0.3">
      <c r="A1173">
        <v>2408953</v>
      </c>
      <c r="B1173" t="s">
        <v>2180</v>
      </c>
      <c r="C1173">
        <v>-5.2715586595912063</v>
      </c>
      <c r="D1173">
        <v>-35.384872042220941</v>
      </c>
    </row>
    <row r="1174" spans="1:4" x14ac:dyDescent="0.3">
      <c r="A1174">
        <v>2409100</v>
      </c>
      <c r="B1174" t="s">
        <v>2181</v>
      </c>
      <c r="C1174">
        <v>-6.4291154936536259</v>
      </c>
      <c r="D1174">
        <v>-35.6473522143433</v>
      </c>
    </row>
    <row r="1175" spans="1:4" x14ac:dyDescent="0.3">
      <c r="A1175">
        <v>2409209</v>
      </c>
      <c r="B1175" t="s">
        <v>2182</v>
      </c>
      <c r="C1175">
        <v>-6.2744422129560764</v>
      </c>
      <c r="D1175">
        <v>-35.375565714069623</v>
      </c>
    </row>
    <row r="1176" spans="1:4" x14ac:dyDescent="0.3">
      <c r="A1176">
        <v>2409308</v>
      </c>
      <c r="B1176" t="s">
        <v>2183</v>
      </c>
      <c r="C1176">
        <v>-6.1015320672853015</v>
      </c>
      <c r="D1176">
        <v>-37.640102399473101</v>
      </c>
    </row>
    <row r="1177" spans="1:4" x14ac:dyDescent="0.3">
      <c r="A1177">
        <v>2409332</v>
      </c>
      <c r="B1177" t="s">
        <v>2184</v>
      </c>
      <c r="C1177">
        <v>-5.8385187010894564</v>
      </c>
      <c r="D1177">
        <v>-35.690363855315631</v>
      </c>
    </row>
    <row r="1178" spans="1:4" x14ac:dyDescent="0.3">
      <c r="A1178">
        <v>2409407</v>
      </c>
      <c r="B1178" t="s">
        <v>2185</v>
      </c>
      <c r="C1178">
        <v>-6.1147318386501306</v>
      </c>
      <c r="D1178">
        <v>-38.203261520083622</v>
      </c>
    </row>
    <row r="1179" spans="1:4" x14ac:dyDescent="0.3">
      <c r="A1179">
        <v>2409506</v>
      </c>
      <c r="B1179" t="s">
        <v>2186</v>
      </c>
      <c r="C1179">
        <v>-5.1493874334980054</v>
      </c>
      <c r="D1179">
        <v>-35.875990640061808</v>
      </c>
    </row>
    <row r="1180" spans="1:4" x14ac:dyDescent="0.3">
      <c r="A1180">
        <v>2409605</v>
      </c>
      <c r="B1180" t="s">
        <v>2187</v>
      </c>
      <c r="C1180">
        <v>-5.5819091562030714</v>
      </c>
      <c r="D1180">
        <v>-36.103135818964596</v>
      </c>
    </row>
    <row r="1181" spans="1:4" x14ac:dyDescent="0.3">
      <c r="A1181">
        <v>2409704</v>
      </c>
      <c r="B1181" t="s">
        <v>2188</v>
      </c>
      <c r="C1181">
        <v>-5.524002182052306</v>
      </c>
      <c r="D1181">
        <v>-36.385229255873519</v>
      </c>
    </row>
    <row r="1182" spans="1:4" x14ac:dyDescent="0.3">
      <c r="A1182">
        <v>2409803</v>
      </c>
      <c r="B1182" t="s">
        <v>2189</v>
      </c>
      <c r="C1182">
        <v>-6.4331894882037677</v>
      </c>
      <c r="D1182">
        <v>-35.22293924167068</v>
      </c>
    </row>
    <row r="1183" spans="1:4" x14ac:dyDescent="0.3">
      <c r="A1183">
        <v>2409902</v>
      </c>
      <c r="B1183" t="s">
        <v>2190</v>
      </c>
      <c r="C1183">
        <v>-5.2567881709424453</v>
      </c>
      <c r="D1183">
        <v>-36.719146040250756</v>
      </c>
    </row>
    <row r="1184" spans="1:4" x14ac:dyDescent="0.3">
      <c r="A1184">
        <v>2410009</v>
      </c>
      <c r="B1184" t="s">
        <v>2191</v>
      </c>
      <c r="C1184">
        <v>-6.2657224402408653</v>
      </c>
      <c r="D1184">
        <v>-38.044443155502812</v>
      </c>
    </row>
    <row r="1185" spans="1:4" x14ac:dyDescent="0.3">
      <c r="A1185">
        <v>2410108</v>
      </c>
      <c r="B1185" t="s">
        <v>2192</v>
      </c>
      <c r="C1185">
        <v>-5.6188515040917055</v>
      </c>
      <c r="D1185">
        <v>-35.655011769957888</v>
      </c>
    </row>
    <row r="1186" spans="1:4" x14ac:dyDescent="0.3">
      <c r="A1186">
        <v>2410207</v>
      </c>
      <c r="B1186" t="s">
        <v>2193</v>
      </c>
      <c r="C1186">
        <v>-6.0243280134918704</v>
      </c>
      <c r="D1186">
        <v>-37.985194825717869</v>
      </c>
    </row>
    <row r="1187" spans="1:4" x14ac:dyDescent="0.3">
      <c r="A1187">
        <v>2410256</v>
      </c>
      <c r="B1187" t="s">
        <v>2194</v>
      </c>
      <c r="C1187">
        <v>-5.06967015221064</v>
      </c>
      <c r="D1187">
        <v>-36.780538066725676</v>
      </c>
    </row>
    <row r="1188" spans="1:4" x14ac:dyDescent="0.3">
      <c r="A1188">
        <v>2410306</v>
      </c>
      <c r="B1188" t="s">
        <v>1618</v>
      </c>
      <c r="C1188">
        <v>-6.1049127856498613</v>
      </c>
      <c r="D1188">
        <v>-35.705605322390504</v>
      </c>
    </row>
    <row r="1189" spans="1:4" x14ac:dyDescent="0.3">
      <c r="A1189">
        <v>2410405</v>
      </c>
      <c r="B1189" t="s">
        <v>2195</v>
      </c>
      <c r="C1189">
        <v>-5.4659185859134114</v>
      </c>
      <c r="D1189">
        <v>-35.562268232137804</v>
      </c>
    </row>
    <row r="1190" spans="1:4" x14ac:dyDescent="0.3">
      <c r="A1190">
        <v>2410504</v>
      </c>
      <c r="B1190" t="s">
        <v>2196</v>
      </c>
      <c r="C1190">
        <v>-6.1864951980845904</v>
      </c>
      <c r="D1190">
        <v>-38.222502885689728</v>
      </c>
    </row>
    <row r="1191" spans="1:4" x14ac:dyDescent="0.3">
      <c r="A1191">
        <v>2410603</v>
      </c>
      <c r="B1191" t="s">
        <v>2197</v>
      </c>
      <c r="C1191">
        <v>-6.0782966477649758</v>
      </c>
      <c r="D1191">
        <v>-37.715974068236072</v>
      </c>
    </row>
    <row r="1192" spans="1:4" x14ac:dyDescent="0.3">
      <c r="A1192">
        <v>2410702</v>
      </c>
      <c r="B1192" t="s">
        <v>2198</v>
      </c>
      <c r="C1192">
        <v>-5.9358025220238817</v>
      </c>
      <c r="D1192">
        <v>-37.950274709943415</v>
      </c>
    </row>
    <row r="1193" spans="1:4" x14ac:dyDescent="0.3">
      <c r="A1193">
        <v>2410801</v>
      </c>
      <c r="B1193" t="s">
        <v>2199</v>
      </c>
      <c r="C1193">
        <v>-6.2647305468081811</v>
      </c>
      <c r="D1193">
        <v>-38.314833029379258</v>
      </c>
    </row>
    <row r="1194" spans="1:4" x14ac:dyDescent="0.3">
      <c r="A1194">
        <v>2410900</v>
      </c>
      <c r="B1194" t="s">
        <v>2200</v>
      </c>
      <c r="C1194">
        <v>-5.8139469647120849</v>
      </c>
      <c r="D1194">
        <v>-35.826274763902482</v>
      </c>
    </row>
    <row r="1195" spans="1:4" x14ac:dyDescent="0.3">
      <c r="A1195">
        <v>2411007</v>
      </c>
      <c r="B1195" t="s">
        <v>2201</v>
      </c>
      <c r="C1195">
        <v>-5.7879936117113902</v>
      </c>
      <c r="D1195">
        <v>-38.062874329134075</v>
      </c>
    </row>
    <row r="1196" spans="1:4" x14ac:dyDescent="0.3">
      <c r="A1196">
        <v>2411056</v>
      </c>
      <c r="B1196" t="s">
        <v>2202</v>
      </c>
      <c r="C1196">
        <v>-4.8414374104414444</v>
      </c>
      <c r="D1196">
        <v>-37.251302668135835</v>
      </c>
    </row>
    <row r="1197" spans="1:4" x14ac:dyDescent="0.3">
      <c r="A1197">
        <v>2411106</v>
      </c>
      <c r="B1197" t="s">
        <v>2203</v>
      </c>
      <c r="C1197">
        <v>-5.8794289409581229</v>
      </c>
      <c r="D1197">
        <v>-35.935484163241142</v>
      </c>
    </row>
    <row r="1198" spans="1:4" x14ac:dyDescent="0.3">
      <c r="A1198">
        <v>2411205</v>
      </c>
      <c r="B1198" t="s">
        <v>2204</v>
      </c>
      <c r="C1198">
        <v>-6.2300756233865551</v>
      </c>
      <c r="D1198">
        <v>-36.020516570344675</v>
      </c>
    </row>
    <row r="1199" spans="1:4" x14ac:dyDescent="0.3">
      <c r="A1199">
        <v>2411403</v>
      </c>
      <c r="B1199" t="s">
        <v>2205</v>
      </c>
      <c r="C1199">
        <v>-5.9577271554017814</v>
      </c>
      <c r="D1199">
        <v>-36.654104965082162</v>
      </c>
    </row>
    <row r="1200" spans="1:4" x14ac:dyDescent="0.3">
      <c r="A1200">
        <v>2411429</v>
      </c>
      <c r="B1200" t="s">
        <v>2206</v>
      </c>
      <c r="C1200">
        <v>-6.7701517528995465</v>
      </c>
      <c r="D1200">
        <v>-36.736851641873578</v>
      </c>
    </row>
    <row r="1201" spans="1:4" x14ac:dyDescent="0.3">
      <c r="A1201">
        <v>2411502</v>
      </c>
      <c r="B1201" t="s">
        <v>2207</v>
      </c>
      <c r="C1201">
        <v>-6.3051739212975164</v>
      </c>
      <c r="D1201">
        <v>-35.475136983998176</v>
      </c>
    </row>
    <row r="1202" spans="1:4" x14ac:dyDescent="0.3">
      <c r="A1202">
        <v>2411601</v>
      </c>
      <c r="B1202" t="s">
        <v>2208</v>
      </c>
      <c r="C1202">
        <v>-5.0595010600826154</v>
      </c>
      <c r="D1202">
        <v>-36.035431353395929</v>
      </c>
    </row>
    <row r="1203" spans="1:4" x14ac:dyDescent="0.3">
      <c r="A1203">
        <v>2411700</v>
      </c>
      <c r="B1203" t="s">
        <v>2209</v>
      </c>
      <c r="C1203">
        <v>-6.3444812167406068</v>
      </c>
      <c r="D1203">
        <v>-36.08688750142052</v>
      </c>
    </row>
    <row r="1204" spans="1:4" x14ac:dyDescent="0.3">
      <c r="A1204">
        <v>2411809</v>
      </c>
      <c r="B1204" t="s">
        <v>2210</v>
      </c>
      <c r="C1204">
        <v>-6.3838610730284504</v>
      </c>
      <c r="D1204">
        <v>-37.185403039837546</v>
      </c>
    </row>
    <row r="1205" spans="1:4" x14ac:dyDescent="0.3">
      <c r="A1205">
        <v>2411908</v>
      </c>
      <c r="B1205" t="s">
        <v>2211</v>
      </c>
      <c r="C1205">
        <v>-6.0006365705398208</v>
      </c>
      <c r="D1205">
        <v>-38.169296180755801</v>
      </c>
    </row>
    <row r="1206" spans="1:4" x14ac:dyDescent="0.3">
      <c r="A1206">
        <v>2412005</v>
      </c>
      <c r="B1206" t="s">
        <v>2063</v>
      </c>
      <c r="C1206">
        <v>-5.7895555402052805</v>
      </c>
      <c r="D1206">
        <v>-35.331156093085205</v>
      </c>
    </row>
    <row r="1207" spans="1:4" x14ac:dyDescent="0.3">
      <c r="A1207">
        <v>2412104</v>
      </c>
      <c r="B1207" t="s">
        <v>2212</v>
      </c>
      <c r="C1207">
        <v>-6.7112243500155762</v>
      </c>
      <c r="D1207">
        <v>-37.2041396579503</v>
      </c>
    </row>
    <row r="1208" spans="1:4" x14ac:dyDescent="0.3">
      <c r="A1208">
        <v>2412203</v>
      </c>
      <c r="B1208" t="s">
        <v>2213</v>
      </c>
      <c r="C1208">
        <v>-6.0704657116056957</v>
      </c>
      <c r="D1208">
        <v>-35.240274648712941</v>
      </c>
    </row>
    <row r="1209" spans="1:4" x14ac:dyDescent="0.3">
      <c r="A1209">
        <v>2412302</v>
      </c>
      <c r="B1209" t="s">
        <v>2214</v>
      </c>
      <c r="C1209">
        <v>-6.3155639806483057</v>
      </c>
      <c r="D1209">
        <v>-35.71211503312108</v>
      </c>
    </row>
    <row r="1210" spans="1:4" x14ac:dyDescent="0.3">
      <c r="A1210">
        <v>2412401</v>
      </c>
      <c r="B1210" t="s">
        <v>2215</v>
      </c>
      <c r="C1210">
        <v>-6.4487985346451104</v>
      </c>
      <c r="D1210">
        <v>-36.883258892933959</v>
      </c>
    </row>
    <row r="1211" spans="1:4" x14ac:dyDescent="0.3">
      <c r="A1211">
        <v>2412500</v>
      </c>
      <c r="B1211" t="s">
        <v>2216</v>
      </c>
      <c r="C1211">
        <v>-6.2123429186061001</v>
      </c>
      <c r="D1211">
        <v>-38.496343973653943</v>
      </c>
    </row>
    <row r="1212" spans="1:4" x14ac:dyDescent="0.3">
      <c r="A1212">
        <v>2412559</v>
      </c>
      <c r="B1212" t="s">
        <v>2217</v>
      </c>
      <c r="C1212">
        <v>-5.122857116311601</v>
      </c>
      <c r="D1212">
        <v>-35.641283511205238</v>
      </c>
    </row>
    <row r="1213" spans="1:4" x14ac:dyDescent="0.3">
      <c r="A1213">
        <v>2412609</v>
      </c>
      <c r="B1213" t="s">
        <v>2218</v>
      </c>
      <c r="C1213">
        <v>-5.8998203337798349</v>
      </c>
      <c r="D1213">
        <v>-35.764369636949361</v>
      </c>
    </row>
    <row r="1214" spans="1:4" x14ac:dyDescent="0.3">
      <c r="A1214">
        <v>2412708</v>
      </c>
      <c r="B1214" t="s">
        <v>2219</v>
      </c>
      <c r="C1214">
        <v>-5.897980282512977</v>
      </c>
      <c r="D1214">
        <v>-35.640311030227274</v>
      </c>
    </row>
    <row r="1215" spans="1:4" x14ac:dyDescent="0.3">
      <c r="A1215">
        <v>2412807</v>
      </c>
      <c r="B1215" t="s">
        <v>2220</v>
      </c>
      <c r="C1215">
        <v>-5.8009342265910062</v>
      </c>
      <c r="D1215">
        <v>-36.890397564100276</v>
      </c>
    </row>
    <row r="1216" spans="1:4" x14ac:dyDescent="0.3">
      <c r="A1216">
        <v>2412906</v>
      </c>
      <c r="B1216" t="s">
        <v>2221</v>
      </c>
      <c r="C1216">
        <v>-5.973022347096788</v>
      </c>
      <c r="D1216">
        <v>-36.073663148571889</v>
      </c>
    </row>
    <row r="1217" spans="1:4" x14ac:dyDescent="0.3">
      <c r="A1217">
        <v>2413003</v>
      </c>
      <c r="B1217" t="s">
        <v>2222</v>
      </c>
      <c r="C1217">
        <v>-6.2149638781653964</v>
      </c>
      <c r="D1217">
        <v>-36.688661851682077</v>
      </c>
    </row>
    <row r="1218" spans="1:4" x14ac:dyDescent="0.3">
      <c r="A1218">
        <v>2413102</v>
      </c>
      <c r="B1218" t="s">
        <v>2223</v>
      </c>
      <c r="C1218">
        <v>-6.0362264287732463</v>
      </c>
      <c r="D1218">
        <v>-35.695663775161698</v>
      </c>
    </row>
    <row r="1219" spans="1:4" x14ac:dyDescent="0.3">
      <c r="A1219">
        <v>2413201</v>
      </c>
      <c r="B1219" t="s">
        <v>2224</v>
      </c>
      <c r="C1219">
        <v>-6.1586943343692253</v>
      </c>
      <c r="D1219">
        <v>-35.124176227956816</v>
      </c>
    </row>
    <row r="1220" spans="1:4" x14ac:dyDescent="0.3">
      <c r="A1220">
        <v>2413300</v>
      </c>
      <c r="B1220" t="s">
        <v>2225</v>
      </c>
      <c r="C1220">
        <v>-6.4153669923303216</v>
      </c>
      <c r="D1220">
        <v>-35.703489819886677</v>
      </c>
    </row>
    <row r="1221" spans="1:4" x14ac:dyDescent="0.3">
      <c r="A1221">
        <v>2413359</v>
      </c>
      <c r="B1221" t="s">
        <v>2226</v>
      </c>
      <c r="C1221">
        <v>-5.1652413482018353</v>
      </c>
      <c r="D1221">
        <v>-37.041301345229094</v>
      </c>
    </row>
    <row r="1222" spans="1:4" x14ac:dyDescent="0.3">
      <c r="A1222">
        <v>2413409</v>
      </c>
      <c r="B1222" t="s">
        <v>2227</v>
      </c>
      <c r="C1222">
        <v>-6.6639843363730504</v>
      </c>
      <c r="D1222">
        <v>-37.394973010582746</v>
      </c>
    </row>
    <row r="1223" spans="1:4" x14ac:dyDescent="0.3">
      <c r="A1223">
        <v>2413508</v>
      </c>
      <c r="B1223" t="s">
        <v>2228</v>
      </c>
      <c r="C1223">
        <v>-6.2770915257477062</v>
      </c>
      <c r="D1223">
        <v>-35.50134323404064</v>
      </c>
    </row>
    <row r="1224" spans="1:4" x14ac:dyDescent="0.3">
      <c r="A1224">
        <v>2413557</v>
      </c>
      <c r="B1224" t="s">
        <v>2229</v>
      </c>
      <c r="C1224">
        <v>-6.1141293698225008</v>
      </c>
      <c r="D1224">
        <v>-37.961579048869851</v>
      </c>
    </row>
    <row r="1225" spans="1:4" x14ac:dyDescent="0.3">
      <c r="A1225">
        <v>2413607</v>
      </c>
      <c r="B1225" t="s">
        <v>2230</v>
      </c>
      <c r="C1225">
        <v>-5.7781877652875622</v>
      </c>
      <c r="D1225">
        <v>-37.956580705983932</v>
      </c>
    </row>
    <row r="1226" spans="1:4" x14ac:dyDescent="0.3">
      <c r="A1226">
        <v>2413706</v>
      </c>
      <c r="B1226" t="s">
        <v>814</v>
      </c>
      <c r="C1226">
        <v>-6.1040915827819804</v>
      </c>
      <c r="D1226">
        <v>-35.910449179859903</v>
      </c>
    </row>
    <row r="1227" spans="1:4" x14ac:dyDescent="0.3">
      <c r="A1227">
        <v>2413805</v>
      </c>
      <c r="B1227" t="s">
        <v>2231</v>
      </c>
      <c r="C1227">
        <v>-5.9267522922491205</v>
      </c>
      <c r="D1227">
        <v>-38.043567540577634</v>
      </c>
    </row>
    <row r="1228" spans="1:4" x14ac:dyDescent="0.3">
      <c r="A1228">
        <v>2413904</v>
      </c>
      <c r="B1228" t="s">
        <v>2232</v>
      </c>
      <c r="C1228">
        <v>-5.6196666752727911</v>
      </c>
      <c r="D1228">
        <v>-35.598846561255058</v>
      </c>
    </row>
    <row r="1229" spans="1:4" x14ac:dyDescent="0.3">
      <c r="A1229">
        <v>2414001</v>
      </c>
      <c r="B1229" t="s">
        <v>2233</v>
      </c>
      <c r="C1229">
        <v>-6.1973573683105654</v>
      </c>
      <c r="D1229">
        <v>-35.800189598309075</v>
      </c>
    </row>
    <row r="1230" spans="1:4" x14ac:dyDescent="0.3">
      <c r="A1230">
        <v>2414100</v>
      </c>
      <c r="B1230" t="s">
        <v>2234</v>
      </c>
      <c r="C1230">
        <v>-6.4775437121866508</v>
      </c>
      <c r="D1230">
        <v>-38.179297889705246</v>
      </c>
    </row>
    <row r="1231" spans="1:4" x14ac:dyDescent="0.3">
      <c r="A1231">
        <v>2414159</v>
      </c>
      <c r="B1231" t="s">
        <v>2235</v>
      </c>
      <c r="C1231">
        <v>-6.1472301594895411</v>
      </c>
      <c r="D1231">
        <v>-36.720660144886075</v>
      </c>
    </row>
    <row r="1232" spans="1:4" x14ac:dyDescent="0.3">
      <c r="A1232">
        <v>2414209</v>
      </c>
      <c r="B1232" t="s">
        <v>2236</v>
      </c>
      <c r="C1232">
        <v>-6.1880717592903567</v>
      </c>
      <c r="D1232">
        <v>-35.092600367173567</v>
      </c>
    </row>
    <row r="1233" spans="1:4" x14ac:dyDescent="0.3">
      <c r="A1233">
        <v>2414308</v>
      </c>
      <c r="B1233" t="s">
        <v>2237</v>
      </c>
      <c r="C1233">
        <v>-6.4632892630581864</v>
      </c>
      <c r="D1233">
        <v>-37.271339906440062</v>
      </c>
    </row>
    <row r="1234" spans="1:4" x14ac:dyDescent="0.3">
      <c r="A1234">
        <v>2414407</v>
      </c>
      <c r="B1234" t="s">
        <v>2238</v>
      </c>
      <c r="C1234">
        <v>-5.2026068013967564</v>
      </c>
      <c r="D1234">
        <v>-35.455293165720569</v>
      </c>
    </row>
    <row r="1235" spans="1:4" x14ac:dyDescent="0.3">
      <c r="A1235">
        <v>2414456</v>
      </c>
      <c r="B1235" t="s">
        <v>2239</v>
      </c>
      <c r="C1235">
        <v>-5.8669590186348861</v>
      </c>
      <c r="D1235">
        <v>-37.183796850557464</v>
      </c>
    </row>
    <row r="1236" spans="1:4" x14ac:dyDescent="0.3">
      <c r="A1236">
        <v>2414506</v>
      </c>
      <c r="B1236" t="s">
        <v>2240</v>
      </c>
      <c r="C1236">
        <v>-5.9899019795618651</v>
      </c>
      <c r="D1236">
        <v>-37.813258490085445</v>
      </c>
    </row>
    <row r="1237" spans="1:4" x14ac:dyDescent="0.3">
      <c r="A1237">
        <v>2414605</v>
      </c>
      <c r="B1237" t="s">
        <v>2241</v>
      </c>
      <c r="C1237">
        <v>-5.6417976592702308</v>
      </c>
      <c r="D1237">
        <v>-37.260146941986385</v>
      </c>
    </row>
    <row r="1238" spans="1:4" x14ac:dyDescent="0.3">
      <c r="A1238">
        <v>2414704</v>
      </c>
      <c r="B1238" t="s">
        <v>2242</v>
      </c>
      <c r="C1238">
        <v>-6.3487998907306764</v>
      </c>
      <c r="D1238">
        <v>-35.374790664390986</v>
      </c>
    </row>
    <row r="1239" spans="1:4" x14ac:dyDescent="0.3">
      <c r="A1239">
        <v>2414753</v>
      </c>
      <c r="B1239" t="s">
        <v>2243</v>
      </c>
      <c r="C1239">
        <v>-6.3194228368955159</v>
      </c>
      <c r="D1239">
        <v>-38.491230167664717</v>
      </c>
    </row>
    <row r="1240" spans="1:4" x14ac:dyDescent="0.3">
      <c r="A1240">
        <v>2414803</v>
      </c>
      <c r="B1240" t="s">
        <v>2244</v>
      </c>
      <c r="C1240">
        <v>-6.0456084817929563</v>
      </c>
      <c r="D1240">
        <v>-35.428109527208953</v>
      </c>
    </row>
    <row r="1241" spans="1:4" x14ac:dyDescent="0.3">
      <c r="A1241">
        <v>2414902</v>
      </c>
      <c r="B1241" t="s">
        <v>2245</v>
      </c>
      <c r="C1241">
        <v>-5.9918571747343448</v>
      </c>
      <c r="D1241">
        <v>-37.94740901596915</v>
      </c>
    </row>
    <row r="1242" spans="1:4" x14ac:dyDescent="0.3">
      <c r="A1242">
        <v>2415008</v>
      </c>
      <c r="B1242" t="s">
        <v>2246</v>
      </c>
      <c r="C1242">
        <v>-6.3127918709358459</v>
      </c>
      <c r="D1242">
        <v>-35.076127495445455</v>
      </c>
    </row>
    <row r="1243" spans="1:4" x14ac:dyDescent="0.3">
      <c r="A1243">
        <v>2500106</v>
      </c>
      <c r="B1243" t="s">
        <v>1685</v>
      </c>
      <c r="C1243">
        <v>-7.5110701505576456</v>
      </c>
      <c r="D1243">
        <v>-37.642209044257221</v>
      </c>
    </row>
    <row r="1244" spans="1:4" x14ac:dyDescent="0.3">
      <c r="A1244">
        <v>2500205</v>
      </c>
      <c r="B1244" t="s">
        <v>2247</v>
      </c>
      <c r="C1244">
        <v>-7.0948057624530714</v>
      </c>
      <c r="D1244">
        <v>-38.177581844637366</v>
      </c>
    </row>
    <row r="1245" spans="1:4" x14ac:dyDescent="0.3">
      <c r="A1245">
        <v>2500304</v>
      </c>
      <c r="B1245" t="s">
        <v>2248</v>
      </c>
      <c r="C1245">
        <v>-7.0367750000000004</v>
      </c>
      <c r="D1245">
        <v>-35.633891982749482</v>
      </c>
    </row>
    <row r="1246" spans="1:4" x14ac:dyDescent="0.3">
      <c r="A1246">
        <v>2500403</v>
      </c>
      <c r="B1246" t="s">
        <v>2249</v>
      </c>
      <c r="C1246">
        <v>-7.0577988253335509</v>
      </c>
      <c r="D1246">
        <v>-35.759456539819958</v>
      </c>
    </row>
    <row r="1247" spans="1:4" x14ac:dyDescent="0.3">
      <c r="A1247">
        <v>2500502</v>
      </c>
      <c r="B1247" t="s">
        <v>2250</v>
      </c>
      <c r="C1247">
        <v>-6.9481404046324053</v>
      </c>
      <c r="D1247">
        <v>-35.545491350615912</v>
      </c>
    </row>
    <row r="1248" spans="1:4" x14ac:dyDescent="0.3">
      <c r="A1248">
        <v>2500536</v>
      </c>
      <c r="B1248" t="s">
        <v>2251</v>
      </c>
      <c r="C1248">
        <v>-7.7414770382965417</v>
      </c>
      <c r="D1248">
        <v>-36.060604330886449</v>
      </c>
    </row>
    <row r="1249" spans="1:4" x14ac:dyDescent="0.3">
      <c r="A1249">
        <v>2500577</v>
      </c>
      <c r="B1249" t="s">
        <v>2252</v>
      </c>
      <c r="C1249">
        <v>-6.9046940377675607</v>
      </c>
      <c r="D1249">
        <v>-36.00609339878941</v>
      </c>
    </row>
    <row r="1250" spans="1:4" x14ac:dyDescent="0.3">
      <c r="A1250">
        <v>2500601</v>
      </c>
      <c r="B1250" t="s">
        <v>2253</v>
      </c>
      <c r="C1250">
        <v>-7.4329953021858612</v>
      </c>
      <c r="D1250">
        <v>-34.911985155449166</v>
      </c>
    </row>
    <row r="1251" spans="1:4" x14ac:dyDescent="0.3">
      <c r="A1251">
        <v>2500700</v>
      </c>
      <c r="B1251" t="s">
        <v>2254</v>
      </c>
      <c r="C1251">
        <v>-6.7344308283205159</v>
      </c>
      <c r="D1251">
        <v>-38.445453570848024</v>
      </c>
    </row>
    <row r="1252" spans="1:4" x14ac:dyDescent="0.3">
      <c r="A1252">
        <v>2500734</v>
      </c>
      <c r="B1252" t="s">
        <v>2255</v>
      </c>
      <c r="C1252">
        <v>-7.5672115216128004</v>
      </c>
      <c r="D1252">
        <v>-37.064775248121187</v>
      </c>
    </row>
    <row r="1253" spans="1:4" x14ac:dyDescent="0.3">
      <c r="A1253">
        <v>2500775</v>
      </c>
      <c r="B1253" t="s">
        <v>2256</v>
      </c>
      <c r="C1253">
        <v>-6.783695141518562</v>
      </c>
      <c r="D1253">
        <v>-38.08333825454185</v>
      </c>
    </row>
    <row r="1254" spans="1:4" x14ac:dyDescent="0.3">
      <c r="A1254">
        <v>2500809</v>
      </c>
      <c r="B1254" t="s">
        <v>2257</v>
      </c>
      <c r="C1254">
        <v>-6.8516966174830909</v>
      </c>
      <c r="D1254">
        <v>-35.383299088305712</v>
      </c>
    </row>
    <row r="1255" spans="1:4" x14ac:dyDescent="0.3">
      <c r="A1255">
        <v>2500908</v>
      </c>
      <c r="B1255" t="s">
        <v>2258</v>
      </c>
      <c r="C1255">
        <v>-6.8261917212095806</v>
      </c>
      <c r="D1255">
        <v>-35.759541721550406</v>
      </c>
    </row>
    <row r="1256" spans="1:4" x14ac:dyDescent="0.3">
      <c r="A1256">
        <v>2501005</v>
      </c>
      <c r="B1256" t="s">
        <v>2259</v>
      </c>
      <c r="C1256">
        <v>-6.5314470213167208</v>
      </c>
      <c r="D1256">
        <v>-35.735980511943737</v>
      </c>
    </row>
    <row r="1257" spans="1:4" x14ac:dyDescent="0.3">
      <c r="A1257">
        <v>2501104</v>
      </c>
      <c r="B1257" t="s">
        <v>2260</v>
      </c>
      <c r="C1257">
        <v>-6.9655150000000017</v>
      </c>
      <c r="D1257">
        <v>-35.703391401107233</v>
      </c>
    </row>
    <row r="1258" spans="1:4" x14ac:dyDescent="0.3">
      <c r="A1258">
        <v>2501153</v>
      </c>
      <c r="B1258" t="s">
        <v>2261</v>
      </c>
      <c r="C1258">
        <v>-7.123695013023565</v>
      </c>
      <c r="D1258">
        <v>-36.943507958378738</v>
      </c>
    </row>
    <row r="1259" spans="1:4" x14ac:dyDescent="0.3">
      <c r="A1259">
        <v>2501203</v>
      </c>
      <c r="B1259" t="s">
        <v>2262</v>
      </c>
      <c r="C1259">
        <v>-7.0499610886938111</v>
      </c>
      <c r="D1259">
        <v>-35.922809431286552</v>
      </c>
    </row>
    <row r="1260" spans="1:4" x14ac:dyDescent="0.3">
      <c r="A1260">
        <v>2501302</v>
      </c>
      <c r="B1260" t="s">
        <v>2263</v>
      </c>
      <c r="C1260">
        <v>-7.5484620227072261</v>
      </c>
      <c r="D1260">
        <v>-35.715592948914839</v>
      </c>
    </row>
    <row r="1261" spans="1:4" x14ac:dyDescent="0.3">
      <c r="A1261">
        <v>2501351</v>
      </c>
      <c r="B1261" t="s">
        <v>2264</v>
      </c>
      <c r="C1261">
        <v>-7.0763269436714014</v>
      </c>
      <c r="D1261">
        <v>-36.733187476057232</v>
      </c>
    </row>
    <row r="1262" spans="1:4" x14ac:dyDescent="0.3">
      <c r="A1262">
        <v>2501401</v>
      </c>
      <c r="B1262" t="s">
        <v>2265</v>
      </c>
      <c r="C1262">
        <v>-6.6795291230305756</v>
      </c>
      <c r="D1262">
        <v>-34.949931094965542</v>
      </c>
    </row>
    <row r="1263" spans="1:4" x14ac:dyDescent="0.3">
      <c r="A1263">
        <v>2501500</v>
      </c>
      <c r="B1263" t="s">
        <v>2266</v>
      </c>
      <c r="C1263">
        <v>-6.749637274999956</v>
      </c>
      <c r="D1263">
        <v>-35.631599902768521</v>
      </c>
    </row>
    <row r="1264" spans="1:4" x14ac:dyDescent="0.3">
      <c r="A1264">
        <v>2501534</v>
      </c>
      <c r="B1264" t="s">
        <v>2100</v>
      </c>
      <c r="C1264">
        <v>-6.6424050352378812</v>
      </c>
      <c r="D1264">
        <v>-36.253041353042775</v>
      </c>
    </row>
    <row r="1265" spans="1:4" x14ac:dyDescent="0.3">
      <c r="A1265">
        <v>2501575</v>
      </c>
      <c r="B1265" t="s">
        <v>2267</v>
      </c>
      <c r="C1265">
        <v>-7.522833780639016</v>
      </c>
      <c r="D1265">
        <v>-35.996314081117625</v>
      </c>
    </row>
    <row r="1266" spans="1:4" x14ac:dyDescent="0.3">
      <c r="A1266">
        <v>2501609</v>
      </c>
      <c r="B1266" t="s">
        <v>2268</v>
      </c>
      <c r="C1266">
        <v>-6.7202526775558109</v>
      </c>
      <c r="D1266">
        <v>-36.05977264221832</v>
      </c>
    </row>
    <row r="1267" spans="1:4" x14ac:dyDescent="0.3">
      <c r="A1267">
        <v>2501708</v>
      </c>
      <c r="B1267" t="s">
        <v>2269</v>
      </c>
      <c r="C1267">
        <v>-7.7526706261965357</v>
      </c>
      <c r="D1267">
        <v>-36.321535967756468</v>
      </c>
    </row>
    <row r="1268" spans="1:4" x14ac:dyDescent="0.3">
      <c r="A1268">
        <v>2501807</v>
      </c>
      <c r="B1268" t="s">
        <v>2270</v>
      </c>
      <c r="C1268">
        <v>-7.132276485000002</v>
      </c>
      <c r="D1268">
        <v>-34.929185820085713</v>
      </c>
    </row>
    <row r="1269" spans="1:4" x14ac:dyDescent="0.3">
      <c r="A1269">
        <v>2501906</v>
      </c>
      <c r="B1269" t="s">
        <v>1203</v>
      </c>
      <c r="C1269">
        <v>-6.6940426097774068</v>
      </c>
      <c r="D1269">
        <v>-35.536274082062512</v>
      </c>
    </row>
    <row r="1270" spans="1:4" x14ac:dyDescent="0.3">
      <c r="A1270">
        <v>2502003</v>
      </c>
      <c r="B1270" t="s">
        <v>2271</v>
      </c>
      <c r="C1270">
        <v>-6.1885749976700861</v>
      </c>
      <c r="D1270">
        <v>-37.53950248225641</v>
      </c>
    </row>
    <row r="1271" spans="1:4" x14ac:dyDescent="0.3">
      <c r="A1271">
        <v>2502052</v>
      </c>
      <c r="B1271" t="s">
        <v>2272</v>
      </c>
      <c r="C1271">
        <v>-6.4535477932165115</v>
      </c>
      <c r="D1271">
        <v>-38.548869221246242</v>
      </c>
    </row>
    <row r="1272" spans="1:4" x14ac:dyDescent="0.3">
      <c r="A1272">
        <v>2502102</v>
      </c>
      <c r="B1272" t="s">
        <v>2273</v>
      </c>
      <c r="C1272">
        <v>-7.422282145285326</v>
      </c>
      <c r="D1272">
        <v>-38.218950876506703</v>
      </c>
    </row>
    <row r="1273" spans="1:4" x14ac:dyDescent="0.3">
      <c r="A1273">
        <v>2502151</v>
      </c>
      <c r="B1273" t="s">
        <v>1173</v>
      </c>
      <c r="C1273">
        <v>-7.2579130805796659</v>
      </c>
      <c r="D1273">
        <v>-36.23537365875351</v>
      </c>
    </row>
    <row r="1274" spans="1:4" x14ac:dyDescent="0.3">
      <c r="A1274">
        <v>2502201</v>
      </c>
      <c r="B1274" t="s">
        <v>1713</v>
      </c>
      <c r="C1274">
        <v>-6.8179576511972</v>
      </c>
      <c r="D1274">
        <v>-38.655142807045131</v>
      </c>
    </row>
    <row r="1275" spans="1:4" x14ac:dyDescent="0.3">
      <c r="A1275">
        <v>2502300</v>
      </c>
      <c r="B1275" t="s">
        <v>2274</v>
      </c>
      <c r="C1275">
        <v>-6.4450467229880912</v>
      </c>
      <c r="D1275">
        <v>-37.930023697388357</v>
      </c>
    </row>
    <row r="1276" spans="1:4" x14ac:dyDescent="0.3">
      <c r="A1276">
        <v>2502409</v>
      </c>
      <c r="B1276" t="s">
        <v>2275</v>
      </c>
      <c r="C1276">
        <v>-7.3107630818579059</v>
      </c>
      <c r="D1276">
        <v>-38.51649530506787</v>
      </c>
    </row>
    <row r="1277" spans="1:4" x14ac:dyDescent="0.3">
      <c r="A1277">
        <v>2502508</v>
      </c>
      <c r="B1277" t="s">
        <v>2276</v>
      </c>
      <c r="C1277">
        <v>-7.4826479198713116</v>
      </c>
      <c r="D1277">
        <v>-36.133404750711009</v>
      </c>
    </row>
    <row r="1278" spans="1:4" x14ac:dyDescent="0.3">
      <c r="A1278">
        <v>2502607</v>
      </c>
      <c r="B1278" t="s">
        <v>2277</v>
      </c>
      <c r="C1278">
        <v>-7.1793192913795263</v>
      </c>
      <c r="D1278">
        <v>-38.146694644825182</v>
      </c>
    </row>
    <row r="1279" spans="1:4" x14ac:dyDescent="0.3">
      <c r="A1279">
        <v>2502706</v>
      </c>
      <c r="B1279" t="s">
        <v>2278</v>
      </c>
      <c r="C1279">
        <v>-6.8043058831009313</v>
      </c>
      <c r="D1279">
        <v>-35.599375965600501</v>
      </c>
    </row>
    <row r="1280" spans="1:4" x14ac:dyDescent="0.3">
      <c r="A1280">
        <v>2502805</v>
      </c>
      <c r="B1280" t="s">
        <v>2279</v>
      </c>
      <c r="C1280">
        <v>-6.3477076067962965</v>
      </c>
      <c r="D1280">
        <v>-37.50016264167531</v>
      </c>
    </row>
    <row r="1281" spans="1:4" x14ac:dyDescent="0.3">
      <c r="A1281">
        <v>2502904</v>
      </c>
      <c r="B1281" t="s">
        <v>2280</v>
      </c>
      <c r="C1281">
        <v>-6.3761833082128572</v>
      </c>
      <c r="D1281">
        <v>-37.823710175121256</v>
      </c>
    </row>
    <row r="1282" spans="1:4" x14ac:dyDescent="0.3">
      <c r="A1282">
        <v>2503001</v>
      </c>
      <c r="B1282" t="s">
        <v>2281</v>
      </c>
      <c r="C1282">
        <v>-7.5142876413723307</v>
      </c>
      <c r="D1282">
        <v>-34.917850143955356</v>
      </c>
    </row>
    <row r="1283" spans="1:4" x14ac:dyDescent="0.3">
      <c r="A1283">
        <v>2503100</v>
      </c>
      <c r="B1283" t="s">
        <v>2282</v>
      </c>
      <c r="C1283">
        <v>-7.4906698737099777</v>
      </c>
      <c r="D1283">
        <v>-36.28434188980146</v>
      </c>
    </row>
    <row r="1284" spans="1:4" x14ac:dyDescent="0.3">
      <c r="A1284">
        <v>2503209</v>
      </c>
      <c r="B1284" t="s">
        <v>2283</v>
      </c>
      <c r="C1284">
        <v>-6.966983063279641</v>
      </c>
      <c r="D1284">
        <v>-34.839430020804777</v>
      </c>
    </row>
    <row r="1285" spans="1:4" x14ac:dyDescent="0.3">
      <c r="A1285">
        <v>2503308</v>
      </c>
      <c r="B1285" t="s">
        <v>2284</v>
      </c>
      <c r="C1285">
        <v>-6.9239358528037105</v>
      </c>
      <c r="D1285">
        <v>-38.67830319165585</v>
      </c>
    </row>
    <row r="1286" spans="1:4" x14ac:dyDescent="0.3">
      <c r="A1286">
        <v>2503407</v>
      </c>
      <c r="B1286" t="s">
        <v>2285</v>
      </c>
      <c r="C1286">
        <v>-7.1284733769427815</v>
      </c>
      <c r="D1286">
        <v>-37.158216954222418</v>
      </c>
    </row>
    <row r="1287" spans="1:4" x14ac:dyDescent="0.3">
      <c r="A1287">
        <v>2503506</v>
      </c>
      <c r="B1287" t="s">
        <v>2286</v>
      </c>
      <c r="C1287">
        <v>-6.6400167470410763</v>
      </c>
      <c r="D1287">
        <v>-35.792820901379727</v>
      </c>
    </row>
    <row r="1288" spans="1:4" x14ac:dyDescent="0.3">
      <c r="A1288">
        <v>2503555</v>
      </c>
      <c r="B1288" t="s">
        <v>2287</v>
      </c>
      <c r="C1288">
        <v>-7.212359302649916</v>
      </c>
      <c r="D1288">
        <v>-37.060402109353412</v>
      </c>
    </row>
    <row r="1289" spans="1:4" x14ac:dyDescent="0.3">
      <c r="A1289">
        <v>2503605</v>
      </c>
      <c r="B1289" t="s">
        <v>2288</v>
      </c>
      <c r="C1289">
        <v>-6.6174697909199613</v>
      </c>
      <c r="D1289">
        <v>-35.469114282099596</v>
      </c>
    </row>
    <row r="1290" spans="1:4" x14ac:dyDescent="0.3">
      <c r="A1290">
        <v>2503704</v>
      </c>
      <c r="B1290" t="s">
        <v>2289</v>
      </c>
      <c r="C1290">
        <v>-6.8904645000000011</v>
      </c>
      <c r="D1290">
        <v>-38.560530371840933</v>
      </c>
    </row>
    <row r="1291" spans="1:4" x14ac:dyDescent="0.3">
      <c r="A1291">
        <v>2503753</v>
      </c>
      <c r="B1291" t="s">
        <v>2290</v>
      </c>
      <c r="C1291">
        <v>-6.9626928131821755</v>
      </c>
      <c r="D1291">
        <v>-37.799184334111303</v>
      </c>
    </row>
    <row r="1292" spans="1:4" x14ac:dyDescent="0.3">
      <c r="A1292">
        <v>2503803</v>
      </c>
      <c r="B1292" t="s">
        <v>2291</v>
      </c>
      <c r="C1292">
        <v>-7.1717514370430751</v>
      </c>
      <c r="D1292">
        <v>-35.342382091959671</v>
      </c>
    </row>
    <row r="1293" spans="1:4" x14ac:dyDescent="0.3">
      <c r="A1293">
        <v>2503902</v>
      </c>
      <c r="B1293" t="s">
        <v>2292</v>
      </c>
      <c r="C1293">
        <v>-7.8912420951265903</v>
      </c>
      <c r="D1293">
        <v>-36.831610581485783</v>
      </c>
    </row>
    <row r="1294" spans="1:4" x14ac:dyDescent="0.3">
      <c r="A1294">
        <v>2504009</v>
      </c>
      <c r="B1294" t="s">
        <v>2293</v>
      </c>
      <c r="C1294">
        <v>-7.2214970400000018</v>
      </c>
      <c r="D1294">
        <v>-35.883859114781465</v>
      </c>
    </row>
    <row r="1295" spans="1:4" x14ac:dyDescent="0.3">
      <c r="A1295">
        <v>2504033</v>
      </c>
      <c r="B1295" t="s">
        <v>2294</v>
      </c>
      <c r="C1295">
        <v>-6.9108443748681614</v>
      </c>
      <c r="D1295">
        <v>-35.16773871405119</v>
      </c>
    </row>
    <row r="1296" spans="1:4" x14ac:dyDescent="0.3">
      <c r="A1296">
        <v>2504074</v>
      </c>
      <c r="B1296" t="s">
        <v>2110</v>
      </c>
      <c r="C1296">
        <v>-7.7310993724081705</v>
      </c>
      <c r="D1296">
        <v>-36.49547807269429</v>
      </c>
    </row>
    <row r="1297" spans="1:4" x14ac:dyDescent="0.3">
      <c r="A1297">
        <v>2504108</v>
      </c>
      <c r="B1297" t="s">
        <v>2295</v>
      </c>
      <c r="C1297">
        <v>-7.0396542414521663</v>
      </c>
      <c r="D1297">
        <v>-38.344216725334157</v>
      </c>
    </row>
    <row r="1298" spans="1:4" x14ac:dyDescent="0.3">
      <c r="A1298">
        <v>2504157</v>
      </c>
      <c r="B1298" t="s">
        <v>2296</v>
      </c>
      <c r="C1298">
        <v>-6.7837603257346801</v>
      </c>
      <c r="D1298">
        <v>-35.816304829465622</v>
      </c>
    </row>
    <row r="1299" spans="1:4" x14ac:dyDescent="0.3">
      <c r="A1299">
        <v>2504207</v>
      </c>
      <c r="B1299" t="s">
        <v>2297</v>
      </c>
      <c r="C1299">
        <v>-7.1252097835617603</v>
      </c>
      <c r="D1299">
        <v>-37.610719903324174</v>
      </c>
    </row>
    <row r="1300" spans="1:4" x14ac:dyDescent="0.3">
      <c r="A1300">
        <v>2504306</v>
      </c>
      <c r="B1300" t="s">
        <v>2298</v>
      </c>
      <c r="C1300">
        <v>-6.346752995000001</v>
      </c>
      <c r="D1300">
        <v>-37.748500090593929</v>
      </c>
    </row>
    <row r="1301" spans="1:4" x14ac:dyDescent="0.3">
      <c r="A1301">
        <v>2504355</v>
      </c>
      <c r="B1301" t="s">
        <v>2299</v>
      </c>
      <c r="C1301">
        <v>-7.4196183207303212</v>
      </c>
      <c r="D1301">
        <v>-36.020658824068924</v>
      </c>
    </row>
    <row r="1302" spans="1:4" x14ac:dyDescent="0.3">
      <c r="A1302">
        <v>2504405</v>
      </c>
      <c r="B1302" t="s">
        <v>2300</v>
      </c>
      <c r="C1302">
        <v>-7.5602250866248406</v>
      </c>
      <c r="D1302">
        <v>-38.509157959530363</v>
      </c>
    </row>
    <row r="1303" spans="1:4" x14ac:dyDescent="0.3">
      <c r="A1303">
        <v>2504504</v>
      </c>
      <c r="B1303" t="s">
        <v>2301</v>
      </c>
      <c r="C1303">
        <v>-6.9123067772907625</v>
      </c>
      <c r="D1303">
        <v>-37.603971334628717</v>
      </c>
    </row>
    <row r="1304" spans="1:4" x14ac:dyDescent="0.3">
      <c r="A1304">
        <v>2504603</v>
      </c>
      <c r="B1304" t="s">
        <v>2302</v>
      </c>
      <c r="C1304">
        <v>-7.2635718267159861</v>
      </c>
      <c r="D1304">
        <v>-34.907151337073337</v>
      </c>
    </row>
    <row r="1305" spans="1:4" x14ac:dyDescent="0.3">
      <c r="A1305">
        <v>2504702</v>
      </c>
      <c r="B1305" t="s">
        <v>2303</v>
      </c>
      <c r="C1305">
        <v>-7.7925707775036912</v>
      </c>
      <c r="D1305">
        <v>-36.661532855169881</v>
      </c>
    </row>
    <row r="1306" spans="1:4" x14ac:dyDescent="0.3">
      <c r="A1306">
        <v>2504801</v>
      </c>
      <c r="B1306" t="s">
        <v>2304</v>
      </c>
      <c r="C1306">
        <v>-7.0169182841834212</v>
      </c>
      <c r="D1306">
        <v>-37.945537275175049</v>
      </c>
    </row>
    <row r="1307" spans="1:4" x14ac:dyDescent="0.3">
      <c r="A1307">
        <v>2504850</v>
      </c>
      <c r="B1307" t="s">
        <v>2305</v>
      </c>
      <c r="C1307">
        <v>-7.6287969606279464</v>
      </c>
      <c r="D1307">
        <v>-36.604829521877569</v>
      </c>
    </row>
    <row r="1308" spans="1:4" x14ac:dyDescent="0.3">
      <c r="A1308">
        <v>2504900</v>
      </c>
      <c r="B1308" t="s">
        <v>2306</v>
      </c>
      <c r="C1308">
        <v>-7.1413369618883262</v>
      </c>
      <c r="D1308">
        <v>-35.091489126158564</v>
      </c>
    </row>
    <row r="1309" spans="1:4" x14ac:dyDescent="0.3">
      <c r="A1309">
        <v>2505006</v>
      </c>
      <c r="B1309" t="s">
        <v>2307</v>
      </c>
      <c r="C1309">
        <v>-6.8623606092026366</v>
      </c>
      <c r="D1309">
        <v>-36.347929716177077</v>
      </c>
    </row>
    <row r="1310" spans="1:4" x14ac:dyDescent="0.3">
      <c r="A1310">
        <v>2505105</v>
      </c>
      <c r="B1310" t="s">
        <v>2308</v>
      </c>
      <c r="C1310">
        <v>-6.4855553011542861</v>
      </c>
      <c r="D1310">
        <v>-36.153208165500153</v>
      </c>
    </row>
    <row r="1311" spans="1:4" x14ac:dyDescent="0.3">
      <c r="A1311">
        <v>2505204</v>
      </c>
      <c r="B1311" t="s">
        <v>2309</v>
      </c>
      <c r="C1311">
        <v>-6.8958137426149122</v>
      </c>
      <c r="D1311">
        <v>-35.525741232665915</v>
      </c>
    </row>
    <row r="1312" spans="1:4" x14ac:dyDescent="0.3">
      <c r="A1312">
        <v>2505238</v>
      </c>
      <c r="B1312" t="s">
        <v>2310</v>
      </c>
      <c r="C1312">
        <v>-6.9141574733744822</v>
      </c>
      <c r="D1312">
        <v>-35.252824892539671</v>
      </c>
    </row>
    <row r="1313" spans="1:4" x14ac:dyDescent="0.3">
      <c r="A1313">
        <v>2505279</v>
      </c>
      <c r="B1313" t="s">
        <v>2311</v>
      </c>
      <c r="C1313">
        <v>-6.7174300292473319</v>
      </c>
      <c r="D1313">
        <v>-35.267057268786402</v>
      </c>
    </row>
    <row r="1314" spans="1:4" x14ac:dyDescent="0.3">
      <c r="A1314">
        <v>2505303</v>
      </c>
      <c r="B1314" t="s">
        <v>2312</v>
      </c>
      <c r="C1314">
        <v>-7.5380851076558404</v>
      </c>
      <c r="D1314">
        <v>-38.200391446244652</v>
      </c>
    </row>
    <row r="1315" spans="1:4" x14ac:dyDescent="0.3">
      <c r="A1315">
        <v>2505352</v>
      </c>
      <c r="B1315" t="s">
        <v>2313</v>
      </c>
      <c r="C1315">
        <v>-6.6318974073481209</v>
      </c>
      <c r="D1315">
        <v>-35.90994253576617</v>
      </c>
    </row>
    <row r="1316" spans="1:4" x14ac:dyDescent="0.3">
      <c r="A1316">
        <v>2505402</v>
      </c>
      <c r="B1316" t="s">
        <v>2314</v>
      </c>
      <c r="C1316">
        <v>-7.2914475304320163</v>
      </c>
      <c r="D1316">
        <v>-37.092169322525628</v>
      </c>
    </row>
    <row r="1317" spans="1:4" x14ac:dyDescent="0.3">
      <c r="A1317">
        <v>2505501</v>
      </c>
      <c r="B1317" t="s">
        <v>2315</v>
      </c>
      <c r="C1317">
        <v>-6.7406872724242071</v>
      </c>
      <c r="D1317">
        <v>-37.56791453274635</v>
      </c>
    </row>
    <row r="1318" spans="1:4" x14ac:dyDescent="0.3">
      <c r="A1318">
        <v>2505600</v>
      </c>
      <c r="B1318" t="s">
        <v>2316</v>
      </c>
      <c r="C1318">
        <v>-7.4235834211502461</v>
      </c>
      <c r="D1318">
        <v>-38.265044208643509</v>
      </c>
    </row>
    <row r="1319" spans="1:4" x14ac:dyDescent="0.3">
      <c r="A1319">
        <v>2505709</v>
      </c>
      <c r="B1319" t="s">
        <v>2317</v>
      </c>
      <c r="C1319">
        <v>-6.6021227351518768</v>
      </c>
      <c r="D1319">
        <v>-35.622540650604122</v>
      </c>
    </row>
    <row r="1320" spans="1:4" x14ac:dyDescent="0.3">
      <c r="A1320">
        <v>2505808</v>
      </c>
      <c r="B1320" t="s">
        <v>2318</v>
      </c>
      <c r="C1320">
        <v>-6.6881329546835913</v>
      </c>
      <c r="D1320">
        <v>-35.418176804799231</v>
      </c>
    </row>
    <row r="1321" spans="1:4" x14ac:dyDescent="0.3">
      <c r="A1321">
        <v>2505907</v>
      </c>
      <c r="B1321" t="s">
        <v>2319</v>
      </c>
      <c r="C1321">
        <v>-7.1079922323689217</v>
      </c>
      <c r="D1321">
        <v>-37.714585975077718</v>
      </c>
    </row>
    <row r="1322" spans="1:4" x14ac:dyDescent="0.3">
      <c r="A1322">
        <v>2506004</v>
      </c>
      <c r="B1322" t="s">
        <v>2320</v>
      </c>
      <c r="C1322">
        <v>-7.0206850000000012</v>
      </c>
      <c r="D1322">
        <v>-35.858593286969516</v>
      </c>
    </row>
    <row r="1323" spans="1:4" x14ac:dyDescent="0.3">
      <c r="A1323">
        <v>2506103</v>
      </c>
      <c r="B1323" t="s">
        <v>2321</v>
      </c>
      <c r="C1323">
        <v>-7.3630616044485206</v>
      </c>
      <c r="D1323">
        <v>-35.784608875770168</v>
      </c>
    </row>
    <row r="1324" spans="1:4" x14ac:dyDescent="0.3">
      <c r="A1324">
        <v>2506202</v>
      </c>
      <c r="B1324" t="s">
        <v>2322</v>
      </c>
      <c r="C1324">
        <v>-6.4045158523545762</v>
      </c>
      <c r="D1324">
        <v>-36.452044061905596</v>
      </c>
    </row>
    <row r="1325" spans="1:4" x14ac:dyDescent="0.3">
      <c r="A1325">
        <v>2506251</v>
      </c>
      <c r="B1325" t="s">
        <v>2323</v>
      </c>
      <c r="C1325">
        <v>-7.5829411773176965</v>
      </c>
      <c r="D1325">
        <v>-35.790650903452139</v>
      </c>
    </row>
    <row r="1326" spans="1:4" x14ac:dyDescent="0.3">
      <c r="A1326">
        <v>2506301</v>
      </c>
      <c r="B1326" t="s">
        <v>2324</v>
      </c>
      <c r="C1326">
        <v>-6.8527150000000017</v>
      </c>
      <c r="D1326">
        <v>-35.489964984884928</v>
      </c>
    </row>
    <row r="1327" spans="1:4" x14ac:dyDescent="0.3">
      <c r="A1327">
        <v>2506400</v>
      </c>
      <c r="B1327" t="s">
        <v>2325</v>
      </c>
      <c r="C1327">
        <v>-7.1232156684333701</v>
      </c>
      <c r="D1327">
        <v>-35.428186062428885</v>
      </c>
    </row>
    <row r="1328" spans="1:4" x14ac:dyDescent="0.3">
      <c r="A1328">
        <v>2506509</v>
      </c>
      <c r="B1328" t="s">
        <v>2326</v>
      </c>
      <c r="C1328">
        <v>-7.2462216609321812</v>
      </c>
      <c r="D1328">
        <v>-36.486276121764895</v>
      </c>
    </row>
    <row r="1329" spans="1:4" x14ac:dyDescent="0.3">
      <c r="A1329">
        <v>2506608</v>
      </c>
      <c r="B1329" t="s">
        <v>2327</v>
      </c>
      <c r="C1329">
        <v>-7.4978512245458919</v>
      </c>
      <c r="D1329">
        <v>-38.405567857502838</v>
      </c>
    </row>
    <row r="1330" spans="1:4" x14ac:dyDescent="0.3">
      <c r="A1330">
        <v>2506707</v>
      </c>
      <c r="B1330" t="s">
        <v>2328</v>
      </c>
      <c r="C1330">
        <v>-7.3885372613222797</v>
      </c>
      <c r="D1330">
        <v>-37.510074856399797</v>
      </c>
    </row>
    <row r="1331" spans="1:4" x14ac:dyDescent="0.3">
      <c r="A1331">
        <v>2506806</v>
      </c>
      <c r="B1331" t="s">
        <v>2329</v>
      </c>
      <c r="C1331">
        <v>-7.2950269135101919</v>
      </c>
      <c r="D1331">
        <v>-35.617689216818654</v>
      </c>
    </row>
    <row r="1332" spans="1:4" x14ac:dyDescent="0.3">
      <c r="A1332">
        <v>2506905</v>
      </c>
      <c r="B1332" t="s">
        <v>2330</v>
      </c>
      <c r="C1332">
        <v>-7.3309315000000019</v>
      </c>
      <c r="D1332">
        <v>-35.337533385872696</v>
      </c>
    </row>
    <row r="1333" spans="1:4" x14ac:dyDescent="0.3">
      <c r="A1333">
        <v>2507002</v>
      </c>
      <c r="B1333" t="s">
        <v>2331</v>
      </c>
      <c r="C1333">
        <v>-7.3039804631169156</v>
      </c>
      <c r="D1333">
        <v>-38.152573106685558</v>
      </c>
    </row>
    <row r="1334" spans="1:4" x14ac:dyDescent="0.3">
      <c r="A1334">
        <v>2507101</v>
      </c>
      <c r="B1334" t="s">
        <v>2332</v>
      </c>
      <c r="C1334">
        <v>-6.8299201630413968</v>
      </c>
      <c r="D1334">
        <v>-35.24629571460499</v>
      </c>
    </row>
    <row r="1335" spans="1:4" x14ac:dyDescent="0.3">
      <c r="A1335">
        <v>2507200</v>
      </c>
      <c r="B1335" t="s">
        <v>2333</v>
      </c>
      <c r="C1335">
        <v>-7.374957755023515</v>
      </c>
      <c r="D1335">
        <v>-35.628161250003942</v>
      </c>
    </row>
    <row r="1336" spans="1:4" x14ac:dyDescent="0.3">
      <c r="A1336">
        <v>2507309</v>
      </c>
      <c r="B1336" t="s">
        <v>2334</v>
      </c>
      <c r="C1336">
        <v>-6.6129685867326007</v>
      </c>
      <c r="D1336">
        <v>-35.294282448402477</v>
      </c>
    </row>
    <row r="1337" spans="1:4" x14ac:dyDescent="0.3">
      <c r="A1337">
        <v>2507408</v>
      </c>
      <c r="B1337" t="s">
        <v>2335</v>
      </c>
      <c r="C1337">
        <v>-6.5561949909407815</v>
      </c>
      <c r="D1337">
        <v>-37.808641377421047</v>
      </c>
    </row>
    <row r="1338" spans="1:4" x14ac:dyDescent="0.3">
      <c r="A1338">
        <v>2507507</v>
      </c>
      <c r="B1338" t="s">
        <v>2336</v>
      </c>
      <c r="C1338">
        <v>-7.1493820200000018</v>
      </c>
      <c r="D1338">
        <v>-34.873384813538557</v>
      </c>
    </row>
    <row r="1339" spans="1:4" x14ac:dyDescent="0.3">
      <c r="A1339">
        <v>2507606</v>
      </c>
      <c r="B1339" t="s">
        <v>2337</v>
      </c>
      <c r="C1339">
        <v>-7.1663446273335962</v>
      </c>
      <c r="D1339">
        <v>-35.591178106713784</v>
      </c>
    </row>
    <row r="1340" spans="1:4" x14ac:dyDescent="0.3">
      <c r="A1340">
        <v>2507705</v>
      </c>
      <c r="B1340" t="s">
        <v>2338</v>
      </c>
      <c r="C1340">
        <v>-7.0653683106355469</v>
      </c>
      <c r="D1340">
        <v>-36.570701005517094</v>
      </c>
    </row>
    <row r="1341" spans="1:4" x14ac:dyDescent="0.3">
      <c r="A1341">
        <v>2507804</v>
      </c>
      <c r="B1341" t="s">
        <v>2339</v>
      </c>
      <c r="C1341">
        <v>-6.9933376488560954</v>
      </c>
      <c r="D1341">
        <v>-36.716441226085969</v>
      </c>
    </row>
    <row r="1342" spans="1:4" x14ac:dyDescent="0.3">
      <c r="A1342">
        <v>2507903</v>
      </c>
      <c r="B1342" t="s">
        <v>2340</v>
      </c>
      <c r="C1342">
        <v>-7.3702907731824912</v>
      </c>
      <c r="D1342">
        <v>-35.239454048646913</v>
      </c>
    </row>
    <row r="1343" spans="1:4" x14ac:dyDescent="0.3">
      <c r="A1343">
        <v>2508000</v>
      </c>
      <c r="B1343" t="s">
        <v>2341</v>
      </c>
      <c r="C1343">
        <v>-7.5343071384346301</v>
      </c>
      <c r="D1343">
        <v>-37.819264489007963</v>
      </c>
    </row>
    <row r="1344" spans="1:4" x14ac:dyDescent="0.3">
      <c r="A1344">
        <v>2508109</v>
      </c>
      <c r="B1344" t="s">
        <v>2342</v>
      </c>
      <c r="C1344">
        <v>-6.5942086133348612</v>
      </c>
      <c r="D1344">
        <v>-37.915090070102885</v>
      </c>
    </row>
    <row r="1345" spans="1:4" x14ac:dyDescent="0.3">
      <c r="A1345">
        <v>2508208</v>
      </c>
      <c r="B1345" t="s">
        <v>2343</v>
      </c>
      <c r="C1345">
        <v>-6.6705990496535055</v>
      </c>
      <c r="D1345">
        <v>-35.377043648235691</v>
      </c>
    </row>
    <row r="1346" spans="1:4" x14ac:dyDescent="0.3">
      <c r="A1346">
        <v>2508307</v>
      </c>
      <c r="B1346" t="s">
        <v>2344</v>
      </c>
      <c r="C1346">
        <v>-7.1584124885585609</v>
      </c>
      <c r="D1346">
        <v>-35.851440135146341</v>
      </c>
    </row>
    <row r="1347" spans="1:4" x14ac:dyDescent="0.3">
      <c r="A1347">
        <v>2508406</v>
      </c>
      <c r="B1347" t="s">
        <v>2345</v>
      </c>
      <c r="C1347">
        <v>-6.5165306257842222</v>
      </c>
      <c r="D1347">
        <v>-38.179218492831147</v>
      </c>
    </row>
    <row r="1348" spans="1:4" x14ac:dyDescent="0.3">
      <c r="A1348">
        <v>2508505</v>
      </c>
      <c r="B1348" t="s">
        <v>2346</v>
      </c>
      <c r="C1348">
        <v>-7.3790028227583013</v>
      </c>
      <c r="D1348">
        <v>-36.948629303969959</v>
      </c>
    </row>
    <row r="1349" spans="1:4" x14ac:dyDescent="0.3">
      <c r="A1349">
        <v>2508554</v>
      </c>
      <c r="B1349" t="s">
        <v>2347</v>
      </c>
      <c r="C1349">
        <v>-6.6153714222873354</v>
      </c>
      <c r="D1349">
        <v>-35.443299355594483</v>
      </c>
    </row>
    <row r="1350" spans="1:4" x14ac:dyDescent="0.3">
      <c r="A1350">
        <v>2508604</v>
      </c>
      <c r="B1350" t="s">
        <v>2348</v>
      </c>
      <c r="C1350">
        <v>-6.8988493384136618</v>
      </c>
      <c r="D1350">
        <v>-34.874609097393751</v>
      </c>
    </row>
    <row r="1351" spans="1:4" x14ac:dyDescent="0.3">
      <c r="A1351">
        <v>2508703</v>
      </c>
      <c r="B1351" t="s">
        <v>2349</v>
      </c>
      <c r="C1351">
        <v>-7.257049092697061</v>
      </c>
      <c r="D1351">
        <v>-37.428160994959008</v>
      </c>
    </row>
    <row r="1352" spans="1:4" x14ac:dyDescent="0.3">
      <c r="A1352">
        <v>2508802</v>
      </c>
      <c r="B1352" t="s">
        <v>2350</v>
      </c>
      <c r="C1352">
        <v>-6.907185123490466</v>
      </c>
      <c r="D1352">
        <v>-37.517775710380157</v>
      </c>
    </row>
    <row r="1353" spans="1:4" x14ac:dyDescent="0.3">
      <c r="A1353">
        <v>2508901</v>
      </c>
      <c r="B1353" t="s">
        <v>2351</v>
      </c>
      <c r="C1353">
        <v>-6.8337151469331872</v>
      </c>
      <c r="D1353">
        <v>-35.123893202090066</v>
      </c>
    </row>
    <row r="1354" spans="1:4" x14ac:dyDescent="0.3">
      <c r="A1354">
        <v>2509008</v>
      </c>
      <c r="B1354" t="s">
        <v>2352</v>
      </c>
      <c r="C1354">
        <v>-7.7046141415636766</v>
      </c>
      <c r="D1354">
        <v>-38.153071666080251</v>
      </c>
    </row>
    <row r="1355" spans="1:4" x14ac:dyDescent="0.3">
      <c r="A1355">
        <v>2509057</v>
      </c>
      <c r="B1355" t="s">
        <v>2353</v>
      </c>
      <c r="C1355">
        <v>-6.7700541740474103</v>
      </c>
      <c r="D1355">
        <v>-35.013924393469601</v>
      </c>
    </row>
    <row r="1356" spans="1:4" x14ac:dyDescent="0.3">
      <c r="A1356">
        <v>2509107</v>
      </c>
      <c r="B1356" t="s">
        <v>2354</v>
      </c>
      <c r="C1356">
        <v>-7.0563840000000013</v>
      </c>
      <c r="D1356">
        <v>-35.318542416640334</v>
      </c>
    </row>
    <row r="1357" spans="1:4" x14ac:dyDescent="0.3">
      <c r="A1357">
        <v>2509156</v>
      </c>
      <c r="B1357" t="s">
        <v>2355</v>
      </c>
      <c r="C1357">
        <v>-6.8446742770250308</v>
      </c>
      <c r="D1357">
        <v>-38.355396130376874</v>
      </c>
    </row>
    <row r="1358" spans="1:4" x14ac:dyDescent="0.3">
      <c r="A1358">
        <v>2509206</v>
      </c>
      <c r="B1358" t="s">
        <v>2356</v>
      </c>
      <c r="C1358">
        <v>-7.1801994710816084</v>
      </c>
      <c r="D1358">
        <v>-35.737515207689619</v>
      </c>
    </row>
    <row r="1359" spans="1:4" x14ac:dyDescent="0.3">
      <c r="A1359">
        <v>2509305</v>
      </c>
      <c r="B1359" t="s">
        <v>2357</v>
      </c>
      <c r="C1359">
        <v>-6.6005186543500471</v>
      </c>
      <c r="D1359">
        <v>-35.048557673837671</v>
      </c>
    </row>
    <row r="1360" spans="1:4" x14ac:dyDescent="0.3">
      <c r="A1360">
        <v>2509339</v>
      </c>
      <c r="B1360" t="s">
        <v>2358</v>
      </c>
      <c r="C1360">
        <v>-7.1211683437425464</v>
      </c>
      <c r="D1360">
        <v>-35.770937416211076</v>
      </c>
    </row>
    <row r="1361" spans="1:4" x14ac:dyDescent="0.3">
      <c r="A1361">
        <v>2509370</v>
      </c>
      <c r="B1361" t="s">
        <v>2359</v>
      </c>
      <c r="C1361">
        <v>-6.5426334911733957</v>
      </c>
      <c r="D1361">
        <v>-37.71157269822131</v>
      </c>
    </row>
    <row r="1362" spans="1:4" x14ac:dyDescent="0.3">
      <c r="A1362">
        <v>2509396</v>
      </c>
      <c r="B1362" t="s">
        <v>2360</v>
      </c>
      <c r="C1362">
        <v>-7.2659300019374511</v>
      </c>
      <c r="D1362">
        <v>-37.350433885062785</v>
      </c>
    </row>
    <row r="1363" spans="1:4" x14ac:dyDescent="0.3">
      <c r="A1363">
        <v>2509404</v>
      </c>
      <c r="B1363" t="s">
        <v>2361</v>
      </c>
      <c r="C1363">
        <v>-7.309480532304292</v>
      </c>
      <c r="D1363">
        <v>-35.482424602005921</v>
      </c>
    </row>
    <row r="1364" spans="1:4" x14ac:dyDescent="0.3">
      <c r="A1364">
        <v>2509503</v>
      </c>
      <c r="B1364" t="s">
        <v>2362</v>
      </c>
      <c r="C1364">
        <v>-7.0890963384549766</v>
      </c>
      <c r="D1364">
        <v>-35.958275429266926</v>
      </c>
    </row>
    <row r="1365" spans="1:4" x14ac:dyDescent="0.3">
      <c r="A1365">
        <v>2509602</v>
      </c>
      <c r="B1365" t="s">
        <v>2363</v>
      </c>
      <c r="C1365">
        <v>-7.2095264022604697</v>
      </c>
      <c r="D1365">
        <v>-38.583657494415554</v>
      </c>
    </row>
    <row r="1366" spans="1:4" x14ac:dyDescent="0.3">
      <c r="A1366">
        <v>2509701</v>
      </c>
      <c r="B1366" t="s">
        <v>2364</v>
      </c>
      <c r="C1366">
        <v>-7.8922170000000005</v>
      </c>
      <c r="D1366">
        <v>-37.122680680560357</v>
      </c>
    </row>
    <row r="1367" spans="1:4" x14ac:dyDescent="0.3">
      <c r="A1367">
        <v>2509800</v>
      </c>
      <c r="B1367" t="s">
        <v>2024</v>
      </c>
      <c r="C1367">
        <v>-7.0278860316056218</v>
      </c>
      <c r="D1367">
        <v>-35.465143424314654</v>
      </c>
    </row>
    <row r="1368" spans="1:4" x14ac:dyDescent="0.3">
      <c r="A1368">
        <v>2509909</v>
      </c>
      <c r="B1368" t="s">
        <v>2365</v>
      </c>
      <c r="C1368">
        <v>-7.6409788247866253</v>
      </c>
      <c r="D1368">
        <v>-35.556144682612853</v>
      </c>
    </row>
    <row r="1369" spans="1:4" x14ac:dyDescent="0.3">
      <c r="A1369">
        <v>2510006</v>
      </c>
      <c r="B1369" t="s">
        <v>2366</v>
      </c>
      <c r="C1369">
        <v>-6.9127009191105016</v>
      </c>
      <c r="D1369">
        <v>-38.318912578607915</v>
      </c>
    </row>
    <row r="1370" spans="1:4" x14ac:dyDescent="0.3">
      <c r="A1370">
        <v>2510105</v>
      </c>
      <c r="B1370" t="s">
        <v>2367</v>
      </c>
      <c r="C1370">
        <v>-6.4561399418328307</v>
      </c>
      <c r="D1370">
        <v>-36.20249542553487</v>
      </c>
    </row>
    <row r="1371" spans="1:4" x14ac:dyDescent="0.3">
      <c r="A1371">
        <v>2510204</v>
      </c>
      <c r="B1371" t="s">
        <v>1418</v>
      </c>
      <c r="C1371">
        <v>-7.4768427807537918</v>
      </c>
      <c r="D1371">
        <v>-38.041050200787318</v>
      </c>
    </row>
    <row r="1372" spans="1:4" x14ac:dyDescent="0.3">
      <c r="A1372">
        <v>2510303</v>
      </c>
      <c r="B1372" t="s">
        <v>2368</v>
      </c>
      <c r="C1372">
        <v>-6.6766058426447863</v>
      </c>
      <c r="D1372">
        <v>-36.418712974352324</v>
      </c>
    </row>
    <row r="1373" spans="1:4" x14ac:dyDescent="0.3">
      <c r="A1373">
        <v>2510402</v>
      </c>
      <c r="B1373" t="s">
        <v>2369</v>
      </c>
      <c r="C1373">
        <v>-7.2249726485492562</v>
      </c>
      <c r="D1373">
        <v>-37.752685528560384</v>
      </c>
    </row>
    <row r="1374" spans="1:4" x14ac:dyDescent="0.3">
      <c r="A1374">
        <v>2510501</v>
      </c>
      <c r="B1374" t="s">
        <v>2370</v>
      </c>
      <c r="C1374">
        <v>-6.988225622290277</v>
      </c>
      <c r="D1374">
        <v>-36.243665219357929</v>
      </c>
    </row>
    <row r="1375" spans="1:4" x14ac:dyDescent="0.3">
      <c r="A1375">
        <v>2510600</v>
      </c>
      <c r="B1375" t="s">
        <v>2371</v>
      </c>
      <c r="C1375">
        <v>-7.6186521245103167</v>
      </c>
      <c r="D1375">
        <v>-37.154378942513198</v>
      </c>
    </row>
    <row r="1376" spans="1:4" x14ac:dyDescent="0.3">
      <c r="A1376">
        <v>2510659</v>
      </c>
      <c r="B1376" t="s">
        <v>2372</v>
      </c>
      <c r="C1376">
        <v>-7.3167001007781867</v>
      </c>
      <c r="D1376">
        <v>-36.658324443925103</v>
      </c>
    </row>
    <row r="1377" spans="1:4" x14ac:dyDescent="0.3">
      <c r="A1377">
        <v>2510709</v>
      </c>
      <c r="B1377" t="s">
        <v>2182</v>
      </c>
      <c r="C1377">
        <v>-7.1328195966624355</v>
      </c>
      <c r="D1377">
        <v>-37.054391943650266</v>
      </c>
    </row>
    <row r="1378" spans="1:4" x14ac:dyDescent="0.3">
      <c r="A1378">
        <v>2510808</v>
      </c>
      <c r="B1378" t="s">
        <v>2373</v>
      </c>
      <c r="C1378">
        <v>-7.0244916682192455</v>
      </c>
      <c r="D1378">
        <v>-37.276913337292591</v>
      </c>
    </row>
    <row r="1379" spans="1:4" x14ac:dyDescent="0.3">
      <c r="A1379">
        <v>2510907</v>
      </c>
      <c r="B1379" t="s">
        <v>2374</v>
      </c>
      <c r="C1379">
        <v>-6.594061579762112</v>
      </c>
      <c r="D1379">
        <v>-37.62105567398725</v>
      </c>
    </row>
    <row r="1380" spans="1:4" x14ac:dyDescent="0.3">
      <c r="A1380">
        <v>2511004</v>
      </c>
      <c r="B1380" t="s">
        <v>2039</v>
      </c>
      <c r="C1380">
        <v>-7.4265644261301151</v>
      </c>
      <c r="D1380">
        <v>-38.072246307819164</v>
      </c>
    </row>
    <row r="1381" spans="1:4" x14ac:dyDescent="0.3">
      <c r="A1381">
        <v>2511103</v>
      </c>
      <c r="B1381" t="s">
        <v>2375</v>
      </c>
      <c r="C1381">
        <v>-6.7578814606451862</v>
      </c>
      <c r="D1381">
        <v>-36.472050363846201</v>
      </c>
    </row>
    <row r="1382" spans="1:4" x14ac:dyDescent="0.3">
      <c r="A1382">
        <v>2511202</v>
      </c>
      <c r="B1382" t="s">
        <v>2376</v>
      </c>
      <c r="C1382">
        <v>-7.4015385000000009</v>
      </c>
      <c r="D1382">
        <v>-35.113177982706539</v>
      </c>
    </row>
    <row r="1383" spans="1:4" x14ac:dyDescent="0.3">
      <c r="A1383">
        <v>2511301</v>
      </c>
      <c r="B1383" t="s">
        <v>2377</v>
      </c>
      <c r="C1383">
        <v>-7.192569875997302</v>
      </c>
      <c r="D1383">
        <v>-37.926519001178043</v>
      </c>
    </row>
    <row r="1384" spans="1:4" x14ac:dyDescent="0.3">
      <c r="A1384">
        <v>2511400</v>
      </c>
      <c r="B1384" t="s">
        <v>2378</v>
      </c>
      <c r="C1384">
        <v>-6.5101356574065417</v>
      </c>
      <c r="D1384">
        <v>-36.347046025145701</v>
      </c>
    </row>
    <row r="1385" spans="1:4" x14ac:dyDescent="0.3">
      <c r="A1385">
        <v>2511509</v>
      </c>
      <c r="B1385" t="s">
        <v>2379</v>
      </c>
      <c r="C1385">
        <v>-7.2598879849164364</v>
      </c>
      <c r="D1385">
        <v>-35.259880407624841</v>
      </c>
    </row>
    <row r="1386" spans="1:4" x14ac:dyDescent="0.3">
      <c r="A1386">
        <v>2511608</v>
      </c>
      <c r="B1386" t="s">
        <v>2191</v>
      </c>
      <c r="C1386">
        <v>-6.8692205282491452</v>
      </c>
      <c r="D1386">
        <v>-35.615540594699418</v>
      </c>
    </row>
    <row r="1387" spans="1:4" x14ac:dyDescent="0.3">
      <c r="A1387">
        <v>2511707</v>
      </c>
      <c r="B1387" t="s">
        <v>2380</v>
      </c>
      <c r="C1387">
        <v>-6.8405687830432766</v>
      </c>
      <c r="D1387">
        <v>-35.530585704033037</v>
      </c>
    </row>
    <row r="1388" spans="1:4" x14ac:dyDescent="0.3">
      <c r="A1388">
        <v>2511806</v>
      </c>
      <c r="B1388" t="s">
        <v>2381</v>
      </c>
      <c r="C1388">
        <v>-6.7808000984550905</v>
      </c>
      <c r="D1388">
        <v>-35.497715792750689</v>
      </c>
    </row>
    <row r="1389" spans="1:4" x14ac:dyDescent="0.3">
      <c r="A1389">
        <v>2511905</v>
      </c>
      <c r="B1389" t="s">
        <v>2382</v>
      </c>
      <c r="C1389">
        <v>-7.4824133960312711</v>
      </c>
      <c r="D1389">
        <v>-34.813930414268299</v>
      </c>
    </row>
    <row r="1390" spans="1:4" x14ac:dyDescent="0.3">
      <c r="A1390">
        <v>2512002</v>
      </c>
      <c r="B1390" t="s">
        <v>2383</v>
      </c>
      <c r="C1390">
        <v>-7.078617269369861</v>
      </c>
      <c r="D1390">
        <v>-36.056442281010057</v>
      </c>
    </row>
    <row r="1391" spans="1:4" x14ac:dyDescent="0.3">
      <c r="A1391">
        <v>2512036</v>
      </c>
      <c r="B1391" t="s">
        <v>2384</v>
      </c>
      <c r="C1391">
        <v>-6.4071756420216959</v>
      </c>
      <c r="D1391">
        <v>-38.497165533239887</v>
      </c>
    </row>
    <row r="1392" spans="1:4" x14ac:dyDescent="0.3">
      <c r="A1392">
        <v>2512077</v>
      </c>
      <c r="B1392" t="s">
        <v>2385</v>
      </c>
      <c r="C1392">
        <v>-6.5769188158549863</v>
      </c>
      <c r="D1392">
        <v>-38.509999991319553</v>
      </c>
    </row>
    <row r="1393" spans="1:4" x14ac:dyDescent="0.3">
      <c r="A1393">
        <v>2512101</v>
      </c>
      <c r="B1393" t="s">
        <v>2386</v>
      </c>
      <c r="C1393">
        <v>-6.7698554850000017</v>
      </c>
      <c r="D1393">
        <v>-37.798267271362953</v>
      </c>
    </row>
    <row r="1394" spans="1:4" x14ac:dyDescent="0.3">
      <c r="A1394">
        <v>2512200</v>
      </c>
      <c r="B1394" t="s">
        <v>2387</v>
      </c>
      <c r="C1394">
        <v>-7.6969830843449554</v>
      </c>
      <c r="D1394">
        <v>-37.082333975187062</v>
      </c>
    </row>
    <row r="1395" spans="1:4" x14ac:dyDescent="0.3">
      <c r="A1395">
        <v>2512309</v>
      </c>
      <c r="B1395" t="s">
        <v>2388</v>
      </c>
      <c r="C1395">
        <v>-7.7338664589849602</v>
      </c>
      <c r="D1395">
        <v>-37.993664009616211</v>
      </c>
    </row>
    <row r="1396" spans="1:4" x14ac:dyDescent="0.3">
      <c r="A1396">
        <v>2512408</v>
      </c>
      <c r="B1396" t="s">
        <v>2389</v>
      </c>
      <c r="C1396">
        <v>-7.1489066440628966</v>
      </c>
      <c r="D1396">
        <v>-35.958494073124633</v>
      </c>
    </row>
    <row r="1397" spans="1:4" x14ac:dyDescent="0.3">
      <c r="A1397">
        <v>2512507</v>
      </c>
      <c r="B1397" t="s">
        <v>2390</v>
      </c>
      <c r="C1397">
        <v>-7.3607915000000013</v>
      </c>
      <c r="D1397">
        <v>-35.899433911222914</v>
      </c>
    </row>
    <row r="1398" spans="1:4" x14ac:dyDescent="0.3">
      <c r="A1398">
        <v>2512606</v>
      </c>
      <c r="B1398" t="s">
        <v>2391</v>
      </c>
      <c r="C1398">
        <v>-7.0308176065739554</v>
      </c>
      <c r="D1398">
        <v>-37.147098704348636</v>
      </c>
    </row>
    <row r="1399" spans="1:4" x14ac:dyDescent="0.3">
      <c r="A1399">
        <v>2512705</v>
      </c>
      <c r="B1399" t="s">
        <v>2392</v>
      </c>
      <c r="C1399">
        <v>-6.966292951988966</v>
      </c>
      <c r="D1399">
        <v>-35.795833190124931</v>
      </c>
    </row>
    <row r="1400" spans="1:4" x14ac:dyDescent="0.3">
      <c r="A1400">
        <v>2512721</v>
      </c>
      <c r="B1400" t="s">
        <v>2393</v>
      </c>
      <c r="C1400">
        <v>-6.6444714972660766</v>
      </c>
      <c r="D1400">
        <v>-35.293005853809603</v>
      </c>
    </row>
    <row r="1401" spans="1:4" x14ac:dyDescent="0.3">
      <c r="A1401">
        <v>2512747</v>
      </c>
      <c r="B1401" t="s">
        <v>1623</v>
      </c>
      <c r="C1401">
        <v>-6.542676527889931</v>
      </c>
      <c r="D1401">
        <v>-35.662721694353472</v>
      </c>
    </row>
    <row r="1402" spans="1:4" x14ac:dyDescent="0.3">
      <c r="A1402">
        <v>2512754</v>
      </c>
      <c r="B1402" t="s">
        <v>2394</v>
      </c>
      <c r="C1402">
        <v>-7.2505947732792402</v>
      </c>
      <c r="D1402">
        <v>-35.65538765832914</v>
      </c>
    </row>
    <row r="1403" spans="1:4" x14ac:dyDescent="0.3">
      <c r="A1403">
        <v>2512762</v>
      </c>
      <c r="B1403" t="s">
        <v>2395</v>
      </c>
      <c r="C1403">
        <v>-7.1515036157402569</v>
      </c>
      <c r="D1403">
        <v>-35.261242692012154</v>
      </c>
    </row>
    <row r="1404" spans="1:4" x14ac:dyDescent="0.3">
      <c r="A1404">
        <v>2512788</v>
      </c>
      <c r="B1404" t="s">
        <v>2396</v>
      </c>
      <c r="C1404">
        <v>-7.690295344540182</v>
      </c>
      <c r="D1404">
        <v>-36.156709772741841</v>
      </c>
    </row>
    <row r="1405" spans="1:4" x14ac:dyDescent="0.3">
      <c r="A1405">
        <v>2512804</v>
      </c>
      <c r="B1405" t="s">
        <v>2397</v>
      </c>
      <c r="C1405">
        <v>-6.4364942491411403</v>
      </c>
      <c r="D1405">
        <v>-37.653835391034661</v>
      </c>
    </row>
    <row r="1406" spans="1:4" x14ac:dyDescent="0.3">
      <c r="A1406">
        <v>2512903</v>
      </c>
      <c r="B1406" t="s">
        <v>2398</v>
      </c>
      <c r="C1406">
        <v>-6.8084485000000008</v>
      </c>
      <c r="D1406">
        <v>-35.078852225951543</v>
      </c>
    </row>
    <row r="1407" spans="1:4" x14ac:dyDescent="0.3">
      <c r="A1407">
        <v>2513000</v>
      </c>
      <c r="B1407" t="s">
        <v>2399</v>
      </c>
      <c r="C1407">
        <v>-7.1030347330887107</v>
      </c>
      <c r="D1407">
        <v>-36.845502894286234</v>
      </c>
    </row>
    <row r="1408" spans="1:4" x14ac:dyDescent="0.3">
      <c r="A1408">
        <v>2513109</v>
      </c>
      <c r="B1408" t="s">
        <v>2400</v>
      </c>
      <c r="C1408">
        <v>-7.3553573137170565</v>
      </c>
      <c r="D1408">
        <v>-35.443301739497123</v>
      </c>
    </row>
    <row r="1409" spans="1:4" x14ac:dyDescent="0.3">
      <c r="A1409">
        <v>2513158</v>
      </c>
      <c r="B1409" t="s">
        <v>2401</v>
      </c>
      <c r="C1409">
        <v>-7.742905962215981</v>
      </c>
      <c r="D1409">
        <v>-35.87747446662798</v>
      </c>
    </row>
    <row r="1410" spans="1:4" x14ac:dyDescent="0.3">
      <c r="A1410">
        <v>2513208</v>
      </c>
      <c r="B1410" t="s">
        <v>2204</v>
      </c>
      <c r="C1410">
        <v>-6.5350141675178257</v>
      </c>
      <c r="D1410">
        <v>-38.060555592009699</v>
      </c>
    </row>
    <row r="1411" spans="1:4" x14ac:dyDescent="0.3">
      <c r="A1411">
        <v>2513307</v>
      </c>
      <c r="B1411" t="s">
        <v>1628</v>
      </c>
      <c r="C1411">
        <v>-6.7186941996429308</v>
      </c>
      <c r="D1411">
        <v>-38.642789670655581</v>
      </c>
    </row>
    <row r="1412" spans="1:4" x14ac:dyDescent="0.3">
      <c r="A1412">
        <v>2513356</v>
      </c>
      <c r="B1412" t="s">
        <v>1629</v>
      </c>
      <c r="C1412">
        <v>-7.6277797185430449</v>
      </c>
      <c r="D1412">
        <v>-38.559599929631823</v>
      </c>
    </row>
    <row r="1413" spans="1:4" x14ac:dyDescent="0.3">
      <c r="A1413">
        <v>2513406</v>
      </c>
      <c r="B1413" t="s">
        <v>1630</v>
      </c>
      <c r="C1413">
        <v>-6.8718632618825213</v>
      </c>
      <c r="D1413">
        <v>-36.921678330044664</v>
      </c>
    </row>
    <row r="1414" spans="1:4" x14ac:dyDescent="0.3">
      <c r="A1414">
        <v>2513505</v>
      </c>
      <c r="B1414" t="s">
        <v>2402</v>
      </c>
      <c r="C1414">
        <v>-7.5512134095287351</v>
      </c>
      <c r="D1414">
        <v>-38.332581153941653</v>
      </c>
    </row>
    <row r="1415" spans="1:4" x14ac:dyDescent="0.3">
      <c r="A1415">
        <v>2513604</v>
      </c>
      <c r="B1415" t="s">
        <v>2403</v>
      </c>
      <c r="C1415">
        <v>-7.3876444597283655</v>
      </c>
      <c r="D1415">
        <v>-37.985043099929555</v>
      </c>
    </row>
    <row r="1416" spans="1:4" x14ac:dyDescent="0.3">
      <c r="A1416">
        <v>2513653</v>
      </c>
      <c r="B1416" t="s">
        <v>1297</v>
      </c>
      <c r="C1416">
        <v>-6.4840552966912766</v>
      </c>
      <c r="D1416">
        <v>-38.479152214244884</v>
      </c>
    </row>
    <row r="1417" spans="1:4" x14ac:dyDescent="0.3">
      <c r="A1417">
        <v>2513703</v>
      </c>
      <c r="B1417" t="s">
        <v>1633</v>
      </c>
      <c r="C1417">
        <v>-7.1380845000000006</v>
      </c>
      <c r="D1417">
        <v>-34.965839278270877</v>
      </c>
    </row>
    <row r="1418" spans="1:4" x14ac:dyDescent="0.3">
      <c r="A1418">
        <v>2513802</v>
      </c>
      <c r="B1418" t="s">
        <v>2404</v>
      </c>
      <c r="C1418">
        <v>-7.0841917052624659</v>
      </c>
      <c r="D1418">
        <v>-37.44171779546982</v>
      </c>
    </row>
    <row r="1419" spans="1:4" x14ac:dyDescent="0.3">
      <c r="A1419">
        <v>2513851</v>
      </c>
      <c r="B1419" t="s">
        <v>2405</v>
      </c>
      <c r="C1419">
        <v>-7.2204891228331611</v>
      </c>
      <c r="D1419">
        <v>-36.630975433054594</v>
      </c>
    </row>
    <row r="1420" spans="1:4" x14ac:dyDescent="0.3">
      <c r="A1420">
        <v>2513901</v>
      </c>
      <c r="B1420" t="s">
        <v>1638</v>
      </c>
      <c r="C1420">
        <v>-6.4893075407914109</v>
      </c>
      <c r="D1420">
        <v>-37.449349664422037</v>
      </c>
    </row>
    <row r="1421" spans="1:4" x14ac:dyDescent="0.3">
      <c r="A1421">
        <v>2513927</v>
      </c>
      <c r="B1421" t="s">
        <v>2406</v>
      </c>
      <c r="C1421">
        <v>-6.890308508997542</v>
      </c>
      <c r="D1421">
        <v>-37.722721300565418</v>
      </c>
    </row>
    <row r="1422" spans="1:4" x14ac:dyDescent="0.3">
      <c r="A1422">
        <v>2513943</v>
      </c>
      <c r="B1422" t="s">
        <v>2407</v>
      </c>
      <c r="C1422">
        <v>-7.6329907025031352</v>
      </c>
      <c r="D1422">
        <v>-36.435929400505621</v>
      </c>
    </row>
    <row r="1423" spans="1:4" x14ac:dyDescent="0.3">
      <c r="A1423">
        <v>2513968</v>
      </c>
      <c r="B1423" t="s">
        <v>2408</v>
      </c>
      <c r="C1423">
        <v>-6.8159249809165265</v>
      </c>
      <c r="D1423">
        <v>-37.942602747444603</v>
      </c>
    </row>
    <row r="1424" spans="1:4" x14ac:dyDescent="0.3">
      <c r="A1424">
        <v>2513984</v>
      </c>
      <c r="B1424" t="s">
        <v>2409</v>
      </c>
      <c r="C1424">
        <v>-6.6192799824053115</v>
      </c>
      <c r="D1424">
        <v>-38.097141233912716</v>
      </c>
    </row>
    <row r="1425" spans="1:4" x14ac:dyDescent="0.3">
      <c r="A1425">
        <v>2514008</v>
      </c>
      <c r="B1425" t="s">
        <v>2410</v>
      </c>
      <c r="C1425">
        <v>-7.3902013357551208</v>
      </c>
      <c r="D1425">
        <v>-36.53152093588718</v>
      </c>
    </row>
    <row r="1426" spans="1:4" x14ac:dyDescent="0.3">
      <c r="A1426">
        <v>2514107</v>
      </c>
      <c r="B1426" t="s">
        <v>2411</v>
      </c>
      <c r="C1426">
        <v>-8.0810428893647472</v>
      </c>
      <c r="D1426">
        <v>-36.845743321568506</v>
      </c>
    </row>
    <row r="1427" spans="1:4" x14ac:dyDescent="0.3">
      <c r="A1427">
        <v>2514206</v>
      </c>
      <c r="B1427" t="s">
        <v>2412</v>
      </c>
      <c r="C1427">
        <v>-6.9442314894139807</v>
      </c>
      <c r="D1427">
        <v>-38.157770189267374</v>
      </c>
    </row>
    <row r="1428" spans="1:4" x14ac:dyDescent="0.3">
      <c r="A1428">
        <v>2514305</v>
      </c>
      <c r="B1428" t="s">
        <v>2413</v>
      </c>
      <c r="C1428">
        <v>-7.2491596310836517</v>
      </c>
      <c r="D1428">
        <v>-38.297823370235356</v>
      </c>
    </row>
    <row r="1429" spans="1:4" x14ac:dyDescent="0.3">
      <c r="A1429">
        <v>2514404</v>
      </c>
      <c r="B1429" t="s">
        <v>2414</v>
      </c>
      <c r="C1429">
        <v>-6.8441796084635707</v>
      </c>
      <c r="D1429">
        <v>-37.325114839978873</v>
      </c>
    </row>
    <row r="1430" spans="1:4" x14ac:dyDescent="0.3">
      <c r="A1430">
        <v>2514453</v>
      </c>
      <c r="B1430" t="s">
        <v>2415</v>
      </c>
      <c r="C1430">
        <v>-7.2471273572163168</v>
      </c>
      <c r="D1430">
        <v>-35.377961054487372</v>
      </c>
    </row>
    <row r="1431" spans="1:4" x14ac:dyDescent="0.3">
      <c r="A1431">
        <v>2514503</v>
      </c>
      <c r="B1431" t="s">
        <v>2416</v>
      </c>
      <c r="C1431">
        <v>-7.1208699574437819</v>
      </c>
      <c r="D1431">
        <v>-38.501074820649684</v>
      </c>
    </row>
    <row r="1432" spans="1:4" x14ac:dyDescent="0.3">
      <c r="A1432">
        <v>2514552</v>
      </c>
      <c r="B1432" t="s">
        <v>2417</v>
      </c>
      <c r="C1432">
        <v>-7.7429694507639013</v>
      </c>
      <c r="D1432">
        <v>-38.098802720255868</v>
      </c>
    </row>
    <row r="1433" spans="1:4" x14ac:dyDescent="0.3">
      <c r="A1433">
        <v>2514602</v>
      </c>
      <c r="B1433" t="s">
        <v>2418</v>
      </c>
      <c r="C1433">
        <v>-7.1609149773589662</v>
      </c>
      <c r="D1433">
        <v>-37.309244728481517</v>
      </c>
    </row>
    <row r="1434" spans="1:4" x14ac:dyDescent="0.3">
      <c r="A1434">
        <v>2514651</v>
      </c>
      <c r="B1434" t="s">
        <v>2419</v>
      </c>
      <c r="C1434">
        <v>-6.2129153407398157</v>
      </c>
      <c r="D1434">
        <v>-37.353829676178371</v>
      </c>
    </row>
    <row r="1435" spans="1:4" x14ac:dyDescent="0.3">
      <c r="A1435">
        <v>2514701</v>
      </c>
      <c r="B1435" t="s">
        <v>2420</v>
      </c>
      <c r="C1435">
        <v>-6.775531406837116</v>
      </c>
      <c r="D1435">
        <v>-36.797493218197182</v>
      </c>
    </row>
    <row r="1436" spans="1:4" x14ac:dyDescent="0.3">
      <c r="A1436">
        <v>2514800</v>
      </c>
      <c r="B1436" t="s">
        <v>2421</v>
      </c>
      <c r="C1436">
        <v>-7.3926426969583865</v>
      </c>
      <c r="D1436">
        <v>-36.802777819506453</v>
      </c>
    </row>
    <row r="1437" spans="1:4" x14ac:dyDescent="0.3">
      <c r="A1437">
        <v>2514909</v>
      </c>
      <c r="B1437" t="s">
        <v>2422</v>
      </c>
      <c r="C1437">
        <v>-6.9302283713901609</v>
      </c>
      <c r="D1437">
        <v>-37.094857385240125</v>
      </c>
    </row>
    <row r="1438" spans="1:4" x14ac:dyDescent="0.3">
      <c r="A1438">
        <v>2515005</v>
      </c>
      <c r="B1438" t="s">
        <v>2423</v>
      </c>
      <c r="C1438">
        <v>-7.2492335303870501</v>
      </c>
      <c r="D1438">
        <v>-35.210451391879751</v>
      </c>
    </row>
    <row r="1439" spans="1:4" x14ac:dyDescent="0.3">
      <c r="A1439">
        <v>2515104</v>
      </c>
      <c r="B1439" t="s">
        <v>2424</v>
      </c>
      <c r="C1439">
        <v>-7.1009459552440362</v>
      </c>
      <c r="D1439">
        <v>-35.866413911522308</v>
      </c>
    </row>
    <row r="1440" spans="1:4" x14ac:dyDescent="0.3">
      <c r="A1440">
        <v>2515203</v>
      </c>
      <c r="B1440" t="s">
        <v>2425</v>
      </c>
      <c r="C1440">
        <v>-8.1571187546847419</v>
      </c>
      <c r="D1440">
        <v>-37.00841697800216</v>
      </c>
    </row>
    <row r="1441" spans="1:4" x14ac:dyDescent="0.3">
      <c r="A1441">
        <v>2515302</v>
      </c>
      <c r="B1441" t="s">
        <v>2426</v>
      </c>
      <c r="C1441">
        <v>-7.0871110000000019</v>
      </c>
      <c r="D1441">
        <v>-35.230432616549699</v>
      </c>
    </row>
    <row r="1442" spans="1:4" x14ac:dyDescent="0.3">
      <c r="A1442">
        <v>2515401</v>
      </c>
      <c r="B1442" t="s">
        <v>2427</v>
      </c>
      <c r="C1442">
        <v>-6.8569085631729161</v>
      </c>
      <c r="D1442">
        <v>-36.410764109556794</v>
      </c>
    </row>
    <row r="1443" spans="1:4" x14ac:dyDescent="0.3">
      <c r="A1443">
        <v>2515500</v>
      </c>
      <c r="B1443" t="s">
        <v>2428</v>
      </c>
      <c r="C1443">
        <v>-7.4805025244756003</v>
      </c>
      <c r="D1443">
        <v>-36.655666862922942</v>
      </c>
    </row>
    <row r="1444" spans="1:4" x14ac:dyDescent="0.3">
      <c r="A1444">
        <v>2515609</v>
      </c>
      <c r="B1444" t="s">
        <v>2429</v>
      </c>
      <c r="C1444">
        <v>-6.6855176500536855</v>
      </c>
      <c r="D1444">
        <v>-35.442738836884921</v>
      </c>
    </row>
    <row r="1445" spans="1:4" x14ac:dyDescent="0.3">
      <c r="A1445">
        <v>2515708</v>
      </c>
      <c r="B1445" t="s">
        <v>2430</v>
      </c>
      <c r="C1445">
        <v>-7.2141477578402862</v>
      </c>
      <c r="D1445">
        <v>-38.374894787041946</v>
      </c>
    </row>
    <row r="1446" spans="1:4" x14ac:dyDescent="0.3">
      <c r="A1446">
        <v>2515807</v>
      </c>
      <c r="B1446" t="s">
        <v>2431</v>
      </c>
      <c r="C1446">
        <v>-7.1825494246827208</v>
      </c>
      <c r="D1446">
        <v>-35.674270497244301</v>
      </c>
    </row>
    <row r="1447" spans="1:4" x14ac:dyDescent="0.3">
      <c r="A1447">
        <v>2515906</v>
      </c>
      <c r="B1447" t="s">
        <v>2432</v>
      </c>
      <c r="C1447">
        <v>-6.8170889428473114</v>
      </c>
      <c r="D1447">
        <v>-35.644142570757118</v>
      </c>
    </row>
    <row r="1448" spans="1:4" x14ac:dyDescent="0.3">
      <c r="A1448">
        <v>2515930</v>
      </c>
      <c r="B1448" t="s">
        <v>2433</v>
      </c>
      <c r="C1448">
        <v>-6.75079754596171</v>
      </c>
      <c r="D1448">
        <v>-35.441750745704503</v>
      </c>
    </row>
    <row r="1449" spans="1:4" x14ac:dyDescent="0.3">
      <c r="A1449">
        <v>2515971</v>
      </c>
      <c r="B1449" t="s">
        <v>2434</v>
      </c>
      <c r="C1449">
        <v>-7.1445756136373468</v>
      </c>
      <c r="D1449">
        <v>-35.238195479031269</v>
      </c>
    </row>
    <row r="1450" spans="1:4" x14ac:dyDescent="0.3">
      <c r="A1450">
        <v>2516003</v>
      </c>
      <c r="B1450" t="s">
        <v>2435</v>
      </c>
      <c r="C1450">
        <v>-6.7598975000000001</v>
      </c>
      <c r="D1450">
        <v>-35.656158407725528</v>
      </c>
    </row>
    <row r="1451" spans="1:4" x14ac:dyDescent="0.3">
      <c r="A1451">
        <v>2516102</v>
      </c>
      <c r="B1451" t="s">
        <v>2436</v>
      </c>
      <c r="C1451">
        <v>-7.0587413777762507</v>
      </c>
      <c r="D1451">
        <v>-36.36266486037696</v>
      </c>
    </row>
    <row r="1452" spans="1:4" x14ac:dyDescent="0.3">
      <c r="A1452">
        <v>2516151</v>
      </c>
      <c r="B1452" t="s">
        <v>2437</v>
      </c>
      <c r="C1452">
        <v>-6.7675275288826704</v>
      </c>
      <c r="D1452">
        <v>-36.248223878838282</v>
      </c>
    </row>
    <row r="1453" spans="1:4" x14ac:dyDescent="0.3">
      <c r="A1453">
        <v>2516201</v>
      </c>
      <c r="B1453" t="s">
        <v>2438</v>
      </c>
      <c r="C1453">
        <v>-6.7633780050000016</v>
      </c>
      <c r="D1453">
        <v>-38.229605080601061</v>
      </c>
    </row>
    <row r="1454" spans="1:4" x14ac:dyDescent="0.3">
      <c r="A1454">
        <v>2516300</v>
      </c>
      <c r="B1454" t="s">
        <v>2439</v>
      </c>
      <c r="C1454">
        <v>-7.6710536151470512</v>
      </c>
      <c r="D1454">
        <v>-36.880276145732061</v>
      </c>
    </row>
    <row r="1455" spans="1:4" x14ac:dyDescent="0.3">
      <c r="A1455">
        <v>2516409</v>
      </c>
      <c r="B1455" t="s">
        <v>2440</v>
      </c>
      <c r="C1455">
        <v>-6.4889169424547219</v>
      </c>
      <c r="D1455">
        <v>-35.638836656494199</v>
      </c>
    </row>
    <row r="1456" spans="1:4" x14ac:dyDescent="0.3">
      <c r="A1456">
        <v>2516508</v>
      </c>
      <c r="B1456" t="s">
        <v>2441</v>
      </c>
      <c r="C1456">
        <v>-7.2095393509968764</v>
      </c>
      <c r="D1456">
        <v>-36.828998534281759</v>
      </c>
    </row>
    <row r="1457" spans="1:4" x14ac:dyDescent="0.3">
      <c r="A1457">
        <v>2516607</v>
      </c>
      <c r="B1457" t="s">
        <v>2442</v>
      </c>
      <c r="C1457">
        <v>-7.6357084461941618</v>
      </c>
      <c r="D1457">
        <v>-37.878591932460473</v>
      </c>
    </row>
    <row r="1458" spans="1:4" x14ac:dyDescent="0.3">
      <c r="A1458">
        <v>2516706</v>
      </c>
      <c r="B1458" t="s">
        <v>2443</v>
      </c>
      <c r="C1458">
        <v>-7.2237029086147562</v>
      </c>
      <c r="D1458">
        <v>-37.251561577626696</v>
      </c>
    </row>
    <row r="1459" spans="1:4" x14ac:dyDescent="0.3">
      <c r="A1459">
        <v>2516755</v>
      </c>
      <c r="B1459" t="s">
        <v>2444</v>
      </c>
      <c r="C1459">
        <v>-6.9382604029317063</v>
      </c>
      <c r="D1459">
        <v>-36.627999874408509</v>
      </c>
    </row>
    <row r="1460" spans="1:4" x14ac:dyDescent="0.3">
      <c r="A1460">
        <v>2516805</v>
      </c>
      <c r="B1460" t="s">
        <v>2445</v>
      </c>
      <c r="C1460">
        <v>-6.5768355073857014</v>
      </c>
      <c r="D1460">
        <v>-38.598098331275033</v>
      </c>
    </row>
    <row r="1461" spans="1:4" x14ac:dyDescent="0.3">
      <c r="A1461">
        <v>2516904</v>
      </c>
      <c r="B1461" t="s">
        <v>2446</v>
      </c>
      <c r="C1461">
        <v>-6.5249270951308116</v>
      </c>
      <c r="D1461">
        <v>-38.407027010152767</v>
      </c>
    </row>
    <row r="1462" spans="1:4" x14ac:dyDescent="0.3">
      <c r="A1462">
        <v>2517001</v>
      </c>
      <c r="B1462" t="s">
        <v>2447</v>
      </c>
      <c r="C1462">
        <v>-7.6982063293552461</v>
      </c>
      <c r="D1462">
        <v>-35.671470822887827</v>
      </c>
    </row>
    <row r="1463" spans="1:4" x14ac:dyDescent="0.3">
      <c r="A1463">
        <v>2517100</v>
      </c>
      <c r="B1463" t="s">
        <v>2242</v>
      </c>
      <c r="C1463">
        <v>-6.7708072467828266</v>
      </c>
      <c r="D1463">
        <v>-36.992721004331507</v>
      </c>
    </row>
    <row r="1464" spans="1:4" x14ac:dyDescent="0.3">
      <c r="A1464">
        <v>2517209</v>
      </c>
      <c r="B1464" t="s">
        <v>2448</v>
      </c>
      <c r="C1464">
        <v>-6.5457135516857807</v>
      </c>
      <c r="D1464">
        <v>-38.277843498065337</v>
      </c>
    </row>
    <row r="1465" spans="1:4" x14ac:dyDescent="0.3">
      <c r="A1465">
        <v>2517407</v>
      </c>
      <c r="B1465" t="s">
        <v>2449</v>
      </c>
      <c r="C1465">
        <v>-8.0768741972494009</v>
      </c>
      <c r="D1465">
        <v>-37.093551972888577</v>
      </c>
    </row>
    <row r="1466" spans="1:4" x14ac:dyDescent="0.3">
      <c r="A1466">
        <v>2600054</v>
      </c>
      <c r="B1466" t="s">
        <v>2450</v>
      </c>
      <c r="C1466">
        <v>-7.9044489900000015</v>
      </c>
      <c r="D1466">
        <v>-34.899130584730386</v>
      </c>
    </row>
    <row r="1467" spans="1:4" x14ac:dyDescent="0.3">
      <c r="A1467">
        <v>2600104</v>
      </c>
      <c r="B1467" t="s">
        <v>2451</v>
      </c>
      <c r="C1467">
        <v>-7.748327585831511</v>
      </c>
      <c r="D1467">
        <v>-37.637686018102173</v>
      </c>
    </row>
    <row r="1468" spans="1:4" x14ac:dyDescent="0.3">
      <c r="A1468">
        <v>2600203</v>
      </c>
      <c r="B1468" t="s">
        <v>2452</v>
      </c>
      <c r="C1468">
        <v>-8.5110912837551709</v>
      </c>
      <c r="D1468">
        <v>-41.005797341094869</v>
      </c>
    </row>
    <row r="1469" spans="1:4" x14ac:dyDescent="0.3">
      <c r="A1469">
        <v>2600302</v>
      </c>
      <c r="B1469" t="s">
        <v>2453</v>
      </c>
      <c r="C1469">
        <v>-8.455973000000002</v>
      </c>
      <c r="D1469">
        <v>-35.94677683746</v>
      </c>
    </row>
    <row r="1470" spans="1:4" x14ac:dyDescent="0.3">
      <c r="A1470">
        <v>2600401</v>
      </c>
      <c r="B1470" t="s">
        <v>2454</v>
      </c>
      <c r="C1470">
        <v>-8.7091225523117419</v>
      </c>
      <c r="D1470">
        <v>-35.518557351191895</v>
      </c>
    </row>
    <row r="1471" spans="1:4" x14ac:dyDescent="0.3">
      <c r="A1471">
        <v>2600500</v>
      </c>
      <c r="B1471" t="s">
        <v>2455</v>
      </c>
      <c r="C1471">
        <v>-9.1145895000000028</v>
      </c>
      <c r="D1471">
        <v>-37.121957168560606</v>
      </c>
    </row>
    <row r="1472" spans="1:4" x14ac:dyDescent="0.3">
      <c r="A1472">
        <v>2600609</v>
      </c>
      <c r="B1472" t="s">
        <v>2250</v>
      </c>
      <c r="C1472">
        <v>-8.4662705229846775</v>
      </c>
      <c r="D1472">
        <v>-36.775456008316617</v>
      </c>
    </row>
    <row r="1473" spans="1:4" x14ac:dyDescent="0.3">
      <c r="A1473">
        <v>2600708</v>
      </c>
      <c r="B1473" t="s">
        <v>2456</v>
      </c>
      <c r="C1473">
        <v>-7.6047298084634063</v>
      </c>
      <c r="D1473">
        <v>-35.228501497065018</v>
      </c>
    </row>
    <row r="1474" spans="1:4" x14ac:dyDescent="0.3">
      <c r="A1474">
        <v>2600807</v>
      </c>
      <c r="B1474" t="s">
        <v>2457</v>
      </c>
      <c r="C1474">
        <v>-8.4895925000000023</v>
      </c>
      <c r="D1474">
        <v>-36.059699758583228</v>
      </c>
    </row>
    <row r="1475" spans="1:4" x14ac:dyDescent="0.3">
      <c r="A1475">
        <v>2600906</v>
      </c>
      <c r="B1475" t="s">
        <v>2458</v>
      </c>
      <c r="C1475">
        <v>-8.3784870000000016</v>
      </c>
      <c r="D1475">
        <v>-35.450772920995739</v>
      </c>
    </row>
    <row r="1476" spans="1:4" x14ac:dyDescent="0.3">
      <c r="A1476">
        <v>2601003</v>
      </c>
      <c r="B1476" t="s">
        <v>2459</v>
      </c>
      <c r="C1476">
        <v>-8.8903742079099448</v>
      </c>
      <c r="D1476">
        <v>-36.28481435549832</v>
      </c>
    </row>
    <row r="1477" spans="1:4" x14ac:dyDescent="0.3">
      <c r="A1477">
        <v>2601052</v>
      </c>
      <c r="B1477" t="s">
        <v>1919</v>
      </c>
      <c r="C1477">
        <v>-7.7856418725145069</v>
      </c>
      <c r="D1477">
        <v>-35.09396652753815</v>
      </c>
    </row>
    <row r="1478" spans="1:4" x14ac:dyDescent="0.3">
      <c r="A1478">
        <v>2601102</v>
      </c>
      <c r="B1478" t="s">
        <v>2460</v>
      </c>
      <c r="C1478">
        <v>-7.578141500000001</v>
      </c>
      <c r="D1478">
        <v>-40.502460574994096</v>
      </c>
    </row>
    <row r="1479" spans="1:4" x14ac:dyDescent="0.3">
      <c r="A1479">
        <v>2601201</v>
      </c>
      <c r="B1479" t="s">
        <v>2461</v>
      </c>
      <c r="C1479">
        <v>-8.4239405000000023</v>
      </c>
      <c r="D1479">
        <v>-37.056505564624523</v>
      </c>
    </row>
    <row r="1480" spans="1:4" x14ac:dyDescent="0.3">
      <c r="A1480">
        <v>2601300</v>
      </c>
      <c r="B1480" t="s">
        <v>2462</v>
      </c>
      <c r="C1480">
        <v>-8.4209350375797207</v>
      </c>
      <c r="D1480">
        <v>-35.662818885824471</v>
      </c>
    </row>
    <row r="1481" spans="1:4" x14ac:dyDescent="0.3">
      <c r="A1481">
        <v>2601409</v>
      </c>
      <c r="B1481" t="s">
        <v>2463</v>
      </c>
      <c r="C1481">
        <v>-8.8141379901068451</v>
      </c>
      <c r="D1481">
        <v>-35.199085987317339</v>
      </c>
    </row>
    <row r="1482" spans="1:4" x14ac:dyDescent="0.3">
      <c r="A1482">
        <v>2601508</v>
      </c>
      <c r="B1482" t="s">
        <v>2464</v>
      </c>
      <c r="C1482">
        <v>-8.6212019106172963</v>
      </c>
      <c r="D1482">
        <v>-35.839924090131653</v>
      </c>
    </row>
    <row r="1483" spans="1:4" x14ac:dyDescent="0.3">
      <c r="A1483">
        <v>2601607</v>
      </c>
      <c r="B1483" t="s">
        <v>2465</v>
      </c>
      <c r="C1483">
        <v>-8.751462780085852</v>
      </c>
      <c r="D1483">
        <v>-38.961599564972566</v>
      </c>
    </row>
    <row r="1484" spans="1:4" x14ac:dyDescent="0.3">
      <c r="A1484">
        <v>2601706</v>
      </c>
      <c r="B1484" t="s">
        <v>2466</v>
      </c>
      <c r="C1484">
        <v>-8.3352954393582959</v>
      </c>
      <c r="D1484">
        <v>-36.420035083017986</v>
      </c>
    </row>
    <row r="1485" spans="1:4" x14ac:dyDescent="0.3">
      <c r="A1485">
        <v>2601805</v>
      </c>
      <c r="B1485" t="s">
        <v>2467</v>
      </c>
      <c r="C1485">
        <v>-8.2698407896266755</v>
      </c>
      <c r="D1485">
        <v>-38.038738136647105</v>
      </c>
    </row>
    <row r="1486" spans="1:4" x14ac:dyDescent="0.3">
      <c r="A1486">
        <v>2601904</v>
      </c>
      <c r="B1486" t="s">
        <v>2468</v>
      </c>
      <c r="C1486">
        <v>-8.2353595000000013</v>
      </c>
      <c r="D1486">
        <v>-35.754487945877969</v>
      </c>
    </row>
    <row r="1487" spans="1:4" x14ac:dyDescent="0.3">
      <c r="A1487">
        <v>2602001</v>
      </c>
      <c r="B1487" t="s">
        <v>2469</v>
      </c>
      <c r="C1487">
        <v>-7.7793426269913661</v>
      </c>
      <c r="D1487">
        <v>-39.936163185039426</v>
      </c>
    </row>
    <row r="1488" spans="1:4" x14ac:dyDescent="0.3">
      <c r="A1488">
        <v>2602100</v>
      </c>
      <c r="B1488" t="s">
        <v>2470</v>
      </c>
      <c r="C1488">
        <v>-9.1633829848854678</v>
      </c>
      <c r="D1488">
        <v>-36.679314385707023</v>
      </c>
    </row>
    <row r="1489" spans="1:4" x14ac:dyDescent="0.3">
      <c r="A1489">
        <v>2602209</v>
      </c>
      <c r="B1489" t="s">
        <v>1501</v>
      </c>
      <c r="C1489">
        <v>-7.7995121807400247</v>
      </c>
      <c r="D1489">
        <v>-35.587139502287805</v>
      </c>
    </row>
    <row r="1490" spans="1:4" x14ac:dyDescent="0.3">
      <c r="A1490">
        <v>2602308</v>
      </c>
      <c r="B1490" t="s">
        <v>1207</v>
      </c>
      <c r="C1490">
        <v>-8.4722605000000026</v>
      </c>
      <c r="D1490">
        <v>-35.728527925927516</v>
      </c>
    </row>
    <row r="1491" spans="1:4" x14ac:dyDescent="0.3">
      <c r="A1491">
        <v>2602407</v>
      </c>
      <c r="B1491" t="s">
        <v>2471</v>
      </c>
      <c r="C1491">
        <v>-9.0272491507204808</v>
      </c>
      <c r="D1491">
        <v>-36.564696659267263</v>
      </c>
    </row>
    <row r="1492" spans="1:4" x14ac:dyDescent="0.3">
      <c r="A1492">
        <v>2602506</v>
      </c>
      <c r="B1492" t="s">
        <v>2104</v>
      </c>
      <c r="C1492">
        <v>-7.3456712759663008</v>
      </c>
      <c r="D1492">
        <v>-37.287334553979754</v>
      </c>
    </row>
    <row r="1493" spans="1:4" x14ac:dyDescent="0.3">
      <c r="A1493">
        <v>2602605</v>
      </c>
      <c r="B1493" t="s">
        <v>2472</v>
      </c>
      <c r="C1493">
        <v>-8.1489565000000024</v>
      </c>
      <c r="D1493">
        <v>-36.370391441331925</v>
      </c>
    </row>
    <row r="1494" spans="1:4" x14ac:dyDescent="0.3">
      <c r="A1494">
        <v>2602704</v>
      </c>
      <c r="B1494" t="s">
        <v>2473</v>
      </c>
      <c r="C1494">
        <v>-7.7243722100353907</v>
      </c>
      <c r="D1494">
        <v>-35.329570414200639</v>
      </c>
    </row>
    <row r="1495" spans="1:4" x14ac:dyDescent="0.3">
      <c r="A1495">
        <v>2602803</v>
      </c>
      <c r="B1495" t="s">
        <v>2474</v>
      </c>
      <c r="C1495">
        <v>-8.6220590406823163</v>
      </c>
      <c r="D1495">
        <v>-37.156988114844999</v>
      </c>
    </row>
    <row r="1496" spans="1:4" x14ac:dyDescent="0.3">
      <c r="A1496">
        <v>2602902</v>
      </c>
      <c r="B1496" t="s">
        <v>2475</v>
      </c>
      <c r="C1496">
        <v>-8.2898642302978818</v>
      </c>
      <c r="D1496">
        <v>-35.038488971813102</v>
      </c>
    </row>
    <row r="1497" spans="1:4" x14ac:dyDescent="0.3">
      <c r="A1497">
        <v>2603009</v>
      </c>
      <c r="B1497" t="s">
        <v>2476</v>
      </c>
      <c r="C1497">
        <v>-8.5151054832690836</v>
      </c>
      <c r="D1497">
        <v>-39.30984133797071</v>
      </c>
    </row>
    <row r="1498" spans="1:4" x14ac:dyDescent="0.3">
      <c r="A1498">
        <v>2603108</v>
      </c>
      <c r="B1498" t="s">
        <v>1001</v>
      </c>
      <c r="C1498">
        <v>-8.4868310730386529</v>
      </c>
      <c r="D1498">
        <v>-36.235991411789072</v>
      </c>
    </row>
    <row r="1499" spans="1:4" x14ac:dyDescent="0.3">
      <c r="A1499">
        <v>2603207</v>
      </c>
      <c r="B1499" t="s">
        <v>2477</v>
      </c>
      <c r="C1499">
        <v>-8.7755948447888219</v>
      </c>
      <c r="D1499">
        <v>-36.624804007612376</v>
      </c>
    </row>
    <row r="1500" spans="1:4" x14ac:dyDescent="0.3">
      <c r="A1500">
        <v>2603306</v>
      </c>
      <c r="B1500" t="s">
        <v>2478</v>
      </c>
      <c r="C1500">
        <v>-8.7383779437323206</v>
      </c>
      <c r="D1500">
        <v>-36.333288079536366</v>
      </c>
    </row>
    <row r="1501" spans="1:4" x14ac:dyDescent="0.3">
      <c r="A1501">
        <v>2603405</v>
      </c>
      <c r="B1501" t="s">
        <v>2479</v>
      </c>
      <c r="C1501">
        <v>-7.9384273266750354</v>
      </c>
      <c r="D1501">
        <v>-38.153745924279079</v>
      </c>
    </row>
    <row r="1502" spans="1:4" x14ac:dyDescent="0.3">
      <c r="A1502">
        <v>2603454</v>
      </c>
      <c r="B1502" t="s">
        <v>2480</v>
      </c>
      <c r="C1502">
        <v>-8.0205217674976002</v>
      </c>
      <c r="D1502">
        <v>-34.99572135638558</v>
      </c>
    </row>
    <row r="1503" spans="1:4" x14ac:dyDescent="0.3">
      <c r="A1503">
        <v>2603504</v>
      </c>
      <c r="B1503" t="s">
        <v>2481</v>
      </c>
      <c r="C1503">
        <v>-8.3621380400622503</v>
      </c>
      <c r="D1503">
        <v>-35.76519472655378</v>
      </c>
    </row>
    <row r="1504" spans="1:4" x14ac:dyDescent="0.3">
      <c r="A1504">
        <v>2603603</v>
      </c>
      <c r="B1504" t="s">
        <v>2482</v>
      </c>
      <c r="C1504">
        <v>-7.4070824199390666</v>
      </c>
      <c r="D1504">
        <v>-35.282790643847726</v>
      </c>
    </row>
    <row r="1505" spans="1:4" x14ac:dyDescent="0.3">
      <c r="A1505">
        <v>2603702</v>
      </c>
      <c r="B1505" t="s">
        <v>2483</v>
      </c>
      <c r="C1505">
        <v>-8.8838705621561864</v>
      </c>
      <c r="D1505">
        <v>-36.193574878073974</v>
      </c>
    </row>
    <row r="1506" spans="1:4" x14ac:dyDescent="0.3">
      <c r="A1506">
        <v>2603801</v>
      </c>
      <c r="B1506" t="s">
        <v>2484</v>
      </c>
      <c r="C1506">
        <v>-8.7361426797425619</v>
      </c>
      <c r="D1506">
        <v>-36.623798017292849</v>
      </c>
    </row>
    <row r="1507" spans="1:4" x14ac:dyDescent="0.3">
      <c r="A1507">
        <v>2603900</v>
      </c>
      <c r="B1507" t="s">
        <v>2485</v>
      </c>
      <c r="C1507">
        <v>-7.8030582189056616</v>
      </c>
      <c r="D1507">
        <v>-37.793398902550969</v>
      </c>
    </row>
    <row r="1508" spans="1:4" x14ac:dyDescent="0.3">
      <c r="A1508">
        <v>2603926</v>
      </c>
      <c r="B1508" t="s">
        <v>2486</v>
      </c>
      <c r="C1508">
        <v>-8.3206079646765065</v>
      </c>
      <c r="D1508">
        <v>-38.743421946946505</v>
      </c>
    </row>
    <row r="1509" spans="1:4" x14ac:dyDescent="0.3">
      <c r="A1509">
        <v>2604007</v>
      </c>
      <c r="B1509" t="s">
        <v>2487</v>
      </c>
      <c r="C1509">
        <v>-7.8468867164173153</v>
      </c>
      <c r="D1509">
        <v>-35.258060605913066</v>
      </c>
    </row>
    <row r="1510" spans="1:4" x14ac:dyDescent="0.3">
      <c r="A1510">
        <v>2604106</v>
      </c>
      <c r="B1510" t="s">
        <v>2488</v>
      </c>
      <c r="C1510">
        <v>-8.2858980000000013</v>
      </c>
      <c r="D1510">
        <v>-35.967073360053526</v>
      </c>
    </row>
    <row r="1511" spans="1:4" x14ac:dyDescent="0.3">
      <c r="A1511">
        <v>2604155</v>
      </c>
      <c r="B1511" t="s">
        <v>2489</v>
      </c>
      <c r="C1511">
        <v>-7.7432065679199811</v>
      </c>
      <c r="D1511">
        <v>-35.725323103355542</v>
      </c>
    </row>
    <row r="1512" spans="1:4" x14ac:dyDescent="0.3">
      <c r="A1512">
        <v>2604205</v>
      </c>
      <c r="B1512" t="s">
        <v>2490</v>
      </c>
      <c r="C1512">
        <v>-8.6703075000000016</v>
      </c>
      <c r="D1512">
        <v>-35.721666657348727</v>
      </c>
    </row>
    <row r="1513" spans="1:4" x14ac:dyDescent="0.3">
      <c r="A1513">
        <v>2604304</v>
      </c>
      <c r="B1513" t="s">
        <v>1950</v>
      </c>
      <c r="C1513">
        <v>-7.7174692333034116</v>
      </c>
      <c r="D1513">
        <v>-39.237138215337822</v>
      </c>
    </row>
    <row r="1514" spans="1:4" x14ac:dyDescent="0.3">
      <c r="A1514">
        <v>2604403</v>
      </c>
      <c r="B1514" t="s">
        <v>2491</v>
      </c>
      <c r="C1514">
        <v>-7.9979007801744304</v>
      </c>
      <c r="D1514">
        <v>-35.213726736210965</v>
      </c>
    </row>
    <row r="1515" spans="1:4" x14ac:dyDescent="0.3">
      <c r="A1515">
        <v>2604502</v>
      </c>
      <c r="B1515" t="s">
        <v>2492</v>
      </c>
      <c r="C1515">
        <v>-8.2401127765139872</v>
      </c>
      <c r="D1515">
        <v>-35.464740812514052</v>
      </c>
    </row>
    <row r="1516" spans="1:4" x14ac:dyDescent="0.3">
      <c r="A1516">
        <v>2604601</v>
      </c>
      <c r="B1516" t="s">
        <v>2301</v>
      </c>
      <c r="C1516">
        <v>-7.5893822550000021</v>
      </c>
      <c r="D1516">
        <v>-35.104118490651494</v>
      </c>
    </row>
    <row r="1517" spans="1:4" x14ac:dyDescent="0.3">
      <c r="A1517">
        <v>2604700</v>
      </c>
      <c r="B1517" t="s">
        <v>2493</v>
      </c>
      <c r="C1517">
        <v>-9.1286655015190465</v>
      </c>
      <c r="D1517">
        <v>-36.329701895313683</v>
      </c>
    </row>
    <row r="1518" spans="1:4" x14ac:dyDescent="0.3">
      <c r="A1518">
        <v>2604809</v>
      </c>
      <c r="B1518" t="s">
        <v>2494</v>
      </c>
      <c r="C1518">
        <v>-8.4751512172918009</v>
      </c>
      <c r="D1518">
        <v>-35.541586900002279</v>
      </c>
    </row>
    <row r="1519" spans="1:4" x14ac:dyDescent="0.3">
      <c r="A1519">
        <v>2604908</v>
      </c>
      <c r="B1519" t="s">
        <v>2495</v>
      </c>
      <c r="C1519">
        <v>-8.0150324428642818</v>
      </c>
      <c r="D1519">
        <v>-35.694698963115449</v>
      </c>
    </row>
    <row r="1520" spans="1:4" x14ac:dyDescent="0.3">
      <c r="A1520">
        <v>2605004</v>
      </c>
      <c r="B1520" t="s">
        <v>2496</v>
      </c>
      <c r="C1520">
        <v>-8.6112826601639458</v>
      </c>
      <c r="D1520">
        <v>-35.950257366416729</v>
      </c>
    </row>
    <row r="1521" spans="1:4" x14ac:dyDescent="0.3">
      <c r="A1521">
        <v>2605103</v>
      </c>
      <c r="B1521" t="s">
        <v>2497</v>
      </c>
      <c r="C1521">
        <v>-8.0890020000000007</v>
      </c>
      <c r="D1521">
        <v>-37.641096590666805</v>
      </c>
    </row>
    <row r="1522" spans="1:4" x14ac:dyDescent="0.3">
      <c r="A1522">
        <v>2605152</v>
      </c>
      <c r="B1522" t="s">
        <v>2498</v>
      </c>
      <c r="C1522">
        <v>-8.4486569865154113</v>
      </c>
      <c r="D1522">
        <v>-40.770735813096572</v>
      </c>
    </row>
    <row r="1523" spans="1:4" x14ac:dyDescent="0.3">
      <c r="A1523">
        <v>2605202</v>
      </c>
      <c r="B1523" t="s">
        <v>2499</v>
      </c>
      <c r="C1523">
        <v>-8.362521990000003</v>
      </c>
      <c r="D1523">
        <v>-35.236157424447562</v>
      </c>
    </row>
    <row r="1524" spans="1:4" x14ac:dyDescent="0.3">
      <c r="A1524">
        <v>2605301</v>
      </c>
      <c r="B1524" t="s">
        <v>2500</v>
      </c>
      <c r="C1524">
        <v>-7.5163070000000012</v>
      </c>
      <c r="D1524">
        <v>-39.722728339267626</v>
      </c>
    </row>
    <row r="1525" spans="1:4" x14ac:dyDescent="0.3">
      <c r="A1525">
        <v>2605400</v>
      </c>
      <c r="B1525" t="s">
        <v>2501</v>
      </c>
      <c r="C1525">
        <v>-7.9487277421647766</v>
      </c>
      <c r="D1525">
        <v>-35.390597986463987</v>
      </c>
    </row>
    <row r="1526" spans="1:4" x14ac:dyDescent="0.3">
      <c r="A1526">
        <v>2605459</v>
      </c>
      <c r="B1526" t="s">
        <v>2502</v>
      </c>
      <c r="C1526">
        <v>-3.852021400781811</v>
      </c>
      <c r="D1526">
        <v>-32.435186328052943</v>
      </c>
    </row>
    <row r="1527" spans="1:4" x14ac:dyDescent="0.3">
      <c r="A1527">
        <v>2605509</v>
      </c>
      <c r="B1527" t="s">
        <v>2503</v>
      </c>
      <c r="C1527">
        <v>-7.4454942052589415</v>
      </c>
      <c r="D1527">
        <v>-35.244070212435112</v>
      </c>
    </row>
    <row r="1528" spans="1:4" x14ac:dyDescent="0.3">
      <c r="A1528">
        <v>2605608</v>
      </c>
      <c r="B1528" t="s">
        <v>2504</v>
      </c>
      <c r="C1528">
        <v>-7.8617144749307908</v>
      </c>
      <c r="D1528">
        <v>-37.971456113778231</v>
      </c>
    </row>
    <row r="1529" spans="1:4" x14ac:dyDescent="0.3">
      <c r="A1529">
        <v>2605707</v>
      </c>
      <c r="B1529" t="s">
        <v>2505</v>
      </c>
      <c r="C1529">
        <v>-8.6008265000000019</v>
      </c>
      <c r="D1529">
        <v>-38.571239341987187</v>
      </c>
    </row>
    <row r="1530" spans="1:4" x14ac:dyDescent="0.3">
      <c r="A1530">
        <v>2605806</v>
      </c>
      <c r="B1530" t="s">
        <v>2506</v>
      </c>
      <c r="C1530">
        <v>-7.9444582474013261</v>
      </c>
      <c r="D1530">
        <v>-35.923127641937548</v>
      </c>
    </row>
    <row r="1531" spans="1:4" x14ac:dyDescent="0.3">
      <c r="A1531">
        <v>2605905</v>
      </c>
      <c r="B1531" t="s">
        <v>2507</v>
      </c>
      <c r="C1531">
        <v>-8.5838357705433754</v>
      </c>
      <c r="D1531">
        <v>-35.386610783455907</v>
      </c>
    </row>
    <row r="1532" spans="1:4" x14ac:dyDescent="0.3">
      <c r="A1532">
        <v>2606002</v>
      </c>
      <c r="B1532" t="s">
        <v>2508</v>
      </c>
      <c r="C1532">
        <v>-8.8889055300000006</v>
      </c>
      <c r="D1532">
        <v>-36.493050282100462</v>
      </c>
    </row>
    <row r="1533" spans="1:4" x14ac:dyDescent="0.3">
      <c r="A1533">
        <v>2606101</v>
      </c>
      <c r="B1533" t="s">
        <v>2509</v>
      </c>
      <c r="C1533">
        <v>-7.9996084721272398</v>
      </c>
      <c r="D1533">
        <v>-35.292322392262271</v>
      </c>
    </row>
    <row r="1534" spans="1:4" x14ac:dyDescent="0.3">
      <c r="A1534">
        <v>2606200</v>
      </c>
      <c r="B1534" t="s">
        <v>2510</v>
      </c>
      <c r="C1534">
        <v>-7.559231854867166</v>
      </c>
      <c r="D1534">
        <v>-34.99837629715276</v>
      </c>
    </row>
    <row r="1535" spans="1:4" x14ac:dyDescent="0.3">
      <c r="A1535">
        <v>2606309</v>
      </c>
      <c r="B1535" t="s">
        <v>2511</v>
      </c>
      <c r="C1535">
        <v>-7.7092532823497315</v>
      </c>
      <c r="D1535">
        <v>-39.619286343202113</v>
      </c>
    </row>
    <row r="1536" spans="1:4" x14ac:dyDescent="0.3">
      <c r="A1536">
        <v>2606408</v>
      </c>
      <c r="B1536" t="s">
        <v>2512</v>
      </c>
      <c r="C1536">
        <v>-8.2059995000000008</v>
      </c>
      <c r="D1536">
        <v>-35.571492393837325</v>
      </c>
    </row>
    <row r="1537" spans="1:4" x14ac:dyDescent="0.3">
      <c r="A1537">
        <v>2606507</v>
      </c>
      <c r="B1537" t="s">
        <v>2513</v>
      </c>
      <c r="C1537">
        <v>-9.0457092508795309</v>
      </c>
      <c r="D1537">
        <v>-36.847275968433664</v>
      </c>
    </row>
    <row r="1538" spans="1:4" x14ac:dyDescent="0.3">
      <c r="A1538">
        <v>2606606</v>
      </c>
      <c r="B1538" t="s">
        <v>2514</v>
      </c>
      <c r="C1538">
        <v>-8.538762208249727</v>
      </c>
      <c r="D1538">
        <v>-37.690046689683278</v>
      </c>
    </row>
    <row r="1539" spans="1:4" x14ac:dyDescent="0.3">
      <c r="A1539">
        <v>2606705</v>
      </c>
      <c r="B1539" t="s">
        <v>2515</v>
      </c>
      <c r="C1539">
        <v>-8.5805349356059057</v>
      </c>
      <c r="D1539">
        <v>-36.180463092386461</v>
      </c>
    </row>
    <row r="1540" spans="1:4" x14ac:dyDescent="0.3">
      <c r="A1540">
        <v>2606804</v>
      </c>
      <c r="B1540" t="s">
        <v>2516</v>
      </c>
      <c r="C1540">
        <v>-7.8283719900000017</v>
      </c>
      <c r="D1540">
        <v>-34.910583387587494</v>
      </c>
    </row>
    <row r="1541" spans="1:4" x14ac:dyDescent="0.3">
      <c r="A1541">
        <v>2606903</v>
      </c>
      <c r="B1541" t="s">
        <v>2517</v>
      </c>
      <c r="C1541">
        <v>-7.8447743013053506</v>
      </c>
      <c r="D1541">
        <v>-37.518821118496177</v>
      </c>
    </row>
    <row r="1542" spans="1:4" x14ac:dyDescent="0.3">
      <c r="A1542">
        <v>2607000</v>
      </c>
      <c r="B1542" t="s">
        <v>2518</v>
      </c>
      <c r="C1542">
        <v>-8.9020460788759852</v>
      </c>
      <c r="D1542">
        <v>-37.824485111230395</v>
      </c>
    </row>
    <row r="1543" spans="1:4" x14ac:dyDescent="0.3">
      <c r="A1543">
        <v>2607109</v>
      </c>
      <c r="B1543" t="s">
        <v>2519</v>
      </c>
      <c r="C1543">
        <v>-7.6777971945152963</v>
      </c>
      <c r="D1543">
        <v>-37.45767047435627</v>
      </c>
    </row>
    <row r="1544" spans="1:4" x14ac:dyDescent="0.3">
      <c r="A1544">
        <v>2607208</v>
      </c>
      <c r="B1544" t="s">
        <v>2520</v>
      </c>
      <c r="C1544">
        <v>-8.3969865000000024</v>
      </c>
      <c r="D1544">
        <v>-35.063471937937074</v>
      </c>
    </row>
    <row r="1545" spans="1:4" x14ac:dyDescent="0.3">
      <c r="A1545">
        <v>2607307</v>
      </c>
      <c r="B1545" t="s">
        <v>2521</v>
      </c>
      <c r="C1545">
        <v>-7.6497045000000012</v>
      </c>
      <c r="D1545">
        <v>-40.150208750167202</v>
      </c>
    </row>
    <row r="1546" spans="1:4" x14ac:dyDescent="0.3">
      <c r="A1546">
        <v>2607406</v>
      </c>
      <c r="B1546" t="s">
        <v>2522</v>
      </c>
      <c r="C1546">
        <v>-8.7245150647897116</v>
      </c>
      <c r="D1546">
        <v>-38.686341689312364</v>
      </c>
    </row>
    <row r="1547" spans="1:4" x14ac:dyDescent="0.3">
      <c r="A1547">
        <v>2607505</v>
      </c>
      <c r="B1547" t="s">
        <v>2523</v>
      </c>
      <c r="C1547">
        <v>-8.9400544003599016</v>
      </c>
      <c r="D1547">
        <v>-37.418948458927382</v>
      </c>
    </row>
    <row r="1548" spans="1:4" x14ac:dyDescent="0.3">
      <c r="A1548">
        <v>2607604</v>
      </c>
      <c r="B1548" t="s">
        <v>2524</v>
      </c>
      <c r="C1548">
        <v>-7.7465733176638816</v>
      </c>
      <c r="D1548">
        <v>-34.823950567034011</v>
      </c>
    </row>
    <row r="1549" spans="1:4" x14ac:dyDescent="0.3">
      <c r="A1549">
        <v>2607653</v>
      </c>
      <c r="B1549" t="s">
        <v>2525</v>
      </c>
      <c r="C1549">
        <v>-7.4092638600000011</v>
      </c>
      <c r="D1549">
        <v>-35.110627357431717</v>
      </c>
    </row>
    <row r="1550" spans="1:4" x14ac:dyDescent="0.3">
      <c r="A1550">
        <v>2607703</v>
      </c>
      <c r="B1550" t="s">
        <v>2526</v>
      </c>
      <c r="C1550">
        <v>-7.3784285284219866</v>
      </c>
      <c r="D1550">
        <v>-37.188439310960469</v>
      </c>
    </row>
    <row r="1551" spans="1:4" x14ac:dyDescent="0.3">
      <c r="A1551">
        <v>2607752</v>
      </c>
      <c r="B1551" t="s">
        <v>2527</v>
      </c>
      <c r="C1551">
        <v>-7.7740347647465367</v>
      </c>
      <c r="D1551">
        <v>-34.889271048723465</v>
      </c>
    </row>
    <row r="1552" spans="1:4" x14ac:dyDescent="0.3">
      <c r="A1552">
        <v>2607802</v>
      </c>
      <c r="B1552" t="s">
        <v>2528</v>
      </c>
      <c r="C1552">
        <v>-7.6663936085022959</v>
      </c>
      <c r="D1552">
        <v>-35.102614569503764</v>
      </c>
    </row>
    <row r="1553" spans="1:4" x14ac:dyDescent="0.3">
      <c r="A1553">
        <v>2607901</v>
      </c>
      <c r="B1553" t="s">
        <v>2529</v>
      </c>
      <c r="C1553">
        <v>-8.1653914673574501</v>
      </c>
      <c r="D1553">
        <v>-34.921173467260282</v>
      </c>
    </row>
    <row r="1554" spans="1:4" x14ac:dyDescent="0.3">
      <c r="A1554">
        <v>2607950</v>
      </c>
      <c r="B1554" t="s">
        <v>2530</v>
      </c>
      <c r="C1554">
        <v>-8.7279698780459505</v>
      </c>
      <c r="D1554">
        <v>-35.797395213759941</v>
      </c>
    </row>
    <row r="1555" spans="1:4" x14ac:dyDescent="0.3">
      <c r="A1555">
        <v>2608008</v>
      </c>
      <c r="B1555" t="s">
        <v>2531</v>
      </c>
      <c r="C1555">
        <v>-7.9872577772456115</v>
      </c>
      <c r="D1555">
        <v>-36.498828548416292</v>
      </c>
    </row>
    <row r="1556" spans="1:4" x14ac:dyDescent="0.3">
      <c r="A1556">
        <v>2608057</v>
      </c>
      <c r="B1556" t="s">
        <v>1561</v>
      </c>
      <c r="C1556">
        <v>-9.1850699925214307</v>
      </c>
      <c r="D1556">
        <v>-38.275037662384285</v>
      </c>
    </row>
    <row r="1557" spans="1:4" x14ac:dyDescent="0.3">
      <c r="A1557">
        <v>2608107</v>
      </c>
      <c r="B1557" t="s">
        <v>2532</v>
      </c>
      <c r="C1557">
        <v>-7.860188727039862</v>
      </c>
      <c r="D1557">
        <v>-35.591502368990326</v>
      </c>
    </row>
    <row r="1558" spans="1:4" x14ac:dyDescent="0.3">
      <c r="A1558">
        <v>2608206</v>
      </c>
      <c r="B1558" t="s">
        <v>2533</v>
      </c>
      <c r="C1558">
        <v>-8.6268982994563466</v>
      </c>
      <c r="D1558">
        <v>-35.529241826161439</v>
      </c>
    </row>
    <row r="1559" spans="1:4" x14ac:dyDescent="0.3">
      <c r="A1559">
        <v>2608255</v>
      </c>
      <c r="B1559" t="s">
        <v>2534</v>
      </c>
      <c r="C1559">
        <v>-8.7070289643745813</v>
      </c>
      <c r="D1559">
        <v>-36.490386523677195</v>
      </c>
    </row>
    <row r="1560" spans="1:4" x14ac:dyDescent="0.3">
      <c r="A1560">
        <v>2608305</v>
      </c>
      <c r="B1560" t="s">
        <v>2535</v>
      </c>
      <c r="C1560">
        <v>-8.7060968527933866</v>
      </c>
      <c r="D1560">
        <v>-36.411733738465465</v>
      </c>
    </row>
    <row r="1561" spans="1:4" x14ac:dyDescent="0.3">
      <c r="A1561">
        <v>2608404</v>
      </c>
      <c r="B1561" t="s">
        <v>1792</v>
      </c>
      <c r="C1561">
        <v>-8.7196671740285012</v>
      </c>
      <c r="D1561">
        <v>-36.135954490622851</v>
      </c>
    </row>
    <row r="1562" spans="1:4" x14ac:dyDescent="0.3">
      <c r="A1562">
        <v>2608453</v>
      </c>
      <c r="B1562" t="s">
        <v>2536</v>
      </c>
      <c r="C1562">
        <v>-7.8442324952026192</v>
      </c>
      <c r="D1562">
        <v>-35.312601923425596</v>
      </c>
    </row>
    <row r="1563" spans="1:4" x14ac:dyDescent="0.3">
      <c r="A1563">
        <v>2608503</v>
      </c>
      <c r="B1563" t="s">
        <v>2537</v>
      </c>
      <c r="C1563">
        <v>-7.9323781785401462</v>
      </c>
      <c r="D1563">
        <v>-35.292803652527077</v>
      </c>
    </row>
    <row r="1564" spans="1:4" x14ac:dyDescent="0.3">
      <c r="A1564">
        <v>2608602</v>
      </c>
      <c r="B1564" t="s">
        <v>2538</v>
      </c>
      <c r="C1564">
        <v>-9.1241718379250454</v>
      </c>
      <c r="D1564">
        <v>-36.464316931829622</v>
      </c>
    </row>
    <row r="1565" spans="1:4" x14ac:dyDescent="0.3">
      <c r="A1565">
        <v>2608701</v>
      </c>
      <c r="B1565" t="s">
        <v>2539</v>
      </c>
      <c r="C1565">
        <v>-8.6492548645764611</v>
      </c>
      <c r="D1565">
        <v>-35.907121044324541</v>
      </c>
    </row>
    <row r="1566" spans="1:4" x14ac:dyDescent="0.3">
      <c r="A1566">
        <v>2608750</v>
      </c>
      <c r="B1566" t="s">
        <v>2540</v>
      </c>
      <c r="C1566">
        <v>-8.995051485000003</v>
      </c>
      <c r="D1566">
        <v>-40.270725126483711</v>
      </c>
    </row>
    <row r="1567" spans="1:4" x14ac:dyDescent="0.3">
      <c r="A1567">
        <v>2608800</v>
      </c>
      <c r="B1567" t="s">
        <v>2541</v>
      </c>
      <c r="C1567">
        <v>-8.6628568658394212</v>
      </c>
      <c r="D1567">
        <v>-36.321496617530784</v>
      </c>
    </row>
    <row r="1568" spans="1:4" x14ac:dyDescent="0.3">
      <c r="A1568">
        <v>2608909</v>
      </c>
      <c r="B1568" t="s">
        <v>2542</v>
      </c>
      <c r="C1568">
        <v>-7.8801980000000018</v>
      </c>
      <c r="D1568">
        <v>-35.455261050959727</v>
      </c>
    </row>
    <row r="1569" spans="1:4" x14ac:dyDescent="0.3">
      <c r="A1569">
        <v>2609006</v>
      </c>
      <c r="B1569" t="s">
        <v>2543</v>
      </c>
      <c r="C1569">
        <v>-7.5556806987471452</v>
      </c>
      <c r="D1569">
        <v>-35.449874978674934</v>
      </c>
    </row>
    <row r="1570" spans="1:4" x14ac:dyDescent="0.3">
      <c r="A1570">
        <v>2609105</v>
      </c>
      <c r="B1570" t="s">
        <v>2544</v>
      </c>
      <c r="C1570">
        <v>-7.6885724856258806</v>
      </c>
      <c r="D1570">
        <v>-35.514140562335534</v>
      </c>
    </row>
    <row r="1571" spans="1:4" x14ac:dyDescent="0.3">
      <c r="A1571">
        <v>2609154</v>
      </c>
      <c r="B1571" t="s">
        <v>2545</v>
      </c>
      <c r="C1571">
        <v>-8.9601081446340061</v>
      </c>
      <c r="D1571">
        <v>-37.626822945483028</v>
      </c>
    </row>
    <row r="1572" spans="1:4" x14ac:dyDescent="0.3">
      <c r="A1572">
        <v>2609204</v>
      </c>
      <c r="B1572" t="s">
        <v>2546</v>
      </c>
      <c r="C1572">
        <v>-8.7830776013349858</v>
      </c>
      <c r="D1572">
        <v>-35.814117572459239</v>
      </c>
    </row>
    <row r="1573" spans="1:4" x14ac:dyDescent="0.3">
      <c r="A1573">
        <v>2609303</v>
      </c>
      <c r="B1573" t="s">
        <v>2547</v>
      </c>
      <c r="C1573">
        <v>-8.1202438021545191</v>
      </c>
      <c r="D1573">
        <v>-38.734564582276697</v>
      </c>
    </row>
    <row r="1574" spans="1:4" x14ac:dyDescent="0.3">
      <c r="A1574">
        <v>2609402</v>
      </c>
      <c r="B1574" t="s">
        <v>2548</v>
      </c>
      <c r="C1574">
        <v>-8.1186945300000009</v>
      </c>
      <c r="D1574">
        <v>-35.094869099883859</v>
      </c>
    </row>
    <row r="1575" spans="1:4" x14ac:dyDescent="0.3">
      <c r="A1575">
        <v>2609501</v>
      </c>
      <c r="B1575" t="s">
        <v>2549</v>
      </c>
      <c r="C1575">
        <v>-7.7376880000000012</v>
      </c>
      <c r="D1575">
        <v>-35.221338696174378</v>
      </c>
    </row>
    <row r="1576" spans="1:4" x14ac:dyDescent="0.3">
      <c r="A1576">
        <v>2609600</v>
      </c>
      <c r="B1576" t="s">
        <v>2550</v>
      </c>
      <c r="C1576">
        <v>-7.992660075322922</v>
      </c>
      <c r="D1576">
        <v>-34.861310389823508</v>
      </c>
    </row>
    <row r="1577" spans="1:4" x14ac:dyDescent="0.3">
      <c r="A1577">
        <v>2609709</v>
      </c>
      <c r="B1577" t="s">
        <v>2551</v>
      </c>
      <c r="C1577">
        <v>-7.7378951336654618</v>
      </c>
      <c r="D1577">
        <v>-35.602982096685516</v>
      </c>
    </row>
    <row r="1578" spans="1:4" x14ac:dyDescent="0.3">
      <c r="A1578">
        <v>2609808</v>
      </c>
      <c r="B1578" t="s">
        <v>2552</v>
      </c>
      <c r="C1578">
        <v>-8.6179456461377395</v>
      </c>
      <c r="D1578">
        <v>-39.595245776105266</v>
      </c>
    </row>
    <row r="1579" spans="1:4" x14ac:dyDescent="0.3">
      <c r="A1579">
        <v>2609907</v>
      </c>
      <c r="B1579" t="s">
        <v>2553</v>
      </c>
      <c r="C1579">
        <v>-7.8831519750000014</v>
      </c>
      <c r="D1579">
        <v>-40.081462576736811</v>
      </c>
    </row>
    <row r="1580" spans="1:4" x14ac:dyDescent="0.3">
      <c r="A1580">
        <v>2610004</v>
      </c>
      <c r="B1580" t="s">
        <v>2554</v>
      </c>
      <c r="C1580">
        <v>-8.6790825000000016</v>
      </c>
      <c r="D1580">
        <v>-35.588335993758072</v>
      </c>
    </row>
    <row r="1581" spans="1:4" x14ac:dyDescent="0.3">
      <c r="A1581">
        <v>2610103</v>
      </c>
      <c r="B1581" t="s">
        <v>2555</v>
      </c>
      <c r="C1581">
        <v>-9.0016832851432458</v>
      </c>
      <c r="D1581">
        <v>-36.32731099872327</v>
      </c>
    </row>
    <row r="1582" spans="1:4" x14ac:dyDescent="0.3">
      <c r="A1582">
        <v>2610202</v>
      </c>
      <c r="B1582" t="s">
        <v>2556</v>
      </c>
      <c r="C1582">
        <v>-8.667242284974817</v>
      </c>
      <c r="D1582">
        <v>-36.001575798734628</v>
      </c>
    </row>
    <row r="1583" spans="1:4" x14ac:dyDescent="0.3">
      <c r="A1583">
        <v>2610301</v>
      </c>
      <c r="B1583" t="s">
        <v>2557</v>
      </c>
      <c r="C1583">
        <v>-8.9201453380000562</v>
      </c>
      <c r="D1583">
        <v>-36.658429268060139</v>
      </c>
    </row>
    <row r="1584" spans="1:4" x14ac:dyDescent="0.3">
      <c r="A1584">
        <v>2610400</v>
      </c>
      <c r="B1584" t="s">
        <v>2120</v>
      </c>
      <c r="C1584">
        <v>-8.0901383271690914</v>
      </c>
      <c r="D1584">
        <v>-39.57578682297256</v>
      </c>
    </row>
    <row r="1585" spans="1:4" x14ac:dyDescent="0.3">
      <c r="A1585">
        <v>2610509</v>
      </c>
      <c r="B1585" t="s">
        <v>2558</v>
      </c>
      <c r="C1585">
        <v>-7.9788839418341277</v>
      </c>
      <c r="D1585">
        <v>-35.581684995222652</v>
      </c>
    </row>
    <row r="1586" spans="1:4" x14ac:dyDescent="0.3">
      <c r="A1586">
        <v>2610608</v>
      </c>
      <c r="B1586" t="s">
        <v>2559</v>
      </c>
      <c r="C1586">
        <v>-7.8971350050000009</v>
      </c>
      <c r="D1586">
        <v>-35.179151062385458</v>
      </c>
    </row>
    <row r="1587" spans="1:4" x14ac:dyDescent="0.3">
      <c r="A1587">
        <v>2610707</v>
      </c>
      <c r="B1587" t="s">
        <v>2374</v>
      </c>
      <c r="C1587">
        <v>-7.943188000000001</v>
      </c>
      <c r="D1587">
        <v>-34.884791619736845</v>
      </c>
    </row>
    <row r="1588" spans="1:4" x14ac:dyDescent="0.3">
      <c r="A1588">
        <v>2610806</v>
      </c>
      <c r="B1588" t="s">
        <v>2560</v>
      </c>
      <c r="C1588">
        <v>-8.4984765000000007</v>
      </c>
      <c r="D1588">
        <v>-36.942798148887071</v>
      </c>
    </row>
    <row r="1589" spans="1:4" x14ac:dyDescent="0.3">
      <c r="A1589">
        <v>2610905</v>
      </c>
      <c r="B1589" t="s">
        <v>2561</v>
      </c>
      <c r="C1589">
        <v>-8.3554561078349661</v>
      </c>
      <c r="D1589">
        <v>-36.695514721897943</v>
      </c>
    </row>
    <row r="1590" spans="1:4" x14ac:dyDescent="0.3">
      <c r="A1590">
        <v>2611002</v>
      </c>
      <c r="B1590" t="s">
        <v>2562</v>
      </c>
      <c r="C1590">
        <v>-8.9773434643833205</v>
      </c>
      <c r="D1590">
        <v>-38.220733545300099</v>
      </c>
    </row>
    <row r="1591" spans="1:4" x14ac:dyDescent="0.3">
      <c r="A1591">
        <v>2611101</v>
      </c>
      <c r="B1591" t="s">
        <v>2563</v>
      </c>
      <c r="C1591">
        <v>-9.397375515000002</v>
      </c>
      <c r="D1591">
        <v>-40.499999334652252</v>
      </c>
    </row>
    <row r="1592" spans="1:4" x14ac:dyDescent="0.3">
      <c r="A1592">
        <v>2611200</v>
      </c>
      <c r="B1592" t="s">
        <v>2564</v>
      </c>
      <c r="C1592">
        <v>-8.1862270089412341</v>
      </c>
      <c r="D1592">
        <v>-36.705879897719157</v>
      </c>
    </row>
    <row r="1593" spans="1:4" x14ac:dyDescent="0.3">
      <c r="A1593">
        <v>2611309</v>
      </c>
      <c r="B1593" t="s">
        <v>2565</v>
      </c>
      <c r="C1593">
        <v>-8.144359860028656</v>
      </c>
      <c r="D1593">
        <v>-35.396195358227494</v>
      </c>
    </row>
    <row r="1594" spans="1:4" x14ac:dyDescent="0.3">
      <c r="A1594">
        <v>2611408</v>
      </c>
      <c r="B1594" t="s">
        <v>1282</v>
      </c>
      <c r="C1594">
        <v>-8.3313760861182757</v>
      </c>
      <c r="D1594">
        <v>-35.353943394881917</v>
      </c>
    </row>
    <row r="1595" spans="1:4" x14ac:dyDescent="0.3">
      <c r="A1595">
        <v>2611507</v>
      </c>
      <c r="B1595" t="s">
        <v>2566</v>
      </c>
      <c r="C1595">
        <v>-8.827885022053982</v>
      </c>
      <c r="D1595">
        <v>-36.011989529956885</v>
      </c>
    </row>
    <row r="1596" spans="1:4" x14ac:dyDescent="0.3">
      <c r="A1596">
        <v>2611533</v>
      </c>
      <c r="B1596" t="s">
        <v>2391</v>
      </c>
      <c r="C1596">
        <v>-7.7181264101408855</v>
      </c>
      <c r="D1596">
        <v>-37.846445619545676</v>
      </c>
    </row>
    <row r="1597" spans="1:4" x14ac:dyDescent="0.3">
      <c r="A1597">
        <v>2611606</v>
      </c>
      <c r="B1597" t="s">
        <v>2567</v>
      </c>
      <c r="C1597">
        <v>-8.0627624830524081</v>
      </c>
      <c r="D1597">
        <v>-34.888941944577716</v>
      </c>
    </row>
    <row r="1598" spans="1:4" x14ac:dyDescent="0.3">
      <c r="A1598">
        <v>2611705</v>
      </c>
      <c r="B1598" t="s">
        <v>2568</v>
      </c>
      <c r="C1598">
        <v>-8.1270327805879763</v>
      </c>
      <c r="D1598">
        <v>-35.860874947458079</v>
      </c>
    </row>
    <row r="1599" spans="1:4" x14ac:dyDescent="0.3">
      <c r="A1599">
        <v>2611804</v>
      </c>
      <c r="B1599" t="s">
        <v>2569</v>
      </c>
      <c r="C1599">
        <v>-8.5111160400000028</v>
      </c>
      <c r="D1599">
        <v>-35.376130823703861</v>
      </c>
    </row>
    <row r="1600" spans="1:4" x14ac:dyDescent="0.3">
      <c r="A1600">
        <v>2611903</v>
      </c>
      <c r="B1600" t="s">
        <v>2570</v>
      </c>
      <c r="C1600">
        <v>-8.6621710853258467</v>
      </c>
      <c r="D1600">
        <v>-35.155432817216045</v>
      </c>
    </row>
    <row r="1601" spans="1:4" x14ac:dyDescent="0.3">
      <c r="A1601">
        <v>2612000</v>
      </c>
      <c r="B1601" t="s">
        <v>2571</v>
      </c>
      <c r="C1601">
        <v>-8.3276135393392412</v>
      </c>
      <c r="D1601">
        <v>-35.710247766286656</v>
      </c>
    </row>
    <row r="1602" spans="1:4" x14ac:dyDescent="0.3">
      <c r="A1602">
        <v>2612109</v>
      </c>
      <c r="B1602" t="s">
        <v>2399</v>
      </c>
      <c r="C1602">
        <v>-7.9394837414172414</v>
      </c>
      <c r="D1602">
        <v>-35.638061240498509</v>
      </c>
    </row>
    <row r="1603" spans="1:4" x14ac:dyDescent="0.3">
      <c r="A1603">
        <v>2612208</v>
      </c>
      <c r="B1603" t="s">
        <v>2572</v>
      </c>
      <c r="C1603">
        <v>-8.0706775221341598</v>
      </c>
      <c r="D1603">
        <v>-39.12085098110397</v>
      </c>
    </row>
    <row r="1604" spans="1:4" x14ac:dyDescent="0.3">
      <c r="A1604">
        <v>2612307</v>
      </c>
      <c r="B1604" t="s">
        <v>2573</v>
      </c>
      <c r="C1604">
        <v>-8.9759954808678781</v>
      </c>
      <c r="D1604">
        <v>-36.692729174169784</v>
      </c>
    </row>
    <row r="1605" spans="1:4" x14ac:dyDescent="0.3">
      <c r="A1605">
        <v>2612406</v>
      </c>
      <c r="B1605" t="s">
        <v>2574</v>
      </c>
      <c r="C1605">
        <v>-8.3629619689233863</v>
      </c>
      <c r="D1605">
        <v>-36.562507195383247</v>
      </c>
    </row>
    <row r="1606" spans="1:4" x14ac:dyDescent="0.3">
      <c r="A1606">
        <v>2612455</v>
      </c>
      <c r="B1606" t="s">
        <v>2204</v>
      </c>
      <c r="C1606">
        <v>-8.2379611184133257</v>
      </c>
      <c r="D1606">
        <v>-40.337687655569333</v>
      </c>
    </row>
    <row r="1607" spans="1:4" x14ac:dyDescent="0.3">
      <c r="A1607">
        <v>2612471</v>
      </c>
      <c r="B1607" t="s">
        <v>2575</v>
      </c>
      <c r="C1607">
        <v>-7.8214696823214327</v>
      </c>
      <c r="D1607">
        <v>-38.153138181759438</v>
      </c>
    </row>
    <row r="1608" spans="1:4" x14ac:dyDescent="0.3">
      <c r="A1608">
        <v>2612505</v>
      </c>
      <c r="B1608" t="s">
        <v>2576</v>
      </c>
      <c r="C1608">
        <v>-7.9551895000000012</v>
      </c>
      <c r="D1608">
        <v>-36.20395001714575</v>
      </c>
    </row>
    <row r="1609" spans="1:4" x14ac:dyDescent="0.3">
      <c r="A1609">
        <v>2612554</v>
      </c>
      <c r="B1609" t="s">
        <v>1858</v>
      </c>
      <c r="C1609">
        <v>-8.1605111672648203</v>
      </c>
      <c r="D1609">
        <v>-40.615775185023999</v>
      </c>
    </row>
    <row r="1610" spans="1:4" x14ac:dyDescent="0.3">
      <c r="A1610">
        <v>2612604</v>
      </c>
      <c r="B1610" t="s">
        <v>2577</v>
      </c>
      <c r="C1610">
        <v>-8.8041265000000006</v>
      </c>
      <c r="D1610">
        <v>-39.824235725496713</v>
      </c>
    </row>
    <row r="1611" spans="1:4" x14ac:dyDescent="0.3">
      <c r="A1611">
        <v>2612703</v>
      </c>
      <c r="B1611" t="s">
        <v>2578</v>
      </c>
      <c r="C1611">
        <v>-7.8318134262309869</v>
      </c>
      <c r="D1611">
        <v>-35.885243339002365</v>
      </c>
    </row>
    <row r="1612" spans="1:4" x14ac:dyDescent="0.3">
      <c r="A1612">
        <v>2612802</v>
      </c>
      <c r="B1612" t="s">
        <v>2579</v>
      </c>
      <c r="C1612">
        <v>-7.3703557392669703</v>
      </c>
      <c r="D1612">
        <v>-37.480032723256748</v>
      </c>
    </row>
    <row r="1613" spans="1:4" x14ac:dyDescent="0.3">
      <c r="A1613">
        <v>2612901</v>
      </c>
      <c r="B1613" t="s">
        <v>2580</v>
      </c>
      <c r="C1613">
        <v>-8.8104382341949865</v>
      </c>
      <c r="D1613">
        <v>-35.931122619351449</v>
      </c>
    </row>
    <row r="1614" spans="1:4" x14ac:dyDescent="0.3">
      <c r="A1614">
        <v>2613008</v>
      </c>
      <c r="B1614" t="s">
        <v>2581</v>
      </c>
      <c r="C1614">
        <v>-8.5198675205834729</v>
      </c>
      <c r="D1614">
        <v>-36.446298361596298</v>
      </c>
    </row>
    <row r="1615" spans="1:4" x14ac:dyDescent="0.3">
      <c r="A1615">
        <v>2613107</v>
      </c>
      <c r="B1615" t="s">
        <v>2582</v>
      </c>
      <c r="C1615">
        <v>-8.3273605000000028</v>
      </c>
      <c r="D1615">
        <v>-36.137359795818561</v>
      </c>
    </row>
    <row r="1616" spans="1:4" x14ac:dyDescent="0.3">
      <c r="A1616">
        <v>2613206</v>
      </c>
      <c r="B1616" t="s">
        <v>2583</v>
      </c>
      <c r="C1616">
        <v>-8.8775593754273512</v>
      </c>
      <c r="D1616">
        <v>-36.36825307653293</v>
      </c>
    </row>
    <row r="1617" spans="1:4" x14ac:dyDescent="0.3">
      <c r="A1617">
        <v>2613305</v>
      </c>
      <c r="B1617" t="s">
        <v>2584</v>
      </c>
      <c r="C1617">
        <v>-8.4321515000000016</v>
      </c>
      <c r="D1617">
        <v>-35.809491172109624</v>
      </c>
    </row>
    <row r="1618" spans="1:4" x14ac:dyDescent="0.3">
      <c r="A1618">
        <v>2613404</v>
      </c>
      <c r="B1618" t="s">
        <v>2585</v>
      </c>
      <c r="C1618">
        <v>-8.8941951307297682</v>
      </c>
      <c r="D1618">
        <v>-35.145707084708526</v>
      </c>
    </row>
    <row r="1619" spans="1:4" x14ac:dyDescent="0.3">
      <c r="A1619">
        <v>2613503</v>
      </c>
      <c r="B1619" t="s">
        <v>2586</v>
      </c>
      <c r="C1619">
        <v>-7.8617400547219498</v>
      </c>
      <c r="D1619">
        <v>-38.759453780009693</v>
      </c>
    </row>
    <row r="1620" spans="1:4" x14ac:dyDescent="0.3">
      <c r="A1620">
        <v>2613602</v>
      </c>
      <c r="B1620" t="s">
        <v>2587</v>
      </c>
      <c r="C1620">
        <v>-7.4740251832665319</v>
      </c>
      <c r="D1620">
        <v>-37.27507218524385</v>
      </c>
    </row>
    <row r="1621" spans="1:4" x14ac:dyDescent="0.3">
      <c r="A1621">
        <v>2613701</v>
      </c>
      <c r="B1621" t="s">
        <v>2588</v>
      </c>
      <c r="C1621">
        <v>-7.9959380000000007</v>
      </c>
      <c r="D1621">
        <v>-35.041277539321037</v>
      </c>
    </row>
    <row r="1622" spans="1:4" x14ac:dyDescent="0.3">
      <c r="A1622">
        <v>2613800</v>
      </c>
      <c r="B1622" t="s">
        <v>1660</v>
      </c>
      <c r="C1622">
        <v>-7.5922127325653657</v>
      </c>
      <c r="D1622">
        <v>-35.490121880885745</v>
      </c>
    </row>
    <row r="1623" spans="1:4" x14ac:dyDescent="0.3">
      <c r="A1623">
        <v>2613909</v>
      </c>
      <c r="B1623" t="s">
        <v>2589</v>
      </c>
      <c r="C1623">
        <v>-7.9879975200000013</v>
      </c>
      <c r="D1623">
        <v>-38.29631494747273</v>
      </c>
    </row>
    <row r="1624" spans="1:4" x14ac:dyDescent="0.3">
      <c r="A1624">
        <v>2614006</v>
      </c>
      <c r="B1624" t="s">
        <v>2590</v>
      </c>
      <c r="C1624">
        <v>-7.9543403980798111</v>
      </c>
      <c r="D1624">
        <v>-39.292623174362141</v>
      </c>
    </row>
    <row r="1625" spans="1:4" x14ac:dyDescent="0.3">
      <c r="A1625">
        <v>2614105</v>
      </c>
      <c r="B1625" t="s">
        <v>2591</v>
      </c>
      <c r="C1625">
        <v>-8.0724500000000017</v>
      </c>
      <c r="D1625">
        <v>-37.267390101287837</v>
      </c>
    </row>
    <row r="1626" spans="1:4" x14ac:dyDescent="0.3">
      <c r="A1626">
        <v>2614204</v>
      </c>
      <c r="B1626" t="s">
        <v>2592</v>
      </c>
      <c r="C1626">
        <v>-8.5933695000000014</v>
      </c>
      <c r="D1626">
        <v>-35.116405354668466</v>
      </c>
    </row>
    <row r="1627" spans="1:4" x14ac:dyDescent="0.3">
      <c r="A1627">
        <v>2614303</v>
      </c>
      <c r="B1627" t="s">
        <v>2593</v>
      </c>
      <c r="C1627">
        <v>-7.6299826881202124</v>
      </c>
      <c r="D1627">
        <v>-39.553753731078821</v>
      </c>
    </row>
    <row r="1628" spans="1:4" x14ac:dyDescent="0.3">
      <c r="A1628">
        <v>2614402</v>
      </c>
      <c r="B1628" t="s">
        <v>2594</v>
      </c>
      <c r="C1628">
        <v>-7.6021256842489962</v>
      </c>
      <c r="D1628">
        <v>-37.647470237033453</v>
      </c>
    </row>
    <row r="1629" spans="1:4" x14ac:dyDescent="0.3">
      <c r="A1629">
        <v>2614501</v>
      </c>
      <c r="B1629" t="s">
        <v>2595</v>
      </c>
      <c r="C1629">
        <v>-7.8351570573172715</v>
      </c>
      <c r="D1629">
        <v>-35.756784103441724</v>
      </c>
    </row>
    <row r="1630" spans="1:4" x14ac:dyDescent="0.3">
      <c r="A1630">
        <v>2614600</v>
      </c>
      <c r="B1630" t="s">
        <v>2596</v>
      </c>
      <c r="C1630">
        <v>-7.5911365130226169</v>
      </c>
      <c r="D1630">
        <v>-37.540265774187482</v>
      </c>
    </row>
    <row r="1631" spans="1:4" x14ac:dyDescent="0.3">
      <c r="A1631">
        <v>2614709</v>
      </c>
      <c r="B1631" t="s">
        <v>2597</v>
      </c>
      <c r="C1631">
        <v>-8.3156107248258504</v>
      </c>
      <c r="D1631">
        <v>-36.290404304825529</v>
      </c>
    </row>
    <row r="1632" spans="1:4" x14ac:dyDescent="0.3">
      <c r="A1632">
        <v>2614808</v>
      </c>
      <c r="B1632" t="s">
        <v>2598</v>
      </c>
      <c r="C1632">
        <v>-9.1056996442941109</v>
      </c>
      <c r="D1632">
        <v>-38.153461159679587</v>
      </c>
    </row>
    <row r="1633" spans="1:4" x14ac:dyDescent="0.3">
      <c r="A1633">
        <v>2614857</v>
      </c>
      <c r="B1633" t="s">
        <v>2599</v>
      </c>
      <c r="C1633">
        <v>-8.7046892785391865</v>
      </c>
      <c r="D1633">
        <v>-35.090646545537375</v>
      </c>
    </row>
    <row r="1634" spans="1:4" x14ac:dyDescent="0.3">
      <c r="A1634">
        <v>2615003</v>
      </c>
      <c r="B1634" t="s">
        <v>2600</v>
      </c>
      <c r="C1634">
        <v>-7.902159825782066</v>
      </c>
      <c r="D1634">
        <v>-36.04333767130921</v>
      </c>
    </row>
    <row r="1635" spans="1:4" x14ac:dyDescent="0.3">
      <c r="A1635">
        <v>2615102</v>
      </c>
      <c r="B1635" t="s">
        <v>2601</v>
      </c>
      <c r="C1635">
        <v>-9.0577780594961013</v>
      </c>
      <c r="D1635">
        <v>-36.621475948174698</v>
      </c>
    </row>
    <row r="1636" spans="1:4" x14ac:dyDescent="0.3">
      <c r="A1636">
        <v>2615201</v>
      </c>
      <c r="B1636" t="s">
        <v>2602</v>
      </c>
      <c r="C1636">
        <v>-8.2303579786437009</v>
      </c>
      <c r="D1636">
        <v>-39.374421837860005</v>
      </c>
    </row>
    <row r="1637" spans="1:4" x14ac:dyDescent="0.3">
      <c r="A1637">
        <v>2615300</v>
      </c>
      <c r="B1637" t="s">
        <v>2603</v>
      </c>
      <c r="C1637">
        <v>-7.5117456740195161</v>
      </c>
      <c r="D1637">
        <v>-35.318772121038414</v>
      </c>
    </row>
    <row r="1638" spans="1:4" x14ac:dyDescent="0.3">
      <c r="A1638">
        <v>2615409</v>
      </c>
      <c r="B1638" t="s">
        <v>2604</v>
      </c>
      <c r="C1638">
        <v>-8.0066502709391454</v>
      </c>
      <c r="D1638">
        <v>-36.056843492995604</v>
      </c>
    </row>
    <row r="1639" spans="1:4" x14ac:dyDescent="0.3">
      <c r="A1639">
        <v>2615508</v>
      </c>
      <c r="B1639" t="s">
        <v>2605</v>
      </c>
      <c r="C1639">
        <v>-7.8026886126672652</v>
      </c>
      <c r="D1639">
        <v>-35.23792281399222</v>
      </c>
    </row>
    <row r="1640" spans="1:4" x14ac:dyDescent="0.3">
      <c r="A1640">
        <v>2615607</v>
      </c>
      <c r="B1640" t="s">
        <v>2606</v>
      </c>
      <c r="C1640">
        <v>-7.7617946257490056</v>
      </c>
      <c r="D1640">
        <v>-40.265590609282221</v>
      </c>
    </row>
    <row r="1641" spans="1:4" x14ac:dyDescent="0.3">
      <c r="A1641">
        <v>2615706</v>
      </c>
      <c r="B1641" t="s">
        <v>2445</v>
      </c>
      <c r="C1641">
        <v>-7.8308763587705448</v>
      </c>
      <c r="D1641">
        <v>-38.10706034471432</v>
      </c>
    </row>
    <row r="1642" spans="1:4" x14ac:dyDescent="0.3">
      <c r="A1642">
        <v>2615805</v>
      </c>
      <c r="B1642" t="s">
        <v>2607</v>
      </c>
      <c r="C1642">
        <v>-8.7515816593182016</v>
      </c>
      <c r="D1642">
        <v>-37.340233471800623</v>
      </c>
    </row>
    <row r="1643" spans="1:4" x14ac:dyDescent="0.3">
      <c r="A1643">
        <v>2615904</v>
      </c>
      <c r="B1643" t="s">
        <v>2608</v>
      </c>
      <c r="C1643">
        <v>-7.5987594648079853</v>
      </c>
      <c r="D1643">
        <v>-37.311181811263786</v>
      </c>
    </row>
    <row r="1644" spans="1:4" x14ac:dyDescent="0.3">
      <c r="A1644">
        <v>2616001</v>
      </c>
      <c r="B1644" t="s">
        <v>2609</v>
      </c>
      <c r="C1644">
        <v>-8.5765269011666412</v>
      </c>
      <c r="D1644">
        <v>-36.878372083869856</v>
      </c>
    </row>
    <row r="1645" spans="1:4" x14ac:dyDescent="0.3">
      <c r="A1645">
        <v>2616100</v>
      </c>
      <c r="B1645" t="s">
        <v>2610</v>
      </c>
      <c r="C1645">
        <v>-7.9328837046219061</v>
      </c>
      <c r="D1645">
        <v>-38.974282604268346</v>
      </c>
    </row>
    <row r="1646" spans="1:4" x14ac:dyDescent="0.3">
      <c r="A1646">
        <v>2616183</v>
      </c>
      <c r="B1646" t="s">
        <v>2611</v>
      </c>
      <c r="C1646">
        <v>-7.7748194553046606</v>
      </c>
      <c r="D1646">
        <v>-35.853002739695434</v>
      </c>
    </row>
    <row r="1647" spans="1:4" x14ac:dyDescent="0.3">
      <c r="A1647">
        <v>2616209</v>
      </c>
      <c r="B1647" t="s">
        <v>2612</v>
      </c>
      <c r="C1647">
        <v>-7.9057426034967762</v>
      </c>
      <c r="D1647">
        <v>-35.989305930999969</v>
      </c>
    </row>
    <row r="1648" spans="1:4" x14ac:dyDescent="0.3">
      <c r="A1648">
        <v>2616308</v>
      </c>
      <c r="B1648" t="s">
        <v>2613</v>
      </c>
      <c r="C1648">
        <v>-7.6529595000000015</v>
      </c>
      <c r="D1648">
        <v>-35.320300689315978</v>
      </c>
    </row>
    <row r="1649" spans="1:4" x14ac:dyDescent="0.3">
      <c r="A1649">
        <v>2616407</v>
      </c>
      <c r="B1649" t="s">
        <v>2614</v>
      </c>
      <c r="C1649">
        <v>-8.1187480000000019</v>
      </c>
      <c r="D1649">
        <v>-35.293864241081387</v>
      </c>
    </row>
    <row r="1650" spans="1:4" x14ac:dyDescent="0.3">
      <c r="A1650">
        <v>2616506</v>
      </c>
      <c r="B1650" t="s">
        <v>2615</v>
      </c>
      <c r="C1650">
        <v>-8.8033134055288169</v>
      </c>
      <c r="D1650">
        <v>-35.624235315754667</v>
      </c>
    </row>
    <row r="1651" spans="1:4" x14ac:dyDescent="0.3">
      <c r="A1651">
        <v>2700102</v>
      </c>
      <c r="B1651" t="s">
        <v>1685</v>
      </c>
      <c r="C1651">
        <v>-9.2670254970505113</v>
      </c>
      <c r="D1651">
        <v>-37.940715175964989</v>
      </c>
    </row>
    <row r="1652" spans="1:4" x14ac:dyDescent="0.3">
      <c r="A1652">
        <v>2700201</v>
      </c>
      <c r="B1652" t="s">
        <v>2616</v>
      </c>
      <c r="C1652">
        <v>-9.6840837850504702</v>
      </c>
      <c r="D1652">
        <v>-36.300813571446078</v>
      </c>
    </row>
    <row r="1653" spans="1:4" x14ac:dyDescent="0.3">
      <c r="A1653">
        <v>2700300</v>
      </c>
      <c r="B1653" t="s">
        <v>2617</v>
      </c>
      <c r="C1653">
        <v>-9.7559070107047017</v>
      </c>
      <c r="D1653">
        <v>-36.657296506287189</v>
      </c>
    </row>
    <row r="1654" spans="1:4" x14ac:dyDescent="0.3">
      <c r="A1654">
        <v>2700409</v>
      </c>
      <c r="B1654" t="s">
        <v>2618</v>
      </c>
      <c r="C1654">
        <v>-9.501386746500172</v>
      </c>
      <c r="D1654">
        <v>-36.021427316262475</v>
      </c>
    </row>
    <row r="1655" spans="1:4" x14ac:dyDescent="0.3">
      <c r="A1655">
        <v>2700508</v>
      </c>
      <c r="B1655" t="s">
        <v>2619</v>
      </c>
      <c r="C1655">
        <v>-9.4092781093649425</v>
      </c>
      <c r="D1655">
        <v>-35.500298095781631</v>
      </c>
    </row>
    <row r="1656" spans="1:4" x14ac:dyDescent="0.3">
      <c r="A1656">
        <v>2700607</v>
      </c>
      <c r="B1656" t="s">
        <v>2269</v>
      </c>
      <c r="C1656">
        <v>-9.8389982517492456</v>
      </c>
      <c r="D1656">
        <v>-35.907449872628931</v>
      </c>
    </row>
    <row r="1657" spans="1:4" x14ac:dyDescent="0.3">
      <c r="A1657">
        <v>2700706</v>
      </c>
      <c r="B1657" t="s">
        <v>1705</v>
      </c>
      <c r="C1657">
        <v>-9.6745930279703725</v>
      </c>
      <c r="D1657">
        <v>-37.127091894483605</v>
      </c>
    </row>
    <row r="1658" spans="1:4" x14ac:dyDescent="0.3">
      <c r="A1658">
        <v>2700805</v>
      </c>
      <c r="B1658" t="s">
        <v>1203</v>
      </c>
      <c r="C1658">
        <v>-9.568648231336061</v>
      </c>
      <c r="D1658">
        <v>-36.494497989405772</v>
      </c>
    </row>
    <row r="1659" spans="1:4" x14ac:dyDescent="0.3">
      <c r="A1659">
        <v>2700904</v>
      </c>
      <c r="B1659" t="s">
        <v>2620</v>
      </c>
      <c r="C1659">
        <v>-9.8269888547665705</v>
      </c>
      <c r="D1659">
        <v>-37.2784386581653</v>
      </c>
    </row>
    <row r="1660" spans="1:4" x14ac:dyDescent="0.3">
      <c r="A1660">
        <v>2701001</v>
      </c>
      <c r="B1660" t="s">
        <v>2621</v>
      </c>
      <c r="C1660">
        <v>-9.6451445672725917</v>
      </c>
      <c r="D1660">
        <v>-36.211724900143075</v>
      </c>
    </row>
    <row r="1661" spans="1:4" x14ac:dyDescent="0.3">
      <c r="A1661">
        <v>2701100</v>
      </c>
      <c r="B1661" t="s">
        <v>2622</v>
      </c>
      <c r="C1661">
        <v>-9.2465831083032857</v>
      </c>
      <c r="D1661">
        <v>-36.020033533173098</v>
      </c>
    </row>
    <row r="1662" spans="1:4" x14ac:dyDescent="0.3">
      <c r="A1662">
        <v>2701209</v>
      </c>
      <c r="B1662" t="s">
        <v>2623</v>
      </c>
      <c r="C1662">
        <v>-9.4051627510581532</v>
      </c>
      <c r="D1662">
        <v>-36.996869626023646</v>
      </c>
    </row>
    <row r="1663" spans="1:4" x14ac:dyDescent="0.3">
      <c r="A1663">
        <v>2701308</v>
      </c>
      <c r="B1663" t="s">
        <v>2624</v>
      </c>
      <c r="C1663">
        <v>-9.38966057508941</v>
      </c>
      <c r="D1663">
        <v>-36.156378591408561</v>
      </c>
    </row>
    <row r="1664" spans="1:4" x14ac:dyDescent="0.3">
      <c r="A1664">
        <v>2701357</v>
      </c>
      <c r="B1664" t="s">
        <v>2625</v>
      </c>
      <c r="C1664">
        <v>-8.8483753531529068</v>
      </c>
      <c r="D1664">
        <v>-35.566717726454392</v>
      </c>
    </row>
    <row r="1665" spans="1:4" x14ac:dyDescent="0.3">
      <c r="A1665">
        <v>2701407</v>
      </c>
      <c r="B1665" t="s">
        <v>2626</v>
      </c>
      <c r="C1665">
        <v>-9.7834160389840772</v>
      </c>
      <c r="D1665">
        <v>-36.352434752197013</v>
      </c>
    </row>
    <row r="1666" spans="1:4" x14ac:dyDescent="0.3">
      <c r="A1666">
        <v>2701506</v>
      </c>
      <c r="B1666" t="s">
        <v>2627</v>
      </c>
      <c r="C1666">
        <v>-9.9569226033201854</v>
      </c>
      <c r="D1666">
        <v>-36.790840052134712</v>
      </c>
    </row>
    <row r="1667" spans="1:4" x14ac:dyDescent="0.3">
      <c r="A1667">
        <v>2701605</v>
      </c>
      <c r="B1667" t="s">
        <v>2628</v>
      </c>
      <c r="C1667">
        <v>-9.1173802975864309</v>
      </c>
      <c r="D1667">
        <v>-37.605647150635086</v>
      </c>
    </row>
    <row r="1668" spans="1:4" x14ac:dyDescent="0.3">
      <c r="A1668">
        <v>2701704</v>
      </c>
      <c r="B1668" t="s">
        <v>2629</v>
      </c>
      <c r="C1668">
        <v>-9.4129315555220963</v>
      </c>
      <c r="D1668">
        <v>-36.075008492393579</v>
      </c>
    </row>
    <row r="1669" spans="1:4" x14ac:dyDescent="0.3">
      <c r="A1669">
        <v>2701803</v>
      </c>
      <c r="B1669" t="s">
        <v>2630</v>
      </c>
      <c r="C1669">
        <v>-9.4806797208781415</v>
      </c>
      <c r="D1669">
        <v>-37.374750420616458</v>
      </c>
    </row>
    <row r="1670" spans="1:4" x14ac:dyDescent="0.3">
      <c r="A1670">
        <v>2701902</v>
      </c>
      <c r="B1670" t="s">
        <v>2631</v>
      </c>
      <c r="C1670">
        <v>-9.2614224594056562</v>
      </c>
      <c r="D1670">
        <v>-36.299381451877778</v>
      </c>
    </row>
    <row r="1671" spans="1:4" x14ac:dyDescent="0.3">
      <c r="A1671">
        <v>2702009</v>
      </c>
      <c r="B1671" t="s">
        <v>2632</v>
      </c>
      <c r="C1671">
        <v>-9.6384872707799261</v>
      </c>
      <c r="D1671">
        <v>-36.579684200228456</v>
      </c>
    </row>
    <row r="1672" spans="1:4" x14ac:dyDescent="0.3">
      <c r="A1672">
        <v>2702108</v>
      </c>
      <c r="B1672" t="s">
        <v>2633</v>
      </c>
      <c r="C1672">
        <v>-8.9126882699501504</v>
      </c>
      <c r="D1672">
        <v>-35.719780859393637</v>
      </c>
    </row>
    <row r="1673" spans="1:4" x14ac:dyDescent="0.3">
      <c r="A1673">
        <v>2702207</v>
      </c>
      <c r="B1673" t="s">
        <v>2634</v>
      </c>
      <c r="C1673">
        <v>-9.6375542709699271</v>
      </c>
      <c r="D1673">
        <v>-35.795363001732966</v>
      </c>
    </row>
    <row r="1674" spans="1:4" x14ac:dyDescent="0.3">
      <c r="A1674">
        <v>2702306</v>
      </c>
      <c r="B1674" t="s">
        <v>2635</v>
      </c>
      <c r="C1674">
        <v>-10.12654725037485</v>
      </c>
      <c r="D1674">
        <v>-36.176078310511841</v>
      </c>
    </row>
    <row r="1675" spans="1:4" x14ac:dyDescent="0.3">
      <c r="A1675">
        <v>2702355</v>
      </c>
      <c r="B1675" t="s">
        <v>2636</v>
      </c>
      <c r="C1675">
        <v>-9.6199337973863219</v>
      </c>
      <c r="D1675">
        <v>-36.772391401912849</v>
      </c>
    </row>
    <row r="1676" spans="1:4" x14ac:dyDescent="0.3">
      <c r="A1676">
        <v>2702405</v>
      </c>
      <c r="B1676" t="s">
        <v>2637</v>
      </c>
      <c r="C1676">
        <v>-9.3845744469407464</v>
      </c>
      <c r="D1676">
        <v>-37.999233486176941</v>
      </c>
    </row>
    <row r="1677" spans="1:4" x14ac:dyDescent="0.3">
      <c r="A1677">
        <v>2702504</v>
      </c>
      <c r="B1677" t="s">
        <v>2638</v>
      </c>
      <c r="C1677">
        <v>-9.3856708115462677</v>
      </c>
      <c r="D1677">
        <v>-37.089849647949343</v>
      </c>
    </row>
    <row r="1678" spans="1:4" x14ac:dyDescent="0.3">
      <c r="A1678">
        <v>2702553</v>
      </c>
      <c r="B1678" t="s">
        <v>2639</v>
      </c>
      <c r="C1678">
        <v>-9.3874053065793372</v>
      </c>
      <c r="D1678">
        <v>-36.758333110966795</v>
      </c>
    </row>
    <row r="1679" spans="1:4" x14ac:dyDescent="0.3">
      <c r="A1679">
        <v>2702603</v>
      </c>
      <c r="B1679" t="s">
        <v>2640</v>
      </c>
      <c r="C1679">
        <v>-9.9004371988915647</v>
      </c>
      <c r="D1679">
        <v>-36.67768550053384</v>
      </c>
    </row>
    <row r="1680" spans="1:4" x14ac:dyDescent="0.3">
      <c r="A1680">
        <v>2702702</v>
      </c>
      <c r="B1680" t="s">
        <v>2641</v>
      </c>
      <c r="C1680">
        <v>-10.292380619866254</v>
      </c>
      <c r="D1680">
        <v>-36.307187517699482</v>
      </c>
    </row>
    <row r="1681" spans="1:4" x14ac:dyDescent="0.3">
      <c r="A1681">
        <v>2702801</v>
      </c>
      <c r="B1681" t="s">
        <v>2642</v>
      </c>
      <c r="C1681">
        <v>-9.2732354600454112</v>
      </c>
      <c r="D1681">
        <v>-35.72437163856717</v>
      </c>
    </row>
    <row r="1682" spans="1:4" x14ac:dyDescent="0.3">
      <c r="A1682">
        <v>2702900</v>
      </c>
      <c r="B1682" t="s">
        <v>2643</v>
      </c>
      <c r="C1682">
        <v>-9.8873641521582005</v>
      </c>
      <c r="D1682">
        <v>-36.83031390299012</v>
      </c>
    </row>
    <row r="1683" spans="1:4" x14ac:dyDescent="0.3">
      <c r="A1683">
        <v>2703007</v>
      </c>
      <c r="B1683" t="s">
        <v>2644</v>
      </c>
      <c r="C1683">
        <v>-8.9769852176053568</v>
      </c>
      <c r="D1683">
        <v>-35.931184456420546</v>
      </c>
    </row>
    <row r="1684" spans="1:4" x14ac:dyDescent="0.3">
      <c r="A1684">
        <v>2703106</v>
      </c>
      <c r="B1684" t="s">
        <v>2645</v>
      </c>
      <c r="C1684">
        <v>-9.5336886594646462</v>
      </c>
      <c r="D1684">
        <v>-36.628159716449971</v>
      </c>
    </row>
    <row r="1685" spans="1:4" x14ac:dyDescent="0.3">
      <c r="A1685">
        <v>2703205</v>
      </c>
      <c r="B1685" t="s">
        <v>2646</v>
      </c>
      <c r="C1685">
        <v>-10.129298837172753</v>
      </c>
      <c r="D1685">
        <v>-36.653345012517967</v>
      </c>
    </row>
    <row r="1686" spans="1:4" x14ac:dyDescent="0.3">
      <c r="A1686">
        <v>2703304</v>
      </c>
      <c r="B1686" t="s">
        <v>2647</v>
      </c>
      <c r="C1686">
        <v>-9.2238987733318378</v>
      </c>
      <c r="D1686">
        <v>-37.75263652104595</v>
      </c>
    </row>
    <row r="1687" spans="1:4" x14ac:dyDescent="0.3">
      <c r="A1687">
        <v>2703403</v>
      </c>
      <c r="B1687" t="s">
        <v>2648</v>
      </c>
      <c r="C1687">
        <v>-9.636658828315591</v>
      </c>
      <c r="D1687">
        <v>-37.207833409017731</v>
      </c>
    </row>
    <row r="1688" spans="1:4" x14ac:dyDescent="0.3">
      <c r="A1688">
        <v>2703502</v>
      </c>
      <c r="B1688" t="s">
        <v>2649</v>
      </c>
      <c r="C1688">
        <v>-8.8403005075640468</v>
      </c>
      <c r="D1688">
        <v>-35.46099750812359</v>
      </c>
    </row>
    <row r="1689" spans="1:4" x14ac:dyDescent="0.3">
      <c r="A1689">
        <v>2703601</v>
      </c>
      <c r="B1689" t="s">
        <v>2650</v>
      </c>
      <c r="C1689">
        <v>-9.0889743543445771</v>
      </c>
      <c r="D1689">
        <v>-35.258658354031276</v>
      </c>
    </row>
    <row r="1690" spans="1:4" x14ac:dyDescent="0.3">
      <c r="A1690">
        <v>2703700</v>
      </c>
      <c r="B1690" t="s">
        <v>2651</v>
      </c>
      <c r="C1690">
        <v>-9.6583519387639161</v>
      </c>
      <c r="D1690">
        <v>-37.003595913230804</v>
      </c>
    </row>
    <row r="1691" spans="1:4" x14ac:dyDescent="0.3">
      <c r="A1691">
        <v>2703759</v>
      </c>
      <c r="B1691" t="s">
        <v>2652</v>
      </c>
      <c r="C1691">
        <v>-10.009591893569501</v>
      </c>
      <c r="D1691">
        <v>-36.027334042983831</v>
      </c>
    </row>
    <row r="1692" spans="1:4" x14ac:dyDescent="0.3">
      <c r="A1692">
        <v>2703809</v>
      </c>
      <c r="B1692" t="s">
        <v>2653</v>
      </c>
      <c r="C1692">
        <v>-9.1359791462940869</v>
      </c>
      <c r="D1692">
        <v>-35.749030258911965</v>
      </c>
    </row>
    <row r="1693" spans="1:4" x14ac:dyDescent="0.3">
      <c r="A1693">
        <v>2703908</v>
      </c>
      <c r="B1693" t="s">
        <v>2152</v>
      </c>
      <c r="C1693">
        <v>-8.938876754162278</v>
      </c>
      <c r="D1693">
        <v>-35.555597297535485</v>
      </c>
    </row>
    <row r="1694" spans="1:4" x14ac:dyDescent="0.3">
      <c r="A1694">
        <v>2704005</v>
      </c>
      <c r="B1694" t="s">
        <v>2654</v>
      </c>
      <c r="C1694">
        <v>-9.9316103897424508</v>
      </c>
      <c r="D1694">
        <v>-36.471521822223202</v>
      </c>
    </row>
    <row r="1695" spans="1:4" x14ac:dyDescent="0.3">
      <c r="A1695">
        <v>2704104</v>
      </c>
      <c r="B1695" t="s">
        <v>2655</v>
      </c>
      <c r="C1695">
        <v>-9.8308756565044622</v>
      </c>
      <c r="D1695">
        <v>-36.735789260001802</v>
      </c>
    </row>
    <row r="1696" spans="1:4" x14ac:dyDescent="0.3">
      <c r="A1696">
        <v>2704203</v>
      </c>
      <c r="B1696" t="s">
        <v>2656</v>
      </c>
      <c r="C1696">
        <v>-9.7386131678144903</v>
      </c>
      <c r="D1696">
        <v>-36.503897086500039</v>
      </c>
    </row>
    <row r="1697" spans="1:4" x14ac:dyDescent="0.3">
      <c r="A1697">
        <v>2704302</v>
      </c>
      <c r="B1697" t="s">
        <v>2657</v>
      </c>
      <c r="C1697">
        <v>-9.660822151631141</v>
      </c>
      <c r="D1697">
        <v>-35.701629913489491</v>
      </c>
    </row>
    <row r="1698" spans="1:4" x14ac:dyDescent="0.3">
      <c r="A1698">
        <v>2704401</v>
      </c>
      <c r="B1698" t="s">
        <v>2658</v>
      </c>
      <c r="C1698">
        <v>-9.5266440679399427</v>
      </c>
      <c r="D1698">
        <v>-36.984799614224094</v>
      </c>
    </row>
    <row r="1699" spans="1:4" x14ac:dyDescent="0.3">
      <c r="A1699">
        <v>2704500</v>
      </c>
      <c r="B1699" t="s">
        <v>2659</v>
      </c>
      <c r="C1699">
        <v>-9.0154564858241013</v>
      </c>
      <c r="D1699">
        <v>-35.223015409131925</v>
      </c>
    </row>
    <row r="1700" spans="1:4" x14ac:dyDescent="0.3">
      <c r="A1700">
        <v>2704609</v>
      </c>
      <c r="B1700" t="s">
        <v>2660</v>
      </c>
      <c r="C1700">
        <v>-9.2339970633531383</v>
      </c>
      <c r="D1700">
        <v>-37.356635422048079</v>
      </c>
    </row>
    <row r="1701" spans="1:4" x14ac:dyDescent="0.3">
      <c r="A1701">
        <v>2704708</v>
      </c>
      <c r="B1701" t="s">
        <v>2661</v>
      </c>
      <c r="C1701">
        <v>-9.7391557024438118</v>
      </c>
      <c r="D1701">
        <v>-35.893068698845262</v>
      </c>
    </row>
    <row r="1702" spans="1:4" x14ac:dyDescent="0.3">
      <c r="A1702">
        <v>2704807</v>
      </c>
      <c r="B1702" t="s">
        <v>2662</v>
      </c>
      <c r="C1702">
        <v>-9.5772499560083606</v>
      </c>
      <c r="D1702">
        <v>-36.306602898538074</v>
      </c>
    </row>
    <row r="1703" spans="1:4" x14ac:dyDescent="0.3">
      <c r="A1703">
        <v>2704906</v>
      </c>
      <c r="B1703" t="s">
        <v>2663</v>
      </c>
      <c r="C1703">
        <v>-9.4477726434894365</v>
      </c>
      <c r="D1703">
        <v>-36.385040024027191</v>
      </c>
    </row>
    <row r="1704" spans="1:4" x14ac:dyDescent="0.3">
      <c r="A1704">
        <v>2705002</v>
      </c>
      <c r="B1704" t="s">
        <v>2664</v>
      </c>
      <c r="C1704">
        <v>-9.1148062576418152</v>
      </c>
      <c r="D1704">
        <v>-37.725224064891584</v>
      </c>
    </row>
    <row r="1705" spans="1:4" x14ac:dyDescent="0.3">
      <c r="A1705">
        <v>2705101</v>
      </c>
      <c r="B1705" t="s">
        <v>2665</v>
      </c>
      <c r="C1705">
        <v>-9.1585258247462509</v>
      </c>
      <c r="D1705">
        <v>-35.533554829803009</v>
      </c>
    </row>
    <row r="1706" spans="1:4" x14ac:dyDescent="0.3">
      <c r="A1706">
        <v>2705200</v>
      </c>
      <c r="B1706" t="s">
        <v>2666</v>
      </c>
      <c r="C1706">
        <v>-9.391812225109577</v>
      </c>
      <c r="D1706">
        <v>-35.840378300500994</v>
      </c>
    </row>
    <row r="1707" spans="1:4" x14ac:dyDescent="0.3">
      <c r="A1707">
        <v>2705309</v>
      </c>
      <c r="B1707" t="s">
        <v>2667</v>
      </c>
      <c r="C1707">
        <v>-9.3036832606375111</v>
      </c>
      <c r="D1707">
        <v>-36.864915772472031</v>
      </c>
    </row>
    <row r="1708" spans="1:4" x14ac:dyDescent="0.3">
      <c r="A1708">
        <v>2705408</v>
      </c>
      <c r="B1708" t="s">
        <v>2668</v>
      </c>
      <c r="C1708">
        <v>-9.6023275388674367</v>
      </c>
      <c r="D1708">
        <v>-37.245272098947055</v>
      </c>
    </row>
    <row r="1709" spans="1:4" x14ac:dyDescent="0.3">
      <c r="A1709">
        <v>2705507</v>
      </c>
      <c r="B1709" t="s">
        <v>2669</v>
      </c>
      <c r="C1709">
        <v>-9.3163011443468555</v>
      </c>
      <c r="D1709">
        <v>-35.947555585677044</v>
      </c>
    </row>
    <row r="1710" spans="1:4" x14ac:dyDescent="0.3">
      <c r="A1710">
        <v>2705606</v>
      </c>
      <c r="B1710" t="s">
        <v>2670</v>
      </c>
      <c r="C1710">
        <v>-8.9431588080764417</v>
      </c>
      <c r="D1710">
        <v>-35.660963718096632</v>
      </c>
    </row>
    <row r="1711" spans="1:4" x14ac:dyDescent="0.3">
      <c r="A1711">
        <v>2705705</v>
      </c>
      <c r="B1711" t="s">
        <v>2671</v>
      </c>
      <c r="C1711">
        <v>-9.533601275274652</v>
      </c>
      <c r="D1711">
        <v>-37.297890789796746</v>
      </c>
    </row>
    <row r="1712" spans="1:4" x14ac:dyDescent="0.3">
      <c r="A1712">
        <v>2705804</v>
      </c>
      <c r="B1712" t="s">
        <v>2672</v>
      </c>
      <c r="C1712">
        <v>-9.5014462652880116</v>
      </c>
      <c r="D1712">
        <v>-37.836242816481338</v>
      </c>
    </row>
    <row r="1713" spans="1:4" x14ac:dyDescent="0.3">
      <c r="A1713">
        <v>2705903</v>
      </c>
      <c r="B1713" t="s">
        <v>2673</v>
      </c>
      <c r="C1713">
        <v>-10.058494960000901</v>
      </c>
      <c r="D1713">
        <v>-36.806745967671368</v>
      </c>
    </row>
    <row r="1714" spans="1:4" x14ac:dyDescent="0.3">
      <c r="A1714">
        <v>2706000</v>
      </c>
      <c r="B1714" t="s">
        <v>2674</v>
      </c>
      <c r="C1714">
        <v>-9.5194564833550412</v>
      </c>
      <c r="D1714">
        <v>-37.19081871806268</v>
      </c>
    </row>
    <row r="1715" spans="1:4" x14ac:dyDescent="0.3">
      <c r="A1715">
        <v>2706109</v>
      </c>
      <c r="B1715" t="s">
        <v>2176</v>
      </c>
      <c r="C1715">
        <v>-9.1634153640260028</v>
      </c>
      <c r="D1715">
        <v>-37.354443729023139</v>
      </c>
    </row>
    <row r="1716" spans="1:4" x14ac:dyDescent="0.3">
      <c r="A1716">
        <v>2706208</v>
      </c>
      <c r="B1716" t="s">
        <v>2675</v>
      </c>
      <c r="C1716">
        <v>-9.6730971856491355</v>
      </c>
      <c r="D1716">
        <v>-37.331136450504054</v>
      </c>
    </row>
    <row r="1717" spans="1:4" x14ac:dyDescent="0.3">
      <c r="A1717">
        <v>2706307</v>
      </c>
      <c r="B1717" t="s">
        <v>2676</v>
      </c>
      <c r="C1717">
        <v>-9.4061587984200958</v>
      </c>
      <c r="D1717">
        <v>-36.630984097311448</v>
      </c>
    </row>
    <row r="1718" spans="1:4" x14ac:dyDescent="0.3">
      <c r="A1718">
        <v>2706406</v>
      </c>
      <c r="B1718" t="s">
        <v>2677</v>
      </c>
      <c r="C1718">
        <v>-9.7470418502569363</v>
      </c>
      <c r="D1718">
        <v>-37.435138856573026</v>
      </c>
    </row>
    <row r="1719" spans="1:4" x14ac:dyDescent="0.3">
      <c r="A1719">
        <v>2706422</v>
      </c>
      <c r="B1719" t="s">
        <v>2678</v>
      </c>
      <c r="C1719">
        <v>-9.25788438518493</v>
      </c>
      <c r="D1719">
        <v>-38.009826071631473</v>
      </c>
    </row>
    <row r="1720" spans="1:4" x14ac:dyDescent="0.3">
      <c r="A1720">
        <v>2706448</v>
      </c>
      <c r="B1720" t="s">
        <v>2679</v>
      </c>
      <c r="C1720">
        <v>-9.4663134783353566</v>
      </c>
      <c r="D1720">
        <v>-35.559105184304308</v>
      </c>
    </row>
    <row r="1721" spans="1:4" x14ac:dyDescent="0.3">
      <c r="A1721">
        <v>2706505</v>
      </c>
      <c r="B1721" t="s">
        <v>2680</v>
      </c>
      <c r="C1721">
        <v>-9.2448466579973125</v>
      </c>
      <c r="D1721">
        <v>-35.491275263218611</v>
      </c>
    </row>
    <row r="1722" spans="1:4" x14ac:dyDescent="0.3">
      <c r="A1722">
        <v>2706604</v>
      </c>
      <c r="B1722" t="s">
        <v>2681</v>
      </c>
      <c r="C1722">
        <v>-9.3733643824119017</v>
      </c>
      <c r="D1722">
        <v>-36.372742094559676</v>
      </c>
    </row>
    <row r="1723" spans="1:4" x14ac:dyDescent="0.3">
      <c r="A1723">
        <v>2706703</v>
      </c>
      <c r="B1723" t="s">
        <v>2682</v>
      </c>
      <c r="C1723">
        <v>-10.29611029790235</v>
      </c>
      <c r="D1723">
        <v>-36.580460214090287</v>
      </c>
    </row>
    <row r="1724" spans="1:4" x14ac:dyDescent="0.3">
      <c r="A1724">
        <v>2706802</v>
      </c>
      <c r="B1724" t="s">
        <v>2683</v>
      </c>
      <c r="C1724">
        <v>-10.407362426340651</v>
      </c>
      <c r="D1724">
        <v>-36.43435200811124</v>
      </c>
    </row>
    <row r="1725" spans="1:4" x14ac:dyDescent="0.3">
      <c r="A1725">
        <v>2706901</v>
      </c>
      <c r="B1725" t="s">
        <v>2379</v>
      </c>
      <c r="C1725">
        <v>-9.6068942926668353</v>
      </c>
      <c r="D1725">
        <v>-35.948517519967844</v>
      </c>
    </row>
    <row r="1726" spans="1:4" x14ac:dyDescent="0.3">
      <c r="A1726">
        <v>2707008</v>
      </c>
      <c r="B1726" t="s">
        <v>2684</v>
      </c>
      <c r="C1726">
        <v>-9.4762107998014375</v>
      </c>
      <c r="D1726">
        <v>-36.28654064434577</v>
      </c>
    </row>
    <row r="1727" spans="1:4" x14ac:dyDescent="0.3">
      <c r="A1727">
        <v>2707107</v>
      </c>
      <c r="B1727" t="s">
        <v>2685</v>
      </c>
      <c r="C1727">
        <v>-9.6235592003032764</v>
      </c>
      <c r="D1727">
        <v>-37.750392913059223</v>
      </c>
    </row>
    <row r="1728" spans="1:4" x14ac:dyDescent="0.3">
      <c r="A1728">
        <v>2707206</v>
      </c>
      <c r="B1728" t="s">
        <v>2686</v>
      </c>
      <c r="C1728">
        <v>-9.3029136554045664</v>
      </c>
      <c r="D1728">
        <v>-37.279298052847267</v>
      </c>
    </row>
    <row r="1729" spans="1:4" x14ac:dyDescent="0.3">
      <c r="A1729">
        <v>2707305</v>
      </c>
      <c r="B1729" t="s">
        <v>2687</v>
      </c>
      <c r="C1729">
        <v>-9.0524483141365781</v>
      </c>
      <c r="D1729">
        <v>-35.398334455603724</v>
      </c>
    </row>
    <row r="1730" spans="1:4" x14ac:dyDescent="0.3">
      <c r="A1730">
        <v>2707404</v>
      </c>
      <c r="B1730" t="s">
        <v>2688</v>
      </c>
      <c r="C1730">
        <v>-9.1560861631157824</v>
      </c>
      <c r="D1730">
        <v>-35.297015217732799</v>
      </c>
    </row>
    <row r="1731" spans="1:4" x14ac:dyDescent="0.3">
      <c r="A1731">
        <v>2707503</v>
      </c>
      <c r="B1731" t="s">
        <v>2689</v>
      </c>
      <c r="C1731">
        <v>-10.173732564191051</v>
      </c>
      <c r="D1731">
        <v>-36.824629291523948</v>
      </c>
    </row>
    <row r="1732" spans="1:4" x14ac:dyDescent="0.3">
      <c r="A1732">
        <v>2707602</v>
      </c>
      <c r="B1732" t="s">
        <v>2690</v>
      </c>
      <c r="C1732">
        <v>-9.3235470553658057</v>
      </c>
      <c r="D1732">
        <v>-36.477222076661782</v>
      </c>
    </row>
    <row r="1733" spans="1:4" x14ac:dyDescent="0.3">
      <c r="A1733">
        <v>2707701</v>
      </c>
      <c r="B1733" t="s">
        <v>2691</v>
      </c>
      <c r="C1733">
        <v>-9.4861576083358408</v>
      </c>
      <c r="D1733">
        <v>-35.852422308592402</v>
      </c>
    </row>
    <row r="1734" spans="1:4" x14ac:dyDescent="0.3">
      <c r="A1734">
        <v>2707800</v>
      </c>
      <c r="B1734" t="s">
        <v>2692</v>
      </c>
      <c r="C1734">
        <v>-9.8321894901883518</v>
      </c>
      <c r="D1734">
        <v>-35.98121022139329</v>
      </c>
    </row>
    <row r="1735" spans="1:4" x14ac:dyDescent="0.3">
      <c r="A1735">
        <v>2707909</v>
      </c>
      <c r="B1735" t="s">
        <v>2693</v>
      </c>
      <c r="C1735">
        <v>-9.5967677416694865</v>
      </c>
      <c r="D1735">
        <v>-35.823487769863874</v>
      </c>
    </row>
    <row r="1736" spans="1:4" x14ac:dyDescent="0.3">
      <c r="A1736">
        <v>2708006</v>
      </c>
      <c r="B1736" t="s">
        <v>2694</v>
      </c>
      <c r="C1736">
        <v>-9.3722843627403964</v>
      </c>
      <c r="D1736">
        <v>-37.245407020370514</v>
      </c>
    </row>
    <row r="1737" spans="1:4" x14ac:dyDescent="0.3">
      <c r="A1737">
        <v>2708105</v>
      </c>
      <c r="B1737" t="s">
        <v>2695</v>
      </c>
      <c r="C1737">
        <v>-9.1650332207622363</v>
      </c>
      <c r="D1737">
        <v>-36.225234117042469</v>
      </c>
    </row>
    <row r="1738" spans="1:4" x14ac:dyDescent="0.3">
      <c r="A1738">
        <v>2708204</v>
      </c>
      <c r="B1738" t="s">
        <v>2696</v>
      </c>
      <c r="C1738">
        <v>-10.120309996572852</v>
      </c>
      <c r="D1738">
        <v>-36.8989486552451</v>
      </c>
    </row>
    <row r="1739" spans="1:4" x14ac:dyDescent="0.3">
      <c r="A1739">
        <v>2708303</v>
      </c>
      <c r="B1739" t="s">
        <v>2697</v>
      </c>
      <c r="C1739">
        <v>-9.0110658818802172</v>
      </c>
      <c r="D1739">
        <v>-36.057387732146744</v>
      </c>
    </row>
    <row r="1740" spans="1:4" x14ac:dyDescent="0.3">
      <c r="A1740">
        <v>2708402</v>
      </c>
      <c r="B1740" t="s">
        <v>2698</v>
      </c>
      <c r="C1740">
        <v>-9.5493957404367524</v>
      </c>
      <c r="D1740">
        <v>-37.383707765699192</v>
      </c>
    </row>
    <row r="1741" spans="1:4" x14ac:dyDescent="0.3">
      <c r="A1741">
        <v>2708501</v>
      </c>
      <c r="B1741" t="s">
        <v>2699</v>
      </c>
      <c r="C1741">
        <v>-9.314117369241341</v>
      </c>
      <c r="D1741">
        <v>-35.565490836583486</v>
      </c>
    </row>
    <row r="1742" spans="1:4" x14ac:dyDescent="0.3">
      <c r="A1742">
        <v>2708600</v>
      </c>
      <c r="B1742" t="s">
        <v>2700</v>
      </c>
      <c r="C1742">
        <v>-9.7799345761310317</v>
      </c>
      <c r="D1742">
        <v>-36.094264274377593</v>
      </c>
    </row>
    <row r="1743" spans="1:4" x14ac:dyDescent="0.3">
      <c r="A1743">
        <v>2708709</v>
      </c>
      <c r="B1743" t="s">
        <v>2701</v>
      </c>
      <c r="C1743">
        <v>-9.2671862950020714</v>
      </c>
      <c r="D1743">
        <v>-35.369119333632447</v>
      </c>
    </row>
    <row r="1744" spans="1:4" x14ac:dyDescent="0.3">
      <c r="A1744">
        <v>2708808</v>
      </c>
      <c r="B1744" t="s">
        <v>2702</v>
      </c>
      <c r="C1744">
        <v>-9.9316573889236714</v>
      </c>
      <c r="D1744">
        <v>-36.551091902005247</v>
      </c>
    </row>
    <row r="1745" spans="1:4" x14ac:dyDescent="0.3">
      <c r="A1745">
        <v>2708907</v>
      </c>
      <c r="B1745" t="s">
        <v>2703</v>
      </c>
      <c r="C1745">
        <v>-9.5694278677577262</v>
      </c>
      <c r="D1745">
        <v>-35.828540227077141</v>
      </c>
    </row>
    <row r="1746" spans="1:4" x14ac:dyDescent="0.3">
      <c r="A1746">
        <v>2708956</v>
      </c>
      <c r="B1746" t="s">
        <v>2704</v>
      </c>
      <c r="C1746">
        <v>-9.4633914489831188</v>
      </c>
      <c r="D1746">
        <v>-37.453646247812628</v>
      </c>
    </row>
    <row r="1747" spans="1:4" x14ac:dyDescent="0.3">
      <c r="A1747">
        <v>2709004</v>
      </c>
      <c r="B1747" t="s">
        <v>2705</v>
      </c>
      <c r="C1747">
        <v>-9.5319624423129721</v>
      </c>
      <c r="D1747">
        <v>-36.436741595943062</v>
      </c>
    </row>
    <row r="1748" spans="1:4" x14ac:dyDescent="0.3">
      <c r="A1748">
        <v>2709103</v>
      </c>
      <c r="B1748" t="s">
        <v>2706</v>
      </c>
      <c r="C1748">
        <v>-9.6423201053837904</v>
      </c>
      <c r="D1748">
        <v>-36.49676769196185</v>
      </c>
    </row>
    <row r="1749" spans="1:4" x14ac:dyDescent="0.3">
      <c r="A1749">
        <v>2709152</v>
      </c>
      <c r="B1749" t="s">
        <v>2707</v>
      </c>
      <c r="C1749">
        <v>-9.9074978830109757</v>
      </c>
      <c r="D1749">
        <v>-36.355563142220539</v>
      </c>
    </row>
    <row r="1750" spans="1:4" x14ac:dyDescent="0.3">
      <c r="A1750">
        <v>2709202</v>
      </c>
      <c r="B1750" t="s">
        <v>2708</v>
      </c>
      <c r="C1750">
        <v>-9.9710593820065068</v>
      </c>
      <c r="D1750">
        <v>-37.006005672245166</v>
      </c>
    </row>
    <row r="1751" spans="1:4" x14ac:dyDescent="0.3">
      <c r="A1751">
        <v>2709301</v>
      </c>
      <c r="B1751" t="s">
        <v>2709</v>
      </c>
      <c r="C1751">
        <v>-9.159524116522002</v>
      </c>
      <c r="D1751">
        <v>-36.033142842807386</v>
      </c>
    </row>
    <row r="1752" spans="1:4" x14ac:dyDescent="0.3">
      <c r="A1752">
        <v>2709400</v>
      </c>
      <c r="B1752" t="s">
        <v>2245</v>
      </c>
      <c r="C1752">
        <v>-9.377054354489756</v>
      </c>
      <c r="D1752">
        <v>-36.248393202919686</v>
      </c>
    </row>
    <row r="1753" spans="1:4" x14ac:dyDescent="0.3">
      <c r="A1753">
        <v>2800100</v>
      </c>
      <c r="B1753" t="s">
        <v>2710</v>
      </c>
      <c r="C1753">
        <v>-10.133971033901535</v>
      </c>
      <c r="D1753">
        <v>-36.927483689180967</v>
      </c>
    </row>
    <row r="1754" spans="1:4" x14ac:dyDescent="0.3">
      <c r="A1754">
        <v>2800209</v>
      </c>
      <c r="B1754" t="s">
        <v>2711</v>
      </c>
      <c r="C1754">
        <v>-10.292518092223153</v>
      </c>
      <c r="D1754">
        <v>-37.022180856078471</v>
      </c>
    </row>
    <row r="1755" spans="1:4" x14ac:dyDescent="0.3">
      <c r="A1755">
        <v>2800308</v>
      </c>
      <c r="B1755" t="s">
        <v>2712</v>
      </c>
      <c r="C1755">
        <v>-10.9072157978835</v>
      </c>
      <c r="D1755">
        <v>-37.048212639512251</v>
      </c>
    </row>
    <row r="1756" spans="1:4" x14ac:dyDescent="0.3">
      <c r="A1756">
        <v>2800407</v>
      </c>
      <c r="B1756" t="s">
        <v>2713</v>
      </c>
      <c r="C1756">
        <v>-11.2645047798951</v>
      </c>
      <c r="D1756">
        <v>-37.61233743406958</v>
      </c>
    </row>
    <row r="1757" spans="1:4" x14ac:dyDescent="0.3">
      <c r="A1757">
        <v>2800506</v>
      </c>
      <c r="B1757" t="s">
        <v>2096</v>
      </c>
      <c r="C1757">
        <v>-10.758192250822001</v>
      </c>
      <c r="D1757">
        <v>-37.313362600444059</v>
      </c>
    </row>
    <row r="1758" spans="1:4" x14ac:dyDescent="0.3">
      <c r="A1758">
        <v>2800605</v>
      </c>
      <c r="B1758" t="s">
        <v>2714</v>
      </c>
      <c r="C1758">
        <v>-10.906799247084251</v>
      </c>
      <c r="D1758">
        <v>-37.041241549282795</v>
      </c>
    </row>
    <row r="1759" spans="1:4" x14ac:dyDescent="0.3">
      <c r="A1759">
        <v>2800670</v>
      </c>
      <c r="B1759" t="s">
        <v>2715</v>
      </c>
      <c r="C1759">
        <v>-11.146391630360702</v>
      </c>
      <c r="D1759">
        <v>-37.623573477950792</v>
      </c>
    </row>
    <row r="1760" spans="1:4" x14ac:dyDescent="0.3">
      <c r="A1760">
        <v>2800704</v>
      </c>
      <c r="B1760" t="s">
        <v>2716</v>
      </c>
      <c r="C1760">
        <v>-10.418943310634051</v>
      </c>
      <c r="D1760">
        <v>-36.471820243957943</v>
      </c>
    </row>
    <row r="1761" spans="1:4" x14ac:dyDescent="0.3">
      <c r="A1761">
        <v>2801009</v>
      </c>
      <c r="B1761" t="s">
        <v>2717</v>
      </c>
      <c r="C1761">
        <v>-10.743335153852351</v>
      </c>
      <c r="D1761">
        <v>-37.496356334516413</v>
      </c>
    </row>
    <row r="1762" spans="1:4" x14ac:dyDescent="0.3">
      <c r="A1762">
        <v>2801108</v>
      </c>
      <c r="B1762" t="s">
        <v>2718</v>
      </c>
      <c r="C1762">
        <v>-10.138743655690952</v>
      </c>
      <c r="D1762">
        <v>-36.973844975407054</v>
      </c>
    </row>
    <row r="1763" spans="1:4" x14ac:dyDescent="0.3">
      <c r="A1763">
        <v>2801207</v>
      </c>
      <c r="B1763" t="s">
        <v>2719</v>
      </c>
      <c r="C1763">
        <v>-9.6541040672984924</v>
      </c>
      <c r="D1763">
        <v>-37.787963722117659</v>
      </c>
    </row>
    <row r="1764" spans="1:4" x14ac:dyDescent="0.3">
      <c r="A1764">
        <v>2801306</v>
      </c>
      <c r="B1764" t="s">
        <v>2629</v>
      </c>
      <c r="C1764">
        <v>-10.506099631900351</v>
      </c>
      <c r="D1764">
        <v>-37.054832994578867</v>
      </c>
    </row>
    <row r="1765" spans="1:4" x14ac:dyDescent="0.3">
      <c r="A1765">
        <v>2801405</v>
      </c>
      <c r="B1765" t="s">
        <v>2720</v>
      </c>
      <c r="C1765">
        <v>-10.358017096897601</v>
      </c>
      <c r="D1765">
        <v>-37.701919206937553</v>
      </c>
    </row>
    <row r="1766" spans="1:4" x14ac:dyDescent="0.3">
      <c r="A1766">
        <v>2801504</v>
      </c>
      <c r="B1766" t="s">
        <v>2721</v>
      </c>
      <c r="C1766">
        <v>-10.646818583952351</v>
      </c>
      <c r="D1766">
        <v>-36.990816185182673</v>
      </c>
    </row>
    <row r="1767" spans="1:4" x14ac:dyDescent="0.3">
      <c r="A1767">
        <v>2801603</v>
      </c>
      <c r="B1767" t="s">
        <v>2722</v>
      </c>
      <c r="C1767">
        <v>-10.247764941500453</v>
      </c>
      <c r="D1767">
        <v>-36.884035952851484</v>
      </c>
    </row>
    <row r="1768" spans="1:4" x14ac:dyDescent="0.3">
      <c r="A1768">
        <v>2801702</v>
      </c>
      <c r="B1768" t="s">
        <v>2723</v>
      </c>
      <c r="C1768">
        <v>-11.473557797076202</v>
      </c>
      <c r="D1768">
        <v>-37.754659635067988</v>
      </c>
    </row>
    <row r="1769" spans="1:4" x14ac:dyDescent="0.3">
      <c r="A1769">
        <v>2801900</v>
      </c>
      <c r="B1769" t="s">
        <v>2724</v>
      </c>
      <c r="C1769">
        <v>-10.357025032323703</v>
      </c>
      <c r="D1769">
        <v>-37.187899275655234</v>
      </c>
    </row>
    <row r="1770" spans="1:4" x14ac:dyDescent="0.3">
      <c r="A1770">
        <v>2802007</v>
      </c>
      <c r="B1770" t="s">
        <v>2725</v>
      </c>
      <c r="C1770">
        <v>-10.677375700180338</v>
      </c>
      <c r="D1770">
        <v>-37.149344960239176</v>
      </c>
    </row>
    <row r="1771" spans="1:4" x14ac:dyDescent="0.3">
      <c r="A1771">
        <v>2802106</v>
      </c>
      <c r="B1771" t="s">
        <v>2726</v>
      </c>
      <c r="C1771">
        <v>-11.267948649303051</v>
      </c>
      <c r="D1771">
        <v>-37.440010853729248</v>
      </c>
    </row>
    <row r="1772" spans="1:4" x14ac:dyDescent="0.3">
      <c r="A1772">
        <v>2802205</v>
      </c>
      <c r="B1772" t="s">
        <v>2501</v>
      </c>
      <c r="C1772">
        <v>-10.270532520923252</v>
      </c>
      <c r="D1772">
        <v>-37.316117720692631</v>
      </c>
    </row>
    <row r="1773" spans="1:4" x14ac:dyDescent="0.3">
      <c r="A1773">
        <v>2802304</v>
      </c>
      <c r="B1773" t="s">
        <v>2727</v>
      </c>
      <c r="C1773">
        <v>-10.54008474688465</v>
      </c>
      <c r="D1773">
        <v>-37.541876248680261</v>
      </c>
    </row>
    <row r="1774" spans="1:4" x14ac:dyDescent="0.3">
      <c r="A1774">
        <v>2802403</v>
      </c>
      <c r="B1774" t="s">
        <v>2728</v>
      </c>
      <c r="C1774">
        <v>-9.9673514679199453</v>
      </c>
      <c r="D1774">
        <v>-37.084372485320415</v>
      </c>
    </row>
    <row r="1775" spans="1:4" x14ac:dyDescent="0.3">
      <c r="A1775">
        <v>2802502</v>
      </c>
      <c r="B1775" t="s">
        <v>2729</v>
      </c>
      <c r="C1775">
        <v>-10.686529812396151</v>
      </c>
      <c r="D1775">
        <v>-36.98798442946714</v>
      </c>
    </row>
    <row r="1776" spans="1:4" x14ac:dyDescent="0.3">
      <c r="A1776">
        <v>2802601</v>
      </c>
      <c r="B1776" t="s">
        <v>2730</v>
      </c>
      <c r="C1776">
        <v>-10.22619966041225</v>
      </c>
      <c r="D1776">
        <v>-37.19605463225502</v>
      </c>
    </row>
    <row r="1777" spans="1:4" x14ac:dyDescent="0.3">
      <c r="A1777">
        <v>2802700</v>
      </c>
      <c r="B1777" t="s">
        <v>2731</v>
      </c>
      <c r="C1777">
        <v>-10.434275829881951</v>
      </c>
      <c r="D1777">
        <v>-36.538635240922041</v>
      </c>
    </row>
    <row r="1778" spans="1:4" x14ac:dyDescent="0.3">
      <c r="A1778">
        <v>2802809</v>
      </c>
      <c r="B1778" t="s">
        <v>2732</v>
      </c>
      <c r="C1778">
        <v>-11.518507268249602</v>
      </c>
      <c r="D1778">
        <v>-37.515094792879189</v>
      </c>
    </row>
    <row r="1779" spans="1:4" x14ac:dyDescent="0.3">
      <c r="A1779">
        <v>2802908</v>
      </c>
      <c r="B1779" t="s">
        <v>2330</v>
      </c>
      <c r="C1779">
        <v>-10.6857160383187</v>
      </c>
      <c r="D1779">
        <v>-37.426860940332439</v>
      </c>
    </row>
    <row r="1780" spans="1:4" x14ac:dyDescent="0.3">
      <c r="A1780">
        <v>2803005</v>
      </c>
      <c r="B1780" t="s">
        <v>2733</v>
      </c>
      <c r="C1780">
        <v>-11.2767854368944</v>
      </c>
      <c r="D1780">
        <v>-37.787411139908151</v>
      </c>
    </row>
    <row r="1781" spans="1:4" x14ac:dyDescent="0.3">
      <c r="A1781">
        <v>2803104</v>
      </c>
      <c r="B1781" t="s">
        <v>2734</v>
      </c>
      <c r="C1781">
        <v>-10.123489592239052</v>
      </c>
      <c r="D1781">
        <v>-37.099649952805692</v>
      </c>
    </row>
    <row r="1782" spans="1:4" x14ac:dyDescent="0.3">
      <c r="A1782">
        <v>2803203</v>
      </c>
      <c r="B1782" t="s">
        <v>2735</v>
      </c>
      <c r="C1782">
        <v>-10.996732767304652</v>
      </c>
      <c r="D1782">
        <v>-37.307826933068831</v>
      </c>
    </row>
    <row r="1783" spans="1:4" x14ac:dyDescent="0.3">
      <c r="A1783">
        <v>2803302</v>
      </c>
      <c r="B1783" t="s">
        <v>2736</v>
      </c>
      <c r="C1783">
        <v>-10.589466814804803</v>
      </c>
      <c r="D1783">
        <v>-36.941786303761326</v>
      </c>
    </row>
    <row r="1784" spans="1:4" x14ac:dyDescent="0.3">
      <c r="A1784">
        <v>2803401</v>
      </c>
      <c r="B1784" t="s">
        <v>2737</v>
      </c>
      <c r="C1784">
        <v>-10.346509914195753</v>
      </c>
      <c r="D1784">
        <v>-36.800756464361328</v>
      </c>
    </row>
    <row r="1785" spans="1:4" x14ac:dyDescent="0.3">
      <c r="A1785">
        <v>2803500</v>
      </c>
      <c r="B1785" t="s">
        <v>2738</v>
      </c>
      <c r="C1785">
        <v>-10.915300969862203</v>
      </c>
      <c r="D1785">
        <v>-37.666353409722014</v>
      </c>
    </row>
    <row r="1786" spans="1:4" x14ac:dyDescent="0.3">
      <c r="A1786">
        <v>2803609</v>
      </c>
      <c r="B1786" t="s">
        <v>2739</v>
      </c>
      <c r="C1786">
        <v>-10.797029508951882</v>
      </c>
      <c r="D1786">
        <v>-37.16056819867395</v>
      </c>
    </row>
    <row r="1787" spans="1:4" x14ac:dyDescent="0.3">
      <c r="A1787">
        <v>2803708</v>
      </c>
      <c r="B1787" t="s">
        <v>2740</v>
      </c>
      <c r="C1787">
        <v>-10.664149973798452</v>
      </c>
      <c r="D1787">
        <v>-37.543445391338999</v>
      </c>
    </row>
    <row r="1788" spans="1:4" x14ac:dyDescent="0.3">
      <c r="A1788">
        <v>2803807</v>
      </c>
      <c r="B1788" t="s">
        <v>2741</v>
      </c>
      <c r="C1788">
        <v>-10.346451520138201</v>
      </c>
      <c r="D1788">
        <v>-36.918902204015716</v>
      </c>
    </row>
    <row r="1789" spans="1:4" x14ac:dyDescent="0.3">
      <c r="A1789">
        <v>2803906</v>
      </c>
      <c r="B1789" t="s">
        <v>2742</v>
      </c>
      <c r="C1789">
        <v>-10.660044240864353</v>
      </c>
      <c r="D1789">
        <v>-37.311459944012626</v>
      </c>
    </row>
    <row r="1790" spans="1:4" x14ac:dyDescent="0.3">
      <c r="A1790">
        <v>2804003</v>
      </c>
      <c r="B1790" t="s">
        <v>2743</v>
      </c>
      <c r="C1790">
        <v>-10.736932403567453</v>
      </c>
      <c r="D1790">
        <v>-37.08331434064921</v>
      </c>
    </row>
    <row r="1791" spans="1:4" x14ac:dyDescent="0.3">
      <c r="A1791">
        <v>2804102</v>
      </c>
      <c r="B1791" t="s">
        <v>2744</v>
      </c>
      <c r="C1791">
        <v>-10.5790438595404</v>
      </c>
      <c r="D1791">
        <v>-37.34574940066306</v>
      </c>
    </row>
    <row r="1792" spans="1:4" x14ac:dyDescent="0.3">
      <c r="A1792">
        <v>2804201</v>
      </c>
      <c r="B1792" t="s">
        <v>2745</v>
      </c>
      <c r="C1792">
        <v>-10.025861627368002</v>
      </c>
      <c r="D1792">
        <v>-37.561425847290842</v>
      </c>
    </row>
    <row r="1793" spans="1:4" x14ac:dyDescent="0.3">
      <c r="A1793">
        <v>2804300</v>
      </c>
      <c r="B1793" t="s">
        <v>2746</v>
      </c>
      <c r="C1793">
        <v>-10.427427473549802</v>
      </c>
      <c r="D1793">
        <v>-36.957001437556926</v>
      </c>
    </row>
    <row r="1794" spans="1:4" x14ac:dyDescent="0.3">
      <c r="A1794">
        <v>2804409</v>
      </c>
      <c r="B1794" t="s">
        <v>2747</v>
      </c>
      <c r="C1794">
        <v>-10.315878227266802</v>
      </c>
      <c r="D1794">
        <v>-36.576718179365173</v>
      </c>
    </row>
    <row r="1795" spans="1:4" x14ac:dyDescent="0.3">
      <c r="A1795">
        <v>2804458</v>
      </c>
      <c r="B1795" t="s">
        <v>2748</v>
      </c>
      <c r="C1795">
        <v>-10.394651457410102</v>
      </c>
      <c r="D1795">
        <v>-37.454438545997284</v>
      </c>
    </row>
    <row r="1796" spans="1:4" x14ac:dyDescent="0.3">
      <c r="A1796">
        <v>2804508</v>
      </c>
      <c r="B1796" t="s">
        <v>2749</v>
      </c>
      <c r="C1796">
        <v>-10.215686849106001</v>
      </c>
      <c r="D1796">
        <v>-37.419921459267748</v>
      </c>
    </row>
    <row r="1797" spans="1:4" x14ac:dyDescent="0.3">
      <c r="A1797">
        <v>2804607</v>
      </c>
      <c r="B1797" t="s">
        <v>2750</v>
      </c>
      <c r="C1797">
        <v>-10.492054373073445</v>
      </c>
      <c r="D1797">
        <v>-37.193711209925517</v>
      </c>
    </row>
    <row r="1798" spans="1:4" x14ac:dyDescent="0.3">
      <c r="A1798">
        <v>2804706</v>
      </c>
      <c r="B1798" t="s">
        <v>2751</v>
      </c>
      <c r="C1798">
        <v>-10.078616036707452</v>
      </c>
      <c r="D1798">
        <v>-37.05047288344651</v>
      </c>
    </row>
    <row r="1799" spans="1:4" x14ac:dyDescent="0.3">
      <c r="A1799">
        <v>2804805</v>
      </c>
      <c r="B1799" t="s">
        <v>2752</v>
      </c>
      <c r="C1799">
        <v>-10.848754175733301</v>
      </c>
      <c r="D1799">
        <v>-37.128496130046379</v>
      </c>
    </row>
    <row r="1800" spans="1:4" x14ac:dyDescent="0.3">
      <c r="A1800">
        <v>2804904</v>
      </c>
      <c r="B1800" t="s">
        <v>2030</v>
      </c>
      <c r="C1800">
        <v>-10.449899762929402</v>
      </c>
      <c r="D1800">
        <v>-36.647986394828287</v>
      </c>
    </row>
    <row r="1801" spans="1:4" x14ac:dyDescent="0.3">
      <c r="A1801">
        <v>2805000</v>
      </c>
      <c r="B1801" t="s">
        <v>2753</v>
      </c>
      <c r="C1801">
        <v>-10.618119160418601</v>
      </c>
      <c r="D1801">
        <v>-37.686027213024097</v>
      </c>
    </row>
    <row r="1802" spans="1:4" x14ac:dyDescent="0.3">
      <c r="A1802">
        <v>2805109</v>
      </c>
      <c r="B1802" t="s">
        <v>2754</v>
      </c>
      <c r="C1802">
        <v>-11.193503396117849</v>
      </c>
      <c r="D1802">
        <v>-37.6811281603891</v>
      </c>
    </row>
    <row r="1803" spans="1:4" x14ac:dyDescent="0.3">
      <c r="A1803">
        <v>2805208</v>
      </c>
      <c r="B1803" t="s">
        <v>2755</v>
      </c>
      <c r="C1803">
        <v>-10.566689953153118</v>
      </c>
      <c r="D1803">
        <v>-37.722110720535603</v>
      </c>
    </row>
    <row r="1804" spans="1:4" x14ac:dyDescent="0.3">
      <c r="A1804">
        <v>2805307</v>
      </c>
      <c r="B1804" t="s">
        <v>2756</v>
      </c>
      <c r="C1804">
        <v>-10.741056155489451</v>
      </c>
      <c r="D1804">
        <v>-36.859746211687643</v>
      </c>
    </row>
    <row r="1805" spans="1:4" x14ac:dyDescent="0.3">
      <c r="A1805">
        <v>2805406</v>
      </c>
      <c r="B1805" t="s">
        <v>2757</v>
      </c>
      <c r="C1805">
        <v>-9.8057902082737218</v>
      </c>
      <c r="D1805">
        <v>-37.684213711804915</v>
      </c>
    </row>
    <row r="1806" spans="1:4" x14ac:dyDescent="0.3">
      <c r="A1806">
        <v>2805505</v>
      </c>
      <c r="B1806" t="s">
        <v>2758</v>
      </c>
      <c r="C1806">
        <v>-10.707598648852185</v>
      </c>
      <c r="D1806">
        <v>-38.176658221315812</v>
      </c>
    </row>
    <row r="1807" spans="1:4" x14ac:dyDescent="0.3">
      <c r="A1807">
        <v>2805604</v>
      </c>
      <c r="B1807" t="s">
        <v>2759</v>
      </c>
      <c r="C1807">
        <v>-9.9192588723614623</v>
      </c>
      <c r="D1807">
        <v>-37.276634849480494</v>
      </c>
    </row>
    <row r="1808" spans="1:4" x14ac:dyDescent="0.3">
      <c r="A1808">
        <v>2805703</v>
      </c>
      <c r="B1808" t="s">
        <v>2760</v>
      </c>
      <c r="C1808">
        <v>-10.208207315313652</v>
      </c>
      <c r="D1808">
        <v>-36.842099359098803</v>
      </c>
    </row>
    <row r="1809" spans="1:4" x14ac:dyDescent="0.3">
      <c r="A1809">
        <v>2805802</v>
      </c>
      <c r="B1809" t="s">
        <v>2761</v>
      </c>
      <c r="C1809">
        <v>-11.066402290436702</v>
      </c>
      <c r="D1809">
        <v>-37.729341224982669</v>
      </c>
    </row>
    <row r="1810" spans="1:4" x14ac:dyDescent="0.3">
      <c r="A1810">
        <v>2805901</v>
      </c>
      <c r="B1810" t="s">
        <v>2200</v>
      </c>
      <c r="C1810">
        <v>-10.731651298452499</v>
      </c>
      <c r="D1810">
        <v>-37.193456832585468</v>
      </c>
    </row>
    <row r="1811" spans="1:4" x14ac:dyDescent="0.3">
      <c r="A1811">
        <v>2806008</v>
      </c>
      <c r="B1811" t="s">
        <v>2762</v>
      </c>
      <c r="C1811">
        <v>-10.545190469321502</v>
      </c>
      <c r="D1811">
        <v>-37.432939029882441</v>
      </c>
    </row>
    <row r="1812" spans="1:4" x14ac:dyDescent="0.3">
      <c r="A1812">
        <v>2806107</v>
      </c>
      <c r="B1812" t="s">
        <v>2763</v>
      </c>
      <c r="C1812">
        <v>-10.694589978994552</v>
      </c>
      <c r="D1812">
        <v>-37.031322864872898</v>
      </c>
    </row>
    <row r="1813" spans="1:4" x14ac:dyDescent="0.3">
      <c r="A1813">
        <v>2806206</v>
      </c>
      <c r="B1813" t="s">
        <v>2764</v>
      </c>
      <c r="C1813">
        <v>-11.022118774904076</v>
      </c>
      <c r="D1813">
        <v>-37.477755358887954</v>
      </c>
    </row>
    <row r="1814" spans="1:4" x14ac:dyDescent="0.3">
      <c r="A1814">
        <v>2806305</v>
      </c>
      <c r="B1814" t="s">
        <v>2765</v>
      </c>
      <c r="C1814">
        <v>-11.353317397341254</v>
      </c>
      <c r="D1814">
        <v>-37.449842180207575</v>
      </c>
    </row>
    <row r="1815" spans="1:4" x14ac:dyDescent="0.3">
      <c r="A1815">
        <v>2806404</v>
      </c>
      <c r="B1815" t="s">
        <v>2766</v>
      </c>
      <c r="C1815">
        <v>-10.287671972428802</v>
      </c>
      <c r="D1815">
        <v>-36.599579347995622</v>
      </c>
    </row>
    <row r="1816" spans="1:4" x14ac:dyDescent="0.3">
      <c r="A1816">
        <v>2806503</v>
      </c>
      <c r="B1816" t="s">
        <v>2767</v>
      </c>
      <c r="C1816">
        <v>-10.646233664707852</v>
      </c>
      <c r="D1816">
        <v>-37.197731845622734</v>
      </c>
    </row>
    <row r="1817" spans="1:4" x14ac:dyDescent="0.3">
      <c r="A1817">
        <v>2806602</v>
      </c>
      <c r="B1817" t="s">
        <v>2768</v>
      </c>
      <c r="C1817">
        <v>-10.78201138262575</v>
      </c>
      <c r="D1817">
        <v>-37.056311097655659</v>
      </c>
    </row>
    <row r="1818" spans="1:4" x14ac:dyDescent="0.3">
      <c r="A1818">
        <v>2806701</v>
      </c>
      <c r="B1818" t="s">
        <v>2769</v>
      </c>
      <c r="C1818">
        <v>-11.013676857147153</v>
      </c>
      <c r="D1818">
        <v>-37.20949878394233</v>
      </c>
    </row>
    <row r="1819" spans="1:4" x14ac:dyDescent="0.3">
      <c r="A1819">
        <v>2806800</v>
      </c>
      <c r="B1819" t="s">
        <v>2408</v>
      </c>
      <c r="C1819">
        <v>-10.792325783411503</v>
      </c>
      <c r="D1819">
        <v>-37.568429204533906</v>
      </c>
    </row>
    <row r="1820" spans="1:4" x14ac:dyDescent="0.3">
      <c r="A1820">
        <v>2806909</v>
      </c>
      <c r="B1820" t="s">
        <v>2409</v>
      </c>
      <c r="C1820">
        <v>-10.346486452678223</v>
      </c>
      <c r="D1820">
        <v>-36.886239660889423</v>
      </c>
    </row>
    <row r="1821" spans="1:4" x14ac:dyDescent="0.3">
      <c r="A1821">
        <v>2807006</v>
      </c>
      <c r="B1821" t="s">
        <v>2770</v>
      </c>
      <c r="C1821">
        <v>-10.387772194822251</v>
      </c>
      <c r="D1821">
        <v>-37.383976449416373</v>
      </c>
    </row>
    <row r="1822" spans="1:4" x14ac:dyDescent="0.3">
      <c r="A1822">
        <v>2807105</v>
      </c>
      <c r="B1822" t="s">
        <v>2771</v>
      </c>
      <c r="C1822">
        <v>-10.738061797653559</v>
      </c>
      <c r="D1822">
        <v>-37.809430582250272</v>
      </c>
    </row>
    <row r="1823" spans="1:4" x14ac:dyDescent="0.3">
      <c r="A1823">
        <v>2807204</v>
      </c>
      <c r="B1823" t="s">
        <v>2772</v>
      </c>
      <c r="C1823">
        <v>-10.605035573100553</v>
      </c>
      <c r="D1823">
        <v>-37.112225340760922</v>
      </c>
    </row>
    <row r="1824" spans="1:4" x14ac:dyDescent="0.3">
      <c r="A1824">
        <v>2807303</v>
      </c>
      <c r="B1824" t="s">
        <v>2773</v>
      </c>
      <c r="C1824">
        <v>-10.209173223682052</v>
      </c>
      <c r="D1824">
        <v>-36.883850041564649</v>
      </c>
    </row>
    <row r="1825" spans="1:4" x14ac:dyDescent="0.3">
      <c r="A1825">
        <v>2807402</v>
      </c>
      <c r="B1825" t="s">
        <v>2774</v>
      </c>
      <c r="C1825">
        <v>-11.184329868099402</v>
      </c>
      <c r="D1825">
        <v>-37.999000695101749</v>
      </c>
    </row>
    <row r="1826" spans="1:4" x14ac:dyDescent="0.3">
      <c r="A1826">
        <v>2807501</v>
      </c>
      <c r="B1826" t="s">
        <v>2775</v>
      </c>
      <c r="C1826">
        <v>-11.368052274743704</v>
      </c>
      <c r="D1826">
        <v>-37.845370775272293</v>
      </c>
    </row>
    <row r="1827" spans="1:4" x14ac:dyDescent="0.3">
      <c r="A1827">
        <v>2807600</v>
      </c>
      <c r="B1827" t="s">
        <v>2776</v>
      </c>
      <c r="C1827">
        <v>-11.379872469684672</v>
      </c>
      <c r="D1827">
        <v>-37.661146673061715</v>
      </c>
    </row>
    <row r="1828" spans="1:4" x14ac:dyDescent="0.3">
      <c r="A1828">
        <v>2900108</v>
      </c>
      <c r="B1828" t="s">
        <v>2777</v>
      </c>
      <c r="C1828">
        <v>-13.253531893276204</v>
      </c>
      <c r="D1828">
        <v>-41.661608480235969</v>
      </c>
    </row>
    <row r="1829" spans="1:4" x14ac:dyDescent="0.3">
      <c r="A1829">
        <v>2900207</v>
      </c>
      <c r="B1829" t="s">
        <v>2778</v>
      </c>
      <c r="C1829">
        <v>-8.7234182456863412</v>
      </c>
      <c r="D1829">
        <v>-39.116587939642848</v>
      </c>
    </row>
    <row r="1830" spans="1:4" x14ac:dyDescent="0.3">
      <c r="A1830">
        <v>2900306</v>
      </c>
      <c r="B1830" t="s">
        <v>2779</v>
      </c>
      <c r="C1830">
        <v>-11.662612830048301</v>
      </c>
      <c r="D1830">
        <v>-38.018286370579595</v>
      </c>
    </row>
    <row r="1831" spans="1:4" x14ac:dyDescent="0.3">
      <c r="A1831">
        <v>2900355</v>
      </c>
      <c r="B1831" t="s">
        <v>2780</v>
      </c>
      <c r="C1831">
        <v>-10.529571570020204</v>
      </c>
      <c r="D1831">
        <v>-38.115505834782482</v>
      </c>
    </row>
    <row r="1832" spans="1:4" x14ac:dyDescent="0.3">
      <c r="A1832">
        <v>2900405</v>
      </c>
      <c r="B1832" t="s">
        <v>2781</v>
      </c>
      <c r="C1832">
        <v>-11.872930997579051</v>
      </c>
      <c r="D1832">
        <v>-38.768077795004295</v>
      </c>
    </row>
    <row r="1833" spans="1:4" x14ac:dyDescent="0.3">
      <c r="A1833">
        <v>2900504</v>
      </c>
      <c r="B1833" t="s">
        <v>2782</v>
      </c>
      <c r="C1833">
        <v>-13.422347795301601</v>
      </c>
      <c r="D1833">
        <v>-42.13616373331093</v>
      </c>
    </row>
    <row r="1834" spans="1:4" x14ac:dyDescent="0.3">
      <c r="A1834">
        <v>2900603</v>
      </c>
      <c r="B1834" t="s">
        <v>2783</v>
      </c>
      <c r="C1834">
        <v>-14.127277488554252</v>
      </c>
      <c r="D1834">
        <v>-39.885778009122852</v>
      </c>
    </row>
    <row r="1835" spans="1:4" x14ac:dyDescent="0.3">
      <c r="A1835">
        <v>2900702</v>
      </c>
      <c r="B1835" t="s">
        <v>2784</v>
      </c>
      <c r="C1835">
        <v>-12.134182592405454</v>
      </c>
      <c r="D1835">
        <v>-38.422615769339536</v>
      </c>
    </row>
    <row r="1836" spans="1:4" x14ac:dyDescent="0.3">
      <c r="A1836">
        <v>2900801</v>
      </c>
      <c r="B1836" t="s">
        <v>2785</v>
      </c>
      <c r="C1836">
        <v>-17.518933343806154</v>
      </c>
      <c r="D1836">
        <v>-39.194214320657785</v>
      </c>
    </row>
    <row r="1837" spans="1:4" x14ac:dyDescent="0.3">
      <c r="A1837">
        <v>2900900</v>
      </c>
      <c r="B1837" t="s">
        <v>2786</v>
      </c>
      <c r="C1837">
        <v>-14.706047747521701</v>
      </c>
      <c r="D1837">
        <v>-39.635903175244685</v>
      </c>
    </row>
    <row r="1838" spans="1:4" x14ac:dyDescent="0.3">
      <c r="A1838">
        <v>2901007</v>
      </c>
      <c r="B1838" t="s">
        <v>2787</v>
      </c>
      <c r="C1838">
        <v>-13.034451362197052</v>
      </c>
      <c r="D1838">
        <v>-39.598122503489527</v>
      </c>
    </row>
    <row r="1839" spans="1:4" x14ac:dyDescent="0.3">
      <c r="A1839">
        <v>2901106</v>
      </c>
      <c r="B1839" t="s">
        <v>2788</v>
      </c>
      <c r="C1839">
        <v>-12.4001884013071</v>
      </c>
      <c r="D1839">
        <v>-38.755556916441712</v>
      </c>
    </row>
    <row r="1840" spans="1:4" x14ac:dyDescent="0.3">
      <c r="A1840">
        <v>2901155</v>
      </c>
      <c r="B1840" t="s">
        <v>2789</v>
      </c>
      <c r="C1840">
        <v>-11.449645864775901</v>
      </c>
      <c r="D1840">
        <v>-41.437163279123688</v>
      </c>
    </row>
    <row r="1841" spans="1:4" x14ac:dyDescent="0.3">
      <c r="A1841">
        <v>2901205</v>
      </c>
      <c r="B1841" t="s">
        <v>2790</v>
      </c>
      <c r="C1841">
        <v>-14.611325592493673</v>
      </c>
      <c r="D1841">
        <v>-41.127113168504735</v>
      </c>
    </row>
    <row r="1842" spans="1:4" x14ac:dyDescent="0.3">
      <c r="A1842">
        <v>2901304</v>
      </c>
      <c r="B1842" t="s">
        <v>2791</v>
      </c>
      <c r="C1842">
        <v>-12.801350646024051</v>
      </c>
      <c r="D1842">
        <v>-41.324641803998794</v>
      </c>
    </row>
    <row r="1843" spans="1:4" x14ac:dyDescent="0.3">
      <c r="A1843">
        <v>2901353</v>
      </c>
      <c r="B1843" t="s">
        <v>2792</v>
      </c>
      <c r="C1843">
        <v>-10.344240041534551</v>
      </c>
      <c r="D1843">
        <v>-39.832335701010095</v>
      </c>
    </row>
    <row r="1844" spans="1:4" x14ac:dyDescent="0.3">
      <c r="A1844">
        <v>2901403</v>
      </c>
      <c r="B1844" t="s">
        <v>2793</v>
      </c>
      <c r="C1844">
        <v>-12.006682772532452</v>
      </c>
      <c r="D1844">
        <v>-44.695823482707318</v>
      </c>
    </row>
    <row r="1845" spans="1:4" x14ac:dyDescent="0.3">
      <c r="A1845">
        <v>2901502</v>
      </c>
      <c r="B1845" t="s">
        <v>2794</v>
      </c>
      <c r="C1845">
        <v>-12.149587070075352</v>
      </c>
      <c r="D1845">
        <v>-39.248498918282188</v>
      </c>
    </row>
    <row r="1846" spans="1:4" x14ac:dyDescent="0.3">
      <c r="A1846">
        <v>2901601</v>
      </c>
      <c r="B1846" t="s">
        <v>2795</v>
      </c>
      <c r="C1846">
        <v>-10.412702169265302</v>
      </c>
      <c r="D1846">
        <v>-38.331041678334664</v>
      </c>
    </row>
    <row r="1847" spans="1:4" x14ac:dyDescent="0.3">
      <c r="A1847">
        <v>2901700</v>
      </c>
      <c r="B1847" t="s">
        <v>2796</v>
      </c>
      <c r="C1847">
        <v>-12.434838909476801</v>
      </c>
      <c r="D1847">
        <v>-39.118661535461413</v>
      </c>
    </row>
    <row r="1848" spans="1:4" x14ac:dyDescent="0.3">
      <c r="A1848">
        <v>2901809</v>
      </c>
      <c r="B1848" t="s">
        <v>2797</v>
      </c>
      <c r="C1848">
        <v>-10.5757977912944</v>
      </c>
      <c r="D1848">
        <v>-40.275658698580436</v>
      </c>
    </row>
    <row r="1849" spans="1:4" x14ac:dyDescent="0.3">
      <c r="A1849">
        <v>2901908</v>
      </c>
      <c r="B1849" t="s">
        <v>2798</v>
      </c>
      <c r="C1849">
        <v>-11.655394291897252</v>
      </c>
      <c r="D1849">
        <v>-38.079995349451728</v>
      </c>
    </row>
    <row r="1850" spans="1:4" x14ac:dyDescent="0.3">
      <c r="A1850">
        <v>2901957</v>
      </c>
      <c r="B1850" t="s">
        <v>2799</v>
      </c>
      <c r="C1850">
        <v>-13.853228848819004</v>
      </c>
      <c r="D1850">
        <v>-39.742132116504749</v>
      </c>
    </row>
    <row r="1851" spans="1:4" x14ac:dyDescent="0.3">
      <c r="A1851">
        <v>2902005</v>
      </c>
      <c r="B1851" t="s">
        <v>2800</v>
      </c>
      <c r="C1851">
        <v>-14.426630241995653</v>
      </c>
      <c r="D1851">
        <v>-41.461685320657445</v>
      </c>
    </row>
    <row r="1852" spans="1:4" x14ac:dyDescent="0.3">
      <c r="A1852">
        <v>2902054</v>
      </c>
      <c r="B1852" t="s">
        <v>2801</v>
      </c>
      <c r="C1852">
        <v>-12.215199667549051</v>
      </c>
      <c r="D1852">
        <v>-38.198288017194933</v>
      </c>
    </row>
    <row r="1853" spans="1:4" x14ac:dyDescent="0.3">
      <c r="A1853">
        <v>2902104</v>
      </c>
      <c r="B1853" t="s">
        <v>2802</v>
      </c>
      <c r="C1853">
        <v>-11.33572787531225</v>
      </c>
      <c r="D1853">
        <v>-38.960958159402914</v>
      </c>
    </row>
    <row r="1854" spans="1:4" x14ac:dyDescent="0.3">
      <c r="A1854">
        <v>2902203</v>
      </c>
      <c r="B1854" t="s">
        <v>2803</v>
      </c>
      <c r="C1854">
        <v>-12.088182978308652</v>
      </c>
      <c r="D1854">
        <v>-38.503066354208705</v>
      </c>
    </row>
    <row r="1855" spans="1:4" x14ac:dyDescent="0.3">
      <c r="A1855">
        <v>2902252</v>
      </c>
      <c r="B1855" t="s">
        <v>2804</v>
      </c>
      <c r="C1855">
        <v>-15.260872997350953</v>
      </c>
      <c r="D1855">
        <v>-39.41328156571263</v>
      </c>
    </row>
    <row r="1856" spans="1:4" x14ac:dyDescent="0.3">
      <c r="A1856">
        <v>2902302</v>
      </c>
      <c r="B1856" t="s">
        <v>2805</v>
      </c>
      <c r="C1856">
        <v>-13.080596541012701</v>
      </c>
      <c r="D1856">
        <v>-39.002910865981228</v>
      </c>
    </row>
    <row r="1857" spans="1:4" x14ac:dyDescent="0.3">
      <c r="A1857">
        <v>2902401</v>
      </c>
      <c r="B1857" t="s">
        <v>2806</v>
      </c>
      <c r="C1857">
        <v>-14.316949447956901</v>
      </c>
      <c r="D1857">
        <v>-39.321996637705851</v>
      </c>
    </row>
    <row r="1858" spans="1:4" x14ac:dyDescent="0.3">
      <c r="A1858">
        <v>2902500</v>
      </c>
      <c r="B1858" t="s">
        <v>2807</v>
      </c>
      <c r="C1858">
        <v>-12.304124700793901</v>
      </c>
      <c r="D1858">
        <v>-44.536098046718685</v>
      </c>
    </row>
    <row r="1859" spans="1:4" x14ac:dyDescent="0.3">
      <c r="A1859">
        <v>2902609</v>
      </c>
      <c r="B1859" t="s">
        <v>2808</v>
      </c>
      <c r="C1859">
        <v>-11.959357488972405</v>
      </c>
      <c r="D1859">
        <v>-40.166860909513183</v>
      </c>
    </row>
    <row r="1860" spans="1:4" x14ac:dyDescent="0.3">
      <c r="A1860">
        <v>2902658</v>
      </c>
      <c r="B1860" t="s">
        <v>2809</v>
      </c>
      <c r="C1860">
        <v>-10.574091935819752</v>
      </c>
      <c r="D1860">
        <v>-38.611869630572933</v>
      </c>
    </row>
    <row r="1861" spans="1:4" x14ac:dyDescent="0.3">
      <c r="A1861">
        <v>2902708</v>
      </c>
      <c r="B1861" t="s">
        <v>2810</v>
      </c>
      <c r="C1861">
        <v>-11.088954820546201</v>
      </c>
      <c r="D1861">
        <v>-43.143638552458576</v>
      </c>
    </row>
    <row r="1862" spans="1:4" x14ac:dyDescent="0.3">
      <c r="A1862">
        <v>2902807</v>
      </c>
      <c r="B1862" t="s">
        <v>2811</v>
      </c>
      <c r="C1862">
        <v>-13.620204563040604</v>
      </c>
      <c r="D1862">
        <v>-41.331695870489554</v>
      </c>
    </row>
    <row r="1863" spans="1:4" x14ac:dyDescent="0.3">
      <c r="A1863">
        <v>2902906</v>
      </c>
      <c r="B1863" t="s">
        <v>2812</v>
      </c>
      <c r="C1863">
        <v>-14.864273042783003</v>
      </c>
      <c r="D1863">
        <v>-40.576372989598731</v>
      </c>
    </row>
    <row r="1864" spans="1:4" x14ac:dyDescent="0.3">
      <c r="A1864">
        <v>2903003</v>
      </c>
      <c r="B1864" t="s">
        <v>2813</v>
      </c>
      <c r="C1864">
        <v>-11.808828281261102</v>
      </c>
      <c r="D1864">
        <v>-42.059128415682629</v>
      </c>
    </row>
    <row r="1865" spans="1:4" x14ac:dyDescent="0.3">
      <c r="A1865">
        <v>2903102</v>
      </c>
      <c r="B1865" t="s">
        <v>2814</v>
      </c>
      <c r="C1865">
        <v>-14.210029248500955</v>
      </c>
      <c r="D1865">
        <v>-39.601386089865997</v>
      </c>
    </row>
    <row r="1866" spans="1:4" x14ac:dyDescent="0.3">
      <c r="A1866">
        <v>2903201</v>
      </c>
      <c r="B1866" t="s">
        <v>2815</v>
      </c>
      <c r="C1866">
        <v>-12.144924888390602</v>
      </c>
      <c r="D1866">
        <v>-45.004168437028525</v>
      </c>
    </row>
    <row r="1867" spans="1:4" x14ac:dyDescent="0.3">
      <c r="A1867">
        <v>2903235</v>
      </c>
      <c r="B1867" t="s">
        <v>2816</v>
      </c>
      <c r="C1867">
        <v>-11.761063922959302</v>
      </c>
      <c r="D1867">
        <v>-41.912096064752625</v>
      </c>
    </row>
    <row r="1868" spans="1:4" x14ac:dyDescent="0.3">
      <c r="A1868">
        <v>2903276</v>
      </c>
      <c r="B1868" t="s">
        <v>2817</v>
      </c>
      <c r="C1868">
        <v>-11.529112852078251</v>
      </c>
      <c r="D1868">
        <v>-39.078668880918215</v>
      </c>
    </row>
    <row r="1869" spans="1:4" x14ac:dyDescent="0.3">
      <c r="A1869">
        <v>2903300</v>
      </c>
      <c r="B1869" t="s">
        <v>2818</v>
      </c>
      <c r="C1869">
        <v>-14.809754387102744</v>
      </c>
      <c r="D1869">
        <v>-39.473334671380087</v>
      </c>
    </row>
    <row r="1870" spans="1:4" x14ac:dyDescent="0.3">
      <c r="A1870">
        <v>2903409</v>
      </c>
      <c r="B1870" t="s">
        <v>2819</v>
      </c>
      <c r="C1870">
        <v>-15.861396491786854</v>
      </c>
      <c r="D1870">
        <v>-38.88030323856011</v>
      </c>
    </row>
    <row r="1871" spans="1:4" x14ac:dyDescent="0.3">
      <c r="A1871">
        <v>2903508</v>
      </c>
      <c r="B1871" t="s">
        <v>2820</v>
      </c>
      <c r="C1871">
        <v>-15.033496197201204</v>
      </c>
      <c r="D1871">
        <v>-41.260033479020301</v>
      </c>
    </row>
    <row r="1872" spans="1:4" x14ac:dyDescent="0.3">
      <c r="A1872">
        <v>2903607</v>
      </c>
      <c r="B1872" t="s">
        <v>2821</v>
      </c>
      <c r="C1872">
        <v>-11.620110262981649</v>
      </c>
      <c r="D1872">
        <v>-38.812158922897467</v>
      </c>
    </row>
    <row r="1873" spans="1:4" x14ac:dyDescent="0.3">
      <c r="A1873">
        <v>2903706</v>
      </c>
      <c r="B1873" t="s">
        <v>2822</v>
      </c>
      <c r="C1873">
        <v>-14.362607943040754</v>
      </c>
      <c r="D1873">
        <v>-40.200521893825403</v>
      </c>
    </row>
    <row r="1874" spans="1:4" x14ac:dyDescent="0.3">
      <c r="A1874">
        <v>2903805</v>
      </c>
      <c r="B1874" t="s">
        <v>2823</v>
      </c>
      <c r="C1874">
        <v>-12.661322192548152</v>
      </c>
      <c r="D1874">
        <v>-40.605742824047283</v>
      </c>
    </row>
    <row r="1875" spans="1:4" x14ac:dyDescent="0.3">
      <c r="A1875">
        <v>2903904</v>
      </c>
      <c r="B1875" t="s">
        <v>2824</v>
      </c>
      <c r="C1875">
        <v>-13.254114373090092</v>
      </c>
      <c r="D1875">
        <v>-43.417141642139008</v>
      </c>
    </row>
    <row r="1876" spans="1:4" x14ac:dyDescent="0.3">
      <c r="A1876">
        <v>2903953</v>
      </c>
      <c r="B1876" t="s">
        <v>2825</v>
      </c>
      <c r="C1876">
        <v>-14.372922294384102</v>
      </c>
      <c r="D1876">
        <v>-40.501176329753022</v>
      </c>
    </row>
    <row r="1877" spans="1:4" x14ac:dyDescent="0.3">
      <c r="A1877">
        <v>2904001</v>
      </c>
      <c r="B1877" t="s">
        <v>2826</v>
      </c>
      <c r="C1877">
        <v>-12.715120792313886</v>
      </c>
      <c r="D1877">
        <v>-41.824328484807197</v>
      </c>
    </row>
    <row r="1878" spans="1:4" x14ac:dyDescent="0.3">
      <c r="A1878">
        <v>2904050</v>
      </c>
      <c r="B1878" t="s">
        <v>1207</v>
      </c>
      <c r="C1878">
        <v>-11.969572502091102</v>
      </c>
      <c r="D1878">
        <v>-41.268402788150503</v>
      </c>
    </row>
    <row r="1879" spans="1:4" x14ac:dyDescent="0.3">
      <c r="A1879">
        <v>2904100</v>
      </c>
      <c r="B1879" t="s">
        <v>2827</v>
      </c>
      <c r="C1879">
        <v>-12.820822830017502</v>
      </c>
      <c r="D1879">
        <v>-42.730115401217645</v>
      </c>
    </row>
    <row r="1880" spans="1:4" x14ac:dyDescent="0.3">
      <c r="A1880">
        <v>2904209</v>
      </c>
      <c r="B1880" t="s">
        <v>2828</v>
      </c>
      <c r="C1880">
        <v>-13.380866213678301</v>
      </c>
      <c r="D1880">
        <v>-42.52927755896679</v>
      </c>
    </row>
    <row r="1881" spans="1:4" x14ac:dyDescent="0.3">
      <c r="A1881">
        <v>2904308</v>
      </c>
      <c r="B1881" t="s">
        <v>2829</v>
      </c>
      <c r="C1881">
        <v>-13.105536483186002</v>
      </c>
      <c r="D1881">
        <v>-39.793491592657297</v>
      </c>
    </row>
    <row r="1882" spans="1:4" x14ac:dyDescent="0.3">
      <c r="A1882">
        <v>2904407</v>
      </c>
      <c r="B1882" t="s">
        <v>2830</v>
      </c>
      <c r="C1882">
        <v>-12.486693342119002</v>
      </c>
      <c r="D1882">
        <v>-43.965664594292129</v>
      </c>
    </row>
    <row r="1883" spans="1:4" x14ac:dyDescent="0.3">
      <c r="A1883">
        <v>2904506</v>
      </c>
      <c r="B1883" t="s">
        <v>2831</v>
      </c>
      <c r="C1883">
        <v>-12.002635537304101</v>
      </c>
      <c r="D1883">
        <v>-42.624691289343097</v>
      </c>
    </row>
    <row r="1884" spans="1:4" x14ac:dyDescent="0.3">
      <c r="A1884">
        <v>2904605</v>
      </c>
      <c r="B1884" t="s">
        <v>2832</v>
      </c>
      <c r="C1884">
        <v>-14.205438240659701</v>
      </c>
      <c r="D1884">
        <v>-41.667069503666426</v>
      </c>
    </row>
    <row r="1885" spans="1:4" x14ac:dyDescent="0.3">
      <c r="A1885">
        <v>2904704</v>
      </c>
      <c r="B1885" t="s">
        <v>2833</v>
      </c>
      <c r="C1885">
        <v>-14.956440836604553</v>
      </c>
      <c r="D1885">
        <v>-39.302519605787062</v>
      </c>
    </row>
    <row r="1886" spans="1:4" x14ac:dyDescent="0.3">
      <c r="A1886">
        <v>2904753</v>
      </c>
      <c r="B1886" t="s">
        <v>2834</v>
      </c>
      <c r="C1886">
        <v>-10.711791466319353</v>
      </c>
      <c r="D1886">
        <v>-43.631380898239762</v>
      </c>
    </row>
    <row r="1887" spans="1:4" x14ac:dyDescent="0.3">
      <c r="A1887">
        <v>2904803</v>
      </c>
      <c r="B1887" t="s">
        <v>2835</v>
      </c>
      <c r="C1887">
        <v>-14.978550635183904</v>
      </c>
      <c r="D1887">
        <v>-40.410272475343824</v>
      </c>
    </row>
    <row r="1888" spans="1:4" x14ac:dyDescent="0.3">
      <c r="A1888">
        <v>2904852</v>
      </c>
      <c r="B1888" t="s">
        <v>2836</v>
      </c>
      <c r="C1888">
        <v>-12.537135785354103</v>
      </c>
      <c r="D1888">
        <v>-39.186713092240375</v>
      </c>
    </row>
    <row r="1889" spans="1:4" x14ac:dyDescent="0.3">
      <c r="A1889">
        <v>2904902</v>
      </c>
      <c r="B1889" t="s">
        <v>2837</v>
      </c>
      <c r="C1889">
        <v>-12.596210798462652</v>
      </c>
      <c r="D1889">
        <v>-38.969398068982308</v>
      </c>
    </row>
    <row r="1890" spans="1:4" x14ac:dyDescent="0.3">
      <c r="A1890">
        <v>2905008</v>
      </c>
      <c r="B1890" t="s">
        <v>2838</v>
      </c>
      <c r="C1890">
        <v>-14.504206197135904</v>
      </c>
      <c r="D1890">
        <v>-42.221414099608722</v>
      </c>
    </row>
    <row r="1891" spans="1:4" x14ac:dyDescent="0.3">
      <c r="A1891">
        <v>2905107</v>
      </c>
      <c r="B1891" t="s">
        <v>2839</v>
      </c>
      <c r="C1891">
        <v>-11.093091517484551</v>
      </c>
      <c r="D1891">
        <v>-40.437311940715439</v>
      </c>
    </row>
    <row r="1892" spans="1:4" x14ac:dyDescent="0.3">
      <c r="A1892">
        <v>2905156</v>
      </c>
      <c r="B1892" t="s">
        <v>2840</v>
      </c>
      <c r="C1892">
        <v>-14.338562967367704</v>
      </c>
      <c r="D1892">
        <v>-40.90928963922574</v>
      </c>
    </row>
    <row r="1893" spans="1:4" x14ac:dyDescent="0.3">
      <c r="A1893">
        <v>2905206</v>
      </c>
      <c r="B1893" t="s">
        <v>2841</v>
      </c>
      <c r="C1893">
        <v>-14.066754319124602</v>
      </c>
      <c r="D1893">
        <v>-42.4857114474597</v>
      </c>
    </row>
    <row r="1894" spans="1:4" x14ac:dyDescent="0.3">
      <c r="A1894">
        <v>2905305</v>
      </c>
      <c r="B1894" t="s">
        <v>2842</v>
      </c>
      <c r="C1894">
        <v>-11.691356219057701</v>
      </c>
      <c r="D1894">
        <v>-41.472221513328527</v>
      </c>
    </row>
    <row r="1895" spans="1:4" x14ac:dyDescent="0.3">
      <c r="A1895">
        <v>2905404</v>
      </c>
      <c r="B1895" t="s">
        <v>2843</v>
      </c>
      <c r="C1895">
        <v>-13.487603401349702</v>
      </c>
      <c r="D1895">
        <v>-39.043254355085168</v>
      </c>
    </row>
    <row r="1896" spans="1:4" x14ac:dyDescent="0.3">
      <c r="A1896">
        <v>2905503</v>
      </c>
      <c r="B1896" t="s">
        <v>2844</v>
      </c>
      <c r="C1896">
        <v>-11.022155776889553</v>
      </c>
      <c r="D1896">
        <v>-40.307370359495998</v>
      </c>
    </row>
    <row r="1897" spans="1:4" x14ac:dyDescent="0.3">
      <c r="A1897">
        <v>2905602</v>
      </c>
      <c r="B1897" t="s">
        <v>2845</v>
      </c>
      <c r="C1897">
        <v>-15.417626851830951</v>
      </c>
      <c r="D1897">
        <v>-39.49636733149174</v>
      </c>
    </row>
    <row r="1898" spans="1:4" x14ac:dyDescent="0.3">
      <c r="A1898">
        <v>2905701</v>
      </c>
      <c r="B1898" t="s">
        <v>2846</v>
      </c>
      <c r="C1898">
        <v>-12.698816760000003</v>
      </c>
      <c r="D1898">
        <v>-38.325740062065186</v>
      </c>
    </row>
    <row r="1899" spans="1:4" x14ac:dyDescent="0.3">
      <c r="A1899">
        <v>2905800</v>
      </c>
      <c r="B1899" t="s">
        <v>2847</v>
      </c>
      <c r="C1899">
        <v>-13.947076340589604</v>
      </c>
      <c r="D1899">
        <v>-39.100569717488149</v>
      </c>
    </row>
    <row r="1900" spans="1:4" x14ac:dyDescent="0.3">
      <c r="A1900">
        <v>2905909</v>
      </c>
      <c r="B1900" t="s">
        <v>2848</v>
      </c>
      <c r="C1900">
        <v>-9.5171541139999363</v>
      </c>
      <c r="D1900">
        <v>-43.012298439090365</v>
      </c>
    </row>
    <row r="1901" spans="1:4" x14ac:dyDescent="0.3">
      <c r="A1901">
        <v>2906006</v>
      </c>
      <c r="B1901" t="s">
        <v>2849</v>
      </c>
      <c r="C1901">
        <v>-10.505661554543801</v>
      </c>
      <c r="D1901">
        <v>-40.318820987099869</v>
      </c>
    </row>
    <row r="1902" spans="1:4" x14ac:dyDescent="0.3">
      <c r="A1902">
        <v>2906105</v>
      </c>
      <c r="B1902" t="s">
        <v>2850</v>
      </c>
      <c r="C1902">
        <v>-13.075911497672353</v>
      </c>
      <c r="D1902">
        <v>-44.205028985375328</v>
      </c>
    </row>
    <row r="1903" spans="1:4" x14ac:dyDescent="0.3">
      <c r="A1903">
        <v>2906204</v>
      </c>
      <c r="B1903" t="s">
        <v>2851</v>
      </c>
      <c r="C1903">
        <v>-11.687583313966702</v>
      </c>
      <c r="D1903">
        <v>-41.765492231986691</v>
      </c>
    </row>
    <row r="1904" spans="1:4" x14ac:dyDescent="0.3">
      <c r="A1904">
        <v>2906303</v>
      </c>
      <c r="B1904" t="s">
        <v>2852</v>
      </c>
      <c r="C1904">
        <v>-15.679777476531401</v>
      </c>
      <c r="D1904">
        <v>-38.947375874639569</v>
      </c>
    </row>
    <row r="1905" spans="1:4" x14ac:dyDescent="0.3">
      <c r="A1905">
        <v>2906402</v>
      </c>
      <c r="B1905" t="s">
        <v>2853</v>
      </c>
      <c r="C1905">
        <v>-11.804970230028903</v>
      </c>
      <c r="D1905">
        <v>-39.123718495476382</v>
      </c>
    </row>
    <row r="1906" spans="1:4" x14ac:dyDescent="0.3">
      <c r="A1906">
        <v>2906501</v>
      </c>
      <c r="B1906" t="s">
        <v>2854</v>
      </c>
      <c r="C1906">
        <v>-12.671922705268152</v>
      </c>
      <c r="D1906">
        <v>-38.543596267525409</v>
      </c>
    </row>
    <row r="1907" spans="1:4" x14ac:dyDescent="0.3">
      <c r="A1907">
        <v>2906600</v>
      </c>
      <c r="B1907" t="s">
        <v>2855</v>
      </c>
      <c r="C1907">
        <v>-14.413186503109452</v>
      </c>
      <c r="D1907">
        <v>-42.864402335239909</v>
      </c>
    </row>
    <row r="1908" spans="1:4" x14ac:dyDescent="0.3">
      <c r="A1908">
        <v>2906709</v>
      </c>
      <c r="B1908" t="s">
        <v>2856</v>
      </c>
      <c r="C1908">
        <v>-15.506066350790253</v>
      </c>
      <c r="D1908">
        <v>-41.241117594583095</v>
      </c>
    </row>
    <row r="1909" spans="1:4" x14ac:dyDescent="0.3">
      <c r="A1909">
        <v>2906808</v>
      </c>
      <c r="B1909" t="s">
        <v>2857</v>
      </c>
      <c r="C1909">
        <v>-10.666749914865703</v>
      </c>
      <c r="D1909">
        <v>-39.496605006460747</v>
      </c>
    </row>
    <row r="1910" spans="1:4" x14ac:dyDescent="0.3">
      <c r="A1910">
        <v>2906824</v>
      </c>
      <c r="B1910" t="s">
        <v>2858</v>
      </c>
      <c r="C1910">
        <v>-9.8906729609418047</v>
      </c>
      <c r="D1910">
        <v>-39.024071242689047</v>
      </c>
    </row>
    <row r="1911" spans="1:4" x14ac:dyDescent="0.3">
      <c r="A1911">
        <v>2906857</v>
      </c>
      <c r="B1911" t="s">
        <v>2859</v>
      </c>
      <c r="C1911">
        <v>-11.670081643326151</v>
      </c>
      <c r="D1911">
        <v>-39.835355309102802</v>
      </c>
    </row>
    <row r="1912" spans="1:4" x14ac:dyDescent="0.3">
      <c r="A1912">
        <v>2906873</v>
      </c>
      <c r="B1912" t="s">
        <v>2860</v>
      </c>
      <c r="C1912">
        <v>-11.381574457644852</v>
      </c>
      <c r="D1912">
        <v>-40.011000611717456</v>
      </c>
    </row>
    <row r="1913" spans="1:4" x14ac:dyDescent="0.3">
      <c r="A1913">
        <v>2906899</v>
      </c>
      <c r="B1913" t="s">
        <v>2861</v>
      </c>
      <c r="C1913">
        <v>-14.722069493740003</v>
      </c>
      <c r="D1913">
        <v>-41.265431323669226</v>
      </c>
    </row>
    <row r="1914" spans="1:4" x14ac:dyDescent="0.3">
      <c r="A1914">
        <v>2906907</v>
      </c>
      <c r="B1914" t="s">
        <v>2862</v>
      </c>
      <c r="C1914">
        <v>-17.733370527489502</v>
      </c>
      <c r="D1914">
        <v>-39.25338222137222</v>
      </c>
    </row>
    <row r="1915" spans="1:4" x14ac:dyDescent="0.3">
      <c r="A1915">
        <v>2907004</v>
      </c>
      <c r="B1915" t="s">
        <v>2863</v>
      </c>
      <c r="C1915">
        <v>-11.940767406360653</v>
      </c>
      <c r="D1915">
        <v>-37.945476582969789</v>
      </c>
    </row>
    <row r="1916" spans="1:4" x14ac:dyDescent="0.3">
      <c r="A1916">
        <v>2907103</v>
      </c>
      <c r="B1916" t="s">
        <v>2864</v>
      </c>
      <c r="C1916">
        <v>-14.302006903550302</v>
      </c>
      <c r="D1916">
        <v>-43.76177720093915</v>
      </c>
    </row>
    <row r="1917" spans="1:4" x14ac:dyDescent="0.3">
      <c r="A1917">
        <v>2907202</v>
      </c>
      <c r="B1917" t="s">
        <v>2865</v>
      </c>
      <c r="C1917">
        <v>-9.1785945740886259</v>
      </c>
      <c r="D1917">
        <v>-40.975796926870935</v>
      </c>
    </row>
    <row r="1918" spans="1:4" x14ac:dyDescent="0.3">
      <c r="A1918">
        <v>2907301</v>
      </c>
      <c r="B1918" t="s">
        <v>2866</v>
      </c>
      <c r="C1918">
        <v>-12.765832636912352</v>
      </c>
      <c r="D1918">
        <v>-39.426519430321967</v>
      </c>
    </row>
    <row r="1919" spans="1:4" x14ac:dyDescent="0.3">
      <c r="A1919">
        <v>2907400</v>
      </c>
      <c r="B1919" t="s">
        <v>2867</v>
      </c>
      <c r="C1919">
        <v>-12.316005938494703</v>
      </c>
      <c r="D1919">
        <v>-44.859770283359374</v>
      </c>
    </row>
    <row r="1920" spans="1:4" x14ac:dyDescent="0.3">
      <c r="A1920">
        <v>2907509</v>
      </c>
      <c r="B1920" t="s">
        <v>2868</v>
      </c>
      <c r="C1920">
        <v>-12.355186558850651</v>
      </c>
      <c r="D1920">
        <v>-38.376294303554069</v>
      </c>
    </row>
    <row r="1921" spans="1:4" x14ac:dyDescent="0.3">
      <c r="A1921">
        <v>2907558</v>
      </c>
      <c r="B1921" t="s">
        <v>2869</v>
      </c>
      <c r="C1921">
        <v>-13.328201350401054</v>
      </c>
      <c r="D1921">
        <v>-42.296406643746721</v>
      </c>
    </row>
    <row r="1922" spans="1:4" x14ac:dyDescent="0.3">
      <c r="A1922">
        <v>2907608</v>
      </c>
      <c r="B1922" t="s">
        <v>2870</v>
      </c>
      <c r="C1922">
        <v>-11.137988582854003</v>
      </c>
      <c r="D1922">
        <v>-42.112348975140108</v>
      </c>
    </row>
    <row r="1923" spans="1:4" x14ac:dyDescent="0.3">
      <c r="A1923">
        <v>2907707</v>
      </c>
      <c r="B1923" t="s">
        <v>2871</v>
      </c>
      <c r="C1923">
        <v>-8.9754778040128755</v>
      </c>
      <c r="D1923">
        <v>-39.10237007741511</v>
      </c>
    </row>
    <row r="1924" spans="1:4" x14ac:dyDescent="0.3">
      <c r="A1924">
        <v>2907806</v>
      </c>
      <c r="B1924" t="s">
        <v>2872</v>
      </c>
      <c r="C1924">
        <v>-10.592171531925102</v>
      </c>
      <c r="D1924">
        <v>-38.383419127869594</v>
      </c>
    </row>
    <row r="1925" spans="1:4" x14ac:dyDescent="0.3">
      <c r="A1925">
        <v>2907905</v>
      </c>
      <c r="B1925" t="s">
        <v>2873</v>
      </c>
      <c r="C1925">
        <v>-11.101143564144552</v>
      </c>
      <c r="D1925">
        <v>-38.517129397940451</v>
      </c>
    </row>
    <row r="1926" spans="1:4" x14ac:dyDescent="0.3">
      <c r="A1926">
        <v>2908002</v>
      </c>
      <c r="B1926" t="s">
        <v>2874</v>
      </c>
      <c r="C1926">
        <v>-14.636814202802251</v>
      </c>
      <c r="D1926">
        <v>-39.552304255924447</v>
      </c>
    </row>
    <row r="1927" spans="1:4" x14ac:dyDescent="0.3">
      <c r="A1927">
        <v>2908101</v>
      </c>
      <c r="B1927" t="s">
        <v>2875</v>
      </c>
      <c r="C1927">
        <v>-14.1710775452171</v>
      </c>
      <c r="D1927">
        <v>-44.545668858122248</v>
      </c>
    </row>
    <row r="1928" spans="1:4" x14ac:dyDescent="0.3">
      <c r="A1928">
        <v>2908200</v>
      </c>
      <c r="B1928" t="s">
        <v>2876</v>
      </c>
      <c r="C1928">
        <v>-12.503991911881004</v>
      </c>
      <c r="D1928">
        <v>-38.999780798243741</v>
      </c>
    </row>
    <row r="1929" spans="1:4" x14ac:dyDescent="0.3">
      <c r="A1929">
        <v>2908309</v>
      </c>
      <c r="B1929" t="s">
        <v>2877</v>
      </c>
      <c r="C1929">
        <v>-12.778020322423602</v>
      </c>
      <c r="D1929">
        <v>-39.170946449376309</v>
      </c>
    </row>
    <row r="1930" spans="1:4" x14ac:dyDescent="0.3">
      <c r="A1930">
        <v>2908408</v>
      </c>
      <c r="B1930" t="s">
        <v>2878</v>
      </c>
      <c r="C1930">
        <v>-11.561825845863401</v>
      </c>
      <c r="D1930">
        <v>-39.281684178227799</v>
      </c>
    </row>
    <row r="1931" spans="1:4" x14ac:dyDescent="0.3">
      <c r="A1931">
        <v>2908507</v>
      </c>
      <c r="B1931" t="s">
        <v>2879</v>
      </c>
      <c r="C1931">
        <v>-12.322946459029003</v>
      </c>
      <c r="D1931">
        <v>-38.763673716522725</v>
      </c>
    </row>
    <row r="1932" spans="1:4" x14ac:dyDescent="0.3">
      <c r="A1932">
        <v>2908606</v>
      </c>
      <c r="B1932" t="s">
        <v>2302</v>
      </c>
      <c r="C1932">
        <v>-11.813431761046251</v>
      </c>
      <c r="D1932">
        <v>-37.606977982063093</v>
      </c>
    </row>
    <row r="1933" spans="1:4" x14ac:dyDescent="0.3">
      <c r="A1933">
        <v>2908705</v>
      </c>
      <c r="B1933" t="s">
        <v>2880</v>
      </c>
      <c r="C1933">
        <v>-14.890410364848451</v>
      </c>
      <c r="D1933">
        <v>-41.970809538344703</v>
      </c>
    </row>
    <row r="1934" spans="1:4" x14ac:dyDescent="0.3">
      <c r="A1934">
        <v>2908804</v>
      </c>
      <c r="B1934" t="s">
        <v>2881</v>
      </c>
      <c r="C1934">
        <v>-13.755496827895552</v>
      </c>
      <c r="D1934">
        <v>-41.046318063950856</v>
      </c>
    </row>
    <row r="1935" spans="1:4" x14ac:dyDescent="0.3">
      <c r="A1935">
        <v>2908903</v>
      </c>
      <c r="B1935" t="s">
        <v>2882</v>
      </c>
      <c r="C1935">
        <v>-12.247921010061477</v>
      </c>
      <c r="D1935">
        <v>-38.750516547366608</v>
      </c>
    </row>
    <row r="1936" spans="1:4" x14ac:dyDescent="0.3">
      <c r="A1936">
        <v>2909000</v>
      </c>
      <c r="B1936" t="s">
        <v>2883</v>
      </c>
      <c r="C1936">
        <v>-15.037234108912804</v>
      </c>
      <c r="D1936">
        <v>-41.935733906734804</v>
      </c>
    </row>
    <row r="1937" spans="1:4" x14ac:dyDescent="0.3">
      <c r="A1937">
        <v>2909109</v>
      </c>
      <c r="B1937" t="s">
        <v>2884</v>
      </c>
      <c r="C1937">
        <v>-13.827841605821453</v>
      </c>
      <c r="D1937">
        <v>-44.453036434916868</v>
      </c>
    </row>
    <row r="1938" spans="1:4" x14ac:dyDescent="0.3">
      <c r="A1938">
        <v>2909208</v>
      </c>
      <c r="B1938" t="s">
        <v>2885</v>
      </c>
      <c r="C1938">
        <v>-10.279395400226003</v>
      </c>
      <c r="D1938">
        <v>-37.932964337614095</v>
      </c>
    </row>
    <row r="1939" spans="1:4" x14ac:dyDescent="0.3">
      <c r="A1939">
        <v>2909307</v>
      </c>
      <c r="B1939" t="s">
        <v>2886</v>
      </c>
      <c r="C1939">
        <v>-13.341771821210504</v>
      </c>
      <c r="D1939">
        <v>-44.641086701211037</v>
      </c>
    </row>
    <row r="1940" spans="1:4" x14ac:dyDescent="0.3">
      <c r="A1940">
        <v>2909406</v>
      </c>
      <c r="B1940" t="s">
        <v>2887</v>
      </c>
      <c r="C1940">
        <v>-12.028597383615502</v>
      </c>
      <c r="D1940">
        <v>-44.252476137662278</v>
      </c>
    </row>
    <row r="1941" spans="1:4" x14ac:dyDescent="0.3">
      <c r="A1941">
        <v>2909505</v>
      </c>
      <c r="B1941" t="s">
        <v>2888</v>
      </c>
      <c r="C1941">
        <v>-13.362623064040301</v>
      </c>
      <c r="D1941">
        <v>-39.812711748674609</v>
      </c>
    </row>
    <row r="1942" spans="1:4" x14ac:dyDescent="0.3">
      <c r="A1942">
        <v>2909604</v>
      </c>
      <c r="B1942" t="s">
        <v>2889</v>
      </c>
      <c r="C1942">
        <v>-11.517789923610101</v>
      </c>
      <c r="D1942">
        <v>-38.151715817306645</v>
      </c>
    </row>
    <row r="1943" spans="1:4" x14ac:dyDescent="0.3">
      <c r="A1943">
        <v>2909703</v>
      </c>
      <c r="B1943" t="s">
        <v>2890</v>
      </c>
      <c r="C1943">
        <v>-12.231450808966203</v>
      </c>
      <c r="D1943">
        <v>-44.41184189629999</v>
      </c>
    </row>
    <row r="1944" spans="1:4" x14ac:dyDescent="0.3">
      <c r="A1944">
        <v>2909802</v>
      </c>
      <c r="B1944" t="s">
        <v>2891</v>
      </c>
      <c r="C1944">
        <v>-12.663786212775701</v>
      </c>
      <c r="D1944">
        <v>-39.100736142830577</v>
      </c>
    </row>
    <row r="1945" spans="1:4" x14ac:dyDescent="0.3">
      <c r="A1945">
        <v>2909901</v>
      </c>
      <c r="B1945" t="s">
        <v>2892</v>
      </c>
      <c r="C1945">
        <v>-8.9890321179735455</v>
      </c>
      <c r="D1945">
        <v>-39.908081018942994</v>
      </c>
    </row>
    <row r="1946" spans="1:4" x14ac:dyDescent="0.3">
      <c r="A1946">
        <v>2910008</v>
      </c>
      <c r="B1946" t="s">
        <v>2893</v>
      </c>
      <c r="C1946">
        <v>-14.435047438823503</v>
      </c>
      <c r="D1946">
        <v>-39.902465652841265</v>
      </c>
    </row>
    <row r="1947" spans="1:4" x14ac:dyDescent="0.3">
      <c r="A1947">
        <v>2910057</v>
      </c>
      <c r="B1947" t="s">
        <v>2894</v>
      </c>
      <c r="C1947">
        <v>-12.604368416820503</v>
      </c>
      <c r="D1947">
        <v>-38.297993589850769</v>
      </c>
    </row>
    <row r="1948" spans="1:4" x14ac:dyDescent="0.3">
      <c r="A1948">
        <v>2910107</v>
      </c>
      <c r="B1948" t="s">
        <v>2895</v>
      </c>
      <c r="C1948">
        <v>-13.763326554577052</v>
      </c>
      <c r="D1948">
        <v>-41.770877580695718</v>
      </c>
    </row>
    <row r="1949" spans="1:4" x14ac:dyDescent="0.3">
      <c r="A1949">
        <v>2910206</v>
      </c>
      <c r="B1949" t="s">
        <v>2896</v>
      </c>
      <c r="C1949">
        <v>-12.911489262312953</v>
      </c>
      <c r="D1949">
        <v>-39.188094169582037</v>
      </c>
    </row>
    <row r="1950" spans="1:4" x14ac:dyDescent="0.3">
      <c r="A1950">
        <v>2910305</v>
      </c>
      <c r="B1950" t="s">
        <v>2897</v>
      </c>
      <c r="C1950">
        <v>-12.943325838209265</v>
      </c>
      <c r="D1950">
        <v>-39.520485555149584</v>
      </c>
    </row>
    <row r="1951" spans="1:4" x14ac:dyDescent="0.3">
      <c r="A1951">
        <v>2910404</v>
      </c>
      <c r="B1951" t="s">
        <v>2898</v>
      </c>
      <c r="C1951">
        <v>-15.534580180260704</v>
      </c>
      <c r="D1951">
        <v>-40.90912075011142</v>
      </c>
    </row>
    <row r="1952" spans="1:4" x14ac:dyDescent="0.3">
      <c r="A1952">
        <v>2910503</v>
      </c>
      <c r="B1952" t="s">
        <v>2899</v>
      </c>
      <c r="C1952">
        <v>-11.93726137044335</v>
      </c>
      <c r="D1952">
        <v>-38.078777019755954</v>
      </c>
    </row>
    <row r="1953" spans="1:4" x14ac:dyDescent="0.3">
      <c r="A1953">
        <v>2910602</v>
      </c>
      <c r="B1953" t="s">
        <v>2900</v>
      </c>
      <c r="C1953">
        <v>-11.799409496062001</v>
      </c>
      <c r="D1953">
        <v>-37.944981474098562</v>
      </c>
    </row>
    <row r="1954" spans="1:4" x14ac:dyDescent="0.3">
      <c r="A1954">
        <v>2910701</v>
      </c>
      <c r="B1954" t="s">
        <v>2901</v>
      </c>
      <c r="C1954">
        <v>-10.505818063651901</v>
      </c>
      <c r="D1954">
        <v>-39.014248725136277</v>
      </c>
    </row>
    <row r="1955" spans="1:4" x14ac:dyDescent="0.3">
      <c r="A1955">
        <v>2910727</v>
      </c>
      <c r="B1955" t="s">
        <v>2902</v>
      </c>
      <c r="C1955">
        <v>-16.375167232256405</v>
      </c>
      <c r="D1955">
        <v>-39.584171940986373</v>
      </c>
    </row>
    <row r="1956" spans="1:4" x14ac:dyDescent="0.3">
      <c r="A1956">
        <v>2910750</v>
      </c>
      <c r="B1956" t="s">
        <v>1388</v>
      </c>
      <c r="C1956">
        <v>-10.600170214017341</v>
      </c>
      <c r="D1956">
        <v>-38.20867478286295</v>
      </c>
    </row>
    <row r="1957" spans="1:4" x14ac:dyDescent="0.3">
      <c r="A1957">
        <v>2910776</v>
      </c>
      <c r="B1957" t="s">
        <v>2903</v>
      </c>
      <c r="C1957">
        <v>-14.210564505837151</v>
      </c>
      <c r="D1957">
        <v>-44.283463938437031</v>
      </c>
    </row>
    <row r="1958" spans="1:4" x14ac:dyDescent="0.3">
      <c r="A1958">
        <v>2910800</v>
      </c>
      <c r="B1958" t="s">
        <v>2904</v>
      </c>
      <c r="C1958">
        <v>-12.229284252480051</v>
      </c>
      <c r="D1958">
        <v>-38.960033096321361</v>
      </c>
    </row>
    <row r="1959" spans="1:4" x14ac:dyDescent="0.3">
      <c r="A1959">
        <v>2910859</v>
      </c>
      <c r="B1959" t="s">
        <v>1390</v>
      </c>
      <c r="C1959">
        <v>-10.738464109935251</v>
      </c>
      <c r="D1959">
        <v>-40.137826876783684</v>
      </c>
    </row>
    <row r="1960" spans="1:4" x14ac:dyDescent="0.3">
      <c r="A1960">
        <v>2910909</v>
      </c>
      <c r="B1960" t="s">
        <v>2905</v>
      </c>
      <c r="C1960">
        <v>-14.984935375252054</v>
      </c>
      <c r="D1960">
        <v>-39.921441763627179</v>
      </c>
    </row>
    <row r="1961" spans="1:4" x14ac:dyDescent="0.3">
      <c r="A1961">
        <v>2911006</v>
      </c>
      <c r="B1961" t="s">
        <v>2906</v>
      </c>
      <c r="C1961">
        <v>-14.862798396622702</v>
      </c>
      <c r="D1961">
        <v>-39.656523587408863</v>
      </c>
    </row>
    <row r="1962" spans="1:4" x14ac:dyDescent="0.3">
      <c r="A1962">
        <v>2911105</v>
      </c>
      <c r="B1962" t="s">
        <v>2907</v>
      </c>
      <c r="C1962">
        <v>-11.047032490667902</v>
      </c>
      <c r="D1962">
        <v>-45.19099090972896</v>
      </c>
    </row>
    <row r="1963" spans="1:4" x14ac:dyDescent="0.3">
      <c r="A1963">
        <v>2911204</v>
      </c>
      <c r="B1963" t="s">
        <v>2908</v>
      </c>
      <c r="C1963">
        <v>-13.743780788511252</v>
      </c>
      <c r="D1963">
        <v>-39.486324079291784</v>
      </c>
    </row>
    <row r="1964" spans="1:4" x14ac:dyDescent="0.3">
      <c r="A1964">
        <v>2911253</v>
      </c>
      <c r="B1964" t="s">
        <v>2909</v>
      </c>
      <c r="C1964">
        <v>-11.47089545912525</v>
      </c>
      <c r="D1964">
        <v>-39.786112929978991</v>
      </c>
    </row>
    <row r="1965" spans="1:4" x14ac:dyDescent="0.3">
      <c r="A1965">
        <v>2911303</v>
      </c>
      <c r="B1965" t="s">
        <v>2910</v>
      </c>
      <c r="C1965">
        <v>-11.427531312749851</v>
      </c>
      <c r="D1965">
        <v>-42.504742386103111</v>
      </c>
    </row>
    <row r="1966" spans="1:4" x14ac:dyDescent="0.3">
      <c r="A1966">
        <v>2911402</v>
      </c>
      <c r="B1966" t="s">
        <v>2911</v>
      </c>
      <c r="C1966">
        <v>-9.3401731836454491</v>
      </c>
      <c r="D1966">
        <v>-38.259273230104071</v>
      </c>
    </row>
    <row r="1967" spans="1:4" x14ac:dyDescent="0.3">
      <c r="A1967">
        <v>2911501</v>
      </c>
      <c r="B1967" t="s">
        <v>2912</v>
      </c>
      <c r="C1967">
        <v>-14.323713299330052</v>
      </c>
      <c r="D1967">
        <v>-39.467239654953104</v>
      </c>
    </row>
    <row r="1968" spans="1:4" x14ac:dyDescent="0.3">
      <c r="A1968">
        <v>2911600</v>
      </c>
      <c r="B1968" t="s">
        <v>2913</v>
      </c>
      <c r="C1968">
        <v>-12.601553838444952</v>
      </c>
      <c r="D1968">
        <v>-39.034023614801306</v>
      </c>
    </row>
    <row r="1969" spans="1:4" x14ac:dyDescent="0.3">
      <c r="A1969">
        <v>2911659</v>
      </c>
      <c r="B1969" t="s">
        <v>2914</v>
      </c>
      <c r="C1969">
        <v>-14.546962271672252</v>
      </c>
      <c r="D1969">
        <v>-41.937148166857533</v>
      </c>
    </row>
    <row r="1970" spans="1:4" x14ac:dyDescent="0.3">
      <c r="A1970">
        <v>2911709</v>
      </c>
      <c r="B1970" t="s">
        <v>2915</v>
      </c>
      <c r="C1970">
        <v>-14.225315027007552</v>
      </c>
      <c r="D1970">
        <v>-42.778561966705404</v>
      </c>
    </row>
    <row r="1971" spans="1:4" x14ac:dyDescent="0.3">
      <c r="A1971">
        <v>2911808</v>
      </c>
      <c r="B1971" t="s">
        <v>2916</v>
      </c>
      <c r="C1971">
        <v>-16.581216035563052</v>
      </c>
      <c r="D1971">
        <v>-39.781284470783838</v>
      </c>
    </row>
    <row r="1972" spans="1:4" x14ac:dyDescent="0.3">
      <c r="A1972">
        <v>2911857</v>
      </c>
      <c r="B1972" t="s">
        <v>2917</v>
      </c>
      <c r="C1972">
        <v>-10.675298788028451</v>
      </c>
      <c r="D1972">
        <v>-38.280233042269721</v>
      </c>
    </row>
    <row r="1973" spans="1:4" x14ac:dyDescent="0.3">
      <c r="A1973">
        <v>2911907</v>
      </c>
      <c r="B1973" t="s">
        <v>2918</v>
      </c>
      <c r="C1973">
        <v>-12.769137786530601</v>
      </c>
      <c r="D1973">
        <v>-40.213365234988821</v>
      </c>
    </row>
    <row r="1974" spans="1:4" x14ac:dyDescent="0.3">
      <c r="A1974">
        <v>2912004</v>
      </c>
      <c r="B1974" t="s">
        <v>2919</v>
      </c>
      <c r="C1974">
        <v>-14.276702534528114</v>
      </c>
      <c r="D1974">
        <v>-42.255774354665228</v>
      </c>
    </row>
    <row r="1975" spans="1:4" x14ac:dyDescent="0.3">
      <c r="A1975">
        <v>2912103</v>
      </c>
      <c r="B1975" t="s">
        <v>2920</v>
      </c>
      <c r="C1975">
        <v>-14.865763141379302</v>
      </c>
      <c r="D1975">
        <v>-39.591541203488141</v>
      </c>
    </row>
    <row r="1976" spans="1:4" x14ac:dyDescent="0.3">
      <c r="A1976">
        <v>2912202</v>
      </c>
      <c r="B1976" t="s">
        <v>2921</v>
      </c>
      <c r="C1976">
        <v>-13.426327208778304</v>
      </c>
      <c r="D1976">
        <v>-41.272065808078452</v>
      </c>
    </row>
    <row r="1977" spans="1:4" x14ac:dyDescent="0.3">
      <c r="A1977">
        <v>2912301</v>
      </c>
      <c r="B1977" t="s">
        <v>2922</v>
      </c>
      <c r="C1977">
        <v>-14.843090365087551</v>
      </c>
      <c r="D1977">
        <v>-39.989832105684719</v>
      </c>
    </row>
    <row r="1978" spans="1:4" x14ac:dyDescent="0.3">
      <c r="A1978">
        <v>2912400</v>
      </c>
      <c r="B1978" t="s">
        <v>2923</v>
      </c>
      <c r="C1978">
        <v>-11.637526443155751</v>
      </c>
      <c r="D1978">
        <v>-42.011248439896015</v>
      </c>
    </row>
    <row r="1979" spans="1:4" x14ac:dyDescent="0.3">
      <c r="A1979">
        <v>2912509</v>
      </c>
      <c r="B1979" t="s">
        <v>2924</v>
      </c>
      <c r="C1979">
        <v>-12.879106145324203</v>
      </c>
      <c r="D1979">
        <v>-42.491228741241834</v>
      </c>
    </row>
    <row r="1980" spans="1:4" x14ac:dyDescent="0.3">
      <c r="A1980">
        <v>2912608</v>
      </c>
      <c r="B1980" t="s">
        <v>2925</v>
      </c>
      <c r="C1980">
        <v>-12.64992861262135</v>
      </c>
      <c r="D1980">
        <v>-40.93542100189206</v>
      </c>
    </row>
    <row r="1981" spans="1:4" x14ac:dyDescent="0.3">
      <c r="A1981">
        <v>2912707</v>
      </c>
      <c r="B1981" t="s">
        <v>2926</v>
      </c>
      <c r="C1981">
        <v>-14.165032496122503</v>
      </c>
      <c r="D1981">
        <v>-39.374466532740122</v>
      </c>
    </row>
    <row r="1982" spans="1:4" x14ac:dyDescent="0.3">
      <c r="A1982">
        <v>2912806</v>
      </c>
      <c r="B1982" t="s">
        <v>2927</v>
      </c>
      <c r="C1982">
        <v>-17.684197144216451</v>
      </c>
      <c r="D1982">
        <v>-40.106309411541893</v>
      </c>
    </row>
    <row r="1983" spans="1:4" x14ac:dyDescent="0.3">
      <c r="A1983">
        <v>2912905</v>
      </c>
      <c r="B1983" t="s">
        <v>2928</v>
      </c>
      <c r="C1983">
        <v>-14.067269080810652</v>
      </c>
      <c r="D1983">
        <v>-39.640918888922776</v>
      </c>
    </row>
    <row r="1984" spans="1:4" x14ac:dyDescent="0.3">
      <c r="A1984">
        <v>2913002</v>
      </c>
      <c r="B1984" t="s">
        <v>2929</v>
      </c>
      <c r="C1984">
        <v>-12.645513704239152</v>
      </c>
      <c r="D1984">
        <v>-42.213294323498964</v>
      </c>
    </row>
    <row r="1985" spans="1:4" x14ac:dyDescent="0.3">
      <c r="A1985">
        <v>2913101</v>
      </c>
      <c r="B1985" t="s">
        <v>2930</v>
      </c>
      <c r="C1985">
        <v>-11.5527707224075</v>
      </c>
      <c r="D1985">
        <v>-41.975152150074464</v>
      </c>
    </row>
    <row r="1986" spans="1:4" x14ac:dyDescent="0.3">
      <c r="A1986">
        <v>2913200</v>
      </c>
      <c r="B1986" t="s">
        <v>2931</v>
      </c>
      <c r="C1986">
        <v>-12.184013569044852</v>
      </c>
      <c r="D1986">
        <v>-43.218696264965466</v>
      </c>
    </row>
    <row r="1987" spans="1:4" x14ac:dyDescent="0.3">
      <c r="A1987">
        <v>2913309</v>
      </c>
      <c r="B1987" t="s">
        <v>2932</v>
      </c>
      <c r="C1987">
        <v>-11.755249873667502</v>
      </c>
      <c r="D1987">
        <v>-39.188716305461874</v>
      </c>
    </row>
    <row r="1988" spans="1:4" x14ac:dyDescent="0.3">
      <c r="A1988">
        <v>2913408</v>
      </c>
      <c r="B1988" t="s">
        <v>2933</v>
      </c>
      <c r="C1988">
        <v>-13.767976477529253</v>
      </c>
      <c r="D1988">
        <v>-42.717879807498925</v>
      </c>
    </row>
    <row r="1989" spans="1:4" x14ac:dyDescent="0.3">
      <c r="A1989">
        <v>2913457</v>
      </c>
      <c r="B1989" t="s">
        <v>2934</v>
      </c>
      <c r="C1989">
        <v>-13.820402442339702</v>
      </c>
      <c r="D1989">
        <v>-39.140080797871605</v>
      </c>
    </row>
    <row r="1990" spans="1:4" x14ac:dyDescent="0.3">
      <c r="A1990">
        <v>2913507</v>
      </c>
      <c r="B1990" t="s">
        <v>2935</v>
      </c>
      <c r="C1990">
        <v>-14.757962525569752</v>
      </c>
      <c r="D1990">
        <v>-40.097513450570716</v>
      </c>
    </row>
    <row r="1991" spans="1:4" x14ac:dyDescent="0.3">
      <c r="A1991">
        <v>2913606</v>
      </c>
      <c r="B1991" t="s">
        <v>2936</v>
      </c>
      <c r="C1991">
        <v>-14.793320269725204</v>
      </c>
      <c r="D1991">
        <v>-39.043184286942569</v>
      </c>
    </row>
    <row r="1992" spans="1:4" x14ac:dyDescent="0.3">
      <c r="A1992">
        <v>2913705</v>
      </c>
      <c r="B1992" t="s">
        <v>2937</v>
      </c>
      <c r="C1992">
        <v>-11.789127464093202</v>
      </c>
      <c r="D1992">
        <v>-38.354019270603196</v>
      </c>
    </row>
    <row r="1993" spans="1:4" x14ac:dyDescent="0.3">
      <c r="A1993">
        <v>2913804</v>
      </c>
      <c r="B1993" t="s">
        <v>2938</v>
      </c>
      <c r="C1993">
        <v>-12.314199306347101</v>
      </c>
      <c r="D1993">
        <v>-39.306025638363387</v>
      </c>
    </row>
    <row r="1994" spans="1:4" x14ac:dyDescent="0.3">
      <c r="A1994">
        <v>2913903</v>
      </c>
      <c r="B1994" t="s">
        <v>2939</v>
      </c>
      <c r="C1994">
        <v>-14.137473671262853</v>
      </c>
      <c r="D1994">
        <v>-39.735654180210098</v>
      </c>
    </row>
    <row r="1995" spans="1:4" x14ac:dyDescent="0.3">
      <c r="A1995">
        <v>2914000</v>
      </c>
      <c r="B1995" t="s">
        <v>2940</v>
      </c>
      <c r="C1995">
        <v>-12.160286880895702</v>
      </c>
      <c r="D1995">
        <v>-39.740708484939567</v>
      </c>
    </row>
    <row r="1996" spans="1:4" x14ac:dyDescent="0.3">
      <c r="A1996">
        <v>2914109</v>
      </c>
      <c r="B1996" t="s">
        <v>2941</v>
      </c>
      <c r="C1996">
        <v>-11.828827400865354</v>
      </c>
      <c r="D1996">
        <v>-42.610688853898147</v>
      </c>
    </row>
    <row r="1997" spans="1:4" x14ac:dyDescent="0.3">
      <c r="A1997">
        <v>2914208</v>
      </c>
      <c r="B1997" t="s">
        <v>2942</v>
      </c>
      <c r="C1997">
        <v>-13.256610153351053</v>
      </c>
      <c r="D1997">
        <v>-40.083851800912818</v>
      </c>
    </row>
    <row r="1998" spans="1:4" x14ac:dyDescent="0.3">
      <c r="A1998">
        <v>2914307</v>
      </c>
      <c r="B1998" t="s">
        <v>2943</v>
      </c>
      <c r="C1998">
        <v>-13.293651193414151</v>
      </c>
      <c r="D1998">
        <v>-40.969582478347569</v>
      </c>
    </row>
    <row r="1999" spans="1:4" x14ac:dyDescent="0.3">
      <c r="A1999">
        <v>2914406</v>
      </c>
      <c r="B1999" t="s">
        <v>2944</v>
      </c>
      <c r="C1999">
        <v>-12.243501016417552</v>
      </c>
      <c r="D1999">
        <v>-41.617958857391159</v>
      </c>
    </row>
    <row r="2000" spans="1:4" x14ac:dyDescent="0.3">
      <c r="A2000">
        <v>2914505</v>
      </c>
      <c r="B2000" t="s">
        <v>2945</v>
      </c>
      <c r="C2000">
        <v>-12.033703963162552</v>
      </c>
      <c r="D2000">
        <v>-38.771650778379446</v>
      </c>
    </row>
    <row r="2001" spans="1:4" x14ac:dyDescent="0.3">
      <c r="A2001">
        <v>2914604</v>
      </c>
      <c r="B2001" t="s">
        <v>2946</v>
      </c>
      <c r="C2001">
        <v>-11.303379624294402</v>
      </c>
      <c r="D2001">
        <v>-41.858860475861192</v>
      </c>
    </row>
    <row r="2002" spans="1:4" x14ac:dyDescent="0.3">
      <c r="A2002">
        <v>2914653</v>
      </c>
      <c r="B2002" t="s">
        <v>2947</v>
      </c>
      <c r="C2002">
        <v>-16.575836056751353</v>
      </c>
      <c r="D2002">
        <v>-39.553237775079573</v>
      </c>
    </row>
    <row r="2003" spans="1:4" x14ac:dyDescent="0.3">
      <c r="A2003">
        <v>2914703</v>
      </c>
      <c r="B2003" t="s">
        <v>2948</v>
      </c>
      <c r="C2003">
        <v>-12.532254088978704</v>
      </c>
      <c r="D2003">
        <v>-40.306994919739992</v>
      </c>
    </row>
    <row r="2004" spans="1:4" x14ac:dyDescent="0.3">
      <c r="A2004">
        <v>2914802</v>
      </c>
      <c r="B2004" t="s">
        <v>2949</v>
      </c>
      <c r="C2004">
        <v>-14.789039548603002</v>
      </c>
      <c r="D2004">
        <v>-39.273108952008137</v>
      </c>
    </row>
    <row r="2005" spans="1:4" x14ac:dyDescent="0.3">
      <c r="A2005">
        <v>2914901</v>
      </c>
      <c r="B2005" t="s">
        <v>2950</v>
      </c>
      <c r="C2005">
        <v>-14.278249285586952</v>
      </c>
      <c r="D2005">
        <v>-38.994841553101793</v>
      </c>
    </row>
    <row r="2006" spans="1:4" x14ac:dyDescent="0.3">
      <c r="A2006">
        <v>2915007</v>
      </c>
      <c r="B2006" t="s">
        <v>2951</v>
      </c>
      <c r="C2006">
        <v>-12.982033994503801</v>
      </c>
      <c r="D2006">
        <v>-40.963418774905797</v>
      </c>
    </row>
    <row r="2007" spans="1:4" x14ac:dyDescent="0.3">
      <c r="A2007">
        <v>2915106</v>
      </c>
      <c r="B2007" t="s">
        <v>2952</v>
      </c>
      <c r="C2007">
        <v>-14.161793717793554</v>
      </c>
      <c r="D2007">
        <v>-40.013624993101324</v>
      </c>
    </row>
    <row r="2008" spans="1:4" x14ac:dyDescent="0.3">
      <c r="A2008">
        <v>2915205</v>
      </c>
      <c r="B2008" t="s">
        <v>2953</v>
      </c>
      <c r="C2008">
        <v>-14.286514167771001</v>
      </c>
      <c r="D2008">
        <v>-39.848515556557331</v>
      </c>
    </row>
    <row r="2009" spans="1:4" x14ac:dyDescent="0.3">
      <c r="A2009">
        <v>2915304</v>
      </c>
      <c r="B2009" t="s">
        <v>2954</v>
      </c>
      <c r="C2009">
        <v>-16.088143275929955</v>
      </c>
      <c r="D2009">
        <v>-39.615191810910012</v>
      </c>
    </row>
    <row r="2010" spans="1:4" x14ac:dyDescent="0.3">
      <c r="A2010">
        <v>2915353</v>
      </c>
      <c r="B2010" t="s">
        <v>2955</v>
      </c>
      <c r="C2010">
        <v>-11.008722210369351</v>
      </c>
      <c r="D2010">
        <v>-42.401157124259548</v>
      </c>
    </row>
    <row r="2011" spans="1:4" x14ac:dyDescent="0.3">
      <c r="A2011">
        <v>2915403</v>
      </c>
      <c r="B2011" t="s">
        <v>2956</v>
      </c>
      <c r="C2011">
        <v>-15.140193552404201</v>
      </c>
      <c r="D2011">
        <v>-39.724724614929691</v>
      </c>
    </row>
    <row r="2012" spans="1:4" x14ac:dyDescent="0.3">
      <c r="A2012">
        <v>2915502</v>
      </c>
      <c r="B2012" t="s">
        <v>2957</v>
      </c>
      <c r="C2012">
        <v>-14.678018989783451</v>
      </c>
      <c r="D2012">
        <v>-39.381788154100867</v>
      </c>
    </row>
    <row r="2013" spans="1:4" x14ac:dyDescent="0.3">
      <c r="A2013">
        <v>2915601</v>
      </c>
      <c r="B2013" t="s">
        <v>2958</v>
      </c>
      <c r="C2013">
        <v>-17.042337599666052</v>
      </c>
      <c r="D2013">
        <v>-39.533039884554775</v>
      </c>
    </row>
    <row r="2014" spans="1:4" x14ac:dyDescent="0.3">
      <c r="A2014">
        <v>2915700</v>
      </c>
      <c r="B2014" t="s">
        <v>2959</v>
      </c>
      <c r="C2014">
        <v>-13.774836755857001</v>
      </c>
      <c r="D2014">
        <v>-39.676348346946661</v>
      </c>
    </row>
    <row r="2015" spans="1:4" x14ac:dyDescent="0.3">
      <c r="A2015">
        <v>2915809</v>
      </c>
      <c r="B2015" t="s">
        <v>2525</v>
      </c>
      <c r="C2015">
        <v>-15.248019193977154</v>
      </c>
      <c r="D2015">
        <v>-40.624041722375161</v>
      </c>
    </row>
    <row r="2016" spans="1:4" x14ac:dyDescent="0.3">
      <c r="A2016">
        <v>2915908</v>
      </c>
      <c r="B2016" t="s">
        <v>2960</v>
      </c>
      <c r="C2016">
        <v>-12.268163143855002</v>
      </c>
      <c r="D2016">
        <v>-38.038180941193751</v>
      </c>
    </row>
    <row r="2017" spans="1:4" x14ac:dyDescent="0.3">
      <c r="A2017">
        <v>2916005</v>
      </c>
      <c r="B2017" t="s">
        <v>2961</v>
      </c>
      <c r="C2017">
        <v>-17.166332903688055</v>
      </c>
      <c r="D2017">
        <v>-40.327048648975747</v>
      </c>
    </row>
    <row r="2018" spans="1:4" x14ac:dyDescent="0.3">
      <c r="A2018">
        <v>2916104</v>
      </c>
      <c r="B2018" t="s">
        <v>2962</v>
      </c>
      <c r="C2018">
        <v>-12.881489052820454</v>
      </c>
      <c r="D2018">
        <v>-38.684030311295238</v>
      </c>
    </row>
    <row r="2019" spans="1:4" x14ac:dyDescent="0.3">
      <c r="A2019">
        <v>2916203</v>
      </c>
      <c r="B2019" t="s">
        <v>2963</v>
      </c>
      <c r="C2019">
        <v>-14.894807960835953</v>
      </c>
      <c r="D2019">
        <v>-39.429962728367975</v>
      </c>
    </row>
    <row r="2020" spans="1:4" x14ac:dyDescent="0.3">
      <c r="A2020">
        <v>2916302</v>
      </c>
      <c r="B2020" t="s">
        <v>2964</v>
      </c>
      <c r="C2020">
        <v>-15.972166655067301</v>
      </c>
      <c r="D2020">
        <v>-39.528541392617846</v>
      </c>
    </row>
    <row r="2021" spans="1:4" x14ac:dyDescent="0.3">
      <c r="A2021">
        <v>2916401</v>
      </c>
      <c r="B2021" t="s">
        <v>2965</v>
      </c>
      <c r="C2021">
        <v>-15.246167188691953</v>
      </c>
      <c r="D2021">
        <v>-40.247380907236938</v>
      </c>
    </row>
    <row r="2022" spans="1:4" x14ac:dyDescent="0.3">
      <c r="A2022">
        <v>2916500</v>
      </c>
      <c r="B2022" t="s">
        <v>2966</v>
      </c>
      <c r="C2022">
        <v>-11.310952700575701</v>
      </c>
      <c r="D2022">
        <v>-38.218612375549021</v>
      </c>
    </row>
    <row r="2023" spans="1:4" x14ac:dyDescent="0.3">
      <c r="A2023">
        <v>2916609</v>
      </c>
      <c r="B2023" t="s">
        <v>2967</v>
      </c>
      <c r="C2023">
        <v>-14.421194738692805</v>
      </c>
      <c r="D2023">
        <v>-39.566361883711942</v>
      </c>
    </row>
    <row r="2024" spans="1:4" x14ac:dyDescent="0.3">
      <c r="A2024">
        <v>2916708</v>
      </c>
      <c r="B2024" t="s">
        <v>2968</v>
      </c>
      <c r="C2024">
        <v>-13.446409002767602</v>
      </c>
      <c r="D2024">
        <v>-39.938243593636621</v>
      </c>
    </row>
    <row r="2025" spans="1:4" x14ac:dyDescent="0.3">
      <c r="A2025">
        <v>2916807</v>
      </c>
      <c r="B2025" t="s">
        <v>2969</v>
      </c>
      <c r="C2025">
        <v>-15.657830041621654</v>
      </c>
      <c r="D2025">
        <v>-40.061545274388884</v>
      </c>
    </row>
    <row r="2026" spans="1:4" x14ac:dyDescent="0.3">
      <c r="A2026">
        <v>2916856</v>
      </c>
      <c r="B2026" t="s">
        <v>2970</v>
      </c>
      <c r="C2026">
        <v>-12.709246533084803</v>
      </c>
      <c r="D2026">
        <v>-39.703774606226411</v>
      </c>
    </row>
    <row r="2027" spans="1:4" x14ac:dyDescent="0.3">
      <c r="A2027">
        <v>2916906</v>
      </c>
      <c r="B2027" t="s">
        <v>2971</v>
      </c>
      <c r="C2027">
        <v>-13.532398607901852</v>
      </c>
      <c r="D2027">
        <v>-40.146172297657891</v>
      </c>
    </row>
    <row r="2028" spans="1:4" x14ac:dyDescent="0.3">
      <c r="A2028">
        <v>2917003</v>
      </c>
      <c r="B2028" t="s">
        <v>2972</v>
      </c>
      <c r="C2028">
        <v>-10.691901225650504</v>
      </c>
      <c r="D2028">
        <v>-39.853276974217898</v>
      </c>
    </row>
    <row r="2029" spans="1:4" x14ac:dyDescent="0.3">
      <c r="A2029">
        <v>2917102</v>
      </c>
      <c r="B2029" t="s">
        <v>2973</v>
      </c>
      <c r="C2029">
        <v>-15.119037314026153</v>
      </c>
      <c r="D2029">
        <v>-40.071703344215145</v>
      </c>
    </row>
    <row r="2030" spans="1:4" x14ac:dyDescent="0.3">
      <c r="A2030">
        <v>2917201</v>
      </c>
      <c r="B2030" t="s">
        <v>2974</v>
      </c>
      <c r="C2030">
        <v>-13.807407146167952</v>
      </c>
      <c r="D2030">
        <v>-41.310981527126408</v>
      </c>
    </row>
    <row r="2031" spans="1:4" x14ac:dyDescent="0.3">
      <c r="A2031">
        <v>2917300</v>
      </c>
      <c r="B2031" t="s">
        <v>2975</v>
      </c>
      <c r="C2031">
        <v>-13.736156905668253</v>
      </c>
      <c r="D2031">
        <v>-39.14904249185696</v>
      </c>
    </row>
    <row r="2032" spans="1:4" x14ac:dyDescent="0.3">
      <c r="A2032">
        <v>2917334</v>
      </c>
      <c r="B2032" t="s">
        <v>2976</v>
      </c>
      <c r="C2032">
        <v>-14.412146036422904</v>
      </c>
      <c r="D2032">
        <v>-43.556402615528967</v>
      </c>
    </row>
    <row r="2033" spans="1:4" x14ac:dyDescent="0.3">
      <c r="A2033">
        <v>2917359</v>
      </c>
      <c r="B2033" t="s">
        <v>2977</v>
      </c>
      <c r="C2033">
        <v>-13.625934001962055</v>
      </c>
      <c r="D2033">
        <v>-44.465969989656237</v>
      </c>
    </row>
    <row r="2034" spans="1:4" x14ac:dyDescent="0.3">
      <c r="A2034">
        <v>2917409</v>
      </c>
      <c r="B2034" t="s">
        <v>2978</v>
      </c>
      <c r="C2034">
        <v>-14.849190570209702</v>
      </c>
      <c r="D2034">
        <v>-42.430608770594553</v>
      </c>
    </row>
    <row r="2035" spans="1:4" x14ac:dyDescent="0.3">
      <c r="A2035">
        <v>2917508</v>
      </c>
      <c r="B2035" t="s">
        <v>2979</v>
      </c>
      <c r="C2035">
        <v>-11.185062160141854</v>
      </c>
      <c r="D2035">
        <v>-40.513017627870106</v>
      </c>
    </row>
    <row r="2036" spans="1:4" x14ac:dyDescent="0.3">
      <c r="A2036">
        <v>2917607</v>
      </c>
      <c r="B2036" t="s">
        <v>2980</v>
      </c>
      <c r="C2036">
        <v>-13.530698630843002</v>
      </c>
      <c r="D2036">
        <v>-39.970255183164312</v>
      </c>
    </row>
    <row r="2037" spans="1:4" x14ac:dyDescent="0.3">
      <c r="A2037">
        <v>2917706</v>
      </c>
      <c r="B2037" t="s">
        <v>2981</v>
      </c>
      <c r="C2037">
        <v>-10.262854259301552</v>
      </c>
      <c r="D2037">
        <v>-40.193611466193197</v>
      </c>
    </row>
    <row r="2038" spans="1:4" x14ac:dyDescent="0.3">
      <c r="A2038">
        <v>2917805</v>
      </c>
      <c r="B2038" t="s">
        <v>2982</v>
      </c>
      <c r="C2038">
        <v>-13.115063888382252</v>
      </c>
      <c r="D2038">
        <v>-38.891418627708809</v>
      </c>
    </row>
    <row r="2039" spans="1:4" x14ac:dyDescent="0.3">
      <c r="A2039">
        <v>2917904</v>
      </c>
      <c r="B2039" t="s">
        <v>2141</v>
      </c>
      <c r="C2039">
        <v>-11.565748473940852</v>
      </c>
      <c r="D2039">
        <v>-37.78686849122969</v>
      </c>
    </row>
    <row r="2040" spans="1:4" x14ac:dyDescent="0.3">
      <c r="A2040">
        <v>2918001</v>
      </c>
      <c r="B2040" t="s">
        <v>2983</v>
      </c>
      <c r="C2040">
        <v>-13.855664007664052</v>
      </c>
      <c r="D2040">
        <v>-40.088607327476304</v>
      </c>
    </row>
    <row r="2041" spans="1:4" x14ac:dyDescent="0.3">
      <c r="A2041">
        <v>2918100</v>
      </c>
      <c r="B2041" t="s">
        <v>2984</v>
      </c>
      <c r="C2041">
        <v>-10.062242407624302</v>
      </c>
      <c r="D2041">
        <v>-38.351819146742642</v>
      </c>
    </row>
    <row r="2042" spans="1:4" x14ac:dyDescent="0.3">
      <c r="A2042">
        <v>2918209</v>
      </c>
      <c r="B2042" t="s">
        <v>2985</v>
      </c>
      <c r="C2042">
        <v>-13.252306349257401</v>
      </c>
      <c r="D2042">
        <v>-39.576501778112167</v>
      </c>
    </row>
    <row r="2043" spans="1:4" x14ac:dyDescent="0.3">
      <c r="A2043">
        <v>2918308</v>
      </c>
      <c r="B2043" t="s">
        <v>2986</v>
      </c>
      <c r="C2043">
        <v>-14.017428697909702</v>
      </c>
      <c r="D2043">
        <v>-39.889632176667071</v>
      </c>
    </row>
    <row r="2044" spans="1:4" x14ac:dyDescent="0.3">
      <c r="A2044">
        <v>2918357</v>
      </c>
      <c r="B2044" t="s">
        <v>2987</v>
      </c>
      <c r="C2044">
        <v>-11.346405224731203</v>
      </c>
      <c r="D2044">
        <v>-41.659989179783871</v>
      </c>
    </row>
    <row r="2045" spans="1:4" x14ac:dyDescent="0.3">
      <c r="A2045">
        <v>2918407</v>
      </c>
      <c r="B2045" t="s">
        <v>2988</v>
      </c>
      <c r="C2045">
        <v>-9.4107170962278648</v>
      </c>
      <c r="D2045">
        <v>-40.503552159443394</v>
      </c>
    </row>
    <row r="2046" spans="1:4" x14ac:dyDescent="0.3">
      <c r="A2046">
        <v>2918456</v>
      </c>
      <c r="B2046" t="s">
        <v>2989</v>
      </c>
      <c r="C2046">
        <v>-16.844516145811351</v>
      </c>
      <c r="D2046">
        <v>-40.158812629937984</v>
      </c>
    </row>
    <row r="2047" spans="1:4" x14ac:dyDescent="0.3">
      <c r="A2047">
        <v>2918506</v>
      </c>
      <c r="B2047" t="s">
        <v>2990</v>
      </c>
      <c r="C2047">
        <v>-11.05455494835252</v>
      </c>
      <c r="D2047">
        <v>-41.979731927547832</v>
      </c>
    </row>
    <row r="2048" spans="1:4" x14ac:dyDescent="0.3">
      <c r="A2048">
        <v>2918555</v>
      </c>
      <c r="B2048" t="s">
        <v>2991</v>
      </c>
      <c r="C2048">
        <v>-15.190456298928652</v>
      </c>
      <c r="D2048">
        <v>-39.494939866289627</v>
      </c>
    </row>
    <row r="2049" spans="1:4" x14ac:dyDescent="0.3">
      <c r="A2049">
        <v>2918605</v>
      </c>
      <c r="B2049" t="s">
        <v>2992</v>
      </c>
      <c r="C2049">
        <v>-13.512950342097202</v>
      </c>
      <c r="D2049">
        <v>-41.590142014589929</v>
      </c>
    </row>
    <row r="2050" spans="1:4" x14ac:dyDescent="0.3">
      <c r="A2050">
        <v>2918704</v>
      </c>
      <c r="B2050" t="s">
        <v>2993</v>
      </c>
      <c r="C2050">
        <v>-13.652999424807266</v>
      </c>
      <c r="D2050">
        <v>-40.210605882804714</v>
      </c>
    </row>
    <row r="2051" spans="1:4" x14ac:dyDescent="0.3">
      <c r="A2051">
        <v>2918753</v>
      </c>
      <c r="B2051" t="s">
        <v>2994</v>
      </c>
      <c r="C2051">
        <v>-14.030028985632951</v>
      </c>
      <c r="D2051">
        <v>-42.145711836375533</v>
      </c>
    </row>
    <row r="2052" spans="1:4" x14ac:dyDescent="0.3">
      <c r="A2052">
        <v>2918803</v>
      </c>
      <c r="B2052" t="s">
        <v>2995</v>
      </c>
      <c r="C2052">
        <v>-13.179648682466754</v>
      </c>
      <c r="D2052">
        <v>-39.427552152912035</v>
      </c>
    </row>
    <row r="2053" spans="1:4" x14ac:dyDescent="0.3">
      <c r="A2053">
        <v>2918902</v>
      </c>
      <c r="B2053" t="s">
        <v>2996</v>
      </c>
      <c r="C2053">
        <v>-17.612130937968104</v>
      </c>
      <c r="D2053">
        <v>-40.345846532080579</v>
      </c>
    </row>
    <row r="2054" spans="1:4" x14ac:dyDescent="0.3">
      <c r="A2054">
        <v>2919009</v>
      </c>
      <c r="B2054" t="s">
        <v>2997</v>
      </c>
      <c r="C2054">
        <v>-12.360374192943905</v>
      </c>
      <c r="D2054">
        <v>-40.90370997034703</v>
      </c>
    </row>
    <row r="2055" spans="1:4" x14ac:dyDescent="0.3">
      <c r="A2055">
        <v>2919058</v>
      </c>
      <c r="B2055" t="s">
        <v>2998</v>
      </c>
      <c r="C2055">
        <v>-13.472520003575653</v>
      </c>
      <c r="D2055">
        <v>-40.225229503190789</v>
      </c>
    </row>
    <row r="2056" spans="1:4" x14ac:dyDescent="0.3">
      <c r="A2056">
        <v>2919108</v>
      </c>
      <c r="B2056" t="s">
        <v>2999</v>
      </c>
      <c r="C2056">
        <v>-11.791577740375701</v>
      </c>
      <c r="D2056">
        <v>-38.892980333926459</v>
      </c>
    </row>
    <row r="2057" spans="1:4" x14ac:dyDescent="0.3">
      <c r="A2057">
        <v>2919157</v>
      </c>
      <c r="B2057" t="s">
        <v>3000</v>
      </c>
      <c r="C2057">
        <v>-11.380139053919802</v>
      </c>
      <c r="D2057">
        <v>-41.83190865338748</v>
      </c>
    </row>
    <row r="2058" spans="1:4" x14ac:dyDescent="0.3">
      <c r="A2058">
        <v>2919207</v>
      </c>
      <c r="B2058" t="s">
        <v>3001</v>
      </c>
      <c r="C2058">
        <v>-12.896717608924504</v>
      </c>
      <c r="D2058">
        <v>-38.323461610251393</v>
      </c>
    </row>
    <row r="2059" spans="1:4" x14ac:dyDescent="0.3">
      <c r="A2059">
        <v>2919306</v>
      </c>
      <c r="B2059" t="s">
        <v>3002</v>
      </c>
      <c r="C2059">
        <v>-12.564063115641202</v>
      </c>
      <c r="D2059">
        <v>-41.394031136117654</v>
      </c>
    </row>
    <row r="2060" spans="1:4" x14ac:dyDescent="0.3">
      <c r="A2060">
        <v>2919405</v>
      </c>
      <c r="B2060" t="s">
        <v>3003</v>
      </c>
      <c r="C2060">
        <v>-14.675866076789752</v>
      </c>
      <c r="D2060">
        <v>-42.502683635880089</v>
      </c>
    </row>
    <row r="2061" spans="1:4" x14ac:dyDescent="0.3">
      <c r="A2061">
        <v>2919504</v>
      </c>
      <c r="B2061" t="s">
        <v>3004</v>
      </c>
      <c r="C2061">
        <v>-13.649500905230502</v>
      </c>
      <c r="D2061">
        <v>-41.840387281808468</v>
      </c>
    </row>
    <row r="2062" spans="1:4" x14ac:dyDescent="0.3">
      <c r="A2062">
        <v>2919553</v>
      </c>
      <c r="B2062" t="s">
        <v>3005</v>
      </c>
      <c r="C2062">
        <v>-12.078372256196854</v>
      </c>
      <c r="D2062">
        <v>-45.800464406456328</v>
      </c>
    </row>
    <row r="2063" spans="1:4" x14ac:dyDescent="0.3">
      <c r="A2063">
        <v>2919603</v>
      </c>
      <c r="B2063" t="s">
        <v>3006</v>
      </c>
      <c r="C2063">
        <v>-12.141392680559502</v>
      </c>
      <c r="D2063">
        <v>-40.36517964343777</v>
      </c>
    </row>
    <row r="2064" spans="1:4" x14ac:dyDescent="0.3">
      <c r="A2064">
        <v>2919702</v>
      </c>
      <c r="B2064" t="s">
        <v>3007</v>
      </c>
      <c r="C2064">
        <v>-15.567316152524453</v>
      </c>
      <c r="D2064">
        <v>-40.422044110343315</v>
      </c>
    </row>
    <row r="2065" spans="1:4" x14ac:dyDescent="0.3">
      <c r="A2065">
        <v>2919801</v>
      </c>
      <c r="B2065" t="s">
        <v>3008</v>
      </c>
      <c r="C2065">
        <v>-13.023671669856201</v>
      </c>
      <c r="D2065">
        <v>-42.694665746887907</v>
      </c>
    </row>
    <row r="2066" spans="1:4" x14ac:dyDescent="0.3">
      <c r="A2066">
        <v>2919900</v>
      </c>
      <c r="B2066" t="s">
        <v>3009</v>
      </c>
      <c r="C2066">
        <v>-9.1747059108514968</v>
      </c>
      <c r="D2066">
        <v>-39.059515026511178</v>
      </c>
    </row>
    <row r="2067" spans="1:4" x14ac:dyDescent="0.3">
      <c r="A2067">
        <v>2919926</v>
      </c>
      <c r="B2067" t="s">
        <v>3010</v>
      </c>
      <c r="C2067">
        <v>-12.740312654533351</v>
      </c>
      <c r="D2067">
        <v>-38.602768566909162</v>
      </c>
    </row>
    <row r="2068" spans="1:4" x14ac:dyDescent="0.3">
      <c r="A2068">
        <v>2919959</v>
      </c>
      <c r="B2068" t="s">
        <v>3011</v>
      </c>
      <c r="C2068">
        <v>-14.66126635905785</v>
      </c>
      <c r="D2068">
        <v>-41.48365669532172</v>
      </c>
    </row>
    <row r="2069" spans="1:4" x14ac:dyDescent="0.3">
      <c r="A2069">
        <v>2920007</v>
      </c>
      <c r="B2069" t="s">
        <v>3012</v>
      </c>
      <c r="C2069">
        <v>-15.619771702577605</v>
      </c>
      <c r="D2069">
        <v>-40.260515118555865</v>
      </c>
    </row>
    <row r="2070" spans="1:4" x14ac:dyDescent="0.3">
      <c r="A2070">
        <v>2920106</v>
      </c>
      <c r="B2070" t="s">
        <v>3013</v>
      </c>
      <c r="C2070">
        <v>-11.71111062305055</v>
      </c>
      <c r="D2070">
        <v>-40.149782519155664</v>
      </c>
    </row>
    <row r="2071" spans="1:4" x14ac:dyDescent="0.3">
      <c r="A2071">
        <v>2920205</v>
      </c>
      <c r="B2071" t="s">
        <v>3014</v>
      </c>
      <c r="C2071">
        <v>-14.340383284084201</v>
      </c>
      <c r="D2071">
        <v>-43.771620317670184</v>
      </c>
    </row>
    <row r="2072" spans="1:4" x14ac:dyDescent="0.3">
      <c r="A2072">
        <v>2920304</v>
      </c>
      <c r="B2072" t="s">
        <v>3015</v>
      </c>
      <c r="C2072">
        <v>-14.377945403832104</v>
      </c>
      <c r="D2072">
        <v>-41.878698340061256</v>
      </c>
    </row>
    <row r="2073" spans="1:4" x14ac:dyDescent="0.3">
      <c r="A2073">
        <v>2920403</v>
      </c>
      <c r="B2073" t="s">
        <v>3016</v>
      </c>
      <c r="C2073">
        <v>-14.145932206018852</v>
      </c>
      <c r="D2073">
        <v>-40.242016247662143</v>
      </c>
    </row>
    <row r="2074" spans="1:4" x14ac:dyDescent="0.3">
      <c r="A2074">
        <v>2920452</v>
      </c>
      <c r="B2074" t="s">
        <v>3017</v>
      </c>
      <c r="C2074">
        <v>-10.715828960028951</v>
      </c>
      <c r="D2074">
        <v>-44.036485409563241</v>
      </c>
    </row>
    <row r="2075" spans="1:4" x14ac:dyDescent="0.3">
      <c r="A2075">
        <v>2920502</v>
      </c>
      <c r="B2075" t="s">
        <v>3018</v>
      </c>
      <c r="C2075">
        <v>-13.437674492312402</v>
      </c>
      <c r="D2075">
        <v>-40.43128754737792</v>
      </c>
    </row>
    <row r="2076" spans="1:4" x14ac:dyDescent="0.3">
      <c r="A2076">
        <v>2920601</v>
      </c>
      <c r="B2076" t="s">
        <v>3019</v>
      </c>
      <c r="C2076">
        <v>-12.775119919236252</v>
      </c>
      <c r="D2076">
        <v>-38.918881437155285</v>
      </c>
    </row>
    <row r="2077" spans="1:4" x14ac:dyDescent="0.3">
      <c r="A2077">
        <v>2920700</v>
      </c>
      <c r="B2077" t="s">
        <v>3020</v>
      </c>
      <c r="C2077">
        <v>-14.105530671656002</v>
      </c>
      <c r="D2077">
        <v>-39.024951755668489</v>
      </c>
    </row>
    <row r="2078" spans="1:4" x14ac:dyDescent="0.3">
      <c r="A2078">
        <v>2920809</v>
      </c>
      <c r="B2078" t="s">
        <v>3021</v>
      </c>
      <c r="C2078">
        <v>-13.003510372310554</v>
      </c>
      <c r="D2078">
        <v>-40.534529989320248</v>
      </c>
    </row>
    <row r="2079" spans="1:4" x14ac:dyDescent="0.3">
      <c r="A2079">
        <v>2920908</v>
      </c>
      <c r="B2079" t="s">
        <v>3022</v>
      </c>
      <c r="C2079">
        <v>-15.565988032748603</v>
      </c>
      <c r="D2079">
        <v>-39.302400452721706</v>
      </c>
    </row>
    <row r="2080" spans="1:4" x14ac:dyDescent="0.3">
      <c r="A2080">
        <v>2921005</v>
      </c>
      <c r="B2080" t="s">
        <v>3023</v>
      </c>
      <c r="C2080">
        <v>-12.529970790704603</v>
      </c>
      <c r="D2080">
        <v>-38.297299324808847</v>
      </c>
    </row>
    <row r="2081" spans="1:4" x14ac:dyDescent="0.3">
      <c r="A2081">
        <v>2921054</v>
      </c>
      <c r="B2081" t="s">
        <v>3024</v>
      </c>
      <c r="C2081">
        <v>-13.912636011070353</v>
      </c>
      <c r="D2081">
        <v>-42.842932444312567</v>
      </c>
    </row>
    <row r="2082" spans="1:4" x14ac:dyDescent="0.3">
      <c r="A2082">
        <v>2921104</v>
      </c>
      <c r="B2082" t="s">
        <v>3025</v>
      </c>
      <c r="C2082">
        <v>-17.370409482091954</v>
      </c>
      <c r="D2082">
        <v>-40.220174208005965</v>
      </c>
    </row>
    <row r="2083" spans="1:4" x14ac:dyDescent="0.3">
      <c r="A2083">
        <v>2921203</v>
      </c>
      <c r="B2083" t="s">
        <v>3026</v>
      </c>
      <c r="C2083">
        <v>-11.428344206226603</v>
      </c>
      <c r="D2083">
        <v>-40.596069612736947</v>
      </c>
    </row>
    <row r="2084" spans="1:4" x14ac:dyDescent="0.3">
      <c r="A2084">
        <v>2921302</v>
      </c>
      <c r="B2084" t="s">
        <v>2014</v>
      </c>
      <c r="C2084">
        <v>-12.870574915139501</v>
      </c>
      <c r="D2084">
        <v>-39.859127100473266</v>
      </c>
    </row>
    <row r="2085" spans="1:4" x14ac:dyDescent="0.3">
      <c r="A2085">
        <v>2921401</v>
      </c>
      <c r="B2085" t="s">
        <v>3027</v>
      </c>
      <c r="C2085">
        <v>-10.956117284944401</v>
      </c>
      <c r="D2085">
        <v>-40.574792702212697</v>
      </c>
    </row>
    <row r="2086" spans="1:4" x14ac:dyDescent="0.3">
      <c r="A2086">
        <v>2921450</v>
      </c>
      <c r="B2086" t="s">
        <v>3028</v>
      </c>
      <c r="C2086">
        <v>-14.239817921132051</v>
      </c>
      <c r="D2086">
        <v>-40.773566597900903</v>
      </c>
    </row>
    <row r="2087" spans="1:4" x14ac:dyDescent="0.3">
      <c r="A2087">
        <v>2921500</v>
      </c>
      <c r="B2087" t="s">
        <v>3029</v>
      </c>
      <c r="C2087">
        <v>-10.44015774065795</v>
      </c>
      <c r="D2087">
        <v>-39.332705952068686</v>
      </c>
    </row>
    <row r="2088" spans="1:4" x14ac:dyDescent="0.3">
      <c r="A2088">
        <v>2921609</v>
      </c>
      <c r="B2088" t="s">
        <v>3030</v>
      </c>
      <c r="C2088">
        <v>-11.5580425446035</v>
      </c>
      <c r="D2088">
        <v>-43.277913407003162</v>
      </c>
    </row>
    <row r="2089" spans="1:4" x14ac:dyDescent="0.3">
      <c r="A2089">
        <v>2921708</v>
      </c>
      <c r="B2089" t="s">
        <v>3031</v>
      </c>
      <c r="C2089">
        <v>-11.550126110504904</v>
      </c>
      <c r="D2089">
        <v>-41.159096507763593</v>
      </c>
    </row>
    <row r="2090" spans="1:4" x14ac:dyDescent="0.3">
      <c r="A2090">
        <v>2921807</v>
      </c>
      <c r="B2090" t="s">
        <v>3032</v>
      </c>
      <c r="C2090">
        <v>-15.01640729036585</v>
      </c>
      <c r="D2090">
        <v>-42.380448922323133</v>
      </c>
    </row>
    <row r="2091" spans="1:4" x14ac:dyDescent="0.3">
      <c r="A2091">
        <v>2921906</v>
      </c>
      <c r="B2091" t="s">
        <v>3033</v>
      </c>
      <c r="C2091">
        <v>-13.003894204471155</v>
      </c>
      <c r="D2091">
        <v>-41.373213011866831</v>
      </c>
    </row>
    <row r="2092" spans="1:4" x14ac:dyDescent="0.3">
      <c r="A2092">
        <v>2922003</v>
      </c>
      <c r="B2092" t="s">
        <v>3034</v>
      </c>
      <c r="C2092">
        <v>-18.088539738876253</v>
      </c>
      <c r="D2092">
        <v>-39.547545889829784</v>
      </c>
    </row>
    <row r="2093" spans="1:4" x14ac:dyDescent="0.3">
      <c r="A2093">
        <v>2922052</v>
      </c>
      <c r="B2093" t="s">
        <v>3035</v>
      </c>
      <c r="C2093">
        <v>-11.967220021101951</v>
      </c>
      <c r="D2093">
        <v>-41.643800009581938</v>
      </c>
    </row>
    <row r="2094" spans="1:4" x14ac:dyDescent="0.3">
      <c r="A2094">
        <v>2922102</v>
      </c>
      <c r="B2094" t="s">
        <v>3036</v>
      </c>
      <c r="C2094">
        <v>-11.864722748623901</v>
      </c>
      <c r="D2094">
        <v>-40.471498150098093</v>
      </c>
    </row>
    <row r="2095" spans="1:4" x14ac:dyDescent="0.3">
      <c r="A2095">
        <v>2922201</v>
      </c>
      <c r="B2095" t="s">
        <v>3037</v>
      </c>
      <c r="C2095">
        <v>-12.997303701925201</v>
      </c>
      <c r="D2095">
        <v>-39.112981701209861</v>
      </c>
    </row>
    <row r="2096" spans="1:4" x14ac:dyDescent="0.3">
      <c r="A2096">
        <v>2922250</v>
      </c>
      <c r="B2096" t="s">
        <v>3038</v>
      </c>
      <c r="C2096">
        <v>-12.068261264930001</v>
      </c>
      <c r="D2096">
        <v>-43.551859915059005</v>
      </c>
    </row>
    <row r="2097" spans="1:4" x14ac:dyDescent="0.3">
      <c r="A2097">
        <v>2922300</v>
      </c>
      <c r="B2097" t="s">
        <v>3039</v>
      </c>
      <c r="C2097">
        <v>-12.623372441536903</v>
      </c>
      <c r="D2097">
        <v>-38.988688817445755</v>
      </c>
    </row>
    <row r="2098" spans="1:4" x14ac:dyDescent="0.3">
      <c r="A2098">
        <v>2922409</v>
      </c>
      <c r="B2098" t="s">
        <v>3040</v>
      </c>
      <c r="C2098">
        <v>-13.229373323681653</v>
      </c>
      <c r="D2098">
        <v>-39.504163852015616</v>
      </c>
    </row>
    <row r="2099" spans="1:4" x14ac:dyDescent="0.3">
      <c r="A2099">
        <v>2922508</v>
      </c>
      <c r="B2099" t="s">
        <v>1417</v>
      </c>
      <c r="C2099">
        <v>-13.035148220181153</v>
      </c>
      <c r="D2099">
        <v>-39.010622582879421</v>
      </c>
    </row>
    <row r="2100" spans="1:4" x14ac:dyDescent="0.3">
      <c r="A2100">
        <v>2922607</v>
      </c>
      <c r="B2100" t="s">
        <v>3041</v>
      </c>
      <c r="C2100">
        <v>-13.604494420441499</v>
      </c>
      <c r="D2100">
        <v>-39.112985509073212</v>
      </c>
    </row>
    <row r="2101" spans="1:4" x14ac:dyDescent="0.3">
      <c r="A2101">
        <v>2922656</v>
      </c>
      <c r="B2101" t="s">
        <v>3042</v>
      </c>
      <c r="C2101">
        <v>-10.832053524846202</v>
      </c>
      <c r="D2101">
        <v>-39.429130850732484</v>
      </c>
    </row>
    <row r="2102" spans="1:4" x14ac:dyDescent="0.3">
      <c r="A2102">
        <v>2922706</v>
      </c>
      <c r="B2102" t="s">
        <v>3043</v>
      </c>
      <c r="C2102">
        <v>-14.793598087671903</v>
      </c>
      <c r="D2102">
        <v>-40.145174652014028</v>
      </c>
    </row>
    <row r="2103" spans="1:4" x14ac:dyDescent="0.3">
      <c r="A2103">
        <v>2922730</v>
      </c>
      <c r="B2103" t="s">
        <v>3044</v>
      </c>
      <c r="C2103">
        <v>-11.608398389231301</v>
      </c>
      <c r="D2103">
        <v>-39.632217091894212</v>
      </c>
    </row>
    <row r="2104" spans="1:4" x14ac:dyDescent="0.3">
      <c r="A2104">
        <v>2922755</v>
      </c>
      <c r="B2104" t="s">
        <v>3045</v>
      </c>
      <c r="C2104">
        <v>-13.809907366033801</v>
      </c>
      <c r="D2104">
        <v>-39.625686049491556</v>
      </c>
    </row>
    <row r="2105" spans="1:4" x14ac:dyDescent="0.3">
      <c r="A2105">
        <v>2922805</v>
      </c>
      <c r="B2105" t="s">
        <v>3046</v>
      </c>
      <c r="C2105">
        <v>-13.033049885644202</v>
      </c>
      <c r="D2105">
        <v>-40.069249733253351</v>
      </c>
    </row>
    <row r="2106" spans="1:4" x14ac:dyDescent="0.3">
      <c r="A2106">
        <v>2922854</v>
      </c>
      <c r="B2106" t="s">
        <v>3047</v>
      </c>
      <c r="C2106">
        <v>-12.818867567511202</v>
      </c>
      <c r="D2106">
        <v>-41.068859510344517</v>
      </c>
    </row>
    <row r="2107" spans="1:4" x14ac:dyDescent="0.3">
      <c r="A2107">
        <v>2922904</v>
      </c>
      <c r="B2107" t="s">
        <v>3048</v>
      </c>
      <c r="C2107">
        <v>-11.238008197229501</v>
      </c>
      <c r="D2107">
        <v>-38.484613926968194</v>
      </c>
    </row>
    <row r="2108" spans="1:4" x14ac:dyDescent="0.3">
      <c r="A2108">
        <v>2923001</v>
      </c>
      <c r="B2108" t="s">
        <v>3049</v>
      </c>
      <c r="C2108">
        <v>-17.89339178217875</v>
      </c>
      <c r="D2108">
        <v>-39.372011538073671</v>
      </c>
    </row>
    <row r="2109" spans="1:4" x14ac:dyDescent="0.3">
      <c r="A2109">
        <v>2923035</v>
      </c>
      <c r="B2109" t="s">
        <v>3050</v>
      </c>
      <c r="C2109">
        <v>-12.8019973640359</v>
      </c>
      <c r="D2109">
        <v>-42.167788448516994</v>
      </c>
    </row>
    <row r="2110" spans="1:4" x14ac:dyDescent="0.3">
      <c r="A2110">
        <v>2923050</v>
      </c>
      <c r="B2110" t="s">
        <v>3051</v>
      </c>
      <c r="C2110">
        <v>-10.342018230888</v>
      </c>
      <c r="D2110">
        <v>-38.41558134801263</v>
      </c>
    </row>
    <row r="2111" spans="1:4" x14ac:dyDescent="0.3">
      <c r="A2111">
        <v>2923100</v>
      </c>
      <c r="B2111" t="s">
        <v>3052</v>
      </c>
      <c r="C2111">
        <v>-11.358306140244402</v>
      </c>
      <c r="D2111">
        <v>-38.33108019608968</v>
      </c>
    </row>
    <row r="2112" spans="1:4" x14ac:dyDescent="0.3">
      <c r="A2112">
        <v>2923209</v>
      </c>
      <c r="B2112" t="s">
        <v>3053</v>
      </c>
      <c r="C2112">
        <v>-12.320588950042353</v>
      </c>
      <c r="D2112">
        <v>-42.897019768671036</v>
      </c>
    </row>
    <row r="2113" spans="1:4" x14ac:dyDescent="0.3">
      <c r="A2113">
        <v>2923308</v>
      </c>
      <c r="B2113" t="s">
        <v>3054</v>
      </c>
      <c r="C2113">
        <v>-12.006851917947403</v>
      </c>
      <c r="D2113">
        <v>-38.62841677021283</v>
      </c>
    </row>
    <row r="2114" spans="1:4" x14ac:dyDescent="0.3">
      <c r="A2114">
        <v>2923357</v>
      </c>
      <c r="B2114" t="s">
        <v>3055</v>
      </c>
      <c r="C2114">
        <v>-10.964617650427757</v>
      </c>
      <c r="D2114">
        <v>-41.081811729006276</v>
      </c>
    </row>
    <row r="2115" spans="1:4" x14ac:dyDescent="0.3">
      <c r="A2115">
        <v>2923407</v>
      </c>
      <c r="B2115" t="s">
        <v>3056</v>
      </c>
      <c r="C2115">
        <v>-14.257350994355953</v>
      </c>
      <c r="D2115">
        <v>-43.170512131516404</v>
      </c>
    </row>
    <row r="2116" spans="1:4" x14ac:dyDescent="0.3">
      <c r="A2116">
        <v>2923506</v>
      </c>
      <c r="B2116" t="s">
        <v>3057</v>
      </c>
      <c r="C2116">
        <v>-12.510071104614454</v>
      </c>
      <c r="D2116">
        <v>-41.577336932713344</v>
      </c>
    </row>
    <row r="2117" spans="1:4" x14ac:dyDescent="0.3">
      <c r="A2117">
        <v>2923605</v>
      </c>
      <c r="B2117" t="s">
        <v>3058</v>
      </c>
      <c r="C2117">
        <v>-13.442426657155252</v>
      </c>
      <c r="D2117">
        <v>-42.240648777677016</v>
      </c>
    </row>
    <row r="2118" spans="1:4" x14ac:dyDescent="0.3">
      <c r="A2118">
        <v>2923704</v>
      </c>
      <c r="B2118" t="s">
        <v>3059</v>
      </c>
      <c r="C2118">
        <v>-12.69069712492905</v>
      </c>
      <c r="D2118">
        <v>-43.18202507557772</v>
      </c>
    </row>
    <row r="2119" spans="1:4" x14ac:dyDescent="0.3">
      <c r="A2119">
        <v>2923803</v>
      </c>
      <c r="B2119" t="s">
        <v>3060</v>
      </c>
      <c r="C2119">
        <v>-10.675992313319702</v>
      </c>
      <c r="D2119">
        <v>-37.870447700721051</v>
      </c>
    </row>
    <row r="2120" spans="1:4" x14ac:dyDescent="0.3">
      <c r="A2120">
        <v>2923902</v>
      </c>
      <c r="B2120" t="s">
        <v>3061</v>
      </c>
      <c r="C2120">
        <v>-15.4636188168583</v>
      </c>
      <c r="D2120">
        <v>-39.648782036113886</v>
      </c>
    </row>
    <row r="2121" spans="1:4" x14ac:dyDescent="0.3">
      <c r="A2121">
        <v>2924009</v>
      </c>
      <c r="B2121" t="s">
        <v>3062</v>
      </c>
      <c r="C2121">
        <v>-9.4033316973782313</v>
      </c>
      <c r="D2121">
        <v>-38.21832896822621</v>
      </c>
    </row>
    <row r="2122" spans="1:4" x14ac:dyDescent="0.3">
      <c r="A2122">
        <v>2924058</v>
      </c>
      <c r="B2122" t="s">
        <v>3063</v>
      </c>
      <c r="C2122">
        <v>-11.831179308599802</v>
      </c>
      <c r="D2122">
        <v>-39.609425329042885</v>
      </c>
    </row>
    <row r="2123" spans="1:4" x14ac:dyDescent="0.3">
      <c r="A2123">
        <v>2924108</v>
      </c>
      <c r="B2123" t="s">
        <v>3064</v>
      </c>
      <c r="C2123">
        <v>-12.143587203813926</v>
      </c>
      <c r="D2123">
        <v>-38.649001421641081</v>
      </c>
    </row>
    <row r="2124" spans="1:4" x14ac:dyDescent="0.3">
      <c r="A2124">
        <v>2924207</v>
      </c>
      <c r="B2124" t="s">
        <v>3065</v>
      </c>
      <c r="C2124">
        <v>-10.010071580454001</v>
      </c>
      <c r="D2124">
        <v>-37.899261584414312</v>
      </c>
    </row>
    <row r="2125" spans="1:4" x14ac:dyDescent="0.3">
      <c r="A2125">
        <v>2924306</v>
      </c>
      <c r="B2125" t="s">
        <v>3066</v>
      </c>
      <c r="C2125">
        <v>-13.16445686825155</v>
      </c>
      <c r="D2125">
        <v>-41.770623039318103</v>
      </c>
    </row>
    <row r="2126" spans="1:4" x14ac:dyDescent="0.3">
      <c r="A2126">
        <v>2924405</v>
      </c>
      <c r="B2126" t="s">
        <v>3067</v>
      </c>
      <c r="C2126">
        <v>-9.9977710559999089</v>
      </c>
      <c r="D2126">
        <v>-42.484756762465359</v>
      </c>
    </row>
    <row r="2127" spans="1:4" x14ac:dyDescent="0.3">
      <c r="A2127">
        <v>2924504</v>
      </c>
      <c r="B2127" t="s">
        <v>3068</v>
      </c>
      <c r="C2127">
        <v>-14.489987540493903</v>
      </c>
      <c r="D2127">
        <v>-42.687033319112835</v>
      </c>
    </row>
    <row r="2128" spans="1:4" x14ac:dyDescent="0.3">
      <c r="A2128">
        <v>2924603</v>
      </c>
      <c r="B2128" t="s">
        <v>3069</v>
      </c>
      <c r="C2128">
        <v>-10.734206612357701</v>
      </c>
      <c r="D2128">
        <v>-40.357159193636029</v>
      </c>
    </row>
    <row r="2129" spans="1:4" x14ac:dyDescent="0.3">
      <c r="A2129">
        <v>2924652</v>
      </c>
      <c r="B2129" t="s">
        <v>3070</v>
      </c>
      <c r="C2129">
        <v>-11.808036509065202</v>
      </c>
      <c r="D2129">
        <v>-39.908238631933536</v>
      </c>
    </row>
    <row r="2130" spans="1:4" x14ac:dyDescent="0.3">
      <c r="A2130">
        <v>2924678</v>
      </c>
      <c r="B2130" t="s">
        <v>3071</v>
      </c>
      <c r="C2130">
        <v>-13.761225039252352</v>
      </c>
      <c r="D2130">
        <v>-39.374522187949111</v>
      </c>
    </row>
    <row r="2131" spans="1:4" x14ac:dyDescent="0.3">
      <c r="A2131">
        <v>2924702</v>
      </c>
      <c r="B2131" t="s">
        <v>3072</v>
      </c>
      <c r="C2131">
        <v>-14.946870910106471</v>
      </c>
      <c r="D2131">
        <v>-41.724865827275288</v>
      </c>
    </row>
    <row r="2132" spans="1:4" x14ac:dyDescent="0.3">
      <c r="A2132">
        <v>2924801</v>
      </c>
      <c r="B2132" t="s">
        <v>3073</v>
      </c>
      <c r="C2132">
        <v>-11.73723400177745</v>
      </c>
      <c r="D2132">
        <v>-40.551327705908825</v>
      </c>
    </row>
    <row r="2133" spans="1:4" x14ac:dyDescent="0.3">
      <c r="A2133">
        <v>2924900</v>
      </c>
      <c r="B2133" t="s">
        <v>3074</v>
      </c>
      <c r="C2133">
        <v>-13.256608753379805</v>
      </c>
      <c r="D2133">
        <v>-40.368397356715519</v>
      </c>
    </row>
    <row r="2134" spans="1:4" x14ac:dyDescent="0.3">
      <c r="A2134">
        <v>2925006</v>
      </c>
      <c r="B2134" t="s">
        <v>3075</v>
      </c>
      <c r="C2134">
        <v>-14.670169970249503</v>
      </c>
      <c r="D2134">
        <v>-40.48464037641039</v>
      </c>
    </row>
    <row r="2135" spans="1:4" x14ac:dyDescent="0.3">
      <c r="A2135">
        <v>2925105</v>
      </c>
      <c r="B2135" t="s">
        <v>3076</v>
      </c>
      <c r="C2135">
        <v>-14.522324542564752</v>
      </c>
      <c r="D2135">
        <v>-40.365127293843834</v>
      </c>
    </row>
    <row r="2136" spans="1:4" x14ac:dyDescent="0.3">
      <c r="A2136">
        <v>2925204</v>
      </c>
      <c r="B2136" t="s">
        <v>3077</v>
      </c>
      <c r="C2136">
        <v>-12.429263134867702</v>
      </c>
      <c r="D2136">
        <v>-38.327166877104794</v>
      </c>
    </row>
    <row r="2137" spans="1:4" x14ac:dyDescent="0.3">
      <c r="A2137">
        <v>2925253</v>
      </c>
      <c r="B2137" t="s">
        <v>3078</v>
      </c>
      <c r="C2137">
        <v>-10.867147831302551</v>
      </c>
      <c r="D2137">
        <v>-40.135392845065049</v>
      </c>
    </row>
    <row r="2138" spans="1:4" x14ac:dyDescent="0.3">
      <c r="A2138">
        <v>2925303</v>
      </c>
      <c r="B2138" t="s">
        <v>3079</v>
      </c>
      <c r="C2138">
        <v>-16.449056179364252</v>
      </c>
      <c r="D2138">
        <v>-39.062113523890211</v>
      </c>
    </row>
    <row r="2139" spans="1:4" x14ac:dyDescent="0.3">
      <c r="A2139">
        <v>2925402</v>
      </c>
      <c r="B2139" t="s">
        <v>3080</v>
      </c>
      <c r="C2139">
        <v>-15.592456311690654</v>
      </c>
      <c r="D2139">
        <v>-39.875660070560116</v>
      </c>
    </row>
    <row r="2140" spans="1:4" x14ac:dyDescent="0.3">
      <c r="A2140">
        <v>2925501</v>
      </c>
      <c r="B2140" t="s">
        <v>3081</v>
      </c>
      <c r="C2140">
        <v>-17.329563989384603</v>
      </c>
      <c r="D2140">
        <v>-39.229238421169043</v>
      </c>
    </row>
    <row r="2141" spans="1:4" x14ac:dyDescent="0.3">
      <c r="A2141">
        <v>2925600</v>
      </c>
      <c r="B2141" t="s">
        <v>1617</v>
      </c>
      <c r="C2141">
        <v>-11.296504066348952</v>
      </c>
      <c r="D2141">
        <v>-41.990930902444994</v>
      </c>
    </row>
    <row r="2142" spans="1:4" x14ac:dyDescent="0.3">
      <c r="A2142">
        <v>2925709</v>
      </c>
      <c r="B2142" t="s">
        <v>3082</v>
      </c>
      <c r="C2142">
        <v>-14.685395366954003</v>
      </c>
      <c r="D2142">
        <v>-41.682442634403856</v>
      </c>
    </row>
    <row r="2143" spans="1:4" x14ac:dyDescent="0.3">
      <c r="A2143">
        <v>2925758</v>
      </c>
      <c r="B2143" t="s">
        <v>3083</v>
      </c>
      <c r="C2143">
        <v>-13.470841773602201</v>
      </c>
      <c r="D2143">
        <v>-39.424059829910711</v>
      </c>
    </row>
    <row r="2144" spans="1:4" x14ac:dyDescent="0.3">
      <c r="A2144">
        <v>2925808</v>
      </c>
      <c r="B2144" t="s">
        <v>2390</v>
      </c>
      <c r="C2144">
        <v>-10.976390529155902</v>
      </c>
      <c r="D2144">
        <v>-39.626406826600665</v>
      </c>
    </row>
    <row r="2145" spans="1:4" x14ac:dyDescent="0.3">
      <c r="A2145">
        <v>2925907</v>
      </c>
      <c r="B2145" t="s">
        <v>3084</v>
      </c>
      <c r="C2145">
        <v>-10.751672330036602</v>
      </c>
      <c r="D2145">
        <v>-39.206609254048892</v>
      </c>
    </row>
    <row r="2146" spans="1:4" x14ac:dyDescent="0.3">
      <c r="A2146">
        <v>2925931</v>
      </c>
      <c r="B2146" t="s">
        <v>3085</v>
      </c>
      <c r="C2146">
        <v>-11.408685203319804</v>
      </c>
      <c r="D2146">
        <v>-40.121496594934555</v>
      </c>
    </row>
    <row r="2147" spans="1:4" x14ac:dyDescent="0.3">
      <c r="A2147">
        <v>2925956</v>
      </c>
      <c r="B2147" t="s">
        <v>3086</v>
      </c>
      <c r="C2147">
        <v>-12.407417354473903</v>
      </c>
      <c r="D2147">
        <v>-39.500635682892494</v>
      </c>
    </row>
    <row r="2148" spans="1:4" x14ac:dyDescent="0.3">
      <c r="A2148">
        <v>2926004</v>
      </c>
      <c r="B2148" t="s">
        <v>3087</v>
      </c>
      <c r="C2148">
        <v>-9.6239067892107428</v>
      </c>
      <c r="D2148">
        <v>-42.079667541660619</v>
      </c>
    </row>
    <row r="2149" spans="1:4" x14ac:dyDescent="0.3">
      <c r="A2149">
        <v>2926103</v>
      </c>
      <c r="B2149" t="s">
        <v>3088</v>
      </c>
      <c r="C2149">
        <v>-11.489666983152651</v>
      </c>
      <c r="D2149">
        <v>-39.424177792345368</v>
      </c>
    </row>
    <row r="2150" spans="1:4" x14ac:dyDescent="0.3">
      <c r="A2150">
        <v>2926202</v>
      </c>
      <c r="B2150" t="s">
        <v>3089</v>
      </c>
      <c r="C2150">
        <v>-11.746247529955602</v>
      </c>
      <c r="D2150">
        <v>-44.916469771909746</v>
      </c>
    </row>
    <row r="2151" spans="1:4" x14ac:dyDescent="0.3">
      <c r="A2151">
        <v>2926301</v>
      </c>
      <c r="B2151" t="s">
        <v>3090</v>
      </c>
      <c r="C2151">
        <v>-11.805979025923701</v>
      </c>
      <c r="D2151">
        <v>-39.383035493856717</v>
      </c>
    </row>
    <row r="2152" spans="1:4" x14ac:dyDescent="0.3">
      <c r="A2152">
        <v>2926400</v>
      </c>
      <c r="B2152" t="s">
        <v>2199</v>
      </c>
      <c r="C2152">
        <v>-13.606588142140851</v>
      </c>
      <c r="D2152">
        <v>-42.938347119980399</v>
      </c>
    </row>
    <row r="2153" spans="1:4" x14ac:dyDescent="0.3">
      <c r="A2153">
        <v>2926509</v>
      </c>
      <c r="B2153" t="s">
        <v>3091</v>
      </c>
      <c r="C2153">
        <v>-11.039158280074151</v>
      </c>
      <c r="D2153">
        <v>-38.43055386671206</v>
      </c>
    </row>
    <row r="2154" spans="1:4" x14ac:dyDescent="0.3">
      <c r="A2154">
        <v>2926608</v>
      </c>
      <c r="B2154" t="s">
        <v>3092</v>
      </c>
      <c r="C2154">
        <v>-10.836278074768702</v>
      </c>
      <c r="D2154">
        <v>-38.536098787433325</v>
      </c>
    </row>
    <row r="2155" spans="1:4" x14ac:dyDescent="0.3">
      <c r="A2155">
        <v>2926657</v>
      </c>
      <c r="B2155" t="s">
        <v>3093</v>
      </c>
      <c r="C2155">
        <v>-15.464059633513504</v>
      </c>
      <c r="D2155">
        <v>-40.743859761924803</v>
      </c>
    </row>
    <row r="2156" spans="1:4" x14ac:dyDescent="0.3">
      <c r="A2156">
        <v>2926707</v>
      </c>
      <c r="B2156" t="s">
        <v>3094</v>
      </c>
      <c r="C2156">
        <v>-13.588607786990654</v>
      </c>
      <c r="D2156">
        <v>-41.81879055636167</v>
      </c>
    </row>
    <row r="2157" spans="1:4" x14ac:dyDescent="0.3">
      <c r="A2157">
        <v>2926806</v>
      </c>
      <c r="B2157" t="s">
        <v>3095</v>
      </c>
      <c r="C2157">
        <v>-14.408509646509851</v>
      </c>
      <c r="D2157">
        <v>-42.075055335010155</v>
      </c>
    </row>
    <row r="2158" spans="1:4" x14ac:dyDescent="0.3">
      <c r="A2158">
        <v>2926905</v>
      </c>
      <c r="B2158" t="s">
        <v>3096</v>
      </c>
      <c r="C2158">
        <v>-13.118663138699654</v>
      </c>
      <c r="D2158">
        <v>-42.287877752838448</v>
      </c>
    </row>
    <row r="2159" spans="1:4" x14ac:dyDescent="0.3">
      <c r="A2159">
        <v>2927002</v>
      </c>
      <c r="B2159" t="s">
        <v>3097</v>
      </c>
      <c r="C2159">
        <v>-11.484935425430251</v>
      </c>
      <c r="D2159">
        <v>-37.933577775143618</v>
      </c>
    </row>
    <row r="2160" spans="1:4" x14ac:dyDescent="0.3">
      <c r="A2160">
        <v>2927101</v>
      </c>
      <c r="B2160" t="s">
        <v>3098</v>
      </c>
      <c r="C2160">
        <v>-8.8449965335694358</v>
      </c>
      <c r="D2160">
        <v>-38.772309000658552</v>
      </c>
    </row>
    <row r="2161" spans="1:4" x14ac:dyDescent="0.3">
      <c r="A2161">
        <v>2927200</v>
      </c>
      <c r="B2161" t="s">
        <v>2203</v>
      </c>
      <c r="C2161">
        <v>-12.289316958798203</v>
      </c>
      <c r="D2161">
        <v>-40.500371230580278</v>
      </c>
    </row>
    <row r="2162" spans="1:4" x14ac:dyDescent="0.3">
      <c r="A2162">
        <v>2927309</v>
      </c>
      <c r="B2162" t="s">
        <v>3099</v>
      </c>
      <c r="C2162">
        <v>-12.877997054567004</v>
      </c>
      <c r="D2162">
        <v>-38.757943950868999</v>
      </c>
    </row>
    <row r="2163" spans="1:4" x14ac:dyDescent="0.3">
      <c r="A2163">
        <v>2927408</v>
      </c>
      <c r="B2163" t="s">
        <v>3100</v>
      </c>
      <c r="C2163">
        <v>-13.014771911532753</v>
      </c>
      <c r="D2163">
        <v>-38.488061484007851</v>
      </c>
    </row>
    <row r="2164" spans="1:4" x14ac:dyDescent="0.3">
      <c r="A2164">
        <v>2927507</v>
      </c>
      <c r="B2164" t="s">
        <v>3101</v>
      </c>
      <c r="C2164">
        <v>-11.95690283413885</v>
      </c>
      <c r="D2164">
        <v>-38.966139006438517</v>
      </c>
    </row>
    <row r="2165" spans="1:4" x14ac:dyDescent="0.3">
      <c r="A2165">
        <v>2927606</v>
      </c>
      <c r="B2165" t="s">
        <v>3102</v>
      </c>
      <c r="C2165">
        <v>-9.7318909595420067</v>
      </c>
      <c r="D2165">
        <v>-38.127818366289418</v>
      </c>
    </row>
    <row r="2166" spans="1:4" x14ac:dyDescent="0.3">
      <c r="A2166">
        <v>2927705</v>
      </c>
      <c r="B2166" t="s">
        <v>3103</v>
      </c>
      <c r="C2166">
        <v>-16.338096583817251</v>
      </c>
      <c r="D2166">
        <v>-39.01318258407094</v>
      </c>
    </row>
    <row r="2167" spans="1:4" x14ac:dyDescent="0.3">
      <c r="A2167">
        <v>2927804</v>
      </c>
      <c r="B2167" t="s">
        <v>3104</v>
      </c>
      <c r="C2167">
        <v>-14.960078310707901</v>
      </c>
      <c r="D2167">
        <v>-39.811835970042949</v>
      </c>
    </row>
    <row r="2168" spans="1:4" x14ac:dyDescent="0.3">
      <c r="A2168">
        <v>2927903</v>
      </c>
      <c r="B2168" t="s">
        <v>1629</v>
      </c>
      <c r="C2168">
        <v>-13.298687223334953</v>
      </c>
      <c r="D2168">
        <v>-39.827605325477606</v>
      </c>
    </row>
    <row r="2169" spans="1:4" x14ac:dyDescent="0.3">
      <c r="A2169">
        <v>2928000</v>
      </c>
      <c r="B2169" t="s">
        <v>3105</v>
      </c>
      <c r="C2169">
        <v>-11.253360034458552</v>
      </c>
      <c r="D2169">
        <v>-39.377377796266707</v>
      </c>
    </row>
    <row r="2170" spans="1:4" x14ac:dyDescent="0.3">
      <c r="A2170">
        <v>2928059</v>
      </c>
      <c r="B2170" t="s">
        <v>1630</v>
      </c>
      <c r="C2170">
        <v>-15.432787984634805</v>
      </c>
      <c r="D2170">
        <v>-39.332493425042536</v>
      </c>
    </row>
    <row r="2171" spans="1:4" x14ac:dyDescent="0.3">
      <c r="A2171">
        <v>2928109</v>
      </c>
      <c r="B2171" t="s">
        <v>3106</v>
      </c>
      <c r="C2171">
        <v>-13.393545250139852</v>
      </c>
      <c r="D2171">
        <v>-44.198308865784874</v>
      </c>
    </row>
    <row r="2172" spans="1:4" x14ac:dyDescent="0.3">
      <c r="A2172">
        <v>2928208</v>
      </c>
      <c r="B2172" t="s">
        <v>1341</v>
      </c>
      <c r="C2172">
        <v>-12.980751174729951</v>
      </c>
      <c r="D2172">
        <v>-44.053257902916421</v>
      </c>
    </row>
    <row r="2173" spans="1:4" x14ac:dyDescent="0.3">
      <c r="A2173">
        <v>2928307</v>
      </c>
      <c r="B2173" t="s">
        <v>3107</v>
      </c>
      <c r="C2173">
        <v>-12.02840688803335</v>
      </c>
      <c r="D2173">
        <v>-38.86716180770533</v>
      </c>
    </row>
    <row r="2174" spans="1:4" x14ac:dyDescent="0.3">
      <c r="A2174">
        <v>2928406</v>
      </c>
      <c r="B2174" t="s">
        <v>3108</v>
      </c>
      <c r="C2174">
        <v>-11.008045069851651</v>
      </c>
      <c r="D2174">
        <v>-44.519049720278765</v>
      </c>
    </row>
    <row r="2175" spans="1:4" x14ac:dyDescent="0.3">
      <c r="A2175">
        <v>2928505</v>
      </c>
      <c r="B2175" t="s">
        <v>2404</v>
      </c>
      <c r="C2175">
        <v>-12.77285177123205</v>
      </c>
      <c r="D2175">
        <v>-39.521140056174382</v>
      </c>
    </row>
    <row r="2176" spans="1:4" x14ac:dyDescent="0.3">
      <c r="A2176">
        <v>2928604</v>
      </c>
      <c r="B2176" t="s">
        <v>3109</v>
      </c>
      <c r="C2176">
        <v>-12.549140108661751</v>
      </c>
      <c r="D2176">
        <v>-38.709031462469561</v>
      </c>
    </row>
    <row r="2177" spans="1:4" x14ac:dyDescent="0.3">
      <c r="A2177">
        <v>2928703</v>
      </c>
      <c r="B2177" t="s">
        <v>3110</v>
      </c>
      <c r="C2177">
        <v>-12.968007769718602</v>
      </c>
      <c r="D2177">
        <v>-39.261131258045921</v>
      </c>
    </row>
    <row r="2178" spans="1:4" x14ac:dyDescent="0.3">
      <c r="A2178">
        <v>2928802</v>
      </c>
      <c r="B2178" t="s">
        <v>3111</v>
      </c>
      <c r="C2178">
        <v>-12.428893228861051</v>
      </c>
      <c r="D2178">
        <v>-39.253190203513803</v>
      </c>
    </row>
    <row r="2179" spans="1:4" x14ac:dyDescent="0.3">
      <c r="A2179">
        <v>2928901</v>
      </c>
      <c r="B2179" t="s">
        <v>3112</v>
      </c>
      <c r="C2179">
        <v>-12.360895490537704</v>
      </c>
      <c r="D2179">
        <v>-44.974096239621531</v>
      </c>
    </row>
    <row r="2180" spans="1:4" x14ac:dyDescent="0.3">
      <c r="A2180">
        <v>2928950</v>
      </c>
      <c r="B2180" t="s">
        <v>2408</v>
      </c>
      <c r="C2180">
        <v>-11.463466134185703</v>
      </c>
      <c r="D2180">
        <v>-39.526264767241209</v>
      </c>
    </row>
    <row r="2181" spans="1:4" x14ac:dyDescent="0.3">
      <c r="A2181">
        <v>2929008</v>
      </c>
      <c r="B2181" t="s">
        <v>3113</v>
      </c>
      <c r="C2181">
        <v>-12.605713251981751</v>
      </c>
      <c r="D2181">
        <v>-38.968718531351549</v>
      </c>
    </row>
    <row r="2182" spans="1:4" x14ac:dyDescent="0.3">
      <c r="A2182">
        <v>2929057</v>
      </c>
      <c r="B2182" t="s">
        <v>3114</v>
      </c>
      <c r="C2182">
        <v>-13.404218249792901</v>
      </c>
      <c r="D2182">
        <v>-44.196872557467934</v>
      </c>
    </row>
    <row r="2183" spans="1:4" x14ac:dyDescent="0.3">
      <c r="A2183">
        <v>2929107</v>
      </c>
      <c r="B2183" t="s">
        <v>3115</v>
      </c>
      <c r="C2183">
        <v>-12.845078215025051</v>
      </c>
      <c r="D2183">
        <v>-39.084014898406458</v>
      </c>
    </row>
    <row r="2184" spans="1:4" x14ac:dyDescent="0.3">
      <c r="A2184">
        <v>2929206</v>
      </c>
      <c r="B2184" t="s">
        <v>3116</v>
      </c>
      <c r="C2184">
        <v>-12.62998280440385</v>
      </c>
      <c r="D2184">
        <v>-38.675798053293072</v>
      </c>
    </row>
    <row r="2185" spans="1:4" x14ac:dyDescent="0.3">
      <c r="A2185">
        <v>2929255</v>
      </c>
      <c r="B2185" t="s">
        <v>3117</v>
      </c>
      <c r="C2185">
        <v>-11.226707334279254</v>
      </c>
      <c r="D2185">
        <v>-41.874269201128477</v>
      </c>
    </row>
    <row r="2186" spans="1:4" x14ac:dyDescent="0.3">
      <c r="A2186">
        <v>2929305</v>
      </c>
      <c r="B2186" t="s">
        <v>3118</v>
      </c>
      <c r="C2186">
        <v>-12.430309804238801</v>
      </c>
      <c r="D2186">
        <v>-38.949772430601023</v>
      </c>
    </row>
    <row r="2187" spans="1:4" x14ac:dyDescent="0.3">
      <c r="A2187">
        <v>2929354</v>
      </c>
      <c r="B2187" t="s">
        <v>3119</v>
      </c>
      <c r="C2187">
        <v>-15.078178211378001</v>
      </c>
      <c r="D2187">
        <v>-39.338920502937022</v>
      </c>
    </row>
    <row r="2188" spans="1:4" x14ac:dyDescent="0.3">
      <c r="A2188">
        <v>2929370</v>
      </c>
      <c r="B2188" t="s">
        <v>3120</v>
      </c>
      <c r="C2188">
        <v>-11.505326093792002</v>
      </c>
      <c r="D2188">
        <v>-40.02365588291444</v>
      </c>
    </row>
    <row r="2189" spans="1:4" x14ac:dyDescent="0.3">
      <c r="A2189">
        <v>2929404</v>
      </c>
      <c r="B2189" t="s">
        <v>3121</v>
      </c>
      <c r="C2189">
        <v>-13.051733082099753</v>
      </c>
      <c r="D2189">
        <v>-39.455780426030806</v>
      </c>
    </row>
    <row r="2190" spans="1:4" x14ac:dyDescent="0.3">
      <c r="A2190">
        <v>2929503</v>
      </c>
      <c r="B2190" t="s">
        <v>3122</v>
      </c>
      <c r="C2190">
        <v>-12.512724642984953</v>
      </c>
      <c r="D2190">
        <v>-38.495309845374038</v>
      </c>
    </row>
    <row r="2191" spans="1:4" x14ac:dyDescent="0.3">
      <c r="A2191">
        <v>2929602</v>
      </c>
      <c r="B2191" t="s">
        <v>3123</v>
      </c>
      <c r="C2191">
        <v>-12.735161475052802</v>
      </c>
      <c r="D2191">
        <v>-39.194808436624569</v>
      </c>
    </row>
    <row r="2192" spans="1:4" x14ac:dyDescent="0.3">
      <c r="A2192">
        <v>2929701</v>
      </c>
      <c r="B2192" t="s">
        <v>3124</v>
      </c>
      <c r="C2192">
        <v>-11.600809045415204</v>
      </c>
      <c r="D2192">
        <v>-38.591353782124521</v>
      </c>
    </row>
    <row r="2193" spans="1:4" x14ac:dyDescent="0.3">
      <c r="A2193">
        <v>2929750</v>
      </c>
      <c r="B2193" t="s">
        <v>3125</v>
      </c>
      <c r="C2193">
        <v>-12.736903624819103</v>
      </c>
      <c r="D2193">
        <v>-38.770606830004759</v>
      </c>
    </row>
    <row r="2194" spans="1:4" x14ac:dyDescent="0.3">
      <c r="A2194">
        <v>2929800</v>
      </c>
      <c r="B2194" t="s">
        <v>3126</v>
      </c>
      <c r="C2194">
        <v>-10.941105166209603</v>
      </c>
      <c r="D2194">
        <v>-40.418550743115439</v>
      </c>
    </row>
    <row r="2195" spans="1:4" x14ac:dyDescent="0.3">
      <c r="A2195">
        <v>2929909</v>
      </c>
      <c r="B2195" t="s">
        <v>3127</v>
      </c>
      <c r="C2195">
        <v>-12.418763186516205</v>
      </c>
      <c r="D2195">
        <v>-41.768201241090537</v>
      </c>
    </row>
    <row r="2196" spans="1:4" x14ac:dyDescent="0.3">
      <c r="A2196">
        <v>2930006</v>
      </c>
      <c r="B2196" t="s">
        <v>3128</v>
      </c>
      <c r="C2196">
        <v>-14.574822392347849</v>
      </c>
      <c r="D2196">
        <v>-42.94411315305473</v>
      </c>
    </row>
    <row r="2197" spans="1:4" x14ac:dyDescent="0.3">
      <c r="A2197">
        <v>2930105</v>
      </c>
      <c r="B2197" t="s">
        <v>3129</v>
      </c>
      <c r="C2197">
        <v>-10.456771493196753</v>
      </c>
      <c r="D2197">
        <v>-40.189984539995613</v>
      </c>
    </row>
    <row r="2198" spans="1:4" x14ac:dyDescent="0.3">
      <c r="A2198">
        <v>2930154</v>
      </c>
      <c r="B2198" t="s">
        <v>3130</v>
      </c>
      <c r="C2198">
        <v>-13.564465988071452</v>
      </c>
      <c r="D2198">
        <v>-43.580730742145583</v>
      </c>
    </row>
    <row r="2199" spans="1:4" x14ac:dyDescent="0.3">
      <c r="A2199">
        <v>2930204</v>
      </c>
      <c r="B2199" t="s">
        <v>3131</v>
      </c>
      <c r="C2199">
        <v>-9.7403798046247356</v>
      </c>
      <c r="D2199">
        <v>-41.890996915627539</v>
      </c>
    </row>
    <row r="2200" spans="1:4" x14ac:dyDescent="0.3">
      <c r="A2200">
        <v>2930303</v>
      </c>
      <c r="B2200" t="s">
        <v>3132</v>
      </c>
      <c r="C2200">
        <v>-12.762594739297803</v>
      </c>
      <c r="D2200">
        <v>-43.952337255892083</v>
      </c>
    </row>
    <row r="2201" spans="1:4" x14ac:dyDescent="0.3">
      <c r="A2201">
        <v>2930402</v>
      </c>
      <c r="B2201" t="s">
        <v>3133</v>
      </c>
      <c r="C2201">
        <v>-12.159726827413854</v>
      </c>
      <c r="D2201">
        <v>-39.332503920255299</v>
      </c>
    </row>
    <row r="2202" spans="1:4" x14ac:dyDescent="0.3">
      <c r="A2202">
        <v>2930501</v>
      </c>
      <c r="B2202" t="s">
        <v>2228</v>
      </c>
      <c r="C2202">
        <v>-11.659531724364303</v>
      </c>
      <c r="D2202">
        <v>-39.008132628755952</v>
      </c>
    </row>
    <row r="2203" spans="1:4" x14ac:dyDescent="0.3">
      <c r="A2203">
        <v>2930600</v>
      </c>
      <c r="B2203" t="s">
        <v>3134</v>
      </c>
      <c r="C2203">
        <v>-11.4160318981088</v>
      </c>
      <c r="D2203">
        <v>-40.299905217027955</v>
      </c>
    </row>
    <row r="2204" spans="1:4" x14ac:dyDescent="0.3">
      <c r="A2204">
        <v>2930709</v>
      </c>
      <c r="B2204" t="s">
        <v>3135</v>
      </c>
      <c r="C2204">
        <v>-12.783941483367805</v>
      </c>
      <c r="D2204">
        <v>-38.411519193245056</v>
      </c>
    </row>
    <row r="2205" spans="1:4" x14ac:dyDescent="0.3">
      <c r="A2205">
        <v>2930758</v>
      </c>
      <c r="B2205" t="s">
        <v>3136</v>
      </c>
      <c r="C2205">
        <v>-13.085792706112551</v>
      </c>
      <c r="D2205">
        <v>-43.466441167254366</v>
      </c>
    </row>
    <row r="2206" spans="1:4" x14ac:dyDescent="0.3">
      <c r="A2206">
        <v>2930766</v>
      </c>
      <c r="B2206" t="s">
        <v>3137</v>
      </c>
      <c r="C2206">
        <v>-10.3641586477739</v>
      </c>
      <c r="D2206">
        <v>-38.200370881134567</v>
      </c>
    </row>
    <row r="2207" spans="1:4" x14ac:dyDescent="0.3">
      <c r="A2207">
        <v>2930774</v>
      </c>
      <c r="B2207" t="s">
        <v>3138</v>
      </c>
      <c r="C2207">
        <v>-9.4708066384999352</v>
      </c>
      <c r="D2207">
        <v>-40.791594846362379</v>
      </c>
    </row>
    <row r="2208" spans="1:4" x14ac:dyDescent="0.3">
      <c r="A2208">
        <v>2930808</v>
      </c>
      <c r="B2208" t="s">
        <v>3139</v>
      </c>
      <c r="C2208">
        <v>-12.092596003418901</v>
      </c>
      <c r="D2208">
        <v>-41.644248389869077</v>
      </c>
    </row>
    <row r="2209" spans="1:4" x14ac:dyDescent="0.3">
      <c r="A2209">
        <v>2930907</v>
      </c>
      <c r="B2209" t="s">
        <v>3140</v>
      </c>
      <c r="C2209">
        <v>-12.707300922316053</v>
      </c>
      <c r="D2209">
        <v>-44.01118906708637</v>
      </c>
    </row>
    <row r="2210" spans="1:4" x14ac:dyDescent="0.3">
      <c r="A2210">
        <v>2931004</v>
      </c>
      <c r="B2210" t="s">
        <v>3141</v>
      </c>
      <c r="C2210">
        <v>-14.025508059225501</v>
      </c>
      <c r="D2210">
        <v>-41.254333510724074</v>
      </c>
    </row>
    <row r="2211" spans="1:4" x14ac:dyDescent="0.3">
      <c r="A2211">
        <v>2931053</v>
      </c>
      <c r="B2211" t="s">
        <v>3142</v>
      </c>
      <c r="C2211">
        <v>-13.546560320679202</v>
      </c>
      <c r="D2211">
        <v>-42.490612511498121</v>
      </c>
    </row>
    <row r="2212" spans="1:4" x14ac:dyDescent="0.3">
      <c r="A2212">
        <v>2931103</v>
      </c>
      <c r="B2212" t="s">
        <v>3143</v>
      </c>
      <c r="C2212">
        <v>-11.971693093471101</v>
      </c>
      <c r="D2212">
        <v>-39.100547165361007</v>
      </c>
    </row>
    <row r="2213" spans="1:4" x14ac:dyDescent="0.3">
      <c r="A2213">
        <v>2931202</v>
      </c>
      <c r="B2213" t="s">
        <v>2441</v>
      </c>
      <c r="C2213">
        <v>-13.530992633168154</v>
      </c>
      <c r="D2213">
        <v>-39.10062224788134</v>
      </c>
    </row>
    <row r="2214" spans="1:4" x14ac:dyDescent="0.3">
      <c r="A2214">
        <v>2931301</v>
      </c>
      <c r="B2214" t="s">
        <v>3144</v>
      </c>
      <c r="C2214">
        <v>-11.852341110456301</v>
      </c>
      <c r="D2214">
        <v>-40.788700332258067</v>
      </c>
    </row>
    <row r="2215" spans="1:4" x14ac:dyDescent="0.3">
      <c r="A2215">
        <v>2931350</v>
      </c>
      <c r="B2215" t="s">
        <v>3145</v>
      </c>
      <c r="C2215">
        <v>-17.537749881681105</v>
      </c>
      <c r="D2215">
        <v>-39.7445176868085</v>
      </c>
    </row>
    <row r="2216" spans="1:4" x14ac:dyDescent="0.3">
      <c r="A2216">
        <v>2931400</v>
      </c>
      <c r="B2216" t="s">
        <v>3146</v>
      </c>
      <c r="C2216">
        <v>-12.301407156536301</v>
      </c>
      <c r="D2216">
        <v>-38.641927541947325</v>
      </c>
    </row>
    <row r="2217" spans="1:4" x14ac:dyDescent="0.3">
      <c r="A2217">
        <v>2931509</v>
      </c>
      <c r="B2217" t="s">
        <v>3147</v>
      </c>
      <c r="C2217">
        <v>-11.482924631754903</v>
      </c>
      <c r="D2217">
        <v>-39.005812858712908</v>
      </c>
    </row>
    <row r="2218" spans="1:4" x14ac:dyDescent="0.3">
      <c r="A2218">
        <v>2931608</v>
      </c>
      <c r="B2218" t="s">
        <v>3148</v>
      </c>
      <c r="C2218">
        <v>-13.601106007010703</v>
      </c>
      <c r="D2218">
        <v>-39.489385788602341</v>
      </c>
    </row>
    <row r="2219" spans="1:4" x14ac:dyDescent="0.3">
      <c r="A2219">
        <v>2931707</v>
      </c>
      <c r="B2219" t="s">
        <v>2602</v>
      </c>
      <c r="C2219">
        <v>-12.403091901374903</v>
      </c>
      <c r="D2219">
        <v>-38.623101859195543</v>
      </c>
    </row>
    <row r="2220" spans="1:4" x14ac:dyDescent="0.3">
      <c r="A2220">
        <v>2931806</v>
      </c>
      <c r="B2220" t="s">
        <v>3149</v>
      </c>
      <c r="C2220">
        <v>-14.9724717722726</v>
      </c>
      <c r="D2220">
        <v>-41.409576319593192</v>
      </c>
    </row>
    <row r="2221" spans="1:4" x14ac:dyDescent="0.3">
      <c r="A2221">
        <v>2931905</v>
      </c>
      <c r="B2221" t="s">
        <v>3150</v>
      </c>
      <c r="C2221">
        <v>-10.964300169567251</v>
      </c>
      <c r="D2221">
        <v>-38.785948001549222</v>
      </c>
    </row>
    <row r="2222" spans="1:4" x14ac:dyDescent="0.3">
      <c r="A2222">
        <v>2932002</v>
      </c>
      <c r="B2222" t="s">
        <v>3151</v>
      </c>
      <c r="C2222">
        <v>-9.8326541656148319</v>
      </c>
      <c r="D2222">
        <v>-39.488064170529526</v>
      </c>
    </row>
    <row r="2223" spans="1:4" x14ac:dyDescent="0.3">
      <c r="A2223">
        <v>2932101</v>
      </c>
      <c r="B2223" t="s">
        <v>3152</v>
      </c>
      <c r="C2223">
        <v>-13.268089484891053</v>
      </c>
      <c r="D2223">
        <v>-39.662032567228003</v>
      </c>
    </row>
    <row r="2224" spans="1:4" x14ac:dyDescent="0.3">
      <c r="A2224">
        <v>2932200</v>
      </c>
      <c r="B2224" t="s">
        <v>3153</v>
      </c>
      <c r="C2224">
        <v>-14.310436367806652</v>
      </c>
      <c r="D2224">
        <v>-39.322547405758918</v>
      </c>
    </row>
    <row r="2225" spans="1:4" x14ac:dyDescent="0.3">
      <c r="A2225">
        <v>2932309</v>
      </c>
      <c r="B2225" t="s">
        <v>3154</v>
      </c>
      <c r="C2225">
        <v>-14.211466553941953</v>
      </c>
      <c r="D2225">
        <v>-39.522667788393072</v>
      </c>
    </row>
    <row r="2226" spans="1:4" x14ac:dyDescent="0.3">
      <c r="A2226">
        <v>2932408</v>
      </c>
      <c r="B2226" t="s">
        <v>3155</v>
      </c>
      <c r="C2226">
        <v>-11.3381145644914</v>
      </c>
      <c r="D2226">
        <v>-42.133795548796535</v>
      </c>
    </row>
    <row r="2227" spans="1:4" x14ac:dyDescent="0.3">
      <c r="A2227">
        <v>2932457</v>
      </c>
      <c r="B2227" t="s">
        <v>3156</v>
      </c>
      <c r="C2227">
        <v>-10.72927121879775</v>
      </c>
      <c r="D2227">
        <v>-41.332914130290114</v>
      </c>
    </row>
    <row r="2228" spans="1:4" x14ac:dyDescent="0.3">
      <c r="A2228">
        <v>2932507</v>
      </c>
      <c r="B2228" t="s">
        <v>3157</v>
      </c>
      <c r="C2228">
        <v>-15.294208064906003</v>
      </c>
      <c r="D2228">
        <v>-39.074712887961908</v>
      </c>
    </row>
    <row r="2229" spans="1:4" x14ac:dyDescent="0.3">
      <c r="A2229">
        <v>2932606</v>
      </c>
      <c r="B2229" t="s">
        <v>3158</v>
      </c>
      <c r="C2229">
        <v>-14.763242183789902</v>
      </c>
      <c r="D2229">
        <v>-42.658998809756547</v>
      </c>
    </row>
    <row r="2230" spans="1:4" x14ac:dyDescent="0.3">
      <c r="A2230">
        <v>2932705</v>
      </c>
      <c r="B2230" t="s">
        <v>3159</v>
      </c>
      <c r="C2230">
        <v>-14.592035453515303</v>
      </c>
      <c r="D2230">
        <v>-39.283801878849346</v>
      </c>
    </row>
    <row r="2231" spans="1:4" x14ac:dyDescent="0.3">
      <c r="A2231">
        <v>2932804</v>
      </c>
      <c r="B2231" t="s">
        <v>3160</v>
      </c>
      <c r="C2231">
        <v>-12.083317662999351</v>
      </c>
      <c r="D2231">
        <v>-41.095828850815224</v>
      </c>
    </row>
    <row r="2232" spans="1:4" x14ac:dyDescent="0.3">
      <c r="A2232">
        <v>2932903</v>
      </c>
      <c r="B2232" t="s">
        <v>3161</v>
      </c>
      <c r="C2232">
        <v>-13.370341506502003</v>
      </c>
      <c r="D2232">
        <v>-39.072350247197882</v>
      </c>
    </row>
    <row r="2233" spans="1:4" x14ac:dyDescent="0.3">
      <c r="A2233">
        <v>2933000</v>
      </c>
      <c r="B2233" t="s">
        <v>3162</v>
      </c>
      <c r="C2233">
        <v>-11.412489535751002</v>
      </c>
      <c r="D2233">
        <v>-39.464246066308199</v>
      </c>
    </row>
    <row r="2234" spans="1:4" x14ac:dyDescent="0.3">
      <c r="A2234">
        <v>2933059</v>
      </c>
      <c r="B2234" t="s">
        <v>3163</v>
      </c>
      <c r="C2234">
        <v>-11.598986263456853</v>
      </c>
      <c r="D2234">
        <v>-40.140637083853498</v>
      </c>
    </row>
    <row r="2235" spans="1:4" x14ac:dyDescent="0.3">
      <c r="A2235">
        <v>2933109</v>
      </c>
      <c r="B2235" t="s">
        <v>3164</v>
      </c>
      <c r="C2235">
        <v>-11.523979532598851</v>
      </c>
      <c r="D2235">
        <v>-40.318918199839779</v>
      </c>
    </row>
    <row r="2236" spans="1:4" x14ac:dyDescent="0.3">
      <c r="A2236">
        <v>2933158</v>
      </c>
      <c r="B2236" t="s">
        <v>3165</v>
      </c>
      <c r="C2236">
        <v>-11.257231202272552</v>
      </c>
      <c r="D2236">
        <v>-40.945845931063452</v>
      </c>
    </row>
    <row r="2237" spans="1:4" x14ac:dyDescent="0.3">
      <c r="A2237">
        <v>2933174</v>
      </c>
      <c r="B2237" t="s">
        <v>3166</v>
      </c>
      <c r="C2237">
        <v>-12.975312564956701</v>
      </c>
      <c r="D2237">
        <v>-39.393475834738133</v>
      </c>
    </row>
    <row r="2238" spans="1:4" x14ac:dyDescent="0.3">
      <c r="A2238">
        <v>2933208</v>
      </c>
      <c r="B2238" t="s">
        <v>2244</v>
      </c>
      <c r="C2238">
        <v>-12.935733331325903</v>
      </c>
      <c r="D2238">
        <v>-38.619159746347059</v>
      </c>
    </row>
    <row r="2239" spans="1:4" x14ac:dyDescent="0.3">
      <c r="A2239">
        <v>2933257</v>
      </c>
      <c r="B2239" t="s">
        <v>3167</v>
      </c>
      <c r="C2239">
        <v>-17.223934059379655</v>
      </c>
      <c r="D2239">
        <v>-40.084484927814245</v>
      </c>
    </row>
    <row r="2240" spans="1:4" x14ac:dyDescent="0.3">
      <c r="A2240">
        <v>2933307</v>
      </c>
      <c r="B2240" t="s">
        <v>3168</v>
      </c>
      <c r="C2240">
        <v>-14.848004811585602</v>
      </c>
      <c r="D2240">
        <v>-40.839809537178134</v>
      </c>
    </row>
    <row r="2241" spans="1:4" x14ac:dyDescent="0.3">
      <c r="A2241">
        <v>2933406</v>
      </c>
      <c r="B2241" t="s">
        <v>3169</v>
      </c>
      <c r="C2241">
        <v>-12.284250789937904</v>
      </c>
      <c r="D2241">
        <v>-41.169626985929028</v>
      </c>
    </row>
    <row r="2242" spans="1:4" x14ac:dyDescent="0.3">
      <c r="A2242">
        <v>2933455</v>
      </c>
      <c r="B2242" t="s">
        <v>3170</v>
      </c>
      <c r="C2242">
        <v>-12.120150314006102</v>
      </c>
      <c r="D2242">
        <v>-43.888929519852603</v>
      </c>
    </row>
    <row r="2243" spans="1:4" x14ac:dyDescent="0.3">
      <c r="A2243">
        <v>2933505</v>
      </c>
      <c r="B2243" t="s">
        <v>3171</v>
      </c>
      <c r="C2243">
        <v>-13.688587752524951</v>
      </c>
      <c r="D2243">
        <v>-39.479670803191198</v>
      </c>
    </row>
    <row r="2244" spans="1:4" x14ac:dyDescent="0.3">
      <c r="A2244">
        <v>2933604</v>
      </c>
      <c r="B2244" t="s">
        <v>3172</v>
      </c>
      <c r="C2244">
        <v>-10.824974418143286</v>
      </c>
      <c r="D2244">
        <v>-42.725508001161835</v>
      </c>
    </row>
    <row r="2245" spans="1:4" x14ac:dyDescent="0.3">
      <c r="A2245">
        <v>3100104</v>
      </c>
      <c r="B2245" t="s">
        <v>3173</v>
      </c>
      <c r="C2245">
        <v>-18.48756495893895</v>
      </c>
      <c r="D2245">
        <v>-47.396832440622163</v>
      </c>
    </row>
    <row r="2246" spans="1:4" x14ac:dyDescent="0.3">
      <c r="A2246">
        <v>3100203</v>
      </c>
      <c r="B2246" t="s">
        <v>3174</v>
      </c>
      <c r="C2246">
        <v>-19.155847694144502</v>
      </c>
      <c r="D2246">
        <v>-45.446191417204879</v>
      </c>
    </row>
    <row r="2247" spans="1:4" x14ac:dyDescent="0.3">
      <c r="A2247">
        <v>3100302</v>
      </c>
      <c r="B2247" t="s">
        <v>3175</v>
      </c>
      <c r="C2247">
        <v>-20.301445283840355</v>
      </c>
      <c r="D2247">
        <v>-42.480989986678878</v>
      </c>
    </row>
    <row r="2248" spans="1:4" x14ac:dyDescent="0.3">
      <c r="A2248">
        <v>3100401</v>
      </c>
      <c r="B2248" t="s">
        <v>3176</v>
      </c>
      <c r="C2248">
        <v>-20.360408931255851</v>
      </c>
      <c r="D2248">
        <v>-43.148238901834659</v>
      </c>
    </row>
    <row r="2249" spans="1:4" x14ac:dyDescent="0.3">
      <c r="A2249">
        <v>3100500</v>
      </c>
      <c r="B2249" t="s">
        <v>3177</v>
      </c>
      <c r="C2249">
        <v>-19.076712893633353</v>
      </c>
      <c r="D2249">
        <v>-42.546210879734488</v>
      </c>
    </row>
    <row r="2250" spans="1:4" x14ac:dyDescent="0.3">
      <c r="A2250">
        <v>3100609</v>
      </c>
      <c r="B2250" t="s">
        <v>3178</v>
      </c>
      <c r="C2250">
        <v>-17.991053049641604</v>
      </c>
      <c r="D2250">
        <v>-42.389643230084666</v>
      </c>
    </row>
    <row r="2251" spans="1:4" x14ac:dyDescent="0.3">
      <c r="A2251">
        <v>3100708</v>
      </c>
      <c r="B2251" t="s">
        <v>3179</v>
      </c>
      <c r="C2251">
        <v>-20.059312413442704</v>
      </c>
      <c r="D2251">
        <v>-48.108076774167152</v>
      </c>
    </row>
    <row r="2252" spans="1:4" x14ac:dyDescent="0.3">
      <c r="A2252">
        <v>3100807</v>
      </c>
      <c r="B2252" t="s">
        <v>3180</v>
      </c>
      <c r="C2252">
        <v>-20.937432202545352</v>
      </c>
      <c r="D2252">
        <v>-45.389465343494763</v>
      </c>
    </row>
    <row r="2253" spans="1:4" x14ac:dyDescent="0.3">
      <c r="A2253">
        <v>3100906</v>
      </c>
      <c r="B2253" t="s">
        <v>3181</v>
      </c>
      <c r="C2253">
        <v>-17.082304319556702</v>
      </c>
      <c r="D2253">
        <v>-40.935227939869101</v>
      </c>
    </row>
    <row r="2254" spans="1:4" x14ac:dyDescent="0.3">
      <c r="A2254">
        <v>3101003</v>
      </c>
      <c r="B2254" t="s">
        <v>3182</v>
      </c>
      <c r="C2254">
        <v>-15.745319945169451</v>
      </c>
      <c r="D2254">
        <v>-41.458788304120027</v>
      </c>
    </row>
    <row r="2255" spans="1:4" x14ac:dyDescent="0.3">
      <c r="A2255">
        <v>3101102</v>
      </c>
      <c r="B2255" t="s">
        <v>3183</v>
      </c>
      <c r="C2255">
        <v>-19.491950149268252</v>
      </c>
      <c r="D2255">
        <v>-41.07332746279608</v>
      </c>
    </row>
    <row r="2256" spans="1:4" x14ac:dyDescent="0.3">
      <c r="A2256">
        <v>3101201</v>
      </c>
      <c r="B2256" t="s">
        <v>3184</v>
      </c>
      <c r="C2256">
        <v>-21.975896655915705</v>
      </c>
      <c r="D2256">
        <v>-44.602824464627552</v>
      </c>
    </row>
    <row r="2257" spans="1:4" x14ac:dyDescent="0.3">
      <c r="A2257">
        <v>3101300</v>
      </c>
      <c r="B2257" t="s">
        <v>3185</v>
      </c>
      <c r="C2257">
        <v>-22.171135664433354</v>
      </c>
      <c r="D2257">
        <v>-44.638098867177838</v>
      </c>
    </row>
    <row r="2258" spans="1:4" x14ac:dyDescent="0.3">
      <c r="A2258">
        <v>3101409</v>
      </c>
      <c r="B2258" t="s">
        <v>3186</v>
      </c>
      <c r="C2258">
        <v>-22.199764481904854</v>
      </c>
      <c r="D2258">
        <v>-46.611602573367414</v>
      </c>
    </row>
    <row r="2259" spans="1:4" x14ac:dyDescent="0.3">
      <c r="A2259">
        <v>3101508</v>
      </c>
      <c r="B2259" t="s">
        <v>3187</v>
      </c>
      <c r="C2259">
        <v>-21.876803711864174</v>
      </c>
      <c r="D2259">
        <v>-42.69594660245734</v>
      </c>
    </row>
    <row r="2260" spans="1:4" x14ac:dyDescent="0.3">
      <c r="A2260">
        <v>3101607</v>
      </c>
      <c r="B2260" t="s">
        <v>3188</v>
      </c>
      <c r="C2260">
        <v>-21.428178122919054</v>
      </c>
      <c r="D2260">
        <v>-45.948918199235898</v>
      </c>
    </row>
    <row r="2261" spans="1:4" x14ac:dyDescent="0.3">
      <c r="A2261">
        <v>3101631</v>
      </c>
      <c r="B2261" t="s">
        <v>3189</v>
      </c>
      <c r="C2261">
        <v>-21.139423464834405</v>
      </c>
      <c r="D2261">
        <v>-43.773889952739239</v>
      </c>
    </row>
    <row r="2262" spans="1:4" x14ac:dyDescent="0.3">
      <c r="A2262">
        <v>3101706</v>
      </c>
      <c r="B2262" t="s">
        <v>3190</v>
      </c>
      <c r="C2262">
        <v>-16.180616174357702</v>
      </c>
      <c r="D2262">
        <v>-40.697651183251303</v>
      </c>
    </row>
    <row r="2263" spans="1:4" x14ac:dyDescent="0.3">
      <c r="A2263">
        <v>3101805</v>
      </c>
      <c r="B2263" t="s">
        <v>3191</v>
      </c>
      <c r="C2263">
        <v>-18.986831256465951</v>
      </c>
      <c r="D2263">
        <v>-41.989129111595382</v>
      </c>
    </row>
    <row r="2264" spans="1:4" x14ac:dyDescent="0.3">
      <c r="A2264">
        <v>3101904</v>
      </c>
      <c r="B2264" t="s">
        <v>3192</v>
      </c>
      <c r="C2264">
        <v>-20.8618546557469</v>
      </c>
      <c r="D2264">
        <v>-46.389482534768781</v>
      </c>
    </row>
    <row r="2265" spans="1:4" x14ac:dyDescent="0.3">
      <c r="A2265">
        <v>3102001</v>
      </c>
      <c r="B2265" t="s">
        <v>3193</v>
      </c>
      <c r="C2265">
        <v>-21.255869951920904</v>
      </c>
      <c r="D2265">
        <v>-46.145320561469681</v>
      </c>
    </row>
    <row r="2266" spans="1:4" x14ac:dyDescent="0.3">
      <c r="A2266">
        <v>3102050</v>
      </c>
      <c r="B2266" t="s">
        <v>3194</v>
      </c>
      <c r="C2266">
        <v>-20.444361120976254</v>
      </c>
      <c r="D2266">
        <v>-41.873083740030985</v>
      </c>
    </row>
    <row r="2267" spans="1:4" x14ac:dyDescent="0.3">
      <c r="A2267">
        <v>3102100</v>
      </c>
      <c r="B2267" t="s">
        <v>3195</v>
      </c>
      <c r="C2267">
        <v>-21.022146147554707</v>
      </c>
      <c r="D2267">
        <v>-43.41887066417997</v>
      </c>
    </row>
    <row r="2268" spans="1:4" x14ac:dyDescent="0.3">
      <c r="A2268">
        <v>3102209</v>
      </c>
      <c r="B2268" t="s">
        <v>3196</v>
      </c>
      <c r="C2268">
        <v>-19.414469686844203</v>
      </c>
      <c r="D2268">
        <v>-41.726442273929486</v>
      </c>
    </row>
    <row r="2269" spans="1:4" x14ac:dyDescent="0.3">
      <c r="A2269">
        <v>3102308</v>
      </c>
      <c r="B2269" t="s">
        <v>3197</v>
      </c>
      <c r="C2269">
        <v>-20.114763482364257</v>
      </c>
      <c r="D2269">
        <v>-43.066083238109179</v>
      </c>
    </row>
    <row r="2270" spans="1:4" x14ac:dyDescent="0.3">
      <c r="A2270">
        <v>3102407</v>
      </c>
      <c r="B2270" t="s">
        <v>3198</v>
      </c>
      <c r="C2270">
        <v>-18.733593024363</v>
      </c>
      <c r="D2270">
        <v>-43.366084343432213</v>
      </c>
    </row>
    <row r="2271" spans="1:4" x14ac:dyDescent="0.3">
      <c r="A2271">
        <v>3102506</v>
      </c>
      <c r="B2271" t="s">
        <v>3199</v>
      </c>
      <c r="C2271">
        <v>-20.510066687125203</v>
      </c>
      <c r="D2271">
        <v>-42.807202153365765</v>
      </c>
    </row>
    <row r="2272" spans="1:4" x14ac:dyDescent="0.3">
      <c r="A2272">
        <v>3102605</v>
      </c>
      <c r="B2272" t="s">
        <v>3200</v>
      </c>
      <c r="C2272">
        <v>-22.072807344108902</v>
      </c>
      <c r="D2272">
        <v>-46.575583000940995</v>
      </c>
    </row>
    <row r="2273" spans="1:4" x14ac:dyDescent="0.3">
      <c r="A2273">
        <v>3102704</v>
      </c>
      <c r="B2273" t="s">
        <v>3201</v>
      </c>
      <c r="C2273">
        <v>-15.965175841742226</v>
      </c>
      <c r="D2273">
        <v>-41.496410368358802</v>
      </c>
    </row>
    <row r="2274" spans="1:4" x14ac:dyDescent="0.3">
      <c r="A2274">
        <v>3102803</v>
      </c>
      <c r="B2274" t="s">
        <v>3202</v>
      </c>
      <c r="C2274">
        <v>-21.7369681986895</v>
      </c>
      <c r="D2274">
        <v>-44.317699037928314</v>
      </c>
    </row>
    <row r="2275" spans="1:4" x14ac:dyDescent="0.3">
      <c r="A2275">
        <v>3102852</v>
      </c>
      <c r="B2275" t="s">
        <v>3203</v>
      </c>
      <c r="C2275">
        <v>-17.727789832135404</v>
      </c>
      <c r="D2275">
        <v>-42.266450489920835</v>
      </c>
    </row>
    <row r="2276" spans="1:4" x14ac:dyDescent="0.3">
      <c r="A2276">
        <v>3102902</v>
      </c>
      <c r="B2276" t="s">
        <v>3204</v>
      </c>
      <c r="C2276">
        <v>-21.318580369948354</v>
      </c>
      <c r="D2276">
        <v>-43.755641009845661</v>
      </c>
    </row>
    <row r="2277" spans="1:4" x14ac:dyDescent="0.3">
      <c r="A2277">
        <v>3103009</v>
      </c>
      <c r="B2277" t="s">
        <v>3205</v>
      </c>
      <c r="C2277">
        <v>-19.651466672642005</v>
      </c>
      <c r="D2277">
        <v>-42.869545208970145</v>
      </c>
    </row>
    <row r="2278" spans="1:4" x14ac:dyDescent="0.3">
      <c r="A2278">
        <v>3103108</v>
      </c>
      <c r="B2278" t="s">
        <v>3206</v>
      </c>
      <c r="C2278">
        <v>-21.018232058786399</v>
      </c>
      <c r="D2278">
        <v>-42.109342650115359</v>
      </c>
    </row>
    <row r="2279" spans="1:4" x14ac:dyDescent="0.3">
      <c r="A2279">
        <v>3103207</v>
      </c>
      <c r="B2279" t="s">
        <v>3207</v>
      </c>
      <c r="C2279">
        <v>-19.200363859421053</v>
      </c>
      <c r="D2279">
        <v>-44.246923712861637</v>
      </c>
    </row>
    <row r="2280" spans="1:4" x14ac:dyDescent="0.3">
      <c r="A2280">
        <v>3103306</v>
      </c>
      <c r="B2280" t="s">
        <v>3208</v>
      </c>
      <c r="C2280">
        <v>-21.339268736004207</v>
      </c>
      <c r="D2280">
        <v>-43.381556238532795</v>
      </c>
    </row>
    <row r="2281" spans="1:4" x14ac:dyDescent="0.3">
      <c r="A2281">
        <v>3103405</v>
      </c>
      <c r="B2281" t="s">
        <v>3209</v>
      </c>
      <c r="C2281">
        <v>-16.851781395362355</v>
      </c>
      <c r="D2281">
        <v>-42.064206549541069</v>
      </c>
    </row>
    <row r="2282" spans="1:4" x14ac:dyDescent="0.3">
      <c r="A2282">
        <v>3103504</v>
      </c>
      <c r="B2282" t="s">
        <v>3210</v>
      </c>
      <c r="C2282">
        <v>-18.648269526813802</v>
      </c>
      <c r="D2282">
        <v>-48.191605379029177</v>
      </c>
    </row>
    <row r="2283" spans="1:4" x14ac:dyDescent="0.3">
      <c r="A2283">
        <v>3103603</v>
      </c>
      <c r="B2283" t="s">
        <v>3211</v>
      </c>
      <c r="C2283">
        <v>-21.916104228233106</v>
      </c>
      <c r="D2283">
        <v>-44.246954248100486</v>
      </c>
    </row>
    <row r="2284" spans="1:4" x14ac:dyDescent="0.3">
      <c r="A2284">
        <v>3103702</v>
      </c>
      <c r="B2284" t="s">
        <v>3212</v>
      </c>
      <c r="C2284">
        <v>-20.665661731294502</v>
      </c>
      <c r="D2284">
        <v>-42.526273099989083</v>
      </c>
    </row>
    <row r="2285" spans="1:4" x14ac:dyDescent="0.3">
      <c r="A2285">
        <v>3103751</v>
      </c>
      <c r="B2285" t="s">
        <v>3213</v>
      </c>
      <c r="C2285">
        <v>-18.441909376645956</v>
      </c>
      <c r="D2285">
        <v>-49.190086644700308</v>
      </c>
    </row>
    <row r="2286" spans="1:4" x14ac:dyDescent="0.3">
      <c r="A2286">
        <v>3103801</v>
      </c>
      <c r="B2286" t="s">
        <v>3214</v>
      </c>
      <c r="C2286">
        <v>-19.033855287526102</v>
      </c>
      <c r="D2286">
        <v>-46.154597768488465</v>
      </c>
    </row>
    <row r="2287" spans="1:4" x14ac:dyDescent="0.3">
      <c r="A2287">
        <v>3103900</v>
      </c>
      <c r="B2287" t="s">
        <v>3215</v>
      </c>
      <c r="C2287">
        <v>-19.946785340190154</v>
      </c>
      <c r="D2287">
        <v>-45.166702278526202</v>
      </c>
    </row>
    <row r="2288" spans="1:4" x14ac:dyDescent="0.3">
      <c r="A2288">
        <v>3104007</v>
      </c>
      <c r="B2288" t="s">
        <v>3216</v>
      </c>
      <c r="C2288">
        <v>-19.591329802783704</v>
      </c>
      <c r="D2288">
        <v>-46.940009890021308</v>
      </c>
    </row>
    <row r="2289" spans="1:4" x14ac:dyDescent="0.3">
      <c r="A2289">
        <v>3104106</v>
      </c>
      <c r="B2289" t="s">
        <v>3217</v>
      </c>
      <c r="C2289">
        <v>-21.3601814752415</v>
      </c>
      <c r="D2289">
        <v>-46.944354131699008</v>
      </c>
    </row>
    <row r="2290" spans="1:4" x14ac:dyDescent="0.3">
      <c r="A2290">
        <v>3104205</v>
      </c>
      <c r="B2290" t="s">
        <v>3218</v>
      </c>
      <c r="C2290">
        <v>-20.282563119936754</v>
      </c>
      <c r="D2290">
        <v>-45.543631871236265</v>
      </c>
    </row>
    <row r="2291" spans="1:4" x14ac:dyDescent="0.3">
      <c r="A2291">
        <v>3104304</v>
      </c>
      <c r="B2291" t="s">
        <v>3219</v>
      </c>
      <c r="C2291">
        <v>-21.358382357539405</v>
      </c>
      <c r="D2291">
        <v>-46.146559466125673</v>
      </c>
    </row>
    <row r="2292" spans="1:4" x14ac:dyDescent="0.3">
      <c r="A2292">
        <v>3104403</v>
      </c>
      <c r="B2292" t="s">
        <v>3220</v>
      </c>
      <c r="C2292">
        <v>-21.607554506260851</v>
      </c>
      <c r="D2292">
        <v>-42.83644676784683</v>
      </c>
    </row>
    <row r="2293" spans="1:4" x14ac:dyDescent="0.3">
      <c r="A2293">
        <v>3104452</v>
      </c>
      <c r="B2293" t="s">
        <v>3221</v>
      </c>
      <c r="C2293">
        <v>-17.867762938512751</v>
      </c>
      <c r="D2293">
        <v>-42.559231054572507</v>
      </c>
    </row>
    <row r="2294" spans="1:4" x14ac:dyDescent="0.3">
      <c r="A2294">
        <v>3104502</v>
      </c>
      <c r="B2294" t="s">
        <v>3222</v>
      </c>
      <c r="C2294">
        <v>-15.921771694348852</v>
      </c>
      <c r="D2294">
        <v>-46.107752136103869</v>
      </c>
    </row>
    <row r="2295" spans="1:4" x14ac:dyDescent="0.3">
      <c r="A2295">
        <v>3104601</v>
      </c>
      <c r="B2295" t="s">
        <v>3223</v>
      </c>
      <c r="C2295">
        <v>-21.311203850754399</v>
      </c>
      <c r="D2295">
        <v>-42.859644314202704</v>
      </c>
    </row>
    <row r="2296" spans="1:4" x14ac:dyDescent="0.3">
      <c r="A2296">
        <v>3104700</v>
      </c>
      <c r="B2296" t="s">
        <v>3224</v>
      </c>
      <c r="C2296">
        <v>-18.045919809150352</v>
      </c>
      <c r="D2296">
        <v>-41.110558389941374</v>
      </c>
    </row>
    <row r="2297" spans="1:4" x14ac:dyDescent="0.3">
      <c r="A2297">
        <v>3104809</v>
      </c>
      <c r="B2297" t="s">
        <v>3225</v>
      </c>
      <c r="C2297">
        <v>-18.112548103742302</v>
      </c>
      <c r="D2297">
        <v>-44.275218842327881</v>
      </c>
    </row>
    <row r="2298" spans="1:4" x14ac:dyDescent="0.3">
      <c r="A2298">
        <v>3104908</v>
      </c>
      <c r="B2298" t="s">
        <v>3226</v>
      </c>
      <c r="C2298">
        <v>-21.957610807931804</v>
      </c>
      <c r="D2298">
        <v>-44.890370662758251</v>
      </c>
    </row>
    <row r="2299" spans="1:4" x14ac:dyDescent="0.3">
      <c r="A2299">
        <v>3105004</v>
      </c>
      <c r="B2299" t="s">
        <v>3227</v>
      </c>
      <c r="C2299">
        <v>-19.286437304159801</v>
      </c>
      <c r="D2299">
        <v>-43.957040641317789</v>
      </c>
    </row>
    <row r="2300" spans="1:4" x14ac:dyDescent="0.3">
      <c r="A2300">
        <v>3105103</v>
      </c>
      <c r="B2300" t="s">
        <v>3228</v>
      </c>
      <c r="C2300">
        <v>-20.011891691422605</v>
      </c>
      <c r="D2300">
        <v>-45.979044812610418</v>
      </c>
    </row>
    <row r="2301" spans="1:4" x14ac:dyDescent="0.3">
      <c r="A2301">
        <v>3105202</v>
      </c>
      <c r="B2301" t="s">
        <v>3229</v>
      </c>
      <c r="C2301">
        <v>-15.884976979156253</v>
      </c>
      <c r="D2301">
        <v>-40.558886420579512</v>
      </c>
    </row>
    <row r="2302" spans="1:4" x14ac:dyDescent="0.3">
      <c r="A2302">
        <v>3105301</v>
      </c>
      <c r="B2302" t="s">
        <v>3230</v>
      </c>
      <c r="C2302">
        <v>-21.724868544311402</v>
      </c>
      <c r="D2302">
        <v>-46.38526298492976</v>
      </c>
    </row>
    <row r="2303" spans="1:4" x14ac:dyDescent="0.3">
      <c r="A2303">
        <v>3105400</v>
      </c>
      <c r="B2303" t="s">
        <v>3231</v>
      </c>
      <c r="C2303">
        <v>-19.935847434269153</v>
      </c>
      <c r="D2303">
        <v>-43.48488246903711</v>
      </c>
    </row>
    <row r="2304" spans="1:4" x14ac:dyDescent="0.3">
      <c r="A2304">
        <v>3105509</v>
      </c>
      <c r="B2304" t="s">
        <v>3232</v>
      </c>
      <c r="C2304">
        <v>-21.247882344725557</v>
      </c>
      <c r="D2304">
        <v>-42.239146579703288</v>
      </c>
    </row>
    <row r="2305" spans="1:4" x14ac:dyDescent="0.3">
      <c r="A2305">
        <v>3105608</v>
      </c>
      <c r="B2305" t="s">
        <v>3233</v>
      </c>
      <c r="C2305">
        <v>-21.224915384709057</v>
      </c>
      <c r="D2305">
        <v>-43.77619331605964</v>
      </c>
    </row>
    <row r="2306" spans="1:4" x14ac:dyDescent="0.3">
      <c r="A2306">
        <v>3105707</v>
      </c>
      <c r="B2306" t="s">
        <v>3234</v>
      </c>
      <c r="C2306">
        <v>-20.283635898476852</v>
      </c>
      <c r="D2306">
        <v>-43.037196711093614</v>
      </c>
    </row>
    <row r="2307" spans="1:4" x14ac:dyDescent="0.3">
      <c r="A2307">
        <v>3105905</v>
      </c>
      <c r="B2307" t="s">
        <v>3235</v>
      </c>
      <c r="C2307">
        <v>-21.176286999031007</v>
      </c>
      <c r="D2307">
        <v>-43.975381124315739</v>
      </c>
    </row>
    <row r="2308" spans="1:4" x14ac:dyDescent="0.3">
      <c r="A2308">
        <v>3106002</v>
      </c>
      <c r="B2308" t="s">
        <v>3236</v>
      </c>
      <c r="C2308">
        <v>-19.825846763990203</v>
      </c>
      <c r="D2308">
        <v>-43.096932266407627</v>
      </c>
    </row>
    <row r="2309" spans="1:4" x14ac:dyDescent="0.3">
      <c r="A2309">
        <v>3106101</v>
      </c>
      <c r="B2309" t="s">
        <v>3237</v>
      </c>
      <c r="C2309">
        <v>-21.950131302029909</v>
      </c>
      <c r="D2309">
        <v>-43.415720767868216</v>
      </c>
    </row>
    <row r="2310" spans="1:4" x14ac:dyDescent="0.3">
      <c r="A2310">
        <v>3106200</v>
      </c>
      <c r="B2310" t="s">
        <v>3238</v>
      </c>
      <c r="C2310">
        <v>-19.937524293775052</v>
      </c>
      <c r="D2310">
        <v>-43.926453173530454</v>
      </c>
    </row>
    <row r="2311" spans="1:4" x14ac:dyDescent="0.3">
      <c r="A2311">
        <v>3106309</v>
      </c>
      <c r="B2311" t="s">
        <v>3239</v>
      </c>
      <c r="C2311">
        <v>-19.224644999372952</v>
      </c>
      <c r="D2311">
        <v>-42.487282600198306</v>
      </c>
    </row>
    <row r="2312" spans="1:4" x14ac:dyDescent="0.3">
      <c r="A2312">
        <v>3106408</v>
      </c>
      <c r="B2312" t="s">
        <v>3240</v>
      </c>
      <c r="C2312">
        <v>-20.406657871785651</v>
      </c>
      <c r="D2312">
        <v>-44.028527654212844</v>
      </c>
    </row>
    <row r="2313" spans="1:4" x14ac:dyDescent="0.3">
      <c r="A2313">
        <v>3106507</v>
      </c>
      <c r="B2313" t="s">
        <v>3241</v>
      </c>
      <c r="C2313">
        <v>-16.950301755280901</v>
      </c>
      <c r="D2313">
        <v>-42.461353774306055</v>
      </c>
    </row>
    <row r="2314" spans="1:4" x14ac:dyDescent="0.3">
      <c r="A2314">
        <v>3106606</v>
      </c>
      <c r="B2314" t="s">
        <v>3242</v>
      </c>
      <c r="C2314">
        <v>-17.060962812212505</v>
      </c>
      <c r="D2314">
        <v>-40.572245850066572</v>
      </c>
    </row>
    <row r="2315" spans="1:4" x14ac:dyDescent="0.3">
      <c r="A2315">
        <v>3106655</v>
      </c>
      <c r="B2315" t="s">
        <v>3243</v>
      </c>
      <c r="C2315">
        <v>-15.610783651661453</v>
      </c>
      <c r="D2315">
        <v>-41.746785089870642</v>
      </c>
    </row>
    <row r="2316" spans="1:4" x14ac:dyDescent="0.3">
      <c r="A2316">
        <v>3106705</v>
      </c>
      <c r="B2316" t="s">
        <v>3244</v>
      </c>
      <c r="C2316">
        <v>-19.965379240085102</v>
      </c>
      <c r="D2316">
        <v>-44.197551103266584</v>
      </c>
    </row>
    <row r="2317" spans="1:4" x14ac:dyDescent="0.3">
      <c r="A2317">
        <v>3106804</v>
      </c>
      <c r="B2317" t="s">
        <v>3245</v>
      </c>
      <c r="C2317">
        <v>-21.608747484764407</v>
      </c>
      <c r="D2317">
        <v>-43.75657482745013</v>
      </c>
    </row>
    <row r="2318" spans="1:4" x14ac:dyDescent="0.3">
      <c r="A2318">
        <v>3106903</v>
      </c>
      <c r="B2318" t="s">
        <v>3246</v>
      </c>
      <c r="C2318">
        <v>-21.722105120987454</v>
      </c>
      <c r="D2318">
        <v>-43.062047262085727</v>
      </c>
    </row>
    <row r="2319" spans="1:4" x14ac:dyDescent="0.3">
      <c r="A2319">
        <v>3107000</v>
      </c>
      <c r="B2319" t="s">
        <v>3247</v>
      </c>
      <c r="C2319">
        <v>-18.7847516602239</v>
      </c>
      <c r="D2319">
        <v>-45.504651716023616</v>
      </c>
    </row>
    <row r="2320" spans="1:4" x14ac:dyDescent="0.3">
      <c r="A2320">
        <v>3107109</v>
      </c>
      <c r="B2320" t="s">
        <v>3248</v>
      </c>
      <c r="C2320">
        <v>-21.090531079211203</v>
      </c>
      <c r="D2320">
        <v>-45.564408930791338</v>
      </c>
    </row>
    <row r="2321" spans="1:4" x14ac:dyDescent="0.3">
      <c r="A2321">
        <v>3107208</v>
      </c>
      <c r="B2321" t="s">
        <v>3249</v>
      </c>
      <c r="C2321">
        <v>-22.169608467648604</v>
      </c>
      <c r="D2321">
        <v>-44.397305760456248</v>
      </c>
    </row>
    <row r="2322" spans="1:4" x14ac:dyDescent="0.3">
      <c r="A2322">
        <v>3107307</v>
      </c>
      <c r="B2322" t="s">
        <v>3250</v>
      </c>
      <c r="C2322">
        <v>-17.112104733227653</v>
      </c>
      <c r="D2322">
        <v>-43.814443571216373</v>
      </c>
    </row>
    <row r="2323" spans="1:4" x14ac:dyDescent="0.3">
      <c r="A2323">
        <v>3107406</v>
      </c>
      <c r="B2323" t="s">
        <v>3251</v>
      </c>
      <c r="C2323">
        <v>-19.737596333881005</v>
      </c>
      <c r="D2323">
        <v>-45.254115198574759</v>
      </c>
    </row>
    <row r="2324" spans="1:4" x14ac:dyDescent="0.3">
      <c r="A2324">
        <v>3107505</v>
      </c>
      <c r="B2324" t="s">
        <v>3252</v>
      </c>
      <c r="C2324">
        <v>-21.945899784915404</v>
      </c>
      <c r="D2324">
        <v>-44.189374455961016</v>
      </c>
    </row>
    <row r="2325" spans="1:4" x14ac:dyDescent="0.3">
      <c r="A2325">
        <v>3107604</v>
      </c>
      <c r="B2325" t="s">
        <v>3253</v>
      </c>
      <c r="C2325">
        <v>-21.017269311163002</v>
      </c>
      <c r="D2325">
        <v>-46.523543613945016</v>
      </c>
    </row>
    <row r="2326" spans="1:4" x14ac:dyDescent="0.3">
      <c r="A2326">
        <v>3107703</v>
      </c>
      <c r="B2326" t="s">
        <v>3254</v>
      </c>
      <c r="C2326">
        <v>-19.704137273914601</v>
      </c>
      <c r="D2326">
        <v>-43.473514924483048</v>
      </c>
    </row>
    <row r="2327" spans="1:4" x14ac:dyDescent="0.3">
      <c r="A2327">
        <v>3107802</v>
      </c>
      <c r="B2327" t="s">
        <v>3255</v>
      </c>
      <c r="C2327">
        <v>-19.824472039543203</v>
      </c>
      <c r="D2327">
        <v>-42.315726552606257</v>
      </c>
    </row>
    <row r="2328" spans="1:4" x14ac:dyDescent="0.3">
      <c r="A2328">
        <v>3107901</v>
      </c>
      <c r="B2328" t="s">
        <v>3256</v>
      </c>
      <c r="C2328">
        <v>-22.476836828526803</v>
      </c>
      <c r="D2328">
        <v>-46.147882202097982</v>
      </c>
    </row>
    <row r="2329" spans="1:4" x14ac:dyDescent="0.3">
      <c r="A2329">
        <v>3108008</v>
      </c>
      <c r="B2329" t="s">
        <v>2274</v>
      </c>
      <c r="C2329">
        <v>-21.030416094446057</v>
      </c>
      <c r="D2329">
        <v>-44.755502723264591</v>
      </c>
    </row>
    <row r="2330" spans="1:4" x14ac:dyDescent="0.3">
      <c r="A2330">
        <v>3108107</v>
      </c>
      <c r="B2330" t="s">
        <v>1174</v>
      </c>
      <c r="C2330">
        <v>-20.3254910996075</v>
      </c>
      <c r="D2330">
        <v>-44.23291108490502</v>
      </c>
    </row>
    <row r="2331" spans="1:4" x14ac:dyDescent="0.3">
      <c r="A2331">
        <v>3108206</v>
      </c>
      <c r="B2331" t="s">
        <v>3257</v>
      </c>
      <c r="C2331">
        <v>-16.570764786075653</v>
      </c>
      <c r="D2331">
        <v>-45.988340657155021</v>
      </c>
    </row>
    <row r="2332" spans="1:4" x14ac:dyDescent="0.3">
      <c r="A2332">
        <v>3108255</v>
      </c>
      <c r="B2332" t="s">
        <v>3258</v>
      </c>
      <c r="C2332">
        <v>-15.323804471465653</v>
      </c>
      <c r="D2332">
        <v>-44.758028444854148</v>
      </c>
    </row>
    <row r="2333" spans="1:4" x14ac:dyDescent="0.3">
      <c r="A2333">
        <v>3108305</v>
      </c>
      <c r="B2333" t="s">
        <v>3259</v>
      </c>
      <c r="C2333">
        <v>-22.272408257829504</v>
      </c>
      <c r="D2333">
        <v>-46.167168239535748</v>
      </c>
    </row>
    <row r="2334" spans="1:4" x14ac:dyDescent="0.3">
      <c r="A2334">
        <v>3108404</v>
      </c>
      <c r="B2334" t="s">
        <v>3260</v>
      </c>
      <c r="C2334">
        <v>-21.651663875734904</v>
      </c>
      <c r="D2334">
        <v>-46.395493150259142</v>
      </c>
    </row>
    <row r="2335" spans="1:4" x14ac:dyDescent="0.3">
      <c r="A2335">
        <v>3108503</v>
      </c>
      <c r="B2335" t="s">
        <v>3261</v>
      </c>
      <c r="C2335">
        <v>-16.862924551879654</v>
      </c>
      <c r="D2335">
        <v>-43.010432436917661</v>
      </c>
    </row>
    <row r="2336" spans="1:4" x14ac:dyDescent="0.3">
      <c r="A2336">
        <v>3108552</v>
      </c>
      <c r="B2336" t="s">
        <v>3262</v>
      </c>
      <c r="C2336">
        <v>-16.998600553591054</v>
      </c>
      <c r="D2336">
        <v>-46.015401758995459</v>
      </c>
    </row>
    <row r="2337" spans="1:4" x14ac:dyDescent="0.3">
      <c r="A2337">
        <v>3108602</v>
      </c>
      <c r="B2337" t="s">
        <v>3263</v>
      </c>
      <c r="C2337">
        <v>-16.205872688840952</v>
      </c>
      <c r="D2337">
        <v>-44.42753309309149</v>
      </c>
    </row>
    <row r="2338" spans="1:4" x14ac:dyDescent="0.3">
      <c r="A2338">
        <v>3108701</v>
      </c>
      <c r="B2338" t="s">
        <v>3264</v>
      </c>
      <c r="C2338">
        <v>-20.848456435999253</v>
      </c>
      <c r="D2338">
        <v>-43.239122599312005</v>
      </c>
    </row>
    <row r="2339" spans="1:4" x14ac:dyDescent="0.3">
      <c r="A2339">
        <v>3108800</v>
      </c>
      <c r="B2339" t="s">
        <v>3265</v>
      </c>
      <c r="C2339">
        <v>-19.053596618946653</v>
      </c>
      <c r="D2339">
        <v>-42.715352636981258</v>
      </c>
    </row>
    <row r="2340" spans="1:4" x14ac:dyDescent="0.3">
      <c r="A2340">
        <v>3108909</v>
      </c>
      <c r="B2340" t="s">
        <v>3266</v>
      </c>
      <c r="C2340">
        <v>-22.473110241516903</v>
      </c>
      <c r="D2340">
        <v>-45.6153258182512</v>
      </c>
    </row>
    <row r="2341" spans="1:4" x14ac:dyDescent="0.3">
      <c r="A2341">
        <v>3109006</v>
      </c>
      <c r="B2341" t="s">
        <v>3267</v>
      </c>
      <c r="C2341">
        <v>-20.144174410349851</v>
      </c>
      <c r="D2341">
        <v>-44.20018760906364</v>
      </c>
    </row>
    <row r="2342" spans="1:4" x14ac:dyDescent="0.3">
      <c r="A2342">
        <v>3109105</v>
      </c>
      <c r="B2342" t="s">
        <v>3268</v>
      </c>
      <c r="C2342">
        <v>-22.43616700559231</v>
      </c>
      <c r="D2342">
        <v>-46.353388087214029</v>
      </c>
    </row>
    <row r="2343" spans="1:4" x14ac:dyDescent="0.3">
      <c r="A2343">
        <v>3109204</v>
      </c>
      <c r="B2343" t="s">
        <v>3269</v>
      </c>
      <c r="C2343">
        <v>-17.874256284305407</v>
      </c>
      <c r="D2343">
        <v>-44.180788458801501</v>
      </c>
    </row>
    <row r="2344" spans="1:4" x14ac:dyDescent="0.3">
      <c r="A2344">
        <v>3109253</v>
      </c>
      <c r="B2344" t="s">
        <v>3270</v>
      </c>
      <c r="C2344">
        <v>-19.422212675043202</v>
      </c>
      <c r="D2344">
        <v>-42.259457012259766</v>
      </c>
    </row>
    <row r="2345" spans="1:4" x14ac:dyDescent="0.3">
      <c r="A2345">
        <v>3109303</v>
      </c>
      <c r="B2345" t="s">
        <v>1063</v>
      </c>
      <c r="C2345">
        <v>-15.626505489997003</v>
      </c>
      <c r="D2345">
        <v>-46.424040801173042</v>
      </c>
    </row>
    <row r="2346" spans="1:4" x14ac:dyDescent="0.3">
      <c r="A2346">
        <v>3109402</v>
      </c>
      <c r="B2346" t="s">
        <v>3271</v>
      </c>
      <c r="C2346">
        <v>-17.359420772578151</v>
      </c>
      <c r="D2346">
        <v>-44.955193681875194</v>
      </c>
    </row>
    <row r="2347" spans="1:4" x14ac:dyDescent="0.3">
      <c r="A2347">
        <v>3109451</v>
      </c>
      <c r="B2347" t="s">
        <v>3272</v>
      </c>
      <c r="C2347">
        <v>-16.028274803192954</v>
      </c>
      <c r="D2347">
        <v>-47.084989305107236</v>
      </c>
    </row>
    <row r="2348" spans="1:4" x14ac:dyDescent="0.3">
      <c r="A2348">
        <v>3109501</v>
      </c>
      <c r="B2348" t="s">
        <v>3273</v>
      </c>
      <c r="C2348">
        <v>-21.469291951599253</v>
      </c>
      <c r="D2348">
        <v>-46.399970500241253</v>
      </c>
    </row>
    <row r="2349" spans="1:4" x14ac:dyDescent="0.3">
      <c r="A2349">
        <v>3109600</v>
      </c>
      <c r="B2349" t="s">
        <v>3274</v>
      </c>
      <c r="C2349">
        <v>-19.526435326295601</v>
      </c>
      <c r="D2349">
        <v>-44.441050953647817</v>
      </c>
    </row>
    <row r="2350" spans="1:4" x14ac:dyDescent="0.3">
      <c r="A2350">
        <v>3109709</v>
      </c>
      <c r="B2350" t="s">
        <v>3275</v>
      </c>
      <c r="C2350">
        <v>-22.353984061190705</v>
      </c>
      <c r="D2350">
        <v>-45.782137514106559</v>
      </c>
    </row>
    <row r="2351" spans="1:4" x14ac:dyDescent="0.3">
      <c r="A2351">
        <v>3109808</v>
      </c>
      <c r="B2351" t="s">
        <v>3276</v>
      </c>
      <c r="C2351">
        <v>-18.512689815808002</v>
      </c>
      <c r="D2351">
        <v>-49.501734133327368</v>
      </c>
    </row>
    <row r="2352" spans="1:4" x14ac:dyDescent="0.3">
      <c r="A2352">
        <v>3109907</v>
      </c>
      <c r="B2352" t="s">
        <v>3277</v>
      </c>
      <c r="C2352">
        <v>-19.293713028133251</v>
      </c>
      <c r="D2352">
        <v>-44.413037337531833</v>
      </c>
    </row>
    <row r="2353" spans="1:4" x14ac:dyDescent="0.3">
      <c r="A2353">
        <v>3110004</v>
      </c>
      <c r="B2353" t="s">
        <v>3278</v>
      </c>
      <c r="C2353">
        <v>-19.887141132604803</v>
      </c>
      <c r="D2353">
        <v>-43.664787351118441</v>
      </c>
    </row>
    <row r="2354" spans="1:4" x14ac:dyDescent="0.3">
      <c r="A2354">
        <v>3110103</v>
      </c>
      <c r="B2354" t="s">
        <v>3279</v>
      </c>
      <c r="C2354">
        <v>-20.69682897791785</v>
      </c>
      <c r="D2354">
        <v>-41.922982186891396</v>
      </c>
    </row>
    <row r="2355" spans="1:4" x14ac:dyDescent="0.3">
      <c r="A2355">
        <v>3110202</v>
      </c>
      <c r="B2355" t="s">
        <v>3280</v>
      </c>
      <c r="C2355">
        <v>-20.788942671904309</v>
      </c>
      <c r="D2355">
        <v>-42.793920273405128</v>
      </c>
    </row>
    <row r="2356" spans="1:4" x14ac:dyDescent="0.3">
      <c r="A2356">
        <v>3110301</v>
      </c>
      <c r="B2356" t="s">
        <v>3281</v>
      </c>
      <c r="C2356">
        <v>-21.923335958334402</v>
      </c>
      <c r="D2356">
        <v>-46.387789109881815</v>
      </c>
    </row>
    <row r="2357" spans="1:4" x14ac:dyDescent="0.3">
      <c r="A2357">
        <v>3110400</v>
      </c>
      <c r="B2357" t="s">
        <v>3282</v>
      </c>
      <c r="C2357">
        <v>-20.626915852780751</v>
      </c>
      <c r="D2357">
        <v>-45.15879267203433</v>
      </c>
    </row>
    <row r="2358" spans="1:4" x14ac:dyDescent="0.3">
      <c r="A2358">
        <v>3110509</v>
      </c>
      <c r="B2358" t="s">
        <v>3283</v>
      </c>
      <c r="C2358">
        <v>-22.756746357753904</v>
      </c>
      <c r="D2358">
        <v>-46.146863289283978</v>
      </c>
    </row>
    <row r="2359" spans="1:4" x14ac:dyDescent="0.3">
      <c r="A2359">
        <v>3110608</v>
      </c>
      <c r="B2359" t="s">
        <v>3284</v>
      </c>
      <c r="C2359">
        <v>-22.611097163373255</v>
      </c>
      <c r="D2359">
        <v>-46.05801936333787</v>
      </c>
    </row>
    <row r="2360" spans="1:4" x14ac:dyDescent="0.3">
      <c r="A2360">
        <v>3110707</v>
      </c>
      <c r="B2360" t="s">
        <v>3285</v>
      </c>
      <c r="C2360">
        <v>-21.855409767612255</v>
      </c>
      <c r="D2360">
        <v>-45.292520508519388</v>
      </c>
    </row>
    <row r="2361" spans="1:4" x14ac:dyDescent="0.3">
      <c r="A2361">
        <v>3110806</v>
      </c>
      <c r="B2361" t="s">
        <v>3286</v>
      </c>
      <c r="C2361">
        <v>-18.241123531938154</v>
      </c>
      <c r="D2361">
        <v>-41.730131786617115</v>
      </c>
    </row>
    <row r="2362" spans="1:4" x14ac:dyDescent="0.3">
      <c r="A2362">
        <v>3110905</v>
      </c>
      <c r="B2362" t="s">
        <v>3287</v>
      </c>
      <c r="C2362">
        <v>-21.835356704027653</v>
      </c>
      <c r="D2362">
        <v>-45.39844867385694</v>
      </c>
    </row>
    <row r="2363" spans="1:4" x14ac:dyDescent="0.3">
      <c r="A2363">
        <v>3111002</v>
      </c>
      <c r="B2363" t="s">
        <v>2625</v>
      </c>
      <c r="C2363">
        <v>-21.711454834036505</v>
      </c>
      <c r="D2363">
        <v>-46.24815850713366</v>
      </c>
    </row>
    <row r="2364" spans="1:4" x14ac:dyDescent="0.3">
      <c r="A2364">
        <v>3111101</v>
      </c>
      <c r="B2364" t="s">
        <v>3288</v>
      </c>
      <c r="C2364">
        <v>-19.535455602887556</v>
      </c>
      <c r="D2364">
        <v>-49.481169050613879</v>
      </c>
    </row>
    <row r="2365" spans="1:4" x14ac:dyDescent="0.3">
      <c r="A2365">
        <v>3111150</v>
      </c>
      <c r="B2365" t="s">
        <v>3289</v>
      </c>
      <c r="C2365">
        <v>-16.504063489255753</v>
      </c>
      <c r="D2365">
        <v>-44.811858213838278</v>
      </c>
    </row>
    <row r="2366" spans="1:4" x14ac:dyDescent="0.3">
      <c r="A2366">
        <v>3111200</v>
      </c>
      <c r="B2366" t="s">
        <v>3290</v>
      </c>
      <c r="C2366">
        <v>-20.895316245804604</v>
      </c>
      <c r="D2366">
        <v>-45.275861361123155</v>
      </c>
    </row>
    <row r="2367" spans="1:4" x14ac:dyDescent="0.3">
      <c r="A2367">
        <v>3111309</v>
      </c>
      <c r="B2367" t="s">
        <v>3291</v>
      </c>
      <c r="C2367">
        <v>-21.109325717621953</v>
      </c>
      <c r="D2367">
        <v>-45.830757140452285</v>
      </c>
    </row>
    <row r="2368" spans="1:4" x14ac:dyDescent="0.3">
      <c r="A2368">
        <v>3111408</v>
      </c>
      <c r="B2368" t="s">
        <v>3292</v>
      </c>
      <c r="C2368">
        <v>-19.765445393282853</v>
      </c>
      <c r="D2368">
        <v>-48.573003468184837</v>
      </c>
    </row>
    <row r="2369" spans="1:4" x14ac:dyDescent="0.3">
      <c r="A2369">
        <v>3111507</v>
      </c>
      <c r="B2369" t="s">
        <v>3293</v>
      </c>
      <c r="C2369">
        <v>-19.698895841762205</v>
      </c>
      <c r="D2369">
        <v>-46.173709916834262</v>
      </c>
    </row>
    <row r="2370" spans="1:4" x14ac:dyDescent="0.3">
      <c r="A2370">
        <v>3111606</v>
      </c>
      <c r="B2370" t="s">
        <v>3294</v>
      </c>
      <c r="C2370">
        <v>-21.238697907437004</v>
      </c>
      <c r="D2370">
        <v>-45.756907365219796</v>
      </c>
    </row>
    <row r="2371" spans="1:4" x14ac:dyDescent="0.3">
      <c r="A2371">
        <v>3111705</v>
      </c>
      <c r="B2371" t="s">
        <v>3295</v>
      </c>
      <c r="C2371">
        <v>-20.6873760386752</v>
      </c>
      <c r="D2371">
        <v>-42.613011453110346</v>
      </c>
    </row>
    <row r="2372" spans="1:4" x14ac:dyDescent="0.3">
      <c r="A2372">
        <v>3111804</v>
      </c>
      <c r="B2372" t="s">
        <v>2850</v>
      </c>
      <c r="C2372">
        <v>-18.721663722047854</v>
      </c>
      <c r="D2372">
        <v>-49.204054454389862</v>
      </c>
    </row>
    <row r="2373" spans="1:4" x14ac:dyDescent="0.3">
      <c r="A2373">
        <v>3111903</v>
      </c>
      <c r="B2373" t="s">
        <v>3296</v>
      </c>
      <c r="C2373">
        <v>-21.023451666383703</v>
      </c>
      <c r="D2373">
        <v>-45.185925314678023</v>
      </c>
    </row>
    <row r="2374" spans="1:4" x14ac:dyDescent="0.3">
      <c r="A2374">
        <v>3112000</v>
      </c>
      <c r="B2374" t="s">
        <v>2854</v>
      </c>
      <c r="C2374">
        <v>-20.770350041153801</v>
      </c>
      <c r="D2374">
        <v>-45.276856696455233</v>
      </c>
    </row>
    <row r="2375" spans="1:4" x14ac:dyDescent="0.3">
      <c r="A2375">
        <v>3112059</v>
      </c>
      <c r="B2375" t="s">
        <v>3297</v>
      </c>
      <c r="C2375">
        <v>-18.531717906250154</v>
      </c>
      <c r="D2375">
        <v>-42.625727292188508</v>
      </c>
    </row>
    <row r="2376" spans="1:4" x14ac:dyDescent="0.3">
      <c r="A2376">
        <v>3112109</v>
      </c>
      <c r="B2376" t="s">
        <v>3298</v>
      </c>
      <c r="C2376">
        <v>-20.525588367367501</v>
      </c>
      <c r="D2376">
        <v>-41.907190295020762</v>
      </c>
    </row>
    <row r="2377" spans="1:4" x14ac:dyDescent="0.3">
      <c r="A2377">
        <v>3112208</v>
      </c>
      <c r="B2377" t="s">
        <v>3299</v>
      </c>
      <c r="C2377">
        <v>-20.916667907714402</v>
      </c>
      <c r="D2377">
        <v>-43.612421866392076</v>
      </c>
    </row>
    <row r="2378" spans="1:4" x14ac:dyDescent="0.3">
      <c r="A2378">
        <v>3112307</v>
      </c>
      <c r="B2378" t="s">
        <v>3300</v>
      </c>
      <c r="C2378">
        <v>-17.695385220201505</v>
      </c>
      <c r="D2378">
        <v>-42.516075373456495</v>
      </c>
    </row>
    <row r="2379" spans="1:4" x14ac:dyDescent="0.3">
      <c r="A2379">
        <v>3112406</v>
      </c>
      <c r="B2379" t="s">
        <v>3301</v>
      </c>
      <c r="C2379">
        <v>-20.620499127860452</v>
      </c>
      <c r="D2379">
        <v>-47.057436800683554</v>
      </c>
    </row>
    <row r="2380" spans="1:4" x14ac:dyDescent="0.3">
      <c r="A2380">
        <v>3112505</v>
      </c>
      <c r="B2380" t="s">
        <v>3302</v>
      </c>
      <c r="C2380">
        <v>-19.545542209328655</v>
      </c>
      <c r="D2380">
        <v>-44.133166241413058</v>
      </c>
    </row>
    <row r="2381" spans="1:4" x14ac:dyDescent="0.3">
      <c r="A2381">
        <v>3112604</v>
      </c>
      <c r="B2381" t="s">
        <v>3303</v>
      </c>
      <c r="C2381">
        <v>-18.682293733755504</v>
      </c>
      <c r="D2381">
        <v>-49.574482239399224</v>
      </c>
    </row>
    <row r="2382" spans="1:4" x14ac:dyDescent="0.3">
      <c r="A2382">
        <v>3112653</v>
      </c>
      <c r="B2382" t="s">
        <v>3304</v>
      </c>
      <c r="C2382">
        <v>-19.079024457570707</v>
      </c>
      <c r="D2382">
        <v>-41.865097329085422</v>
      </c>
    </row>
    <row r="2383" spans="1:4" x14ac:dyDescent="0.3">
      <c r="A2383">
        <v>3112703</v>
      </c>
      <c r="B2383" t="s">
        <v>3305</v>
      </c>
      <c r="C2383">
        <v>-16.320915136355303</v>
      </c>
      <c r="D2383">
        <v>-43.705412899898178</v>
      </c>
    </row>
    <row r="2384" spans="1:4" x14ac:dyDescent="0.3">
      <c r="A2384">
        <v>3112802</v>
      </c>
      <c r="B2384" t="s">
        <v>3306</v>
      </c>
      <c r="C2384">
        <v>-20.614663599497504</v>
      </c>
      <c r="D2384">
        <v>-46.05451388808055</v>
      </c>
    </row>
    <row r="2385" spans="1:4" x14ac:dyDescent="0.3">
      <c r="A2385">
        <v>3112901</v>
      </c>
      <c r="B2385" t="s">
        <v>3307</v>
      </c>
      <c r="C2385">
        <v>-20.170889989466705</v>
      </c>
      <c r="D2385">
        <v>-42.271987899931638</v>
      </c>
    </row>
    <row r="2386" spans="1:4" x14ac:dyDescent="0.3">
      <c r="A2386">
        <v>3113008</v>
      </c>
      <c r="B2386" t="s">
        <v>3308</v>
      </c>
      <c r="C2386">
        <v>-17.192904166108125</v>
      </c>
      <c r="D2386">
        <v>-41.698307251194372</v>
      </c>
    </row>
    <row r="2387" spans="1:4" x14ac:dyDescent="0.3">
      <c r="A2387">
        <v>3113107</v>
      </c>
      <c r="B2387" t="s">
        <v>3309</v>
      </c>
      <c r="C2387">
        <v>-20.870219415565206</v>
      </c>
      <c r="D2387">
        <v>-43.739466478853871</v>
      </c>
    </row>
    <row r="2388" spans="1:4" x14ac:dyDescent="0.3">
      <c r="A2388">
        <v>3113206</v>
      </c>
      <c r="B2388" t="s">
        <v>3310</v>
      </c>
      <c r="C2388">
        <v>-20.954369455546452</v>
      </c>
      <c r="D2388">
        <v>-43.80547537022467</v>
      </c>
    </row>
    <row r="2389" spans="1:4" x14ac:dyDescent="0.3">
      <c r="A2389">
        <v>3113305</v>
      </c>
      <c r="B2389" t="s">
        <v>3311</v>
      </c>
      <c r="C2389">
        <v>-20.732550508322003</v>
      </c>
      <c r="D2389">
        <v>-42.032224523129607</v>
      </c>
    </row>
    <row r="2390" spans="1:4" x14ac:dyDescent="0.3">
      <c r="A2390">
        <v>3113404</v>
      </c>
      <c r="B2390" t="s">
        <v>3312</v>
      </c>
      <c r="C2390">
        <v>-19.789634923066455</v>
      </c>
      <c r="D2390">
        <v>-42.143707045199299</v>
      </c>
    </row>
    <row r="2391" spans="1:4" x14ac:dyDescent="0.3">
      <c r="A2391">
        <v>3113503</v>
      </c>
      <c r="B2391" t="s">
        <v>3313</v>
      </c>
      <c r="C2391">
        <v>-17.530245834598603</v>
      </c>
      <c r="D2391">
        <v>-43.014460200465166</v>
      </c>
    </row>
    <row r="2392" spans="1:4" x14ac:dyDescent="0.3">
      <c r="A2392">
        <v>3113602</v>
      </c>
      <c r="B2392" t="s">
        <v>3314</v>
      </c>
      <c r="C2392">
        <v>-22.038084851215206</v>
      </c>
      <c r="D2392">
        <v>-45.687677405120411</v>
      </c>
    </row>
    <row r="2393" spans="1:4" x14ac:dyDescent="0.3">
      <c r="A2393">
        <v>3113701</v>
      </c>
      <c r="B2393" t="s">
        <v>3315</v>
      </c>
      <c r="C2393">
        <v>-17.703331044036499</v>
      </c>
      <c r="D2393">
        <v>-40.767399796080575</v>
      </c>
    </row>
    <row r="2394" spans="1:4" x14ac:dyDescent="0.3">
      <c r="A2394">
        <v>3113800</v>
      </c>
      <c r="B2394" t="s">
        <v>3316</v>
      </c>
      <c r="C2394">
        <v>-19.087086387443851</v>
      </c>
      <c r="D2394">
        <v>-43.145840303249877</v>
      </c>
    </row>
    <row r="2395" spans="1:4" x14ac:dyDescent="0.3">
      <c r="A2395">
        <v>3113909</v>
      </c>
      <c r="B2395" t="s">
        <v>3317</v>
      </c>
      <c r="C2395">
        <v>-21.461060428258655</v>
      </c>
      <c r="D2395">
        <v>-45.22462309417628</v>
      </c>
    </row>
    <row r="2396" spans="1:4" x14ac:dyDescent="0.3">
      <c r="A2396">
        <v>3114006</v>
      </c>
      <c r="B2396" t="s">
        <v>3318</v>
      </c>
      <c r="C2396">
        <v>-20.559210001975405</v>
      </c>
      <c r="D2396">
        <v>-44.868382733271268</v>
      </c>
    </row>
    <row r="2397" spans="1:4" x14ac:dyDescent="0.3">
      <c r="A2397">
        <v>3114105</v>
      </c>
      <c r="B2397" t="s">
        <v>3319</v>
      </c>
      <c r="C2397">
        <v>-22.118126634572452</v>
      </c>
      <c r="D2397">
        <v>-45.132763485574273</v>
      </c>
    </row>
    <row r="2398" spans="1:4" x14ac:dyDescent="0.3">
      <c r="A2398">
        <v>3114204</v>
      </c>
      <c r="B2398" t="s">
        <v>3320</v>
      </c>
      <c r="C2398">
        <v>-20.186093830724001</v>
      </c>
      <c r="D2398">
        <v>-44.771478137316009</v>
      </c>
    </row>
    <row r="2399" spans="1:4" x14ac:dyDescent="0.3">
      <c r="A2399">
        <v>3114303</v>
      </c>
      <c r="B2399" t="s">
        <v>3321</v>
      </c>
      <c r="C2399">
        <v>-18.997289025141654</v>
      </c>
      <c r="D2399">
        <v>-46.314288877627682</v>
      </c>
    </row>
    <row r="2400" spans="1:4" x14ac:dyDescent="0.3">
      <c r="A2400">
        <v>3114402</v>
      </c>
      <c r="B2400" t="s">
        <v>3322</v>
      </c>
      <c r="C2400">
        <v>-20.972996530128704</v>
      </c>
      <c r="D2400">
        <v>-46.121964734089694</v>
      </c>
    </row>
    <row r="2401" spans="1:4" x14ac:dyDescent="0.3">
      <c r="A2401">
        <v>3114501</v>
      </c>
      <c r="B2401" t="s">
        <v>3323</v>
      </c>
      <c r="C2401">
        <v>-20.539642174326151</v>
      </c>
      <c r="D2401">
        <v>-44.632527707529135</v>
      </c>
    </row>
    <row r="2402" spans="1:4" x14ac:dyDescent="0.3">
      <c r="A2402">
        <v>3114550</v>
      </c>
      <c r="B2402" t="s">
        <v>3324</v>
      </c>
      <c r="C2402">
        <v>-19.697326317280751</v>
      </c>
      <c r="D2402">
        <v>-50.691427493660456</v>
      </c>
    </row>
    <row r="2403" spans="1:4" x14ac:dyDescent="0.3">
      <c r="A2403">
        <v>3114600</v>
      </c>
      <c r="B2403" t="s">
        <v>3325</v>
      </c>
      <c r="C2403">
        <v>-21.491625621391801</v>
      </c>
      <c r="D2403">
        <v>-44.643609022911441</v>
      </c>
    </row>
    <row r="2404" spans="1:4" x14ac:dyDescent="0.3">
      <c r="A2404">
        <v>3114709</v>
      </c>
      <c r="B2404" t="s">
        <v>3326</v>
      </c>
      <c r="C2404">
        <v>-21.776072920739704</v>
      </c>
      <c r="D2404">
        <v>-45.845639184951814</v>
      </c>
    </row>
    <row r="2405" spans="1:4" x14ac:dyDescent="0.3">
      <c r="A2405">
        <v>3114808</v>
      </c>
      <c r="B2405" t="s">
        <v>3327</v>
      </c>
      <c r="C2405">
        <v>-21.996705381574255</v>
      </c>
      <c r="D2405">
        <v>-44.466015072793034</v>
      </c>
    </row>
    <row r="2406" spans="1:4" x14ac:dyDescent="0.3">
      <c r="A2406">
        <v>3114907</v>
      </c>
      <c r="B2406" t="s">
        <v>3328</v>
      </c>
      <c r="C2406">
        <v>-20.793451286794603</v>
      </c>
      <c r="D2406">
        <v>-43.931466594103462</v>
      </c>
    </row>
    <row r="2407" spans="1:4" x14ac:dyDescent="0.3">
      <c r="A2407">
        <v>3115003</v>
      </c>
      <c r="B2407" t="s">
        <v>3329</v>
      </c>
      <c r="C2407">
        <v>-18.578590248268902</v>
      </c>
      <c r="D2407">
        <v>-47.8759987830325</v>
      </c>
    </row>
    <row r="2408" spans="1:4" x14ac:dyDescent="0.3">
      <c r="A2408">
        <v>3115102</v>
      </c>
      <c r="B2408" t="s">
        <v>3330</v>
      </c>
      <c r="C2408">
        <v>-20.582856024439554</v>
      </c>
      <c r="D2408">
        <v>-46.924035860641972</v>
      </c>
    </row>
    <row r="2409" spans="1:4" x14ac:dyDescent="0.3">
      <c r="A2409">
        <v>3115201</v>
      </c>
      <c r="B2409" t="s">
        <v>3331</v>
      </c>
      <c r="C2409">
        <v>-21.131769367498055</v>
      </c>
      <c r="D2409">
        <v>-44.47780821323007</v>
      </c>
    </row>
    <row r="2410" spans="1:4" x14ac:dyDescent="0.3">
      <c r="A2410">
        <v>3115300</v>
      </c>
      <c r="B2410" t="s">
        <v>3332</v>
      </c>
      <c r="C2410">
        <v>-21.389248423212802</v>
      </c>
      <c r="D2410">
        <v>-42.692084610820054</v>
      </c>
    </row>
    <row r="2411" spans="1:4" x14ac:dyDescent="0.3">
      <c r="A2411">
        <v>3115359</v>
      </c>
      <c r="B2411" t="s">
        <v>3333</v>
      </c>
      <c r="C2411">
        <v>-20.074892943165356</v>
      </c>
      <c r="D2411">
        <v>-43.41480573495965</v>
      </c>
    </row>
    <row r="2412" spans="1:4" x14ac:dyDescent="0.3">
      <c r="A2412">
        <v>3115409</v>
      </c>
      <c r="B2412" t="s">
        <v>3334</v>
      </c>
      <c r="C2412">
        <v>-20.687087621035506</v>
      </c>
      <c r="D2412">
        <v>-43.50505920047371</v>
      </c>
    </row>
    <row r="2413" spans="1:4" x14ac:dyDescent="0.3">
      <c r="A2413">
        <v>3115458</v>
      </c>
      <c r="B2413" t="s">
        <v>3335</v>
      </c>
      <c r="C2413">
        <v>-17.301080706106202</v>
      </c>
      <c r="D2413">
        <v>-41.523126865365974</v>
      </c>
    </row>
    <row r="2414" spans="1:4" x14ac:dyDescent="0.3">
      <c r="A2414">
        <v>3115474</v>
      </c>
      <c r="B2414" t="s">
        <v>3336</v>
      </c>
      <c r="C2414">
        <v>-15.357378876344503</v>
      </c>
      <c r="D2414">
        <v>-42.96352296423273</v>
      </c>
    </row>
    <row r="2415" spans="1:4" x14ac:dyDescent="0.3">
      <c r="A2415">
        <v>3115508</v>
      </c>
      <c r="B2415" t="s">
        <v>3337</v>
      </c>
      <c r="C2415">
        <v>-21.979311539829904</v>
      </c>
      <c r="D2415">
        <v>-44.931498591375629</v>
      </c>
    </row>
    <row r="2416" spans="1:4" x14ac:dyDescent="0.3">
      <c r="A2416">
        <v>3115607</v>
      </c>
      <c r="B2416" t="s">
        <v>3338</v>
      </c>
      <c r="C2416">
        <v>-19.147167652082754</v>
      </c>
      <c r="D2416">
        <v>-45.712194935992372</v>
      </c>
    </row>
    <row r="2417" spans="1:4" x14ac:dyDescent="0.3">
      <c r="A2417">
        <v>3115706</v>
      </c>
      <c r="B2417" t="s">
        <v>3339</v>
      </c>
      <c r="C2417">
        <v>-18.757460537682853</v>
      </c>
      <c r="D2417">
        <v>-41.310405053667147</v>
      </c>
    </row>
    <row r="2418" spans="1:4" x14ac:dyDescent="0.3">
      <c r="A2418">
        <v>3115805</v>
      </c>
      <c r="B2418" t="s">
        <v>3340</v>
      </c>
      <c r="C2418">
        <v>-18.585385511247502</v>
      </c>
      <c r="D2418">
        <v>-49.19628257014535</v>
      </c>
    </row>
    <row r="2419" spans="1:4" x14ac:dyDescent="0.3">
      <c r="A2419">
        <v>3115904</v>
      </c>
      <c r="B2419" t="s">
        <v>3341</v>
      </c>
      <c r="C2419">
        <v>-21.672913223344054</v>
      </c>
      <c r="D2419">
        <v>-43.218770029501108</v>
      </c>
    </row>
    <row r="2420" spans="1:4" x14ac:dyDescent="0.3">
      <c r="A2420">
        <v>3116001</v>
      </c>
      <c r="B2420" t="s">
        <v>3342</v>
      </c>
      <c r="C2420">
        <v>-20.044253344594406</v>
      </c>
      <c r="D2420">
        <v>-41.692207007987484</v>
      </c>
    </row>
    <row r="2421" spans="1:4" x14ac:dyDescent="0.3">
      <c r="A2421">
        <v>3116100</v>
      </c>
      <c r="B2421" t="s">
        <v>3343</v>
      </c>
      <c r="C2421">
        <v>-17.086695981348303</v>
      </c>
      <c r="D2421">
        <v>-42.540748760503782</v>
      </c>
    </row>
    <row r="2422" spans="1:4" x14ac:dyDescent="0.3">
      <c r="A2422">
        <v>3116159</v>
      </c>
      <c r="B2422" t="s">
        <v>3344</v>
      </c>
      <c r="C2422">
        <v>-15.299808715124552</v>
      </c>
      <c r="D2422">
        <v>-45.625584439966296</v>
      </c>
    </row>
    <row r="2423" spans="1:4" x14ac:dyDescent="0.3">
      <c r="A2423">
        <v>3116209</v>
      </c>
      <c r="B2423" t="s">
        <v>3345</v>
      </c>
      <c r="C2423">
        <v>-22.003712600945402</v>
      </c>
      <c r="D2423">
        <v>-43.059038847077346</v>
      </c>
    </row>
    <row r="2424" spans="1:4" x14ac:dyDescent="0.3">
      <c r="A2424">
        <v>3116308</v>
      </c>
      <c r="B2424" t="s">
        <v>3346</v>
      </c>
      <c r="C2424">
        <v>-20.905535747902352</v>
      </c>
      <c r="D2424">
        <v>-43.367977207819045</v>
      </c>
    </row>
    <row r="2425" spans="1:4" x14ac:dyDescent="0.3">
      <c r="A2425">
        <v>3116407</v>
      </c>
      <c r="B2425" t="s">
        <v>3347</v>
      </c>
      <c r="C2425">
        <v>-20.398376080995952</v>
      </c>
      <c r="D2425">
        <v>-47.287761286172113</v>
      </c>
    </row>
    <row r="2426" spans="1:4" x14ac:dyDescent="0.3">
      <c r="A2426">
        <v>3116506</v>
      </c>
      <c r="B2426" t="s">
        <v>3348</v>
      </c>
      <c r="C2426">
        <v>-17.077685022880953</v>
      </c>
      <c r="D2426">
        <v>-44.20871001494482</v>
      </c>
    </row>
    <row r="2427" spans="1:4" x14ac:dyDescent="0.3">
      <c r="A2427">
        <v>3116605</v>
      </c>
      <c r="B2427" t="s">
        <v>3349</v>
      </c>
      <c r="C2427">
        <v>-20.444574655027353</v>
      </c>
      <c r="D2427">
        <v>-44.768422527890195</v>
      </c>
    </row>
    <row r="2428" spans="1:4" x14ac:dyDescent="0.3">
      <c r="A2428">
        <v>3116704</v>
      </c>
      <c r="B2428" t="s">
        <v>3350</v>
      </c>
      <c r="C2428">
        <v>-20.85865952801425</v>
      </c>
      <c r="D2428">
        <v>-42.805939102564039</v>
      </c>
    </row>
    <row r="2429" spans="1:4" x14ac:dyDescent="0.3">
      <c r="A2429">
        <v>3116803</v>
      </c>
      <c r="B2429" t="s">
        <v>3351</v>
      </c>
      <c r="C2429">
        <v>-18.220405035157803</v>
      </c>
      <c r="D2429">
        <v>-42.843654512274568</v>
      </c>
    </row>
    <row r="2430" spans="1:4" x14ac:dyDescent="0.3">
      <c r="A2430">
        <v>3116902</v>
      </c>
      <c r="B2430" t="s">
        <v>3352</v>
      </c>
      <c r="C2430">
        <v>-19.700214627141204</v>
      </c>
      <c r="D2430">
        <v>-49.081430205337156</v>
      </c>
    </row>
    <row r="2431" spans="1:4" x14ac:dyDescent="0.3">
      <c r="A2431">
        <v>3117009</v>
      </c>
      <c r="B2431" t="s">
        <v>3353</v>
      </c>
      <c r="C2431">
        <v>-16.296595474783455</v>
      </c>
      <c r="D2431">
        <v>-41.791131734916412</v>
      </c>
    </row>
    <row r="2432" spans="1:4" x14ac:dyDescent="0.3">
      <c r="A2432">
        <v>3117108</v>
      </c>
      <c r="B2432" t="s">
        <v>3354</v>
      </c>
      <c r="C2432">
        <v>-21.096620070818101</v>
      </c>
      <c r="D2432">
        <v>-46.203127249622952</v>
      </c>
    </row>
    <row r="2433" spans="1:4" x14ac:dyDescent="0.3">
      <c r="A2433">
        <v>3117207</v>
      </c>
      <c r="B2433" t="s">
        <v>3355</v>
      </c>
      <c r="C2433">
        <v>-22.161175708779457</v>
      </c>
      <c r="D2433">
        <v>-45.453679462718235</v>
      </c>
    </row>
    <row r="2434" spans="1:4" x14ac:dyDescent="0.3">
      <c r="A2434">
        <v>3117306</v>
      </c>
      <c r="B2434" t="s">
        <v>3356</v>
      </c>
      <c r="C2434">
        <v>-19.923113506182652</v>
      </c>
      <c r="D2434">
        <v>-48.381874129464961</v>
      </c>
    </row>
    <row r="2435" spans="1:4" x14ac:dyDescent="0.3">
      <c r="A2435">
        <v>3117405</v>
      </c>
      <c r="B2435" t="s">
        <v>3357</v>
      </c>
      <c r="C2435">
        <v>-19.930780358677602</v>
      </c>
      <c r="D2435">
        <v>-41.692449263151666</v>
      </c>
    </row>
    <row r="2436" spans="1:4" x14ac:dyDescent="0.3">
      <c r="A2436">
        <v>3117504</v>
      </c>
      <c r="B2436" t="s">
        <v>3358</v>
      </c>
      <c r="C2436">
        <v>-19.045189994540802</v>
      </c>
      <c r="D2436">
        <v>-43.423435767517965</v>
      </c>
    </row>
    <row r="2437" spans="1:4" x14ac:dyDescent="0.3">
      <c r="A2437">
        <v>3117603</v>
      </c>
      <c r="B2437" t="s">
        <v>3359</v>
      </c>
      <c r="C2437">
        <v>-19.749056232437503</v>
      </c>
      <c r="D2437">
        <v>-44.895875611642197</v>
      </c>
    </row>
    <row r="2438" spans="1:4" x14ac:dyDescent="0.3">
      <c r="A2438">
        <v>3117702</v>
      </c>
      <c r="B2438" t="s">
        <v>3360</v>
      </c>
      <c r="C2438">
        <v>-21.877665559219455</v>
      </c>
      <c r="D2438">
        <v>-45.083768866057646</v>
      </c>
    </row>
    <row r="2439" spans="1:4" x14ac:dyDescent="0.3">
      <c r="A2439">
        <v>3117801</v>
      </c>
      <c r="B2439" t="s">
        <v>3361</v>
      </c>
      <c r="C2439">
        <v>-22.417475489721454</v>
      </c>
      <c r="D2439">
        <v>-45.796326658485711</v>
      </c>
    </row>
    <row r="2440" spans="1:4" x14ac:dyDescent="0.3">
      <c r="A2440">
        <v>3117836</v>
      </c>
      <c r="B2440" t="s">
        <v>3362</v>
      </c>
      <c r="C2440">
        <v>-15.296270318164105</v>
      </c>
      <c r="D2440">
        <v>-44.415154710826776</v>
      </c>
    </row>
    <row r="2441" spans="1:4" x14ac:dyDescent="0.3">
      <c r="A2441">
        <v>3117876</v>
      </c>
      <c r="B2441" t="s">
        <v>3363</v>
      </c>
      <c r="C2441">
        <v>-19.629948249405302</v>
      </c>
      <c r="D2441">
        <v>-43.995596087563797</v>
      </c>
    </row>
    <row r="2442" spans="1:4" x14ac:dyDescent="0.3">
      <c r="A2442">
        <v>3117900</v>
      </c>
      <c r="B2442" t="s">
        <v>3364</v>
      </c>
      <c r="C2442">
        <v>-22.152560758105952</v>
      </c>
      <c r="D2442">
        <v>-46.053662372333804</v>
      </c>
    </row>
    <row r="2443" spans="1:4" x14ac:dyDescent="0.3">
      <c r="A2443">
        <v>3118007</v>
      </c>
      <c r="B2443" t="s">
        <v>3365</v>
      </c>
      <c r="C2443">
        <v>-20.504642788558105</v>
      </c>
      <c r="D2443">
        <v>-43.856892649697137</v>
      </c>
    </row>
    <row r="2444" spans="1:4" x14ac:dyDescent="0.3">
      <c r="A2444">
        <v>3118106</v>
      </c>
      <c r="B2444" t="s">
        <v>3366</v>
      </c>
      <c r="C2444">
        <v>-18.816451960816099</v>
      </c>
      <c r="D2444">
        <v>-43.687631632727296</v>
      </c>
    </row>
    <row r="2445" spans="1:4" x14ac:dyDescent="0.3">
      <c r="A2445">
        <v>3118205</v>
      </c>
      <c r="B2445" t="s">
        <v>3367</v>
      </c>
      <c r="C2445">
        <v>-19.936930625642201</v>
      </c>
      <c r="D2445">
        <v>-47.543283220307138</v>
      </c>
    </row>
    <row r="2446" spans="1:4" x14ac:dyDescent="0.3">
      <c r="A2446">
        <v>3118304</v>
      </c>
      <c r="B2446" t="s">
        <v>3368</v>
      </c>
      <c r="C2446">
        <v>-20.66085179944405</v>
      </c>
      <c r="D2446">
        <v>-43.788444664719911</v>
      </c>
    </row>
    <row r="2447" spans="1:4" x14ac:dyDescent="0.3">
      <c r="A2447">
        <v>3118403</v>
      </c>
      <c r="B2447" t="s">
        <v>3369</v>
      </c>
      <c r="C2447">
        <v>-19.175623201451355</v>
      </c>
      <c r="D2447">
        <v>-41.471974020400573</v>
      </c>
    </row>
    <row r="2448" spans="1:4" x14ac:dyDescent="0.3">
      <c r="A2448">
        <v>3118502</v>
      </c>
      <c r="B2448" t="s">
        <v>3370</v>
      </c>
      <c r="C2448">
        <v>-22.550465035810301</v>
      </c>
      <c r="D2448">
        <v>-45.92225072020927</v>
      </c>
    </row>
    <row r="2449" spans="1:4" x14ac:dyDescent="0.3">
      <c r="A2449">
        <v>3118601</v>
      </c>
      <c r="B2449" t="s">
        <v>3371</v>
      </c>
      <c r="C2449">
        <v>-19.943445905663303</v>
      </c>
      <c r="D2449">
        <v>-44.066344648723877</v>
      </c>
    </row>
    <row r="2450" spans="1:4" x14ac:dyDescent="0.3">
      <c r="A2450">
        <v>3118700</v>
      </c>
      <c r="B2450" t="s">
        <v>3372</v>
      </c>
      <c r="C2450">
        <v>-21.186574523663054</v>
      </c>
      <c r="D2450">
        <v>-45.440805566821041</v>
      </c>
    </row>
    <row r="2451" spans="1:4" x14ac:dyDescent="0.3">
      <c r="A2451">
        <v>3118809</v>
      </c>
      <c r="B2451" t="s">
        <v>3373</v>
      </c>
      <c r="C2451">
        <v>-16.689323447686551</v>
      </c>
      <c r="D2451">
        <v>-44.358495294650218</v>
      </c>
    </row>
    <row r="2452" spans="1:4" x14ac:dyDescent="0.3">
      <c r="A2452">
        <v>3118908</v>
      </c>
      <c r="B2452" t="s">
        <v>3374</v>
      </c>
      <c r="C2452">
        <v>-19.128533320663703</v>
      </c>
      <c r="D2452">
        <v>-44.322067451933862</v>
      </c>
    </row>
    <row r="2453" spans="1:4" x14ac:dyDescent="0.3">
      <c r="A2453">
        <v>3119005</v>
      </c>
      <c r="B2453" t="s">
        <v>3375</v>
      </c>
      <c r="C2453">
        <v>-21.791207755247402</v>
      </c>
      <c r="D2453">
        <v>-45.700529727700903</v>
      </c>
    </row>
    <row r="2454" spans="1:4" x14ac:dyDescent="0.3">
      <c r="A2454">
        <v>3119104</v>
      </c>
      <c r="B2454" t="s">
        <v>3376</v>
      </c>
      <c r="C2454">
        <v>-18.363516287104453</v>
      </c>
      <c r="D2454">
        <v>-44.456225649703235</v>
      </c>
    </row>
    <row r="2455" spans="1:4" x14ac:dyDescent="0.3">
      <c r="A2455">
        <v>3119203</v>
      </c>
      <c r="B2455" t="s">
        <v>3377</v>
      </c>
      <c r="C2455">
        <v>-18.618083505857204</v>
      </c>
      <c r="D2455">
        <v>-42.283027891501042</v>
      </c>
    </row>
    <row r="2456" spans="1:4" x14ac:dyDescent="0.3">
      <c r="A2456">
        <v>3119302</v>
      </c>
      <c r="B2456" t="s">
        <v>3378</v>
      </c>
      <c r="C2456">
        <v>-18.473850597588704</v>
      </c>
      <c r="D2456">
        <v>-47.201547728209711</v>
      </c>
    </row>
    <row r="2457" spans="1:4" x14ac:dyDescent="0.3">
      <c r="A2457">
        <v>3119401</v>
      </c>
      <c r="B2457" t="s">
        <v>3379</v>
      </c>
      <c r="C2457">
        <v>-19.525052839346703</v>
      </c>
      <c r="D2457">
        <v>-42.624346577298006</v>
      </c>
    </row>
    <row r="2458" spans="1:4" x14ac:dyDescent="0.3">
      <c r="A2458">
        <v>3119500</v>
      </c>
      <c r="B2458" t="s">
        <v>3380</v>
      </c>
      <c r="C2458">
        <v>-16.6102682357247</v>
      </c>
      <c r="D2458">
        <v>-42.184803823100168</v>
      </c>
    </row>
    <row r="2459" spans="1:4" x14ac:dyDescent="0.3">
      <c r="A2459">
        <v>3119609</v>
      </c>
      <c r="B2459" t="s">
        <v>3381</v>
      </c>
      <c r="C2459">
        <v>-21.576415152544055</v>
      </c>
      <c r="D2459">
        <v>-43.268857971112382</v>
      </c>
    </row>
    <row r="2460" spans="1:4" x14ac:dyDescent="0.3">
      <c r="A2460">
        <v>3119708</v>
      </c>
      <c r="B2460" t="s">
        <v>3382</v>
      </c>
      <c r="C2460">
        <v>-21.024595006746104</v>
      </c>
      <c r="D2460">
        <v>-44.228624245821756</v>
      </c>
    </row>
    <row r="2461" spans="1:4" x14ac:dyDescent="0.3">
      <c r="A2461">
        <v>3119807</v>
      </c>
      <c r="B2461" t="s">
        <v>3383</v>
      </c>
      <c r="C2461">
        <v>-19.826410021936052</v>
      </c>
      <c r="D2461">
        <v>-45.898471028388521</v>
      </c>
    </row>
    <row r="2462" spans="1:4" x14ac:dyDescent="0.3">
      <c r="A2462">
        <v>3119906</v>
      </c>
      <c r="B2462" t="s">
        <v>3384</v>
      </c>
      <c r="C2462">
        <v>-22.629921887390804</v>
      </c>
      <c r="D2462">
        <v>-46.017909207626012</v>
      </c>
    </row>
    <row r="2463" spans="1:4" x14ac:dyDescent="0.3">
      <c r="A2463">
        <v>3119955</v>
      </c>
      <c r="B2463" t="s">
        <v>3385</v>
      </c>
      <c r="C2463">
        <v>-20.455525322323904</v>
      </c>
      <c r="D2463">
        <v>-45.553395446044846</v>
      </c>
    </row>
    <row r="2464" spans="1:4" x14ac:dyDescent="0.3">
      <c r="A2464">
        <v>3120003</v>
      </c>
      <c r="B2464" t="s">
        <v>3386</v>
      </c>
      <c r="C2464">
        <v>-19.834785482317454</v>
      </c>
      <c r="D2464">
        <v>-42.400137880343657</v>
      </c>
    </row>
    <row r="2465" spans="1:4" x14ac:dyDescent="0.3">
      <c r="A2465">
        <v>3120102</v>
      </c>
      <c r="B2465" t="s">
        <v>3387</v>
      </c>
      <c r="C2465">
        <v>-18.072059305994205</v>
      </c>
      <c r="D2465">
        <v>-43.475348775012485</v>
      </c>
    </row>
    <row r="2466" spans="1:4" x14ac:dyDescent="0.3">
      <c r="A2466">
        <v>3120151</v>
      </c>
      <c r="B2466" t="s">
        <v>3388</v>
      </c>
      <c r="C2466">
        <v>-17.237534395100905</v>
      </c>
      <c r="D2466">
        <v>-40.914895278107998</v>
      </c>
    </row>
    <row r="2467" spans="1:4" x14ac:dyDescent="0.3">
      <c r="A2467">
        <v>3120201</v>
      </c>
      <c r="B2467" t="s">
        <v>3389</v>
      </c>
      <c r="C2467">
        <v>-20.875233153524402</v>
      </c>
      <c r="D2467">
        <v>-45.518503848998598</v>
      </c>
    </row>
    <row r="2468" spans="1:4" x14ac:dyDescent="0.3">
      <c r="A2468">
        <v>3120300</v>
      </c>
      <c r="B2468" t="s">
        <v>3390</v>
      </c>
      <c r="C2468">
        <v>-16.712634005719803</v>
      </c>
      <c r="D2468">
        <v>-42.859550912025462</v>
      </c>
    </row>
    <row r="2469" spans="1:4" x14ac:dyDescent="0.3">
      <c r="A2469">
        <v>3120409</v>
      </c>
      <c r="B2469" t="s">
        <v>3391</v>
      </c>
      <c r="C2469">
        <v>-20.840852333058752</v>
      </c>
      <c r="D2469">
        <v>-43.797836380510624</v>
      </c>
    </row>
    <row r="2470" spans="1:4" x14ac:dyDescent="0.3">
      <c r="A2470">
        <v>3120508</v>
      </c>
      <c r="B2470" t="s">
        <v>3392</v>
      </c>
      <c r="C2470">
        <v>-22.208320522670753</v>
      </c>
      <c r="D2470">
        <v>-45.262808607446907</v>
      </c>
    </row>
    <row r="2471" spans="1:4" x14ac:dyDescent="0.3">
      <c r="A2471">
        <v>3120607</v>
      </c>
      <c r="B2471" t="s">
        <v>3393</v>
      </c>
      <c r="C2471">
        <v>-20.39329176935075</v>
      </c>
      <c r="D2471">
        <v>-44.33783693941475</v>
      </c>
    </row>
    <row r="2472" spans="1:4" x14ac:dyDescent="0.3">
      <c r="A2472">
        <v>3120706</v>
      </c>
      <c r="B2472" t="s">
        <v>3394</v>
      </c>
      <c r="C2472">
        <v>-18.938647316388202</v>
      </c>
      <c r="D2472">
        <v>-46.673392648507154</v>
      </c>
    </row>
    <row r="2473" spans="1:4" x14ac:dyDescent="0.3">
      <c r="A2473">
        <v>3120805</v>
      </c>
      <c r="B2473" t="s">
        <v>3395</v>
      </c>
      <c r="C2473">
        <v>-21.838951178894707</v>
      </c>
      <c r="D2473">
        <v>-44.811023483696339</v>
      </c>
    </row>
    <row r="2474" spans="1:4" x14ac:dyDescent="0.3">
      <c r="A2474">
        <v>3120839</v>
      </c>
      <c r="B2474" t="s">
        <v>3396</v>
      </c>
      <c r="C2474">
        <v>-18.966641532138205</v>
      </c>
      <c r="D2474">
        <v>-41.103125741817728</v>
      </c>
    </row>
    <row r="2475" spans="1:4" x14ac:dyDescent="0.3">
      <c r="A2475">
        <v>3120870</v>
      </c>
      <c r="B2475" t="s">
        <v>3397</v>
      </c>
      <c r="C2475">
        <v>-15.939326780975904</v>
      </c>
      <c r="D2475">
        <v>-41.855979779632548</v>
      </c>
    </row>
    <row r="2476" spans="1:4" x14ac:dyDescent="0.3">
      <c r="A2476">
        <v>3120904</v>
      </c>
      <c r="B2476" t="s">
        <v>3398</v>
      </c>
      <c r="C2476">
        <v>-18.755480721630654</v>
      </c>
      <c r="D2476">
        <v>-44.428398968323414</v>
      </c>
    </row>
    <row r="2477" spans="1:4" x14ac:dyDescent="0.3">
      <c r="A2477">
        <v>3121001</v>
      </c>
      <c r="B2477" t="s">
        <v>3399</v>
      </c>
      <c r="C2477">
        <v>-18.453302648823502</v>
      </c>
      <c r="D2477">
        <v>-43.65671463801403</v>
      </c>
    </row>
    <row r="2478" spans="1:4" x14ac:dyDescent="0.3">
      <c r="A2478">
        <v>3121100</v>
      </c>
      <c r="B2478" t="s">
        <v>3400</v>
      </c>
      <c r="C2478">
        <v>-22.502008746016653</v>
      </c>
      <c r="D2478">
        <v>-45.272596357721739</v>
      </c>
    </row>
    <row r="2479" spans="1:4" x14ac:dyDescent="0.3">
      <c r="A2479">
        <v>3121209</v>
      </c>
      <c r="B2479" t="s">
        <v>3401</v>
      </c>
      <c r="C2479">
        <v>-20.345846216734454</v>
      </c>
      <c r="D2479">
        <v>-46.858179612235922</v>
      </c>
    </row>
    <row r="2480" spans="1:4" x14ac:dyDescent="0.3">
      <c r="A2480">
        <v>3121258</v>
      </c>
      <c r="B2480" t="s">
        <v>3402</v>
      </c>
      <c r="C2480">
        <v>-19.977472689138754</v>
      </c>
      <c r="D2480">
        <v>-47.772971432477313</v>
      </c>
    </row>
    <row r="2481" spans="1:4" x14ac:dyDescent="0.3">
      <c r="A2481">
        <v>3121308</v>
      </c>
      <c r="B2481" t="s">
        <v>3403</v>
      </c>
      <c r="C2481">
        <v>-21.460203970698704</v>
      </c>
      <c r="D2481">
        <v>-42.972069178778554</v>
      </c>
    </row>
    <row r="2482" spans="1:4" x14ac:dyDescent="0.3">
      <c r="A2482">
        <v>3121407</v>
      </c>
      <c r="B2482" t="s">
        <v>3404</v>
      </c>
      <c r="C2482">
        <v>-20.654630680395801</v>
      </c>
      <c r="D2482">
        <v>-44.34366600588146</v>
      </c>
    </row>
    <row r="2483" spans="1:4" x14ac:dyDescent="0.3">
      <c r="A2483">
        <v>3121506</v>
      </c>
      <c r="B2483" t="s">
        <v>3405</v>
      </c>
      <c r="C2483">
        <v>-21.147178518201205</v>
      </c>
      <c r="D2483">
        <v>-43.519600221170357</v>
      </c>
    </row>
    <row r="2484" spans="1:4" x14ac:dyDescent="0.3">
      <c r="A2484">
        <v>3121605</v>
      </c>
      <c r="B2484" t="s">
        <v>3406</v>
      </c>
      <c r="C2484">
        <v>-18.242092724164049</v>
      </c>
      <c r="D2484">
        <v>-43.594456822176241</v>
      </c>
    </row>
    <row r="2485" spans="1:4" x14ac:dyDescent="0.3">
      <c r="A2485">
        <v>3121704</v>
      </c>
      <c r="B2485" t="s">
        <v>3407</v>
      </c>
      <c r="C2485">
        <v>-20.487505799459502</v>
      </c>
      <c r="D2485">
        <v>-43.196576827167569</v>
      </c>
    </row>
    <row r="2486" spans="1:4" x14ac:dyDescent="0.3">
      <c r="A2486">
        <v>3121803</v>
      </c>
      <c r="B2486" t="s">
        <v>3408</v>
      </c>
      <c r="C2486">
        <v>-19.843996674282128</v>
      </c>
      <c r="D2486">
        <v>-42.782368440839797</v>
      </c>
    </row>
    <row r="2487" spans="1:4" x14ac:dyDescent="0.3">
      <c r="A2487">
        <v>3121902</v>
      </c>
      <c r="B2487" t="s">
        <v>3409</v>
      </c>
      <c r="C2487">
        <v>-20.990010336654752</v>
      </c>
      <c r="D2487">
        <v>-43.011081203776165</v>
      </c>
    </row>
    <row r="2488" spans="1:4" x14ac:dyDescent="0.3">
      <c r="A2488">
        <v>3122009</v>
      </c>
      <c r="B2488" t="s">
        <v>3410</v>
      </c>
      <c r="C2488">
        <v>-20.612977196504303</v>
      </c>
      <c r="D2488">
        <v>-42.147739335331529</v>
      </c>
    </row>
    <row r="2489" spans="1:4" x14ac:dyDescent="0.3">
      <c r="A2489">
        <v>3122108</v>
      </c>
      <c r="B2489" t="s">
        <v>3411</v>
      </c>
      <c r="C2489">
        <v>-18.773128472848654</v>
      </c>
      <c r="D2489">
        <v>-41.483253938302255</v>
      </c>
    </row>
    <row r="2490" spans="1:4" x14ac:dyDescent="0.3">
      <c r="A2490">
        <v>3122207</v>
      </c>
      <c r="B2490" t="s">
        <v>3412</v>
      </c>
      <c r="C2490">
        <v>-18.805260413755693</v>
      </c>
      <c r="D2490">
        <v>-42.6218202062038</v>
      </c>
    </row>
    <row r="2491" spans="1:4" x14ac:dyDescent="0.3">
      <c r="A2491">
        <v>3122306</v>
      </c>
      <c r="B2491" t="s">
        <v>3413</v>
      </c>
      <c r="C2491">
        <v>-20.142073974581951</v>
      </c>
      <c r="D2491">
        <v>-44.893885533872272</v>
      </c>
    </row>
    <row r="2492" spans="1:4" x14ac:dyDescent="0.3">
      <c r="A2492">
        <v>3122355</v>
      </c>
      <c r="B2492" t="s">
        <v>3414</v>
      </c>
      <c r="C2492">
        <v>-15.723939954939555</v>
      </c>
      <c r="D2492">
        <v>-41.340024327794445</v>
      </c>
    </row>
    <row r="2493" spans="1:4" x14ac:dyDescent="0.3">
      <c r="A2493">
        <v>3122405</v>
      </c>
      <c r="B2493" t="s">
        <v>3415</v>
      </c>
      <c r="C2493">
        <v>-21.517264464335451</v>
      </c>
      <c r="D2493">
        <v>-46.20294110623373</v>
      </c>
    </row>
    <row r="2494" spans="1:4" x14ac:dyDescent="0.3">
      <c r="A2494">
        <v>3122454</v>
      </c>
      <c r="B2494" t="s">
        <v>3416</v>
      </c>
      <c r="C2494">
        <v>-15.724635360035153</v>
      </c>
      <c r="D2494">
        <v>-41.002582396977317</v>
      </c>
    </row>
    <row r="2495" spans="1:4" x14ac:dyDescent="0.3">
      <c r="A2495">
        <v>3122470</v>
      </c>
      <c r="B2495" t="s">
        <v>3417</v>
      </c>
      <c r="C2495">
        <v>-16.650749891898702</v>
      </c>
      <c r="D2495">
        <v>-46.271449898788667</v>
      </c>
    </row>
    <row r="2496" spans="1:4" x14ac:dyDescent="0.3">
      <c r="A2496">
        <v>3122504</v>
      </c>
      <c r="B2496" t="s">
        <v>3418</v>
      </c>
      <c r="C2496">
        <v>-19.379163031859104</v>
      </c>
      <c r="D2496">
        <v>-42.110324046457826</v>
      </c>
    </row>
    <row r="2497" spans="1:4" x14ac:dyDescent="0.3">
      <c r="A2497">
        <v>3122603</v>
      </c>
      <c r="B2497" t="s">
        <v>3419</v>
      </c>
      <c r="C2497">
        <v>-18.964550186629506</v>
      </c>
      <c r="D2497">
        <v>-43.261348003974085</v>
      </c>
    </row>
    <row r="2498" spans="1:4" x14ac:dyDescent="0.3">
      <c r="A2498">
        <v>3122702</v>
      </c>
      <c r="B2498" t="s">
        <v>3420</v>
      </c>
      <c r="C2498">
        <v>-20.162204929737651</v>
      </c>
      <c r="D2498">
        <v>-42.970872967039618</v>
      </c>
    </row>
    <row r="2499" spans="1:4" x14ac:dyDescent="0.3">
      <c r="A2499">
        <v>3122801</v>
      </c>
      <c r="B2499" t="s">
        <v>3421</v>
      </c>
      <c r="C2499">
        <v>-22.253674108680507</v>
      </c>
      <c r="D2499">
        <v>-45.159168673856037</v>
      </c>
    </row>
    <row r="2500" spans="1:4" x14ac:dyDescent="0.3">
      <c r="A2500">
        <v>3122900</v>
      </c>
      <c r="B2500" t="s">
        <v>3422</v>
      </c>
      <c r="C2500">
        <v>-21.323874696549705</v>
      </c>
      <c r="D2500">
        <v>-42.806934063779231</v>
      </c>
    </row>
    <row r="2501" spans="1:4" x14ac:dyDescent="0.3">
      <c r="A2501">
        <v>3123007</v>
      </c>
      <c r="B2501" t="s">
        <v>3423</v>
      </c>
      <c r="C2501">
        <v>-21.104087560045254</v>
      </c>
      <c r="D2501">
        <v>-44.023046570888688</v>
      </c>
    </row>
    <row r="2502" spans="1:4" x14ac:dyDescent="0.3">
      <c r="A2502">
        <v>3123106</v>
      </c>
      <c r="B2502" t="s">
        <v>3424</v>
      </c>
      <c r="C2502">
        <v>-19.054261783513031</v>
      </c>
      <c r="D2502">
        <v>-42.926721892271736</v>
      </c>
    </row>
    <row r="2503" spans="1:4" x14ac:dyDescent="0.3">
      <c r="A2503">
        <v>3123205</v>
      </c>
      <c r="B2503" t="s">
        <v>3425</v>
      </c>
      <c r="C2503">
        <v>-19.461629436812903</v>
      </c>
      <c r="D2503">
        <v>-45.602655832508852</v>
      </c>
    </row>
    <row r="2504" spans="1:4" x14ac:dyDescent="0.3">
      <c r="A2504">
        <v>3123304</v>
      </c>
      <c r="B2504" t="s">
        <v>3426</v>
      </c>
      <c r="C2504">
        <v>-20.981273374404903</v>
      </c>
      <c r="D2504">
        <v>-43.195194518503143</v>
      </c>
    </row>
    <row r="2505" spans="1:4" x14ac:dyDescent="0.3">
      <c r="A2505">
        <v>3123403</v>
      </c>
      <c r="B2505" t="s">
        <v>3427</v>
      </c>
      <c r="C2505">
        <v>-20.288450960614654</v>
      </c>
      <c r="D2505">
        <v>-45.905196886151749</v>
      </c>
    </row>
    <row r="2506" spans="1:4" x14ac:dyDescent="0.3">
      <c r="A2506">
        <v>3123502</v>
      </c>
      <c r="B2506" t="s">
        <v>3428</v>
      </c>
      <c r="C2506">
        <v>-18.433834092259804</v>
      </c>
      <c r="D2506">
        <v>-47.61197494985214</v>
      </c>
    </row>
    <row r="2507" spans="1:4" x14ac:dyDescent="0.3">
      <c r="A2507">
        <v>3123528</v>
      </c>
      <c r="B2507" t="s">
        <v>3429</v>
      </c>
      <c r="C2507">
        <v>-20.207238877196655</v>
      </c>
      <c r="D2507">
        <v>-41.794261647371975</v>
      </c>
    </row>
    <row r="2508" spans="1:4" x14ac:dyDescent="0.3">
      <c r="A2508">
        <v>3123601</v>
      </c>
      <c r="B2508" t="s">
        <v>3430</v>
      </c>
      <c r="C2508">
        <v>-21.609312784925901</v>
      </c>
      <c r="D2508">
        <v>-45.566434200789665</v>
      </c>
    </row>
    <row r="2509" spans="1:4" x14ac:dyDescent="0.3">
      <c r="A2509">
        <v>3123700</v>
      </c>
      <c r="B2509" t="s">
        <v>3431</v>
      </c>
      <c r="C2509">
        <v>-19.198102870294104</v>
      </c>
      <c r="D2509">
        <v>-42.049841685774496</v>
      </c>
    </row>
    <row r="2510" spans="1:4" x14ac:dyDescent="0.3">
      <c r="A2510">
        <v>3123809</v>
      </c>
      <c r="B2510" t="s">
        <v>3432</v>
      </c>
      <c r="C2510">
        <v>-17.287753207750253</v>
      </c>
      <c r="D2510">
        <v>-43.949414738738454</v>
      </c>
    </row>
    <row r="2511" spans="1:4" x14ac:dyDescent="0.3">
      <c r="A2511">
        <v>3123858</v>
      </c>
      <c r="B2511" t="s">
        <v>3433</v>
      </c>
      <c r="C2511">
        <v>-19.627783350907052</v>
      </c>
      <c r="D2511">
        <v>-42.232359975312207</v>
      </c>
    </row>
    <row r="2512" spans="1:4" x14ac:dyDescent="0.3">
      <c r="A2512">
        <v>3123908</v>
      </c>
      <c r="B2512" t="s">
        <v>3434</v>
      </c>
      <c r="C2512">
        <v>-20.671357203825803</v>
      </c>
      <c r="D2512">
        <v>-44.067081681258671</v>
      </c>
    </row>
    <row r="2513" spans="1:4" x14ac:dyDescent="0.3">
      <c r="A2513">
        <v>3124005</v>
      </c>
      <c r="B2513" t="s">
        <v>3435</v>
      </c>
      <c r="C2513">
        <v>-20.833506557959154</v>
      </c>
      <c r="D2513">
        <v>-42.659367465009062</v>
      </c>
    </row>
    <row r="2514" spans="1:4" x14ac:dyDescent="0.3">
      <c r="A2514">
        <v>3124104</v>
      </c>
      <c r="B2514" t="s">
        <v>3436</v>
      </c>
      <c r="C2514">
        <v>-19.75920074377375</v>
      </c>
      <c r="D2514">
        <v>-44.314806919227713</v>
      </c>
    </row>
    <row r="2515" spans="1:4" x14ac:dyDescent="0.3">
      <c r="A2515">
        <v>3124203</v>
      </c>
      <c r="B2515" t="s">
        <v>3437</v>
      </c>
      <c r="C2515">
        <v>-20.643707808301503</v>
      </c>
      <c r="D2515">
        <v>-41.913935016968317</v>
      </c>
    </row>
    <row r="2516" spans="1:4" x14ac:dyDescent="0.3">
      <c r="A2516">
        <v>3124302</v>
      </c>
      <c r="B2516" t="s">
        <v>3438</v>
      </c>
      <c r="C2516">
        <v>-14.92527181115245</v>
      </c>
      <c r="D2516">
        <v>-42.812981844915747</v>
      </c>
    </row>
    <row r="2517" spans="1:4" x14ac:dyDescent="0.3">
      <c r="A2517">
        <v>3124401</v>
      </c>
      <c r="B2517" t="s">
        <v>3439</v>
      </c>
      <c r="C2517">
        <v>-22.047513641849704</v>
      </c>
      <c r="D2517">
        <v>-45.954012519856363</v>
      </c>
    </row>
    <row r="2518" spans="1:4" x14ac:dyDescent="0.3">
      <c r="A2518">
        <v>3124500</v>
      </c>
      <c r="B2518" t="s">
        <v>3440</v>
      </c>
      <c r="C2518">
        <v>-22.463045060354254</v>
      </c>
      <c r="D2518">
        <v>-46.016351806551718</v>
      </c>
    </row>
    <row r="2519" spans="1:4" x14ac:dyDescent="0.3">
      <c r="A2519">
        <v>3124609</v>
      </c>
      <c r="B2519" t="s">
        <v>3441</v>
      </c>
      <c r="C2519">
        <v>-21.7422852764394</v>
      </c>
      <c r="D2519">
        <v>-42.458371029919405</v>
      </c>
    </row>
    <row r="2520" spans="1:4" x14ac:dyDescent="0.3">
      <c r="A2520">
        <v>3124708</v>
      </c>
      <c r="B2520" t="s">
        <v>3442</v>
      </c>
      <c r="C2520">
        <v>-19.520237822070005</v>
      </c>
      <c r="D2520">
        <v>-45.792432562002489</v>
      </c>
    </row>
    <row r="2521" spans="1:4" x14ac:dyDescent="0.3">
      <c r="A2521">
        <v>3124807</v>
      </c>
      <c r="B2521" t="s">
        <v>3443</v>
      </c>
      <c r="C2521">
        <v>-18.741293175659255</v>
      </c>
      <c r="D2521">
        <v>-47.688974802145459</v>
      </c>
    </row>
    <row r="2522" spans="1:4" x14ac:dyDescent="0.3">
      <c r="A2522">
        <v>3124906</v>
      </c>
      <c r="B2522" t="s">
        <v>3444</v>
      </c>
      <c r="C2522">
        <v>-21.097222530670852</v>
      </c>
      <c r="D2522">
        <v>-42.192277081876945</v>
      </c>
    </row>
    <row r="2523" spans="1:4" x14ac:dyDescent="0.3">
      <c r="A2523">
        <v>3125002</v>
      </c>
      <c r="B2523" t="s">
        <v>3445</v>
      </c>
      <c r="C2523">
        <v>-21.541636151149351</v>
      </c>
      <c r="D2523">
        <v>-43.507591395110474</v>
      </c>
    </row>
    <row r="2524" spans="1:4" x14ac:dyDescent="0.3">
      <c r="A2524">
        <v>3125101</v>
      </c>
      <c r="B2524" t="s">
        <v>3446</v>
      </c>
      <c r="C2524">
        <v>-22.85819007202096</v>
      </c>
      <c r="D2524">
        <v>-46.322161740377595</v>
      </c>
    </row>
    <row r="2525" spans="1:4" x14ac:dyDescent="0.3">
      <c r="A2525">
        <v>3125200</v>
      </c>
      <c r="B2525" t="s">
        <v>3447</v>
      </c>
      <c r="C2525">
        <v>-21.405761529022602</v>
      </c>
      <c r="D2525">
        <v>-45.832312102444384</v>
      </c>
    </row>
    <row r="2526" spans="1:4" x14ac:dyDescent="0.3">
      <c r="A2526">
        <v>3125309</v>
      </c>
      <c r="B2526" t="s">
        <v>3448</v>
      </c>
      <c r="C2526">
        <v>-20.801744943496864</v>
      </c>
      <c r="D2526">
        <v>-42.013846176678705</v>
      </c>
    </row>
    <row r="2527" spans="1:4" x14ac:dyDescent="0.3">
      <c r="A2527">
        <v>3125408</v>
      </c>
      <c r="B2527" t="s">
        <v>3449</v>
      </c>
      <c r="C2527">
        <v>-18.077563117073002</v>
      </c>
      <c r="D2527">
        <v>-43.245170934793727</v>
      </c>
    </row>
    <row r="2528" spans="1:4" x14ac:dyDescent="0.3">
      <c r="A2528">
        <v>3125507</v>
      </c>
      <c r="B2528" t="s">
        <v>3450</v>
      </c>
      <c r="C2528">
        <v>-18.006394161478752</v>
      </c>
      <c r="D2528">
        <v>-43.384543732408297</v>
      </c>
    </row>
    <row r="2529" spans="1:4" x14ac:dyDescent="0.3">
      <c r="A2529">
        <v>3125606</v>
      </c>
      <c r="B2529" t="s">
        <v>3451</v>
      </c>
      <c r="C2529">
        <v>-16.638333150074804</v>
      </c>
      <c r="D2529">
        <v>-40.758570499543168</v>
      </c>
    </row>
    <row r="2530" spans="1:4" x14ac:dyDescent="0.3">
      <c r="A2530">
        <v>3125705</v>
      </c>
      <c r="B2530" t="s">
        <v>3452</v>
      </c>
      <c r="C2530">
        <v>-18.754356561524201</v>
      </c>
      <c r="D2530">
        <v>-44.89658661737159</v>
      </c>
    </row>
    <row r="2531" spans="1:4" x14ac:dyDescent="0.3">
      <c r="A2531">
        <v>3125804</v>
      </c>
      <c r="B2531" t="s">
        <v>3453</v>
      </c>
      <c r="C2531">
        <v>-19.151000644985604</v>
      </c>
      <c r="D2531">
        <v>-42.080978480354055</v>
      </c>
    </row>
    <row r="2532" spans="1:4" x14ac:dyDescent="0.3">
      <c r="A2532">
        <v>3125903</v>
      </c>
      <c r="B2532" t="s">
        <v>3454</v>
      </c>
      <c r="C2532">
        <v>-19.236419594707051</v>
      </c>
      <c r="D2532">
        <v>-43.019713617106085</v>
      </c>
    </row>
    <row r="2533" spans="1:4" x14ac:dyDescent="0.3">
      <c r="A2533">
        <v>3125952</v>
      </c>
      <c r="B2533" t="s">
        <v>3455</v>
      </c>
      <c r="C2533">
        <v>-20.732775685773802</v>
      </c>
      <c r="D2533">
        <v>-42.278180529237652</v>
      </c>
    </row>
    <row r="2534" spans="1:4" x14ac:dyDescent="0.3">
      <c r="A2534">
        <v>3126000</v>
      </c>
      <c r="B2534" t="s">
        <v>3456</v>
      </c>
      <c r="C2534">
        <v>-19.894518232497152</v>
      </c>
      <c r="D2534">
        <v>-44.430115562542724</v>
      </c>
    </row>
    <row r="2535" spans="1:4" x14ac:dyDescent="0.3">
      <c r="A2535">
        <v>3126109</v>
      </c>
      <c r="B2535" t="s">
        <v>3457</v>
      </c>
      <c r="C2535">
        <v>-20.464883552453703</v>
      </c>
      <c r="D2535">
        <v>-45.426428183141503</v>
      </c>
    </row>
    <row r="2536" spans="1:4" x14ac:dyDescent="0.3">
      <c r="A2536">
        <v>3126208</v>
      </c>
      <c r="B2536" t="s">
        <v>3458</v>
      </c>
      <c r="C2536">
        <v>-14.951742597889101</v>
      </c>
      <c r="D2536">
        <v>-46.239979536777959</v>
      </c>
    </row>
    <row r="2537" spans="1:4" x14ac:dyDescent="0.3">
      <c r="A2537">
        <v>3126307</v>
      </c>
      <c r="B2537" t="s">
        <v>3459</v>
      </c>
      <c r="C2537">
        <v>-20.848492511989853</v>
      </c>
      <c r="D2537">
        <v>-46.712643406440151</v>
      </c>
    </row>
    <row r="2538" spans="1:4" x14ac:dyDescent="0.3">
      <c r="A2538">
        <v>3126406</v>
      </c>
      <c r="B2538" t="s">
        <v>3460</v>
      </c>
      <c r="C2538">
        <v>-19.563900959713859</v>
      </c>
      <c r="D2538">
        <v>-44.443397045028661</v>
      </c>
    </row>
    <row r="2539" spans="1:4" x14ac:dyDescent="0.3">
      <c r="A2539">
        <v>3126505</v>
      </c>
      <c r="B2539" t="s">
        <v>3461</v>
      </c>
      <c r="C2539">
        <v>-16.990691287823051</v>
      </c>
      <c r="D2539">
        <v>-42.349773163650646</v>
      </c>
    </row>
    <row r="2540" spans="1:4" x14ac:dyDescent="0.3">
      <c r="A2540">
        <v>3126604</v>
      </c>
      <c r="B2540" t="s">
        <v>3462</v>
      </c>
      <c r="C2540">
        <v>-17.319948805643204</v>
      </c>
      <c r="D2540">
        <v>-44.234206527764655</v>
      </c>
    </row>
    <row r="2541" spans="1:4" x14ac:dyDescent="0.3">
      <c r="A2541">
        <v>3126703</v>
      </c>
      <c r="B2541" t="s">
        <v>3463</v>
      </c>
      <c r="C2541">
        <v>-16.475680865687853</v>
      </c>
      <c r="D2541">
        <v>-43.488735281491024</v>
      </c>
    </row>
    <row r="2542" spans="1:4" x14ac:dyDescent="0.3">
      <c r="A2542">
        <v>3126752</v>
      </c>
      <c r="B2542" t="s">
        <v>3464</v>
      </c>
      <c r="C2542">
        <v>-17.959043572614899</v>
      </c>
      <c r="D2542">
        <v>-42.00731281189487</v>
      </c>
    </row>
    <row r="2543" spans="1:4" x14ac:dyDescent="0.3">
      <c r="A2543">
        <v>3126802</v>
      </c>
      <c r="B2543" t="s">
        <v>3465</v>
      </c>
      <c r="C2543">
        <v>-18.071185028091502</v>
      </c>
      <c r="D2543">
        <v>-41.429420785559643</v>
      </c>
    </row>
    <row r="2544" spans="1:4" x14ac:dyDescent="0.3">
      <c r="A2544">
        <v>3126901</v>
      </c>
      <c r="B2544" t="s">
        <v>3466</v>
      </c>
      <c r="C2544">
        <v>-18.561789729772801</v>
      </c>
      <c r="D2544">
        <v>-41.901216586517641</v>
      </c>
    </row>
    <row r="2545" spans="1:4" x14ac:dyDescent="0.3">
      <c r="A2545">
        <v>3126950</v>
      </c>
      <c r="B2545" t="s">
        <v>3467</v>
      </c>
      <c r="C2545">
        <v>-18.165080712066754</v>
      </c>
      <c r="D2545">
        <v>-42.765295238553712</v>
      </c>
    </row>
    <row r="2546" spans="1:4" x14ac:dyDescent="0.3">
      <c r="A2546">
        <v>3127008</v>
      </c>
      <c r="B2546" t="s">
        <v>3468</v>
      </c>
      <c r="C2546">
        <v>-20.288300557868503</v>
      </c>
      <c r="D2546">
        <v>-49.204282025130325</v>
      </c>
    </row>
    <row r="2547" spans="1:4" x14ac:dyDescent="0.3">
      <c r="A2547">
        <v>3127057</v>
      </c>
      <c r="B2547" t="s">
        <v>3469</v>
      </c>
      <c r="C2547">
        <v>-16.892015217449501</v>
      </c>
      <c r="D2547">
        <v>-40.925078659448552</v>
      </c>
    </row>
    <row r="2548" spans="1:4" x14ac:dyDescent="0.3">
      <c r="A2548">
        <v>3127073</v>
      </c>
      <c r="B2548" t="s">
        <v>3470</v>
      </c>
      <c r="C2548">
        <v>-16.116418422998454</v>
      </c>
      <c r="D2548">
        <v>-42.532221936017429</v>
      </c>
    </row>
    <row r="2549" spans="1:4" x14ac:dyDescent="0.3">
      <c r="A2549">
        <v>3127107</v>
      </c>
      <c r="B2549" t="s">
        <v>3471</v>
      </c>
      <c r="C2549">
        <v>-20.025897875072253</v>
      </c>
      <c r="D2549">
        <v>-48.939153710257095</v>
      </c>
    </row>
    <row r="2550" spans="1:4" x14ac:dyDescent="0.3">
      <c r="A2550">
        <v>3127206</v>
      </c>
      <c r="B2550" t="s">
        <v>3472</v>
      </c>
      <c r="C2550">
        <v>-19.36998733298395</v>
      </c>
      <c r="D2550">
        <v>-44.063085880358898</v>
      </c>
    </row>
    <row r="2551" spans="1:4" x14ac:dyDescent="0.3">
      <c r="A2551">
        <v>3127305</v>
      </c>
      <c r="B2551" t="s">
        <v>3473</v>
      </c>
      <c r="C2551">
        <v>-19.005473642455453</v>
      </c>
      <c r="D2551">
        <v>-41.53619716861774</v>
      </c>
    </row>
    <row r="2552" spans="1:4" x14ac:dyDescent="0.3">
      <c r="A2552">
        <v>3127339</v>
      </c>
      <c r="B2552" t="s">
        <v>3474</v>
      </c>
      <c r="C2552">
        <v>-15.076822067506559</v>
      </c>
      <c r="D2552">
        <v>-43.119480839155045</v>
      </c>
    </row>
    <row r="2553" spans="1:4" x14ac:dyDescent="0.3">
      <c r="A2553">
        <v>3127354</v>
      </c>
      <c r="B2553" t="s">
        <v>3475</v>
      </c>
      <c r="C2553">
        <v>-16.850218691818153</v>
      </c>
      <c r="D2553">
        <v>-43.696405897757039</v>
      </c>
    </row>
    <row r="2554" spans="1:4" x14ac:dyDescent="0.3">
      <c r="A2554">
        <v>3127370</v>
      </c>
      <c r="B2554" t="s">
        <v>3476</v>
      </c>
      <c r="C2554">
        <v>-18.981713337125452</v>
      </c>
      <c r="D2554">
        <v>-41.222821610286864</v>
      </c>
    </row>
    <row r="2555" spans="1:4" x14ac:dyDescent="0.3">
      <c r="A2555">
        <v>3127388</v>
      </c>
      <c r="B2555" t="s">
        <v>2510</v>
      </c>
      <c r="C2555">
        <v>-21.532417827654655</v>
      </c>
      <c r="D2555">
        <v>-43.191482396977854</v>
      </c>
    </row>
    <row r="2556" spans="1:4" x14ac:dyDescent="0.3">
      <c r="A2556">
        <v>3127404</v>
      </c>
      <c r="B2556" t="s">
        <v>3477</v>
      </c>
      <c r="C2556">
        <v>-22.657619187118708</v>
      </c>
      <c r="D2556">
        <v>-45.856592038467113</v>
      </c>
    </row>
    <row r="2557" spans="1:4" x14ac:dyDescent="0.3">
      <c r="A2557">
        <v>3127503</v>
      </c>
      <c r="B2557" t="s">
        <v>3478</v>
      </c>
      <c r="C2557">
        <v>-18.824825001353002</v>
      </c>
      <c r="D2557">
        <v>-42.4772238728792</v>
      </c>
    </row>
    <row r="2558" spans="1:4" x14ac:dyDescent="0.3">
      <c r="A2558">
        <v>3127602</v>
      </c>
      <c r="B2558" t="s">
        <v>3479</v>
      </c>
      <c r="C2558">
        <v>-18.442972502712752</v>
      </c>
      <c r="D2558">
        <v>-43.733986745772206</v>
      </c>
    </row>
    <row r="2559" spans="1:4" x14ac:dyDescent="0.3">
      <c r="A2559">
        <v>3127701</v>
      </c>
      <c r="B2559" t="s">
        <v>3480</v>
      </c>
      <c r="C2559">
        <v>-18.852882403310254</v>
      </c>
      <c r="D2559">
        <v>-41.947081334028802</v>
      </c>
    </row>
    <row r="2560" spans="1:4" x14ac:dyDescent="0.3">
      <c r="A2560">
        <v>3127800</v>
      </c>
      <c r="B2560" t="s">
        <v>3481</v>
      </c>
      <c r="C2560">
        <v>-16.566495154791351</v>
      </c>
      <c r="D2560">
        <v>-42.888012880145993</v>
      </c>
    </row>
    <row r="2561" spans="1:4" x14ac:dyDescent="0.3">
      <c r="A2561">
        <v>3127909</v>
      </c>
      <c r="B2561" t="s">
        <v>3482</v>
      </c>
      <c r="C2561">
        <v>-18.493023802309654</v>
      </c>
      <c r="D2561">
        <v>-47.724798435021548</v>
      </c>
    </row>
    <row r="2562" spans="1:4" x14ac:dyDescent="0.3">
      <c r="A2562">
        <v>3128006</v>
      </c>
      <c r="B2562" t="s">
        <v>3483</v>
      </c>
      <c r="C2562">
        <v>-18.777150790232952</v>
      </c>
      <c r="D2562">
        <v>-42.937049095247765</v>
      </c>
    </row>
    <row r="2563" spans="1:4" x14ac:dyDescent="0.3">
      <c r="A2563">
        <v>3128105</v>
      </c>
      <c r="B2563" t="s">
        <v>3484</v>
      </c>
      <c r="C2563">
        <v>-20.756724511962751</v>
      </c>
      <c r="D2563">
        <v>-45.918383860704246</v>
      </c>
    </row>
    <row r="2564" spans="1:4" x14ac:dyDescent="0.3">
      <c r="A2564">
        <v>3128204</v>
      </c>
      <c r="B2564" t="s">
        <v>3485</v>
      </c>
      <c r="C2564">
        <v>-20.571703500985851</v>
      </c>
      <c r="D2564">
        <v>-43.011281647175167</v>
      </c>
    </row>
    <row r="2565" spans="1:4" x14ac:dyDescent="0.3">
      <c r="A2565">
        <v>3128253</v>
      </c>
      <c r="B2565" t="s">
        <v>3486</v>
      </c>
      <c r="C2565">
        <v>-17.011527463144454</v>
      </c>
      <c r="D2565">
        <v>-43.668777705754927</v>
      </c>
    </row>
    <row r="2566" spans="1:4" x14ac:dyDescent="0.3">
      <c r="A2566">
        <v>3128303</v>
      </c>
      <c r="B2566" t="s">
        <v>3487</v>
      </c>
      <c r="C2566">
        <v>-21.305560370659901</v>
      </c>
      <c r="D2566">
        <v>-46.795491220295865</v>
      </c>
    </row>
    <row r="2567" spans="1:4" x14ac:dyDescent="0.3">
      <c r="A2567">
        <v>3128402</v>
      </c>
      <c r="B2567" t="s">
        <v>3488</v>
      </c>
      <c r="C2567">
        <v>-21.362669185930105</v>
      </c>
      <c r="D2567">
        <v>-43.046456684007829</v>
      </c>
    </row>
    <row r="2568" spans="1:4" x14ac:dyDescent="0.3">
      <c r="A2568">
        <v>3128501</v>
      </c>
      <c r="B2568" t="s">
        <v>3489</v>
      </c>
      <c r="C2568">
        <v>-21.732720300845255</v>
      </c>
      <c r="D2568">
        <v>-43.038952478112172</v>
      </c>
    </row>
    <row r="2569" spans="1:4" x14ac:dyDescent="0.3">
      <c r="A2569">
        <v>3128600</v>
      </c>
      <c r="B2569" t="s">
        <v>3490</v>
      </c>
      <c r="C2569">
        <v>-17.771299897784402</v>
      </c>
      <c r="D2569">
        <v>-47.101075853497548</v>
      </c>
    </row>
    <row r="2570" spans="1:4" x14ac:dyDescent="0.3">
      <c r="A2570">
        <v>3128709</v>
      </c>
      <c r="B2570" t="s">
        <v>3491</v>
      </c>
      <c r="C2570">
        <v>-21.303781464747605</v>
      </c>
      <c r="D2570">
        <v>-46.713537230976634</v>
      </c>
    </row>
    <row r="2571" spans="1:4" x14ac:dyDescent="0.3">
      <c r="A2571">
        <v>3128808</v>
      </c>
      <c r="B2571" t="s">
        <v>3492</v>
      </c>
      <c r="C2571">
        <v>-21.144238503299952</v>
      </c>
      <c r="D2571">
        <v>-42.800817312060985</v>
      </c>
    </row>
    <row r="2572" spans="1:4" x14ac:dyDescent="0.3">
      <c r="A2572">
        <v>3128907</v>
      </c>
      <c r="B2572" t="s">
        <v>3493</v>
      </c>
      <c r="C2572">
        <v>-18.838019215062353</v>
      </c>
      <c r="D2572">
        <v>-46.797265032321576</v>
      </c>
    </row>
    <row r="2573" spans="1:4" x14ac:dyDescent="0.3">
      <c r="A2573">
        <v>3129004</v>
      </c>
      <c r="B2573" t="s">
        <v>3494</v>
      </c>
      <c r="C2573">
        <v>-21.010673374795154</v>
      </c>
      <c r="D2573">
        <v>-42.718812469754461</v>
      </c>
    </row>
    <row r="2574" spans="1:4" x14ac:dyDescent="0.3">
      <c r="A2574">
        <v>3129103</v>
      </c>
      <c r="B2574" t="s">
        <v>3495</v>
      </c>
      <c r="C2574">
        <v>-19.213748436827352</v>
      </c>
      <c r="D2574">
        <v>-49.786273293982028</v>
      </c>
    </row>
    <row r="2575" spans="1:4" x14ac:dyDescent="0.3">
      <c r="A2575">
        <v>3129202</v>
      </c>
      <c r="B2575" t="s">
        <v>3496</v>
      </c>
      <c r="C2575">
        <v>-22.064744440516058</v>
      </c>
      <c r="D2575">
        <v>-45.544576634052653</v>
      </c>
    </row>
    <row r="2576" spans="1:4" x14ac:dyDescent="0.3">
      <c r="A2576">
        <v>3129301</v>
      </c>
      <c r="B2576" t="s">
        <v>3497</v>
      </c>
      <c r="C2576">
        <v>-19.440272449235504</v>
      </c>
      <c r="D2576">
        <v>-42.214692514782392</v>
      </c>
    </row>
    <row r="2577" spans="1:4" x14ac:dyDescent="0.3">
      <c r="A2577">
        <v>3129400</v>
      </c>
      <c r="B2577" t="s">
        <v>3498</v>
      </c>
      <c r="C2577">
        <v>-21.429472482041202</v>
      </c>
      <c r="D2577">
        <v>-43.968123835075318</v>
      </c>
    </row>
    <row r="2578" spans="1:4" x14ac:dyDescent="0.3">
      <c r="A2578">
        <v>3129509</v>
      </c>
      <c r="B2578" t="s">
        <v>3499</v>
      </c>
      <c r="C2578">
        <v>-19.475111715356853</v>
      </c>
      <c r="D2578">
        <v>-46.538611418987351</v>
      </c>
    </row>
    <row r="2579" spans="1:4" x14ac:dyDescent="0.3">
      <c r="A2579">
        <v>3129608</v>
      </c>
      <c r="B2579" t="s">
        <v>3500</v>
      </c>
      <c r="C2579">
        <v>-16.859872448364204</v>
      </c>
      <c r="D2579">
        <v>-44.914106838717863</v>
      </c>
    </row>
    <row r="2580" spans="1:4" x14ac:dyDescent="0.3">
      <c r="A2580">
        <v>3129657</v>
      </c>
      <c r="B2580" t="s">
        <v>3501</v>
      </c>
      <c r="C2580">
        <v>-15.665466651327105</v>
      </c>
      <c r="D2580">
        <v>-44.167709435832087</v>
      </c>
    </row>
    <row r="2581" spans="1:4" x14ac:dyDescent="0.3">
      <c r="A2581">
        <v>3129707</v>
      </c>
      <c r="B2581" t="s">
        <v>3502</v>
      </c>
      <c r="C2581">
        <v>-20.470154879298004</v>
      </c>
      <c r="D2581">
        <v>-47.130803490680115</v>
      </c>
    </row>
    <row r="2582" spans="1:4" x14ac:dyDescent="0.3">
      <c r="A2582">
        <v>3129806</v>
      </c>
      <c r="B2582" t="s">
        <v>3503</v>
      </c>
      <c r="C2582">
        <v>-20.028037750655503</v>
      </c>
      <c r="D2582">
        <v>-44.056664638786685</v>
      </c>
    </row>
    <row r="2583" spans="1:4" x14ac:dyDescent="0.3">
      <c r="A2583">
        <v>3129905</v>
      </c>
      <c r="B2583" t="s">
        <v>3504</v>
      </c>
      <c r="C2583">
        <v>-22.057055156183257</v>
      </c>
      <c r="D2583">
        <v>-46.437603282057303</v>
      </c>
    </row>
    <row r="2584" spans="1:4" x14ac:dyDescent="0.3">
      <c r="A2584">
        <v>3130002</v>
      </c>
      <c r="B2584" t="s">
        <v>3505</v>
      </c>
      <c r="C2584">
        <v>-21.146485011151601</v>
      </c>
      <c r="D2584">
        <v>-44.738463585160346</v>
      </c>
    </row>
    <row r="2585" spans="1:4" x14ac:dyDescent="0.3">
      <c r="A2585">
        <v>3130051</v>
      </c>
      <c r="B2585" t="s">
        <v>3506</v>
      </c>
      <c r="C2585">
        <v>-16.214012777063104</v>
      </c>
      <c r="D2585">
        <v>-44.902776802084816</v>
      </c>
    </row>
    <row r="2586" spans="1:4" x14ac:dyDescent="0.3">
      <c r="A2586">
        <v>3130101</v>
      </c>
      <c r="B2586" t="s">
        <v>3507</v>
      </c>
      <c r="C2586">
        <v>-20.069908684059801</v>
      </c>
      <c r="D2586">
        <v>-44.30115788029314</v>
      </c>
    </row>
    <row r="2587" spans="1:4" x14ac:dyDescent="0.3">
      <c r="A2587">
        <v>3130200</v>
      </c>
      <c r="B2587" t="s">
        <v>3508</v>
      </c>
      <c r="C2587">
        <v>-19.953886248349452</v>
      </c>
      <c r="D2587">
        <v>-44.700495134852666</v>
      </c>
    </row>
    <row r="2588" spans="1:4" x14ac:dyDescent="0.3">
      <c r="A2588">
        <v>3130309</v>
      </c>
      <c r="B2588" t="s">
        <v>3509</v>
      </c>
      <c r="C2588">
        <v>-20.176073966370502</v>
      </c>
      <c r="D2588">
        <v>-45.709140106006302</v>
      </c>
    </row>
    <row r="2589" spans="1:4" x14ac:dyDescent="0.3">
      <c r="A2589">
        <v>3130408</v>
      </c>
      <c r="B2589" t="s">
        <v>3510</v>
      </c>
      <c r="C2589">
        <v>-21.172065615892553</v>
      </c>
      <c r="D2589">
        <v>-44.928782973722477</v>
      </c>
    </row>
    <row r="2590" spans="1:4" x14ac:dyDescent="0.3">
      <c r="A2590">
        <v>3130507</v>
      </c>
      <c r="B2590" t="s">
        <v>3511</v>
      </c>
      <c r="C2590">
        <v>-20.940389016757603</v>
      </c>
      <c r="D2590">
        <v>-45.828463623117557</v>
      </c>
    </row>
    <row r="2591" spans="1:4" x14ac:dyDescent="0.3">
      <c r="A2591">
        <v>3130556</v>
      </c>
      <c r="B2591" t="s">
        <v>3512</v>
      </c>
      <c r="C2591">
        <v>-19.595875642476255</v>
      </c>
      <c r="D2591">
        <v>-41.962480764496682</v>
      </c>
    </row>
    <row r="2592" spans="1:4" x14ac:dyDescent="0.3">
      <c r="A2592">
        <v>3130606</v>
      </c>
      <c r="B2592" t="s">
        <v>3513</v>
      </c>
      <c r="C2592">
        <v>-22.321487129964758</v>
      </c>
      <c r="D2592">
        <v>-46.333801398783564</v>
      </c>
    </row>
    <row r="2593" spans="1:4" x14ac:dyDescent="0.3">
      <c r="A2593">
        <v>3130655</v>
      </c>
      <c r="B2593" t="s">
        <v>3514</v>
      </c>
      <c r="C2593">
        <v>-15.492384714269702</v>
      </c>
      <c r="D2593">
        <v>-42.203584820466105</v>
      </c>
    </row>
    <row r="2594" spans="1:4" x14ac:dyDescent="0.3">
      <c r="A2594">
        <v>3130705</v>
      </c>
      <c r="B2594" t="s">
        <v>3515</v>
      </c>
      <c r="C2594">
        <v>-19.042494932809202</v>
      </c>
      <c r="D2594">
        <v>-47.917992316725424</v>
      </c>
    </row>
    <row r="2595" spans="1:4" x14ac:dyDescent="0.3">
      <c r="A2595">
        <v>3130804</v>
      </c>
      <c r="B2595" t="s">
        <v>3516</v>
      </c>
      <c r="C2595">
        <v>-21.403716814737603</v>
      </c>
      <c r="D2595">
        <v>-44.922422636729209</v>
      </c>
    </row>
    <row r="2596" spans="1:4" x14ac:dyDescent="0.3">
      <c r="A2596">
        <v>3130903</v>
      </c>
      <c r="B2596" t="s">
        <v>3517</v>
      </c>
      <c r="C2596">
        <v>-19.550114721817906</v>
      </c>
      <c r="D2596">
        <v>-42.121930934980568</v>
      </c>
    </row>
    <row r="2597" spans="1:4" x14ac:dyDescent="0.3">
      <c r="A2597">
        <v>3131000</v>
      </c>
      <c r="B2597" t="s">
        <v>3518</v>
      </c>
      <c r="C2597">
        <v>-19.492367388480559</v>
      </c>
      <c r="D2597">
        <v>-44.390945526608967</v>
      </c>
    </row>
    <row r="2598" spans="1:4" x14ac:dyDescent="0.3">
      <c r="A2598">
        <v>3131109</v>
      </c>
      <c r="B2598" t="s">
        <v>3519</v>
      </c>
      <c r="C2598">
        <v>-18.731440529896553</v>
      </c>
      <c r="D2598">
        <v>-44.366261766116139</v>
      </c>
    </row>
    <row r="2599" spans="1:4" x14ac:dyDescent="0.3">
      <c r="A2599">
        <v>3131158</v>
      </c>
      <c r="B2599" t="s">
        <v>3520</v>
      </c>
      <c r="C2599">
        <v>-19.413250826196052</v>
      </c>
      <c r="D2599">
        <v>-42.418165669363916</v>
      </c>
    </row>
    <row r="2600" spans="1:4" x14ac:dyDescent="0.3">
      <c r="A2600">
        <v>3131208</v>
      </c>
      <c r="B2600" t="s">
        <v>3521</v>
      </c>
      <c r="C2600">
        <v>-19.800335953907204</v>
      </c>
      <c r="D2600">
        <v>-41.717353320037844</v>
      </c>
    </row>
    <row r="2601" spans="1:4" x14ac:dyDescent="0.3">
      <c r="A2601">
        <v>3131307</v>
      </c>
      <c r="B2601" t="s">
        <v>3522</v>
      </c>
      <c r="C2601">
        <v>-19.481032097264954</v>
      </c>
      <c r="D2601">
        <v>-42.52035111141074</v>
      </c>
    </row>
    <row r="2602" spans="1:4" x14ac:dyDescent="0.3">
      <c r="A2602">
        <v>3131406</v>
      </c>
      <c r="B2602" t="s">
        <v>3523</v>
      </c>
      <c r="C2602">
        <v>-18.694880308720304</v>
      </c>
      <c r="D2602">
        <v>-49.945773211111238</v>
      </c>
    </row>
    <row r="2603" spans="1:4" x14ac:dyDescent="0.3">
      <c r="A2603">
        <v>3131505</v>
      </c>
      <c r="B2603" t="s">
        <v>3524</v>
      </c>
      <c r="C2603">
        <v>-22.099520512211203</v>
      </c>
      <c r="D2603">
        <v>-46.190829232243537</v>
      </c>
    </row>
    <row r="2604" spans="1:4" x14ac:dyDescent="0.3">
      <c r="A2604">
        <v>3131604</v>
      </c>
      <c r="B2604" t="s">
        <v>3525</v>
      </c>
      <c r="C2604">
        <v>-18.981858345518955</v>
      </c>
      <c r="D2604">
        <v>-47.462991417830892</v>
      </c>
    </row>
    <row r="2605" spans="1:4" x14ac:dyDescent="0.3">
      <c r="A2605">
        <v>3131703</v>
      </c>
      <c r="B2605" t="s">
        <v>3526</v>
      </c>
      <c r="C2605">
        <v>-19.638169492583454</v>
      </c>
      <c r="D2605">
        <v>-43.223951619030423</v>
      </c>
    </row>
    <row r="2606" spans="1:4" x14ac:dyDescent="0.3">
      <c r="A2606">
        <v>3131802</v>
      </c>
      <c r="B2606" t="s">
        <v>3527</v>
      </c>
      <c r="C2606">
        <v>-18.556799280929351</v>
      </c>
      <c r="D2606">
        <v>-41.233182715278254</v>
      </c>
    </row>
    <row r="2607" spans="1:4" x14ac:dyDescent="0.3">
      <c r="A2607">
        <v>3131901</v>
      </c>
      <c r="B2607" t="s">
        <v>3528</v>
      </c>
      <c r="C2607">
        <v>-20.254176512438356</v>
      </c>
      <c r="D2607">
        <v>-43.802142983862772</v>
      </c>
    </row>
    <row r="2608" spans="1:4" x14ac:dyDescent="0.3">
      <c r="A2608">
        <v>3132008</v>
      </c>
      <c r="B2608" t="s">
        <v>3529</v>
      </c>
      <c r="C2608">
        <v>-17.06443518172485</v>
      </c>
      <c r="D2608">
        <v>-43.310402187061378</v>
      </c>
    </row>
    <row r="2609" spans="1:4" x14ac:dyDescent="0.3">
      <c r="A2609">
        <v>3132107</v>
      </c>
      <c r="B2609" t="s">
        <v>3530</v>
      </c>
      <c r="C2609">
        <v>-15.102641864892004</v>
      </c>
      <c r="D2609">
        <v>-44.093185802053114</v>
      </c>
    </row>
    <row r="2610" spans="1:4" x14ac:dyDescent="0.3">
      <c r="A2610">
        <v>3132206</v>
      </c>
      <c r="B2610" t="s">
        <v>3531</v>
      </c>
      <c r="C2610">
        <v>-20.390678217049203</v>
      </c>
      <c r="D2610">
        <v>-44.486777957788313</v>
      </c>
    </row>
    <row r="2611" spans="1:4" x14ac:dyDescent="0.3">
      <c r="A2611">
        <v>3132305</v>
      </c>
      <c r="B2611" t="s">
        <v>3532</v>
      </c>
      <c r="C2611">
        <v>-17.404231643763051</v>
      </c>
      <c r="D2611">
        <v>-41.673229573156775</v>
      </c>
    </row>
    <row r="2612" spans="1:4" x14ac:dyDescent="0.3">
      <c r="A2612">
        <v>3132404</v>
      </c>
      <c r="B2612" t="s">
        <v>3533</v>
      </c>
      <c r="C2612">
        <v>-22.430600574494203</v>
      </c>
      <c r="D2612">
        <v>-45.46458250450447</v>
      </c>
    </row>
    <row r="2613" spans="1:4" x14ac:dyDescent="0.3">
      <c r="A2613">
        <v>3132503</v>
      </c>
      <c r="B2613" t="s">
        <v>3534</v>
      </c>
      <c r="C2613">
        <v>-17.858517325827354</v>
      </c>
      <c r="D2613">
        <v>-42.849157756926083</v>
      </c>
    </row>
    <row r="2614" spans="1:4" x14ac:dyDescent="0.3">
      <c r="A2614">
        <v>3132602</v>
      </c>
      <c r="B2614" t="s">
        <v>3535</v>
      </c>
      <c r="C2614">
        <v>-21.419455617837404</v>
      </c>
      <c r="D2614">
        <v>-42.81859335851447</v>
      </c>
    </row>
    <row r="2615" spans="1:4" x14ac:dyDescent="0.3">
      <c r="A2615">
        <v>3132701</v>
      </c>
      <c r="B2615" t="s">
        <v>3536</v>
      </c>
      <c r="C2615">
        <v>-18.034329962896201</v>
      </c>
      <c r="D2615">
        <v>-41.682267382042376</v>
      </c>
    </row>
    <row r="2616" spans="1:4" x14ac:dyDescent="0.3">
      <c r="A2616">
        <v>3132800</v>
      </c>
      <c r="B2616" t="s">
        <v>3537</v>
      </c>
      <c r="C2616">
        <v>-19.420963465734051</v>
      </c>
      <c r="D2616">
        <v>-43.322895303864691</v>
      </c>
    </row>
    <row r="2617" spans="1:4" x14ac:dyDescent="0.3">
      <c r="A2617">
        <v>3132909</v>
      </c>
      <c r="B2617" t="s">
        <v>3538</v>
      </c>
      <c r="C2617">
        <v>-21.078443361341453</v>
      </c>
      <c r="D2617">
        <v>-47.047467783890177</v>
      </c>
    </row>
    <row r="2618" spans="1:4" x14ac:dyDescent="0.3">
      <c r="A2618">
        <v>3133006</v>
      </c>
      <c r="B2618" t="s">
        <v>3539</v>
      </c>
      <c r="C2618">
        <v>-22.285126973446005</v>
      </c>
      <c r="D2618">
        <v>-44.868287503604897</v>
      </c>
    </row>
    <row r="2619" spans="1:4" x14ac:dyDescent="0.3">
      <c r="A2619">
        <v>3133105</v>
      </c>
      <c r="B2619" t="s">
        <v>3540</v>
      </c>
      <c r="C2619">
        <v>-22.295079654876808</v>
      </c>
      <c r="D2619">
        <v>-44.935921904662692</v>
      </c>
    </row>
    <row r="2620" spans="1:4" x14ac:dyDescent="0.3">
      <c r="A2620">
        <v>3133204</v>
      </c>
      <c r="B2620" t="s">
        <v>3541</v>
      </c>
      <c r="C2620">
        <v>-19.171688929563501</v>
      </c>
      <c r="D2620">
        <v>-41.864931837143956</v>
      </c>
    </row>
    <row r="2621" spans="1:4" x14ac:dyDescent="0.3">
      <c r="A2621">
        <v>3133303</v>
      </c>
      <c r="B2621" t="s">
        <v>3542</v>
      </c>
      <c r="C2621">
        <v>-16.559525916994755</v>
      </c>
      <c r="D2621">
        <v>-41.498976980372269</v>
      </c>
    </row>
    <row r="2622" spans="1:4" x14ac:dyDescent="0.3">
      <c r="A2622">
        <v>3133402</v>
      </c>
      <c r="B2622" t="s">
        <v>3543</v>
      </c>
      <c r="C2622">
        <v>-19.903295827378756</v>
      </c>
      <c r="D2622">
        <v>-49.369821044617836</v>
      </c>
    </row>
    <row r="2623" spans="1:4" x14ac:dyDescent="0.3">
      <c r="A2623">
        <v>3133501</v>
      </c>
      <c r="B2623" t="s">
        <v>3544</v>
      </c>
      <c r="C2623">
        <v>-20.472889899610209</v>
      </c>
      <c r="D2623">
        <v>-45.124679888893056</v>
      </c>
    </row>
    <row r="2624" spans="1:4" x14ac:dyDescent="0.3">
      <c r="A2624">
        <v>3133600</v>
      </c>
      <c r="B2624" t="s">
        <v>3545</v>
      </c>
      <c r="C2624">
        <v>-22.769740388915157</v>
      </c>
      <c r="D2624">
        <v>-46.219556857814474</v>
      </c>
    </row>
    <row r="2625" spans="1:4" x14ac:dyDescent="0.3">
      <c r="A2625">
        <v>3133709</v>
      </c>
      <c r="B2625" t="s">
        <v>3546</v>
      </c>
      <c r="C2625">
        <v>-20.198642360359155</v>
      </c>
      <c r="D2625">
        <v>-44.429163612927084</v>
      </c>
    </row>
    <row r="2626" spans="1:4" x14ac:dyDescent="0.3">
      <c r="A2626">
        <v>3133758</v>
      </c>
      <c r="B2626" t="s">
        <v>3547</v>
      </c>
      <c r="C2626">
        <v>-20.738189386774803</v>
      </c>
      <c r="D2626">
        <v>-46.75295378305379</v>
      </c>
    </row>
    <row r="2627" spans="1:4" x14ac:dyDescent="0.3">
      <c r="A2627">
        <v>3133808</v>
      </c>
      <c r="B2627" t="s">
        <v>3548</v>
      </c>
      <c r="C2627">
        <v>-20.074435586807354</v>
      </c>
      <c r="D2627">
        <v>-44.578276578047664</v>
      </c>
    </row>
    <row r="2628" spans="1:4" x14ac:dyDescent="0.3">
      <c r="A2628">
        <v>3133907</v>
      </c>
      <c r="B2628" t="s">
        <v>3549</v>
      </c>
      <c r="C2628">
        <v>-20.674727470991655</v>
      </c>
      <c r="D2628">
        <v>-43.604322348119133</v>
      </c>
    </row>
    <row r="2629" spans="1:4" x14ac:dyDescent="0.3">
      <c r="A2629">
        <v>3134004</v>
      </c>
      <c r="B2629" t="s">
        <v>3550</v>
      </c>
      <c r="C2629">
        <v>-16.601429391979952</v>
      </c>
      <c r="D2629">
        <v>-41.778178072196276</v>
      </c>
    </row>
    <row r="2630" spans="1:4" x14ac:dyDescent="0.3">
      <c r="A2630">
        <v>3134103</v>
      </c>
      <c r="B2630" t="s">
        <v>3551</v>
      </c>
      <c r="C2630">
        <v>-19.392397784725201</v>
      </c>
      <c r="D2630">
        <v>-41.225631912754984</v>
      </c>
    </row>
    <row r="2631" spans="1:4" x14ac:dyDescent="0.3">
      <c r="A2631">
        <v>3134202</v>
      </c>
      <c r="B2631" t="s">
        <v>3552</v>
      </c>
      <c r="C2631">
        <v>-18.973067680915953</v>
      </c>
      <c r="D2631">
        <v>-49.462235189210425</v>
      </c>
    </row>
    <row r="2632" spans="1:4" x14ac:dyDescent="0.3">
      <c r="A2632">
        <v>3134301</v>
      </c>
      <c r="B2632" t="s">
        <v>3553</v>
      </c>
      <c r="C2632">
        <v>-21.313796338097951</v>
      </c>
      <c r="D2632">
        <v>-44.875787846044211</v>
      </c>
    </row>
    <row r="2633" spans="1:4" x14ac:dyDescent="0.3">
      <c r="A2633">
        <v>3134400</v>
      </c>
      <c r="B2633" t="s">
        <v>3554</v>
      </c>
      <c r="C2633">
        <v>-19.731947524237103</v>
      </c>
      <c r="D2633">
        <v>-50.201973575373103</v>
      </c>
    </row>
    <row r="2634" spans="1:4" x14ac:dyDescent="0.3">
      <c r="A2634">
        <v>3134509</v>
      </c>
      <c r="B2634" t="s">
        <v>3555</v>
      </c>
      <c r="C2634">
        <v>-21.296056359309102</v>
      </c>
      <c r="D2634">
        <v>-44.658838154214401</v>
      </c>
    </row>
    <row r="2635" spans="1:4" x14ac:dyDescent="0.3">
      <c r="A2635">
        <v>3134608</v>
      </c>
      <c r="B2635" t="s">
        <v>3556</v>
      </c>
      <c r="C2635">
        <v>-19.522288618180752</v>
      </c>
      <c r="D2635">
        <v>-43.747333632957741</v>
      </c>
    </row>
    <row r="2636" spans="1:4" x14ac:dyDescent="0.3">
      <c r="A2636">
        <v>3134707</v>
      </c>
      <c r="B2636" t="s">
        <v>3557</v>
      </c>
      <c r="C2636">
        <v>-16.141161852922306</v>
      </c>
      <c r="D2636">
        <v>-40.291428834106561</v>
      </c>
    </row>
    <row r="2637" spans="1:4" x14ac:dyDescent="0.3">
      <c r="A2637">
        <v>3134806</v>
      </c>
      <c r="B2637" t="s">
        <v>3558</v>
      </c>
      <c r="C2637">
        <v>-21.017602158927353</v>
      </c>
      <c r="D2637">
        <v>-46.742010380709807</v>
      </c>
    </row>
    <row r="2638" spans="1:4" x14ac:dyDescent="0.3">
      <c r="A2638">
        <v>3134905</v>
      </c>
      <c r="B2638" t="s">
        <v>3559</v>
      </c>
      <c r="C2638">
        <v>-22.286638029799008</v>
      </c>
      <c r="D2638">
        <v>-46.612341166310529</v>
      </c>
    </row>
    <row r="2639" spans="1:4" x14ac:dyDescent="0.3">
      <c r="A2639">
        <v>3135001</v>
      </c>
      <c r="B2639" t="s">
        <v>3560</v>
      </c>
      <c r="C2639">
        <v>-19.647072697442304</v>
      </c>
      <c r="D2639">
        <v>-42.752999059199922</v>
      </c>
    </row>
    <row r="2640" spans="1:4" x14ac:dyDescent="0.3">
      <c r="A2640">
        <v>3135050</v>
      </c>
      <c r="B2640" t="s">
        <v>3561</v>
      </c>
      <c r="C2640">
        <v>-15.342934053612503</v>
      </c>
      <c r="D2640">
        <v>-43.670328875963854</v>
      </c>
    </row>
    <row r="2641" spans="1:4" x14ac:dyDescent="0.3">
      <c r="A2641">
        <v>3135076</v>
      </c>
      <c r="B2641" t="s">
        <v>3562</v>
      </c>
      <c r="C2641">
        <v>-18.461598574244054</v>
      </c>
      <c r="D2641">
        <v>-41.810169247388409</v>
      </c>
    </row>
    <row r="2642" spans="1:4" x14ac:dyDescent="0.3">
      <c r="A2642">
        <v>3135100</v>
      </c>
      <c r="B2642" t="s">
        <v>3563</v>
      </c>
      <c r="C2642">
        <v>-15.799028458366852</v>
      </c>
      <c r="D2642">
        <v>-43.307682943762295</v>
      </c>
    </row>
    <row r="2643" spans="1:4" x14ac:dyDescent="0.3">
      <c r="A2643">
        <v>3135209</v>
      </c>
      <c r="B2643" t="s">
        <v>3564</v>
      </c>
      <c r="C2643">
        <v>-15.487872813987904</v>
      </c>
      <c r="D2643">
        <v>-44.359805334903193</v>
      </c>
    </row>
    <row r="2644" spans="1:4" x14ac:dyDescent="0.3">
      <c r="A2644">
        <v>3135308</v>
      </c>
      <c r="B2644" t="s">
        <v>3565</v>
      </c>
      <c r="C2644">
        <v>-20.141617595070901</v>
      </c>
      <c r="D2644">
        <v>-45.504117805893777</v>
      </c>
    </row>
    <row r="2645" spans="1:4" x14ac:dyDescent="0.3">
      <c r="A2645">
        <v>3135357</v>
      </c>
      <c r="B2645" t="s">
        <v>3566</v>
      </c>
      <c r="C2645">
        <v>-16.000956933555251</v>
      </c>
      <c r="D2645">
        <v>-44.276127237154775</v>
      </c>
    </row>
    <row r="2646" spans="1:4" x14ac:dyDescent="0.3">
      <c r="A2646">
        <v>3135407</v>
      </c>
      <c r="B2646" t="s">
        <v>3567</v>
      </c>
      <c r="C2646">
        <v>-20.533033438292552</v>
      </c>
      <c r="D2646">
        <v>-43.985231917330189</v>
      </c>
    </row>
    <row r="2647" spans="1:4" x14ac:dyDescent="0.3">
      <c r="A2647">
        <v>3135456</v>
      </c>
      <c r="B2647" t="s">
        <v>3568</v>
      </c>
      <c r="C2647">
        <v>-17.080423078092302</v>
      </c>
      <c r="D2647">
        <v>-42.256047455932922</v>
      </c>
    </row>
    <row r="2648" spans="1:4" x14ac:dyDescent="0.3">
      <c r="A2648">
        <v>3135506</v>
      </c>
      <c r="B2648" t="s">
        <v>3569</v>
      </c>
      <c r="C2648">
        <v>-20.44630303750661</v>
      </c>
      <c r="D2648">
        <v>-42.682263683886838</v>
      </c>
    </row>
    <row r="2649" spans="1:4" x14ac:dyDescent="0.3">
      <c r="A2649">
        <v>3135605</v>
      </c>
      <c r="B2649" t="s">
        <v>3570</v>
      </c>
      <c r="C2649">
        <v>-17.216372557071502</v>
      </c>
      <c r="D2649">
        <v>-44.441687276591516</v>
      </c>
    </row>
    <row r="2650" spans="1:4" x14ac:dyDescent="0.3">
      <c r="A2650">
        <v>3135704</v>
      </c>
      <c r="B2650" t="s">
        <v>3571</v>
      </c>
      <c r="C2650">
        <v>-19.237673510177554</v>
      </c>
      <c r="D2650">
        <v>-44.028076393723872</v>
      </c>
    </row>
    <row r="2651" spans="1:4" x14ac:dyDescent="0.3">
      <c r="A2651">
        <v>3135803</v>
      </c>
      <c r="B2651" t="s">
        <v>3572</v>
      </c>
      <c r="C2651">
        <v>-16.441768942378904</v>
      </c>
      <c r="D2651">
        <v>-41.007115442379707</v>
      </c>
    </row>
    <row r="2652" spans="1:4" x14ac:dyDescent="0.3">
      <c r="A2652">
        <v>3135902</v>
      </c>
      <c r="B2652" t="s">
        <v>3573</v>
      </c>
      <c r="C2652">
        <v>-21.998425696060153</v>
      </c>
      <c r="D2652">
        <v>-45.290876970379067</v>
      </c>
    </row>
    <row r="2653" spans="1:4" x14ac:dyDescent="0.3">
      <c r="A2653">
        <v>3136009</v>
      </c>
      <c r="B2653" t="s">
        <v>3574</v>
      </c>
      <c r="C2653">
        <v>-16.654729637985103</v>
      </c>
      <c r="D2653">
        <v>-41.023053013666768</v>
      </c>
    </row>
    <row r="2654" spans="1:4" x14ac:dyDescent="0.3">
      <c r="A2654">
        <v>3136108</v>
      </c>
      <c r="B2654" t="s">
        <v>3575</v>
      </c>
      <c r="C2654">
        <v>-19.168695674132653</v>
      </c>
      <c r="D2654">
        <v>-42.674701682306058</v>
      </c>
    </row>
    <row r="2655" spans="1:4" x14ac:dyDescent="0.3">
      <c r="A2655">
        <v>3136207</v>
      </c>
      <c r="B2655" t="s">
        <v>3576</v>
      </c>
      <c r="C2655">
        <v>-19.805638693826705</v>
      </c>
      <c r="D2655">
        <v>-43.174571271259516</v>
      </c>
    </row>
    <row r="2656" spans="1:4" x14ac:dyDescent="0.3">
      <c r="A2656">
        <v>3136306</v>
      </c>
      <c r="B2656" t="s">
        <v>3577</v>
      </c>
      <c r="C2656">
        <v>-17.741852939563355</v>
      </c>
      <c r="D2656">
        <v>-46.17546355127044</v>
      </c>
    </row>
    <row r="2657" spans="1:4" x14ac:dyDescent="0.3">
      <c r="A2657">
        <v>3136405</v>
      </c>
      <c r="B2657" t="s">
        <v>3578</v>
      </c>
      <c r="C2657">
        <v>-17.755294306580353</v>
      </c>
      <c r="D2657">
        <v>-44.173604717765777</v>
      </c>
    </row>
    <row r="2658" spans="1:4" x14ac:dyDescent="0.3">
      <c r="A2658">
        <v>3136504</v>
      </c>
      <c r="B2658" t="s">
        <v>3579</v>
      </c>
      <c r="C2658">
        <v>-15.901065106436105</v>
      </c>
      <c r="D2658">
        <v>-40.180014159130458</v>
      </c>
    </row>
    <row r="2659" spans="1:4" x14ac:dyDescent="0.3">
      <c r="A2659">
        <v>3136520</v>
      </c>
      <c r="B2659" t="s">
        <v>3580</v>
      </c>
      <c r="C2659">
        <v>-16.907181976567205</v>
      </c>
      <c r="D2659">
        <v>-42.607174608613128</v>
      </c>
    </row>
    <row r="2660" spans="1:4" x14ac:dyDescent="0.3">
      <c r="A2660">
        <v>3136553</v>
      </c>
      <c r="B2660" t="s">
        <v>3581</v>
      </c>
      <c r="C2660">
        <v>-18.217494941193902</v>
      </c>
      <c r="D2660">
        <v>-42.500590268783547</v>
      </c>
    </row>
    <row r="2661" spans="1:4" x14ac:dyDescent="0.3">
      <c r="A2661">
        <v>3136579</v>
      </c>
      <c r="B2661" t="s">
        <v>3582</v>
      </c>
      <c r="C2661">
        <v>-16.544525400346753</v>
      </c>
      <c r="D2661">
        <v>-42.513137018713039</v>
      </c>
    </row>
    <row r="2662" spans="1:4" x14ac:dyDescent="0.3">
      <c r="A2662">
        <v>3136603</v>
      </c>
      <c r="B2662" t="s">
        <v>1076</v>
      </c>
      <c r="C2662">
        <v>-19.688103368024105</v>
      </c>
      <c r="D2662">
        <v>-43.579994414664398</v>
      </c>
    </row>
    <row r="2663" spans="1:4" x14ac:dyDescent="0.3">
      <c r="A2663">
        <v>3136652</v>
      </c>
      <c r="B2663" t="s">
        <v>3583</v>
      </c>
      <c r="C2663">
        <v>-19.955790862333753</v>
      </c>
      <c r="D2663">
        <v>-44.341331440920833</v>
      </c>
    </row>
    <row r="2664" spans="1:4" x14ac:dyDescent="0.3">
      <c r="A2664">
        <v>3136702</v>
      </c>
      <c r="B2664" t="s">
        <v>3584</v>
      </c>
      <c r="C2664">
        <v>-21.760924308674301</v>
      </c>
      <c r="D2664">
        <v>-43.348817272474669</v>
      </c>
    </row>
    <row r="2665" spans="1:4" x14ac:dyDescent="0.3">
      <c r="A2665">
        <v>3136801</v>
      </c>
      <c r="B2665" t="s">
        <v>3585</v>
      </c>
      <c r="C2665">
        <v>-16.851270455002702</v>
      </c>
      <c r="D2665">
        <v>-43.590193620643284</v>
      </c>
    </row>
    <row r="2666" spans="1:4" x14ac:dyDescent="0.3">
      <c r="A2666">
        <v>3136900</v>
      </c>
      <c r="B2666" t="s">
        <v>3586</v>
      </c>
      <c r="C2666">
        <v>-21.249355938096254</v>
      </c>
      <c r="D2666">
        <v>-46.580596484704003</v>
      </c>
    </row>
    <row r="2667" spans="1:4" x14ac:dyDescent="0.3">
      <c r="A2667">
        <v>3136959</v>
      </c>
      <c r="B2667" t="s">
        <v>3587</v>
      </c>
      <c r="C2667">
        <v>-14.263594562885054</v>
      </c>
      <c r="D2667">
        <v>-44.159589709968181</v>
      </c>
    </row>
    <row r="2668" spans="1:4" x14ac:dyDescent="0.3">
      <c r="A2668">
        <v>3137007</v>
      </c>
      <c r="B2668" t="s">
        <v>3588</v>
      </c>
      <c r="C2668">
        <v>-17.62447966968745</v>
      </c>
      <c r="D2668">
        <v>-41.740449939658049</v>
      </c>
    </row>
    <row r="2669" spans="1:4" x14ac:dyDescent="0.3">
      <c r="A2669">
        <v>3137106</v>
      </c>
      <c r="B2669" t="s">
        <v>3589</v>
      </c>
      <c r="C2669">
        <v>-18.176961622293302</v>
      </c>
      <c r="D2669">
        <v>-46.812535635083925</v>
      </c>
    </row>
    <row r="2670" spans="1:4" x14ac:dyDescent="0.3">
      <c r="A2670">
        <v>3137205</v>
      </c>
      <c r="B2670" t="s">
        <v>3590</v>
      </c>
      <c r="C2670">
        <v>-20.023765329321055</v>
      </c>
      <c r="D2670">
        <v>-45.54169203207028</v>
      </c>
    </row>
    <row r="2671" spans="1:4" x14ac:dyDescent="0.3">
      <c r="A2671">
        <v>3137304</v>
      </c>
      <c r="B2671" t="s">
        <v>3591</v>
      </c>
      <c r="C2671">
        <v>-16.978449200460904</v>
      </c>
      <c r="D2671">
        <v>-44.578334632348728</v>
      </c>
    </row>
    <row r="2672" spans="1:4" x14ac:dyDescent="0.3">
      <c r="A2672">
        <v>3137403</v>
      </c>
      <c r="B2672" t="s">
        <v>3592</v>
      </c>
      <c r="C2672">
        <v>-20.918598617033958</v>
      </c>
      <c r="D2672">
        <v>-44.071116440016056</v>
      </c>
    </row>
    <row r="2673" spans="1:4" x14ac:dyDescent="0.3">
      <c r="A2673">
        <v>3137502</v>
      </c>
      <c r="B2673" t="s">
        <v>3593</v>
      </c>
      <c r="C2673">
        <v>-18.775572580399054</v>
      </c>
      <c r="D2673">
        <v>-46.406528791961584</v>
      </c>
    </row>
    <row r="2674" spans="1:4" x14ac:dyDescent="0.3">
      <c r="A2674">
        <v>3137536</v>
      </c>
      <c r="B2674" t="s">
        <v>2540</v>
      </c>
      <c r="C2674">
        <v>-17.838046990880404</v>
      </c>
      <c r="D2674">
        <v>-46.517905400377565</v>
      </c>
    </row>
    <row r="2675" spans="1:4" x14ac:dyDescent="0.3">
      <c r="A2675">
        <v>3137601</v>
      </c>
      <c r="B2675" t="s">
        <v>3594</v>
      </c>
      <c r="C2675">
        <v>-19.625850520112504</v>
      </c>
      <c r="D2675">
        <v>-43.895287696941345</v>
      </c>
    </row>
    <row r="2676" spans="1:4" x14ac:dyDescent="0.3">
      <c r="A2676">
        <v>3137700</v>
      </c>
      <c r="B2676" t="s">
        <v>3595</v>
      </c>
      <c r="C2676">
        <v>-20.164170146797055</v>
      </c>
      <c r="D2676">
        <v>-41.645293037910967</v>
      </c>
    </row>
    <row r="2677" spans="1:4" x14ac:dyDescent="0.3">
      <c r="A2677">
        <v>3137809</v>
      </c>
      <c r="B2677" t="s">
        <v>3596</v>
      </c>
      <c r="C2677">
        <v>-21.974315555707701</v>
      </c>
      <c r="D2677">
        <v>-45.352478813475486</v>
      </c>
    </row>
    <row r="2678" spans="1:4" x14ac:dyDescent="0.3">
      <c r="A2678">
        <v>3137908</v>
      </c>
      <c r="B2678" t="s">
        <v>3597</v>
      </c>
      <c r="C2678">
        <v>-20.792057426294303</v>
      </c>
      <c r="D2678">
        <v>-43.474467060585319</v>
      </c>
    </row>
    <row r="2679" spans="1:4" x14ac:dyDescent="0.3">
      <c r="A2679">
        <v>3138005</v>
      </c>
      <c r="B2679" t="s">
        <v>3598</v>
      </c>
      <c r="C2679">
        <v>-21.36362961286785</v>
      </c>
      <c r="D2679">
        <v>-42.480674291584329</v>
      </c>
    </row>
    <row r="2680" spans="1:4" x14ac:dyDescent="0.3">
      <c r="A2680">
        <v>3138104</v>
      </c>
      <c r="B2680" t="s">
        <v>3599</v>
      </c>
      <c r="C2680">
        <v>-17.895115180520552</v>
      </c>
      <c r="D2680">
        <v>-44.579358558748091</v>
      </c>
    </row>
    <row r="2681" spans="1:4" x14ac:dyDescent="0.3">
      <c r="A2681">
        <v>3138203</v>
      </c>
      <c r="B2681" t="s">
        <v>3600</v>
      </c>
      <c r="C2681">
        <v>-21.242870237300753</v>
      </c>
      <c r="D2681">
        <v>-44.99993110911516</v>
      </c>
    </row>
    <row r="2682" spans="1:4" x14ac:dyDescent="0.3">
      <c r="A2682">
        <v>3138302</v>
      </c>
      <c r="B2682" t="s">
        <v>3601</v>
      </c>
      <c r="C2682">
        <v>-19.719223471951107</v>
      </c>
      <c r="D2682">
        <v>-45.026283785285848</v>
      </c>
    </row>
    <row r="2683" spans="1:4" x14ac:dyDescent="0.3">
      <c r="A2683">
        <v>3138351</v>
      </c>
      <c r="B2683" t="s">
        <v>3602</v>
      </c>
      <c r="C2683">
        <v>-17.083866846165652</v>
      </c>
      <c r="D2683">
        <v>-42.695682624201439</v>
      </c>
    </row>
    <row r="2684" spans="1:4" x14ac:dyDescent="0.3">
      <c r="A2684">
        <v>3138401</v>
      </c>
      <c r="B2684" t="s">
        <v>3603</v>
      </c>
      <c r="C2684">
        <v>-21.530729364529005</v>
      </c>
      <c r="D2684">
        <v>-42.641844129504271</v>
      </c>
    </row>
    <row r="2685" spans="1:4" x14ac:dyDescent="0.3">
      <c r="A2685">
        <v>3138500</v>
      </c>
      <c r="B2685" t="s">
        <v>3604</v>
      </c>
      <c r="C2685">
        <v>-22.02435870477645</v>
      </c>
      <c r="D2685">
        <v>-44.315140936408277</v>
      </c>
    </row>
    <row r="2686" spans="1:4" x14ac:dyDescent="0.3">
      <c r="A2686">
        <v>3138609</v>
      </c>
      <c r="B2686" t="s">
        <v>3605</v>
      </c>
      <c r="C2686">
        <v>-21.841095518084249</v>
      </c>
      <c r="D2686">
        <v>-43.796383224016957</v>
      </c>
    </row>
    <row r="2687" spans="1:4" x14ac:dyDescent="0.3">
      <c r="A2687">
        <v>3138625</v>
      </c>
      <c r="B2687" t="s">
        <v>3606</v>
      </c>
      <c r="C2687">
        <v>-19.547777159295851</v>
      </c>
      <c r="D2687">
        <v>-50.575290374188086</v>
      </c>
    </row>
    <row r="2688" spans="1:4" x14ac:dyDescent="0.3">
      <c r="A2688">
        <v>3138658</v>
      </c>
      <c r="B2688" t="s">
        <v>3607</v>
      </c>
      <c r="C2688">
        <v>-15.902058352996653</v>
      </c>
      <c r="D2688">
        <v>-44.30611481912927</v>
      </c>
    </row>
    <row r="2689" spans="1:4" x14ac:dyDescent="0.3">
      <c r="A2689">
        <v>3138674</v>
      </c>
      <c r="B2689" t="s">
        <v>3608</v>
      </c>
      <c r="C2689">
        <v>-20.438376108278053</v>
      </c>
      <c r="D2689">
        <v>-42.106471903589785</v>
      </c>
    </row>
    <row r="2690" spans="1:4" x14ac:dyDescent="0.3">
      <c r="A2690">
        <v>3138682</v>
      </c>
      <c r="B2690" t="s">
        <v>3609</v>
      </c>
      <c r="C2690">
        <v>-16.115311486160351</v>
      </c>
      <c r="D2690">
        <v>-44.586048427033923</v>
      </c>
    </row>
    <row r="2691" spans="1:4" x14ac:dyDescent="0.3">
      <c r="A2691">
        <v>3138708</v>
      </c>
      <c r="B2691" t="s">
        <v>3610</v>
      </c>
      <c r="C2691">
        <v>-21.512319900177754</v>
      </c>
      <c r="D2691">
        <v>-44.906106479685768</v>
      </c>
    </row>
    <row r="2692" spans="1:4" x14ac:dyDescent="0.3">
      <c r="A2692">
        <v>3138807</v>
      </c>
      <c r="B2692" t="s">
        <v>3611</v>
      </c>
      <c r="C2692">
        <v>-19.796246621858753</v>
      </c>
      <c r="D2692">
        <v>-45.683881268054535</v>
      </c>
    </row>
    <row r="2693" spans="1:4" x14ac:dyDescent="0.3">
      <c r="A2693">
        <v>3138906</v>
      </c>
      <c r="B2693" t="s">
        <v>3612</v>
      </c>
      <c r="C2693">
        <v>-17.077370352888199</v>
      </c>
      <c r="D2693">
        <v>-40.720422132249411</v>
      </c>
    </row>
    <row r="2694" spans="1:4" x14ac:dyDescent="0.3">
      <c r="A2694">
        <v>3139003</v>
      </c>
      <c r="B2694" t="s">
        <v>3613</v>
      </c>
      <c r="C2694">
        <v>-21.678353896470103</v>
      </c>
      <c r="D2694">
        <v>-45.921764083221539</v>
      </c>
    </row>
    <row r="2695" spans="1:4" x14ac:dyDescent="0.3">
      <c r="A2695">
        <v>3139102</v>
      </c>
      <c r="B2695" t="s">
        <v>3614</v>
      </c>
      <c r="C2695">
        <v>-21.477322068925005</v>
      </c>
      <c r="D2695">
        <v>-44.340885911496521</v>
      </c>
    </row>
    <row r="2696" spans="1:4" x14ac:dyDescent="0.3">
      <c r="A2696">
        <v>3139201</v>
      </c>
      <c r="B2696" t="s">
        <v>3615</v>
      </c>
      <c r="C2696">
        <v>-17.841622539976552</v>
      </c>
      <c r="D2696">
        <v>-42.076076701013285</v>
      </c>
    </row>
    <row r="2697" spans="1:4" x14ac:dyDescent="0.3">
      <c r="A2697">
        <v>3139250</v>
      </c>
      <c r="B2697" t="s">
        <v>3616</v>
      </c>
      <c r="C2697">
        <v>-15.05164691779145</v>
      </c>
      <c r="D2697">
        <v>-42.955964349258032</v>
      </c>
    </row>
    <row r="2698" spans="1:4" x14ac:dyDescent="0.3">
      <c r="A2698">
        <v>3139300</v>
      </c>
      <c r="B2698" t="s">
        <v>3617</v>
      </c>
      <c r="C2698">
        <v>-14.755922114429902</v>
      </c>
      <c r="D2698">
        <v>-43.936761522353066</v>
      </c>
    </row>
    <row r="2699" spans="1:4" x14ac:dyDescent="0.3">
      <c r="A2699">
        <v>3139409</v>
      </c>
      <c r="B2699" t="s">
        <v>3618</v>
      </c>
      <c r="C2699">
        <v>-20.258680083282353</v>
      </c>
      <c r="D2699">
        <v>-42.033848290437184</v>
      </c>
    </row>
    <row r="2700" spans="1:4" x14ac:dyDescent="0.3">
      <c r="A2700">
        <v>3139508</v>
      </c>
      <c r="B2700" t="s">
        <v>3619</v>
      </c>
      <c r="C2700">
        <v>-20.363999111451751</v>
      </c>
      <c r="D2700">
        <v>-41.962679807371423</v>
      </c>
    </row>
    <row r="2701" spans="1:4" x14ac:dyDescent="0.3">
      <c r="A2701">
        <v>3139607</v>
      </c>
      <c r="B2701" t="s">
        <v>3620</v>
      </c>
      <c r="C2701">
        <v>-18.780699874973404</v>
      </c>
      <c r="D2701">
        <v>-40.978525740746704</v>
      </c>
    </row>
    <row r="2702" spans="1:4" x14ac:dyDescent="0.3">
      <c r="A2702">
        <v>3139706</v>
      </c>
      <c r="B2702" t="s">
        <v>3621</v>
      </c>
      <c r="C2702">
        <v>-19.514679720064652</v>
      </c>
      <c r="D2702">
        <v>-44.676076130185656</v>
      </c>
    </row>
    <row r="2703" spans="1:4" x14ac:dyDescent="0.3">
      <c r="A2703">
        <v>3139805</v>
      </c>
      <c r="B2703" t="s">
        <v>3622</v>
      </c>
      <c r="C2703">
        <v>-21.866893376581558</v>
      </c>
      <c r="D2703">
        <v>-43.008406754403985</v>
      </c>
    </row>
    <row r="2704" spans="1:4" x14ac:dyDescent="0.3">
      <c r="A2704">
        <v>3139904</v>
      </c>
      <c r="B2704" t="s">
        <v>3623</v>
      </c>
      <c r="C2704">
        <v>-22.307218777599051</v>
      </c>
      <c r="D2704">
        <v>-45.371053690754955</v>
      </c>
    </row>
    <row r="2705" spans="1:4" x14ac:dyDescent="0.3">
      <c r="A2705">
        <v>3140001</v>
      </c>
      <c r="B2705" t="s">
        <v>3624</v>
      </c>
      <c r="C2705">
        <v>-20.374493230893254</v>
      </c>
      <c r="D2705">
        <v>-43.416140412137501</v>
      </c>
    </row>
    <row r="2706" spans="1:4" x14ac:dyDescent="0.3">
      <c r="A2706">
        <v>3140100</v>
      </c>
      <c r="B2706" t="s">
        <v>3625</v>
      </c>
      <c r="C2706">
        <v>-18.504972411090101</v>
      </c>
      <c r="D2706">
        <v>-42.081688952587534</v>
      </c>
    </row>
    <row r="2707" spans="1:4" x14ac:dyDescent="0.3">
      <c r="A2707">
        <v>3140159</v>
      </c>
      <c r="B2707" t="s">
        <v>3626</v>
      </c>
      <c r="C2707">
        <v>-20.053636412405705</v>
      </c>
      <c r="D2707">
        <v>-44.185825296184333</v>
      </c>
    </row>
    <row r="2708" spans="1:4" x14ac:dyDescent="0.3">
      <c r="A2708">
        <v>3140209</v>
      </c>
      <c r="B2708" t="s">
        <v>3627</v>
      </c>
      <c r="C2708">
        <v>-21.692262750963909</v>
      </c>
      <c r="D2708">
        <v>-42.968349927473639</v>
      </c>
    </row>
    <row r="2709" spans="1:4" x14ac:dyDescent="0.3">
      <c r="A2709">
        <v>3140308</v>
      </c>
      <c r="B2709" t="s">
        <v>3628</v>
      </c>
      <c r="C2709">
        <v>-19.706456109825105</v>
      </c>
      <c r="D2709">
        <v>-42.737379035917037</v>
      </c>
    </row>
    <row r="2710" spans="1:4" x14ac:dyDescent="0.3">
      <c r="A2710">
        <v>3140407</v>
      </c>
      <c r="B2710" t="s">
        <v>3629</v>
      </c>
      <c r="C2710">
        <v>-22.446517097766105</v>
      </c>
      <c r="D2710">
        <v>-45.160047802472207</v>
      </c>
    </row>
    <row r="2711" spans="1:4" x14ac:dyDescent="0.3">
      <c r="A2711">
        <v>3140506</v>
      </c>
      <c r="B2711" t="s">
        <v>3630</v>
      </c>
      <c r="C2711">
        <v>-19.329742348336701</v>
      </c>
      <c r="D2711">
        <v>-45.238650397140525</v>
      </c>
    </row>
    <row r="2712" spans="1:4" x14ac:dyDescent="0.3">
      <c r="A2712">
        <v>3140530</v>
      </c>
      <c r="B2712" t="s">
        <v>3631</v>
      </c>
      <c r="C2712">
        <v>-20.258229195984601</v>
      </c>
      <c r="D2712">
        <v>-41.875790908175269</v>
      </c>
    </row>
    <row r="2713" spans="1:4" x14ac:dyDescent="0.3">
      <c r="A2713">
        <v>3140555</v>
      </c>
      <c r="B2713" t="s">
        <v>3632</v>
      </c>
      <c r="C2713">
        <v>-15.687667804847701</v>
      </c>
      <c r="D2713">
        <v>-40.73853340846933</v>
      </c>
    </row>
    <row r="2714" spans="1:4" x14ac:dyDescent="0.3">
      <c r="A2714">
        <v>3140605</v>
      </c>
      <c r="B2714" t="s">
        <v>3633</v>
      </c>
      <c r="C2714">
        <v>-18.472773673406252</v>
      </c>
      <c r="D2714">
        <v>-43.057375905874331</v>
      </c>
    </row>
    <row r="2715" spans="1:4" x14ac:dyDescent="0.3">
      <c r="A2715">
        <v>3140704</v>
      </c>
      <c r="B2715" t="s">
        <v>3634</v>
      </c>
      <c r="C2715">
        <v>-19.990868136846903</v>
      </c>
      <c r="D2715">
        <v>-44.428991235227194</v>
      </c>
    </row>
    <row r="2716" spans="1:4" x14ac:dyDescent="0.3">
      <c r="A2716">
        <v>3140803</v>
      </c>
      <c r="B2716" t="s">
        <v>3635</v>
      </c>
      <c r="C2716">
        <v>-21.869479271075154</v>
      </c>
      <c r="D2716">
        <v>-43.319161988763163</v>
      </c>
    </row>
    <row r="2717" spans="1:4" x14ac:dyDescent="0.3">
      <c r="A2717">
        <v>3140852</v>
      </c>
      <c r="B2717" t="s">
        <v>3636</v>
      </c>
      <c r="C2717">
        <v>-14.850283877695801</v>
      </c>
      <c r="D2717">
        <v>-43.91782643656655</v>
      </c>
    </row>
    <row r="2718" spans="1:4" x14ac:dyDescent="0.3">
      <c r="A2718">
        <v>3140902</v>
      </c>
      <c r="B2718" t="s">
        <v>3637</v>
      </c>
      <c r="C2718">
        <v>-20.287148252492202</v>
      </c>
      <c r="D2718">
        <v>-42.341486406094553</v>
      </c>
    </row>
    <row r="2719" spans="1:4" x14ac:dyDescent="0.3">
      <c r="A2719">
        <v>3141009</v>
      </c>
      <c r="B2719" t="s">
        <v>3638</v>
      </c>
      <c r="C2719">
        <v>-15.397321552975903</v>
      </c>
      <c r="D2719">
        <v>-42.866514723800066</v>
      </c>
    </row>
    <row r="2720" spans="1:4" x14ac:dyDescent="0.3">
      <c r="A2720">
        <v>3141108</v>
      </c>
      <c r="B2720" t="s">
        <v>3639</v>
      </c>
      <c r="C2720">
        <v>-19.561910281038902</v>
      </c>
      <c r="D2720">
        <v>-44.083974567865368</v>
      </c>
    </row>
    <row r="2721" spans="1:4" x14ac:dyDescent="0.3">
      <c r="A2721">
        <v>3141207</v>
      </c>
      <c r="B2721" t="s">
        <v>3640</v>
      </c>
      <c r="C2721">
        <v>-19.226612063345055</v>
      </c>
      <c r="D2721">
        <v>-45.983517033486329</v>
      </c>
    </row>
    <row r="2722" spans="1:4" x14ac:dyDescent="0.3">
      <c r="A2722">
        <v>3141306</v>
      </c>
      <c r="B2722" t="s">
        <v>3641</v>
      </c>
      <c r="C2722">
        <v>-19.993307877624055</v>
      </c>
      <c r="D2722">
        <v>-46.226688820374697</v>
      </c>
    </row>
    <row r="2723" spans="1:4" x14ac:dyDescent="0.3">
      <c r="A2723">
        <v>3141405</v>
      </c>
      <c r="B2723" t="s">
        <v>3642</v>
      </c>
      <c r="C2723">
        <v>-16.224795620970401</v>
      </c>
      <c r="D2723">
        <v>-41.476309066919974</v>
      </c>
    </row>
    <row r="2724" spans="1:4" x14ac:dyDescent="0.3">
      <c r="A2724">
        <v>3141504</v>
      </c>
      <c r="B2724" t="s">
        <v>3643</v>
      </c>
      <c r="C2724">
        <v>-18.661777740612003</v>
      </c>
      <c r="D2724">
        <v>-41.40561516866854</v>
      </c>
    </row>
    <row r="2725" spans="1:4" x14ac:dyDescent="0.3">
      <c r="A2725">
        <v>3141603</v>
      </c>
      <c r="B2725" t="s">
        <v>3644</v>
      </c>
      <c r="C2725">
        <v>-21.192064924676099</v>
      </c>
      <c r="D2725">
        <v>-43.341070161399287</v>
      </c>
    </row>
    <row r="2726" spans="1:4" x14ac:dyDescent="0.3">
      <c r="A2726">
        <v>3141702</v>
      </c>
      <c r="B2726" t="s">
        <v>3645</v>
      </c>
      <c r="C2726">
        <v>-19.224345812453056</v>
      </c>
      <c r="D2726">
        <v>-42.605661056817873</v>
      </c>
    </row>
    <row r="2727" spans="1:4" x14ac:dyDescent="0.3">
      <c r="A2727">
        <v>3141801</v>
      </c>
      <c r="B2727" t="s">
        <v>3646</v>
      </c>
      <c r="C2727">
        <v>-17.215458163633702</v>
      </c>
      <c r="D2727">
        <v>-42.596758710747096</v>
      </c>
    </row>
    <row r="2728" spans="1:4" x14ac:dyDescent="0.3">
      <c r="A2728">
        <v>3141900</v>
      </c>
      <c r="B2728" t="s">
        <v>3647</v>
      </c>
      <c r="C2728">
        <v>-21.6775434808097</v>
      </c>
      <c r="D2728">
        <v>-44.609292819454247</v>
      </c>
    </row>
    <row r="2729" spans="1:4" x14ac:dyDescent="0.3">
      <c r="A2729">
        <v>3142007</v>
      </c>
      <c r="B2729" t="s">
        <v>3648</v>
      </c>
      <c r="C2729">
        <v>-16.258452938528553</v>
      </c>
      <c r="D2729">
        <v>-44.160643777201052</v>
      </c>
    </row>
    <row r="2730" spans="1:4" x14ac:dyDescent="0.3">
      <c r="A2730">
        <v>3142106</v>
      </c>
      <c r="B2730" t="s">
        <v>3649</v>
      </c>
      <c r="C2730">
        <v>-20.894419066213505</v>
      </c>
      <c r="D2730">
        <v>-42.346149856343409</v>
      </c>
    </row>
    <row r="2731" spans="1:4" x14ac:dyDescent="0.3">
      <c r="A2731">
        <v>3142205</v>
      </c>
      <c r="B2731" t="s">
        <v>3650</v>
      </c>
      <c r="C2731">
        <v>-21.193981741514651</v>
      </c>
      <c r="D2731">
        <v>-42.616039590280813</v>
      </c>
    </row>
    <row r="2732" spans="1:4" x14ac:dyDescent="0.3">
      <c r="A2732">
        <v>3142254</v>
      </c>
      <c r="B2732" t="s">
        <v>3651</v>
      </c>
      <c r="C2732">
        <v>-14.747839400711602</v>
      </c>
      <c r="D2732">
        <v>-44.412075427847874</v>
      </c>
    </row>
    <row r="2733" spans="1:4" x14ac:dyDescent="0.3">
      <c r="A2733">
        <v>3142304</v>
      </c>
      <c r="B2733" t="s">
        <v>3652</v>
      </c>
      <c r="C2733">
        <v>-20.330268842987302</v>
      </c>
      <c r="D2733">
        <v>-44.047568670537039</v>
      </c>
    </row>
    <row r="2734" spans="1:4" x14ac:dyDescent="0.3">
      <c r="A2734">
        <v>3142403</v>
      </c>
      <c r="B2734" t="s">
        <v>3653</v>
      </c>
      <c r="C2734">
        <v>-19.838699897871603</v>
      </c>
      <c r="D2734">
        <v>-45.425310133709033</v>
      </c>
    </row>
    <row r="2735" spans="1:4" x14ac:dyDescent="0.3">
      <c r="A2735">
        <v>3142502</v>
      </c>
      <c r="B2735" t="s">
        <v>3654</v>
      </c>
      <c r="C2735">
        <v>-18.323685618262804</v>
      </c>
      <c r="D2735">
        <v>-44.119316772414372</v>
      </c>
    </row>
    <row r="2736" spans="1:4" x14ac:dyDescent="0.3">
      <c r="A2736">
        <v>3142601</v>
      </c>
      <c r="B2736" t="s">
        <v>3655</v>
      </c>
      <c r="C2736">
        <v>-21.761772138065851</v>
      </c>
      <c r="D2736">
        <v>-45.545074138717276</v>
      </c>
    </row>
    <row r="2737" spans="1:4" x14ac:dyDescent="0.3">
      <c r="A2737">
        <v>3142700</v>
      </c>
      <c r="B2737" t="s">
        <v>3656</v>
      </c>
      <c r="C2737">
        <v>-14.420364778569702</v>
      </c>
      <c r="D2737">
        <v>-44.363620582557111</v>
      </c>
    </row>
    <row r="2738" spans="1:4" x14ac:dyDescent="0.3">
      <c r="A2738">
        <v>3142809</v>
      </c>
      <c r="B2738" t="s">
        <v>3657</v>
      </c>
      <c r="C2738">
        <v>-18.869166716617404</v>
      </c>
      <c r="D2738">
        <v>-48.877116908960907</v>
      </c>
    </row>
    <row r="2739" spans="1:4" x14ac:dyDescent="0.3">
      <c r="A2739">
        <v>3142908</v>
      </c>
      <c r="B2739" t="s">
        <v>3658</v>
      </c>
      <c r="C2739">
        <v>-15.155338588724153</v>
      </c>
      <c r="D2739">
        <v>-42.873165494039512</v>
      </c>
    </row>
    <row r="2740" spans="1:4" x14ac:dyDescent="0.3">
      <c r="A2740">
        <v>3143005</v>
      </c>
      <c r="B2740" t="s">
        <v>3659</v>
      </c>
      <c r="C2740">
        <v>-21.327145847454403</v>
      </c>
      <c r="D2740">
        <v>-46.368245576831079</v>
      </c>
    </row>
    <row r="2741" spans="1:4" x14ac:dyDescent="0.3">
      <c r="A2741">
        <v>3143104</v>
      </c>
      <c r="B2741" t="s">
        <v>3660</v>
      </c>
      <c r="C2741">
        <v>-18.729038440092054</v>
      </c>
      <c r="D2741">
        <v>-47.495972431219357</v>
      </c>
    </row>
    <row r="2742" spans="1:4" x14ac:dyDescent="0.3">
      <c r="A2742">
        <v>3143153</v>
      </c>
      <c r="B2742" t="s">
        <v>3661</v>
      </c>
      <c r="C2742">
        <v>-16.866493829977102</v>
      </c>
      <c r="D2742">
        <v>-41.254578741799591</v>
      </c>
    </row>
    <row r="2743" spans="1:4" x14ac:dyDescent="0.3">
      <c r="A2743">
        <v>3143203</v>
      </c>
      <c r="B2743" t="s">
        <v>3662</v>
      </c>
      <c r="C2743">
        <v>-21.190474835099256</v>
      </c>
      <c r="D2743">
        <v>-46.977118547061878</v>
      </c>
    </row>
    <row r="2744" spans="1:4" x14ac:dyDescent="0.3">
      <c r="A2744">
        <v>3143302</v>
      </c>
      <c r="B2744" t="s">
        <v>3663</v>
      </c>
      <c r="C2744">
        <v>-16.722706639983752</v>
      </c>
      <c r="D2744">
        <v>-43.865422434383156</v>
      </c>
    </row>
    <row r="2745" spans="1:4" x14ac:dyDescent="0.3">
      <c r="A2745">
        <v>3143401</v>
      </c>
      <c r="B2745" t="s">
        <v>3664</v>
      </c>
      <c r="C2745">
        <v>-22.433548821153355</v>
      </c>
      <c r="D2745">
        <v>-46.573702693360858</v>
      </c>
    </row>
    <row r="2746" spans="1:4" x14ac:dyDescent="0.3">
      <c r="A2746">
        <v>3143450</v>
      </c>
      <c r="B2746" t="s">
        <v>3665</v>
      </c>
      <c r="C2746">
        <v>-15.171144158477054</v>
      </c>
      <c r="D2746">
        <v>-42.507473699169957</v>
      </c>
    </row>
    <row r="2747" spans="1:4" x14ac:dyDescent="0.3">
      <c r="A2747">
        <v>3143500</v>
      </c>
      <c r="B2747" t="s">
        <v>3666</v>
      </c>
      <c r="C2747">
        <v>-18.607444721639407</v>
      </c>
      <c r="D2747">
        <v>-45.355502348096273</v>
      </c>
    </row>
    <row r="2748" spans="1:4" x14ac:dyDescent="0.3">
      <c r="A2748">
        <v>3143609</v>
      </c>
      <c r="B2748" t="s">
        <v>3667</v>
      </c>
      <c r="C2748">
        <v>-18.547218462938055</v>
      </c>
      <c r="D2748">
        <v>-44.603531034842518</v>
      </c>
    </row>
    <row r="2749" spans="1:4" x14ac:dyDescent="0.3">
      <c r="A2749">
        <v>3143708</v>
      </c>
      <c r="B2749" t="s">
        <v>3668</v>
      </c>
      <c r="C2749">
        <v>-19.21834222514515</v>
      </c>
      <c r="D2749">
        <v>-43.374804182298099</v>
      </c>
    </row>
    <row r="2750" spans="1:4" x14ac:dyDescent="0.3">
      <c r="A2750">
        <v>3143807</v>
      </c>
      <c r="B2750" t="s">
        <v>3669</v>
      </c>
      <c r="C2750">
        <v>-22.612782688951651</v>
      </c>
      <c r="D2750">
        <v>-46.360370934844127</v>
      </c>
    </row>
    <row r="2751" spans="1:4" x14ac:dyDescent="0.3">
      <c r="A2751">
        <v>3143906</v>
      </c>
      <c r="B2751" t="s">
        <v>3670</v>
      </c>
      <c r="C2751">
        <v>-21.132046791510156</v>
      </c>
      <c r="D2751">
        <v>-42.361074897892252</v>
      </c>
    </row>
    <row r="2752" spans="1:4" x14ac:dyDescent="0.3">
      <c r="A2752">
        <v>3144003</v>
      </c>
      <c r="B2752" t="s">
        <v>3671</v>
      </c>
      <c r="C2752">
        <v>-19.807189224316751</v>
      </c>
      <c r="D2752">
        <v>-41.439138524053853</v>
      </c>
    </row>
    <row r="2753" spans="1:4" x14ac:dyDescent="0.3">
      <c r="A2753">
        <v>3144102</v>
      </c>
      <c r="B2753" t="s">
        <v>3672</v>
      </c>
      <c r="C2753">
        <v>-21.373012752695157</v>
      </c>
      <c r="D2753">
        <v>-46.526804688547934</v>
      </c>
    </row>
    <row r="2754" spans="1:4" x14ac:dyDescent="0.3">
      <c r="A2754">
        <v>3144201</v>
      </c>
      <c r="B2754" t="s">
        <v>3673</v>
      </c>
      <c r="C2754">
        <v>-18.457924192654854</v>
      </c>
      <c r="D2754">
        <v>-42.251791593710102</v>
      </c>
    </row>
    <row r="2755" spans="1:4" x14ac:dyDescent="0.3">
      <c r="A2755">
        <v>3144300</v>
      </c>
      <c r="B2755" t="s">
        <v>3674</v>
      </c>
      <c r="C2755">
        <v>-17.838993351938701</v>
      </c>
      <c r="D2755">
        <v>-40.351738833610398</v>
      </c>
    </row>
    <row r="2756" spans="1:4" x14ac:dyDescent="0.3">
      <c r="A2756">
        <v>3144359</v>
      </c>
      <c r="B2756" t="s">
        <v>3675</v>
      </c>
      <c r="C2756">
        <v>-19.223543474867451</v>
      </c>
      <c r="D2756">
        <v>-42.334708448851821</v>
      </c>
    </row>
    <row r="2757" spans="1:4" x14ac:dyDescent="0.3">
      <c r="A2757">
        <v>3144375</v>
      </c>
      <c r="B2757" t="s">
        <v>3676</v>
      </c>
      <c r="C2757">
        <v>-16.503836483617501</v>
      </c>
      <c r="D2757">
        <v>-46.497534355290803</v>
      </c>
    </row>
    <row r="2758" spans="1:4" x14ac:dyDescent="0.3">
      <c r="A2758">
        <v>3144409</v>
      </c>
      <c r="B2758" t="s">
        <v>3677</v>
      </c>
      <c r="C2758">
        <v>-22.118473738940352</v>
      </c>
      <c r="D2758">
        <v>-45.518234505653624</v>
      </c>
    </row>
    <row r="2759" spans="1:4" x14ac:dyDescent="0.3">
      <c r="A2759">
        <v>3144508</v>
      </c>
      <c r="B2759" t="s">
        <v>3678</v>
      </c>
      <c r="C2759">
        <v>-21.217696967160553</v>
      </c>
      <c r="D2759">
        <v>-44.617234664426185</v>
      </c>
    </row>
    <row r="2760" spans="1:4" x14ac:dyDescent="0.3">
      <c r="A2760">
        <v>3144607</v>
      </c>
      <c r="B2760" t="s">
        <v>3679</v>
      </c>
      <c r="C2760">
        <v>-21.234576935024656</v>
      </c>
      <c r="D2760">
        <v>-45.237429119815985</v>
      </c>
    </row>
    <row r="2761" spans="1:4" x14ac:dyDescent="0.3">
      <c r="A2761">
        <v>3144656</v>
      </c>
      <c r="B2761" t="s">
        <v>3680</v>
      </c>
      <c r="C2761">
        <v>-15.323801919196102</v>
      </c>
      <c r="D2761">
        <v>-41.748788959379461</v>
      </c>
    </row>
    <row r="2762" spans="1:4" x14ac:dyDescent="0.3">
      <c r="A2762">
        <v>3144672</v>
      </c>
      <c r="B2762" t="s">
        <v>3681</v>
      </c>
      <c r="C2762">
        <v>-18.494090820783754</v>
      </c>
      <c r="D2762">
        <v>-41.103687832356982</v>
      </c>
    </row>
    <row r="2763" spans="1:4" x14ac:dyDescent="0.3">
      <c r="A2763">
        <v>3144706</v>
      </c>
      <c r="B2763" t="s">
        <v>3682</v>
      </c>
      <c r="C2763">
        <v>-19.764423068632702</v>
      </c>
      <c r="D2763">
        <v>-43.035456849718933</v>
      </c>
    </row>
    <row r="2764" spans="1:4" x14ac:dyDescent="0.3">
      <c r="A2764">
        <v>3144805</v>
      </c>
      <c r="B2764" t="s">
        <v>3683</v>
      </c>
      <c r="C2764">
        <v>-19.983892993866551</v>
      </c>
      <c r="D2764">
        <v>-43.849783362616336</v>
      </c>
    </row>
    <row r="2765" spans="1:4" x14ac:dyDescent="0.3">
      <c r="A2765">
        <v>3144904</v>
      </c>
      <c r="B2765" t="s">
        <v>3684</v>
      </c>
      <c r="C2765">
        <v>-18.441605613545402</v>
      </c>
      <c r="D2765">
        <v>-41.50133627399957</v>
      </c>
    </row>
    <row r="2766" spans="1:4" x14ac:dyDescent="0.3">
      <c r="A2766">
        <v>3145000</v>
      </c>
      <c r="B2766" t="s">
        <v>3685</v>
      </c>
      <c r="C2766">
        <v>-19.168891649263802</v>
      </c>
      <c r="D2766">
        <v>-47.670570749698044</v>
      </c>
    </row>
    <row r="2767" spans="1:4" x14ac:dyDescent="0.3">
      <c r="A2767">
        <v>3145059</v>
      </c>
      <c r="B2767" t="s">
        <v>3686</v>
      </c>
      <c r="C2767">
        <v>-15.802210196731055</v>
      </c>
      <c r="D2767">
        <v>-43.302551229515856</v>
      </c>
    </row>
    <row r="2768" spans="1:4" x14ac:dyDescent="0.3">
      <c r="A2768">
        <v>3145109</v>
      </c>
      <c r="B2768" t="s">
        <v>3687</v>
      </c>
      <c r="C2768">
        <v>-21.1266519125721</v>
      </c>
      <c r="D2768">
        <v>-46.417029104606513</v>
      </c>
    </row>
    <row r="2769" spans="1:4" x14ac:dyDescent="0.3">
      <c r="A2769">
        <v>3145208</v>
      </c>
      <c r="B2769" t="s">
        <v>3688</v>
      </c>
      <c r="C2769">
        <v>-19.875867380561953</v>
      </c>
      <c r="D2769">
        <v>-44.985578736331924</v>
      </c>
    </row>
    <row r="2770" spans="1:4" x14ac:dyDescent="0.3">
      <c r="A2770">
        <v>3145307</v>
      </c>
      <c r="B2770" t="s">
        <v>3689</v>
      </c>
      <c r="C2770">
        <v>-17.474888855205503</v>
      </c>
      <c r="D2770">
        <v>-41.875391542121896</v>
      </c>
    </row>
    <row r="2771" spans="1:4" x14ac:dyDescent="0.3">
      <c r="A2771">
        <v>3145356</v>
      </c>
      <c r="B2771" t="s">
        <v>3690</v>
      </c>
      <c r="C2771">
        <v>-17.409165680873404</v>
      </c>
      <c r="D2771">
        <v>-41.222096610120154</v>
      </c>
    </row>
    <row r="2772" spans="1:4" x14ac:dyDescent="0.3">
      <c r="A2772">
        <v>3145372</v>
      </c>
      <c r="B2772" t="s">
        <v>3691</v>
      </c>
      <c r="C2772">
        <v>-16.019538566783151</v>
      </c>
      <c r="D2772">
        <v>-42.416780837008169</v>
      </c>
    </row>
    <row r="2773" spans="1:4" x14ac:dyDescent="0.3">
      <c r="A2773">
        <v>3145406</v>
      </c>
      <c r="B2773" t="s">
        <v>3692</v>
      </c>
      <c r="C2773">
        <v>-21.864772942427102</v>
      </c>
      <c r="D2773">
        <v>-43.930926880185304</v>
      </c>
    </row>
    <row r="2774" spans="1:4" x14ac:dyDescent="0.3">
      <c r="A2774">
        <v>3145455</v>
      </c>
      <c r="B2774" t="s">
        <v>3693</v>
      </c>
      <c r="C2774">
        <v>-17.401899926527303</v>
      </c>
      <c r="D2774">
        <v>-43.571410982514536</v>
      </c>
    </row>
    <row r="2775" spans="1:4" x14ac:dyDescent="0.3">
      <c r="A2775">
        <v>3145505</v>
      </c>
      <c r="B2775" t="s">
        <v>3694</v>
      </c>
      <c r="C2775">
        <v>-22.066959814499004</v>
      </c>
      <c r="D2775">
        <v>-45.264135695928097</v>
      </c>
    </row>
    <row r="2776" spans="1:4" x14ac:dyDescent="0.3">
      <c r="A2776">
        <v>3145604</v>
      </c>
      <c r="B2776" t="s">
        <v>3695</v>
      </c>
      <c r="C2776">
        <v>-20.697515776184357</v>
      </c>
      <c r="D2776">
        <v>-44.826410866481957</v>
      </c>
    </row>
    <row r="2777" spans="1:4" x14ac:dyDescent="0.3">
      <c r="A2777">
        <v>3145703</v>
      </c>
      <c r="B2777" t="s">
        <v>3696</v>
      </c>
      <c r="C2777">
        <v>-21.339493274263251</v>
      </c>
      <c r="D2777">
        <v>-43.462543869180955</v>
      </c>
    </row>
    <row r="2778" spans="1:4" x14ac:dyDescent="0.3">
      <c r="A2778">
        <v>3145802</v>
      </c>
      <c r="B2778" t="s">
        <v>3697</v>
      </c>
      <c r="C2778">
        <v>-19.745524484591002</v>
      </c>
      <c r="D2778">
        <v>-44.808382179950819</v>
      </c>
    </row>
    <row r="2779" spans="1:4" x14ac:dyDescent="0.3">
      <c r="A2779">
        <v>3145851</v>
      </c>
      <c r="B2779" t="s">
        <v>3698</v>
      </c>
      <c r="C2779">
        <v>-20.430995952083801</v>
      </c>
      <c r="D2779">
        <v>-42.806339220774916</v>
      </c>
    </row>
    <row r="2780" spans="1:4" x14ac:dyDescent="0.3">
      <c r="A2780">
        <v>3145877</v>
      </c>
      <c r="B2780" t="s">
        <v>3699</v>
      </c>
      <c r="C2780">
        <v>-20.504121374245305</v>
      </c>
      <c r="D2780">
        <v>-42.202946082089788</v>
      </c>
    </row>
    <row r="2781" spans="1:4" x14ac:dyDescent="0.3">
      <c r="A2781">
        <v>3145901</v>
      </c>
      <c r="B2781" t="s">
        <v>2176</v>
      </c>
      <c r="C2781">
        <v>-20.523583123509304</v>
      </c>
      <c r="D2781">
        <v>-43.694770796939565</v>
      </c>
    </row>
    <row r="2782" spans="1:4" x14ac:dyDescent="0.3">
      <c r="A2782">
        <v>3146008</v>
      </c>
      <c r="B2782" t="s">
        <v>3700</v>
      </c>
      <c r="C2782">
        <v>-22.283524423873303</v>
      </c>
      <c r="D2782">
        <v>-46.380080828762267</v>
      </c>
    </row>
    <row r="2783" spans="1:4" x14ac:dyDescent="0.3">
      <c r="A2783">
        <v>3146107</v>
      </c>
      <c r="B2783" t="s">
        <v>3701</v>
      </c>
      <c r="C2783">
        <v>-20.386776367865803</v>
      </c>
      <c r="D2783">
        <v>-43.506447519713674</v>
      </c>
    </row>
    <row r="2784" spans="1:4" x14ac:dyDescent="0.3">
      <c r="A2784">
        <v>3146206</v>
      </c>
      <c r="B2784" t="s">
        <v>3702</v>
      </c>
      <c r="C2784">
        <v>-18.069339094982602</v>
      </c>
      <c r="D2784">
        <v>-41.268709492315004</v>
      </c>
    </row>
    <row r="2785" spans="1:4" x14ac:dyDescent="0.3">
      <c r="A2785">
        <v>3146255</v>
      </c>
      <c r="B2785" t="s">
        <v>3703</v>
      </c>
      <c r="C2785">
        <v>-16.365103268309152</v>
      </c>
      <c r="D2785">
        <v>-42.520744826640303</v>
      </c>
    </row>
    <row r="2786" spans="1:4" x14ac:dyDescent="0.3">
      <c r="A2786">
        <v>3146305</v>
      </c>
      <c r="B2786" t="s">
        <v>3704</v>
      </c>
      <c r="C2786">
        <v>-17.076318651422003</v>
      </c>
      <c r="D2786">
        <v>-41.484964809224728</v>
      </c>
    </row>
    <row r="2787" spans="1:4" x14ac:dyDescent="0.3">
      <c r="A2787">
        <v>3146404</v>
      </c>
      <c r="B2787" t="s">
        <v>3705</v>
      </c>
      <c r="C2787">
        <v>-18.902217214369152</v>
      </c>
      <c r="D2787">
        <v>-45.538757686226809</v>
      </c>
    </row>
    <row r="2788" spans="1:4" x14ac:dyDescent="0.3">
      <c r="A2788">
        <v>3146503</v>
      </c>
      <c r="B2788" t="s">
        <v>3706</v>
      </c>
      <c r="C2788">
        <v>-20.370917245536351</v>
      </c>
      <c r="D2788">
        <v>-45.660813183335037</v>
      </c>
    </row>
    <row r="2789" spans="1:4" x14ac:dyDescent="0.3">
      <c r="A2789">
        <v>3146552</v>
      </c>
      <c r="B2789" t="s">
        <v>3707</v>
      </c>
      <c r="C2789">
        <v>-15.537065987525001</v>
      </c>
      <c r="D2789">
        <v>-43.070555975611327</v>
      </c>
    </row>
    <row r="2790" spans="1:4" x14ac:dyDescent="0.3">
      <c r="A2790">
        <v>3146602</v>
      </c>
      <c r="B2790" t="s">
        <v>3708</v>
      </c>
      <c r="C2790">
        <v>-21.287852249312454</v>
      </c>
      <c r="D2790">
        <v>-43.41883337325222</v>
      </c>
    </row>
    <row r="2791" spans="1:4" x14ac:dyDescent="0.3">
      <c r="A2791">
        <v>3146701</v>
      </c>
      <c r="B2791" t="s">
        <v>3709</v>
      </c>
      <c r="C2791">
        <v>-21.372561155857053</v>
      </c>
      <c r="D2791">
        <v>-42.315825882845687</v>
      </c>
    </row>
    <row r="2792" spans="1:4" x14ac:dyDescent="0.3">
      <c r="A2792">
        <v>3146750</v>
      </c>
      <c r="B2792" t="s">
        <v>3710</v>
      </c>
      <c r="C2792">
        <v>-16.734467496734855</v>
      </c>
      <c r="D2792">
        <v>-40.420397598382472</v>
      </c>
    </row>
    <row r="2793" spans="1:4" x14ac:dyDescent="0.3">
      <c r="A2793">
        <v>3146909</v>
      </c>
      <c r="B2793" t="s">
        <v>3711</v>
      </c>
      <c r="C2793">
        <v>-19.455536759614507</v>
      </c>
      <c r="D2793">
        <v>-44.74470172506183</v>
      </c>
    </row>
    <row r="2794" spans="1:4" x14ac:dyDescent="0.3">
      <c r="A2794">
        <v>3147006</v>
      </c>
      <c r="B2794" t="s">
        <v>3712</v>
      </c>
      <c r="C2794">
        <v>-17.219741910187</v>
      </c>
      <c r="D2794">
        <v>-46.875418890956432</v>
      </c>
    </row>
    <row r="2795" spans="1:4" x14ac:dyDescent="0.3">
      <c r="A2795">
        <v>3147105</v>
      </c>
      <c r="B2795" t="s">
        <v>3713</v>
      </c>
      <c r="C2795">
        <v>-19.864737963946304</v>
      </c>
      <c r="D2795">
        <v>-44.605380187893722</v>
      </c>
    </row>
    <row r="2796" spans="1:4" x14ac:dyDescent="0.3">
      <c r="A2796">
        <v>3147204</v>
      </c>
      <c r="B2796" t="s">
        <v>3714</v>
      </c>
      <c r="C2796">
        <v>-21.547316026761752</v>
      </c>
      <c r="D2796">
        <v>-45.732695470760802</v>
      </c>
    </row>
    <row r="2797" spans="1:4" x14ac:dyDescent="0.3">
      <c r="A2797">
        <v>3147303</v>
      </c>
      <c r="B2797" t="s">
        <v>3715</v>
      </c>
      <c r="C2797">
        <v>-22.555192771490308</v>
      </c>
      <c r="D2797">
        <v>-45.781703528006197</v>
      </c>
    </row>
    <row r="2798" spans="1:4" x14ac:dyDescent="0.3">
      <c r="A2798">
        <v>3147402</v>
      </c>
      <c r="B2798" t="s">
        <v>3716</v>
      </c>
      <c r="C2798">
        <v>-19.281428952073856</v>
      </c>
      <c r="D2798">
        <v>-44.403116870288024</v>
      </c>
    </row>
    <row r="2799" spans="1:4" x14ac:dyDescent="0.3">
      <c r="A2799">
        <v>3147501</v>
      </c>
      <c r="B2799" t="s">
        <v>3717</v>
      </c>
      <c r="C2799">
        <v>-19.350982479192101</v>
      </c>
      <c r="D2799">
        <v>-43.143813739483612</v>
      </c>
    </row>
    <row r="2800" spans="1:4" x14ac:dyDescent="0.3">
      <c r="A2800">
        <v>3147600</v>
      </c>
      <c r="B2800" t="s">
        <v>3718</v>
      </c>
      <c r="C2800">
        <v>-22.389798131618804</v>
      </c>
      <c r="D2800">
        <v>-44.969638673097286</v>
      </c>
    </row>
    <row r="2801" spans="1:4" x14ac:dyDescent="0.3">
      <c r="A2801">
        <v>3147709</v>
      </c>
      <c r="B2801" t="s">
        <v>3719</v>
      </c>
      <c r="C2801">
        <v>-20.652387747284003</v>
      </c>
      <c r="D2801">
        <v>-44.4934171989932</v>
      </c>
    </row>
    <row r="2802" spans="1:4" x14ac:dyDescent="0.3">
      <c r="A2802">
        <v>3147808</v>
      </c>
      <c r="B2802" t="s">
        <v>3720</v>
      </c>
      <c r="C2802">
        <v>-22.208976878402002</v>
      </c>
      <c r="D2802">
        <v>-44.23104879208433</v>
      </c>
    </row>
    <row r="2803" spans="1:4" x14ac:dyDescent="0.3">
      <c r="A2803">
        <v>3147907</v>
      </c>
      <c r="B2803" t="s">
        <v>3721</v>
      </c>
      <c r="C2803">
        <v>-20.719211901863353</v>
      </c>
      <c r="D2803">
        <v>-46.611412568035469</v>
      </c>
    </row>
    <row r="2804" spans="1:4" x14ac:dyDescent="0.3">
      <c r="A2804">
        <v>3147956</v>
      </c>
      <c r="B2804" t="s">
        <v>3722</v>
      </c>
      <c r="C2804">
        <v>-16.079276359656152</v>
      </c>
      <c r="D2804">
        <v>-44.082705306676779</v>
      </c>
    </row>
    <row r="2805" spans="1:4" x14ac:dyDescent="0.3">
      <c r="A2805">
        <v>3148004</v>
      </c>
      <c r="B2805" t="s">
        <v>3723</v>
      </c>
      <c r="C2805">
        <v>-18.592570819923353</v>
      </c>
      <c r="D2805">
        <v>-46.515915676605914</v>
      </c>
    </row>
    <row r="2806" spans="1:4" x14ac:dyDescent="0.3">
      <c r="A2806">
        <v>3148103</v>
      </c>
      <c r="B2806" t="s">
        <v>3724</v>
      </c>
      <c r="C2806">
        <v>-18.940812961349657</v>
      </c>
      <c r="D2806">
        <v>-46.997438240164534</v>
      </c>
    </row>
    <row r="2807" spans="1:4" x14ac:dyDescent="0.3">
      <c r="A2807">
        <v>3148202</v>
      </c>
      <c r="B2807" t="s">
        <v>3725</v>
      </c>
      <c r="C2807">
        <v>-21.151711274508504</v>
      </c>
      <c r="D2807">
        <v>-42.212653298287584</v>
      </c>
    </row>
    <row r="2808" spans="1:4" x14ac:dyDescent="0.3">
      <c r="A2808">
        <v>3148301</v>
      </c>
      <c r="B2808" t="s">
        <v>3726</v>
      </c>
      <c r="C2808">
        <v>-20.870161533024202</v>
      </c>
      <c r="D2808">
        <v>-42.983155098669563</v>
      </c>
    </row>
    <row r="2809" spans="1:4" x14ac:dyDescent="0.3">
      <c r="A2809">
        <v>3148400</v>
      </c>
      <c r="B2809" t="s">
        <v>3727</v>
      </c>
      <c r="C2809">
        <v>-18.431737712707207</v>
      </c>
      <c r="D2809">
        <v>-42.872625098921588</v>
      </c>
    </row>
    <row r="2810" spans="1:4" x14ac:dyDescent="0.3">
      <c r="A2810">
        <v>3148509</v>
      </c>
      <c r="B2810" t="s">
        <v>3728</v>
      </c>
      <c r="C2810">
        <v>-17.432689576716601</v>
      </c>
      <c r="D2810">
        <v>-41.000113209131761</v>
      </c>
    </row>
    <row r="2811" spans="1:4" x14ac:dyDescent="0.3">
      <c r="A2811">
        <v>3148608</v>
      </c>
      <c r="B2811" t="s">
        <v>3729</v>
      </c>
      <c r="C2811">
        <v>-18.546888988770505</v>
      </c>
      <c r="D2811">
        <v>-42.563186267501997</v>
      </c>
    </row>
    <row r="2812" spans="1:4" x14ac:dyDescent="0.3">
      <c r="A2812">
        <v>3148707</v>
      </c>
      <c r="B2812" t="s">
        <v>3730</v>
      </c>
      <c r="C2812">
        <v>-16.005922789065554</v>
      </c>
      <c r="D2812">
        <v>-41.281751978248828</v>
      </c>
    </row>
    <row r="2813" spans="1:4" x14ac:dyDescent="0.3">
      <c r="A2813">
        <v>3148756</v>
      </c>
      <c r="B2813" t="s">
        <v>3731</v>
      </c>
      <c r="C2813">
        <v>-20.520018490572401</v>
      </c>
      <c r="D2813">
        <v>-42.332134491682524</v>
      </c>
    </row>
    <row r="2814" spans="1:4" x14ac:dyDescent="0.3">
      <c r="A2814">
        <v>3148806</v>
      </c>
      <c r="B2814" t="s">
        <v>3732</v>
      </c>
      <c r="C2814">
        <v>-20.596011264768702</v>
      </c>
      <c r="D2814">
        <v>-42.715933324772571</v>
      </c>
    </row>
    <row r="2815" spans="1:4" x14ac:dyDescent="0.3">
      <c r="A2815">
        <v>3148905</v>
      </c>
      <c r="B2815" t="s">
        <v>3733</v>
      </c>
      <c r="C2815">
        <v>-20.253596401433352</v>
      </c>
      <c r="D2815">
        <v>-45.209810090566258</v>
      </c>
    </row>
    <row r="2816" spans="1:4" x14ac:dyDescent="0.3">
      <c r="A2816">
        <v>3149002</v>
      </c>
      <c r="B2816" t="s">
        <v>3734</v>
      </c>
      <c r="C2816">
        <v>-20.829946155248503</v>
      </c>
      <c r="D2816">
        <v>-42.154538668972357</v>
      </c>
    </row>
    <row r="2817" spans="1:4" x14ac:dyDescent="0.3">
      <c r="A2817">
        <v>3149101</v>
      </c>
      <c r="B2817" t="s">
        <v>3735</v>
      </c>
      <c r="C2817">
        <v>-22.254226003117953</v>
      </c>
      <c r="D2817">
        <v>-45.465971517569081</v>
      </c>
    </row>
    <row r="2818" spans="1:4" x14ac:dyDescent="0.3">
      <c r="A2818">
        <v>3149150</v>
      </c>
      <c r="B2818" t="s">
        <v>3736</v>
      </c>
      <c r="C2818">
        <v>-15.599012453172751</v>
      </c>
      <c r="D2818">
        <v>-44.392443959151109</v>
      </c>
    </row>
    <row r="2819" spans="1:4" x14ac:dyDescent="0.3">
      <c r="A2819">
        <v>3149200</v>
      </c>
      <c r="B2819" t="s">
        <v>3737</v>
      </c>
      <c r="C2819">
        <v>-19.227720406682206</v>
      </c>
      <c r="D2819">
        <v>-47.460617392648196</v>
      </c>
    </row>
    <row r="2820" spans="1:4" x14ac:dyDescent="0.3">
      <c r="A2820">
        <v>3149309</v>
      </c>
      <c r="B2820" t="s">
        <v>3738</v>
      </c>
      <c r="C2820">
        <v>-19.618395890954755</v>
      </c>
      <c r="D2820">
        <v>-44.04588396030902</v>
      </c>
    </row>
    <row r="2821" spans="1:4" x14ac:dyDescent="0.3">
      <c r="A2821">
        <v>3149408</v>
      </c>
      <c r="B2821" t="s">
        <v>3739</v>
      </c>
      <c r="C2821">
        <v>-21.706807149668606</v>
      </c>
      <c r="D2821">
        <v>-43.745459057194537</v>
      </c>
    </row>
    <row r="2822" spans="1:4" x14ac:dyDescent="0.3">
      <c r="A2822">
        <v>3149507</v>
      </c>
      <c r="B2822" t="s">
        <v>3740</v>
      </c>
      <c r="C2822">
        <v>-21.836904128508557</v>
      </c>
      <c r="D2822">
        <v>-43.126286174620951</v>
      </c>
    </row>
    <row r="2823" spans="1:4" x14ac:dyDescent="0.3">
      <c r="A2823">
        <v>3149606</v>
      </c>
      <c r="B2823" t="s">
        <v>3741</v>
      </c>
      <c r="C2823">
        <v>-19.627987091132052</v>
      </c>
      <c r="D2823">
        <v>-44.653441896498009</v>
      </c>
    </row>
    <row r="2824" spans="1:4" x14ac:dyDescent="0.3">
      <c r="A2824">
        <v>3149705</v>
      </c>
      <c r="B2824" t="s">
        <v>3742</v>
      </c>
      <c r="C2824">
        <v>-19.955122935449705</v>
      </c>
      <c r="D2824">
        <v>-45.079362582268878</v>
      </c>
    </row>
    <row r="2825" spans="1:4" x14ac:dyDescent="0.3">
      <c r="A2825">
        <v>3149804</v>
      </c>
      <c r="B2825" t="s">
        <v>3743</v>
      </c>
      <c r="C2825">
        <v>-19.338657524886603</v>
      </c>
      <c r="D2825">
        <v>-47.292008447081152</v>
      </c>
    </row>
    <row r="2826" spans="1:4" x14ac:dyDescent="0.3">
      <c r="A2826">
        <v>3149903</v>
      </c>
      <c r="B2826" t="s">
        <v>3744</v>
      </c>
      <c r="C2826">
        <v>-21.094518867597902</v>
      </c>
      <c r="D2826">
        <v>-45.093087829404077</v>
      </c>
    </row>
    <row r="2827" spans="1:4" x14ac:dyDescent="0.3">
      <c r="A2827">
        <v>3149952</v>
      </c>
      <c r="B2827" t="s">
        <v>3745</v>
      </c>
      <c r="C2827">
        <v>-19.154484901106454</v>
      </c>
      <c r="D2827">
        <v>-42.234724628049648</v>
      </c>
    </row>
    <row r="2828" spans="1:4" x14ac:dyDescent="0.3">
      <c r="A2828">
        <v>3150000</v>
      </c>
      <c r="B2828" t="s">
        <v>3746</v>
      </c>
      <c r="C2828">
        <v>-18.353628728976801</v>
      </c>
      <c r="D2828">
        <v>-41.601622817580619</v>
      </c>
    </row>
    <row r="2829" spans="1:4" x14ac:dyDescent="0.3">
      <c r="A2829">
        <v>3150109</v>
      </c>
      <c r="B2829" t="s">
        <v>3747</v>
      </c>
      <c r="C2829">
        <v>-21.504617529369451</v>
      </c>
      <c r="D2829">
        <v>-43.329125174333015</v>
      </c>
    </row>
    <row r="2830" spans="1:4" x14ac:dyDescent="0.3">
      <c r="A2830">
        <v>3150158</v>
      </c>
      <c r="B2830" t="s">
        <v>3748</v>
      </c>
      <c r="C2830">
        <v>-19.759212624956504</v>
      </c>
      <c r="D2830">
        <v>-42.074263971586483</v>
      </c>
    </row>
    <row r="2831" spans="1:4" x14ac:dyDescent="0.3">
      <c r="A2831">
        <v>3150208</v>
      </c>
      <c r="B2831" t="s">
        <v>3749</v>
      </c>
      <c r="C2831">
        <v>-20.247664615443753</v>
      </c>
      <c r="D2831">
        <v>-42.735238898740512</v>
      </c>
    </row>
    <row r="2832" spans="1:4" x14ac:dyDescent="0.3">
      <c r="A2832">
        <v>3150307</v>
      </c>
      <c r="B2832" t="s">
        <v>3750</v>
      </c>
      <c r="C2832">
        <v>-21.469732873634754</v>
      </c>
      <c r="D2832">
        <v>-44.202501747159559</v>
      </c>
    </row>
    <row r="2833" spans="1:4" x14ac:dyDescent="0.3">
      <c r="A2833">
        <v>3150406</v>
      </c>
      <c r="B2833" t="s">
        <v>3751</v>
      </c>
      <c r="C2833">
        <v>-20.461010353828801</v>
      </c>
      <c r="D2833">
        <v>-44.227916010212262</v>
      </c>
    </row>
    <row r="2834" spans="1:4" x14ac:dyDescent="0.3">
      <c r="A2834">
        <v>3150505</v>
      </c>
      <c r="B2834" t="s">
        <v>3752</v>
      </c>
      <c r="C2834">
        <v>-20.483195392434656</v>
      </c>
      <c r="D2834">
        <v>-45.799087029246316</v>
      </c>
    </row>
    <row r="2835" spans="1:4" x14ac:dyDescent="0.3">
      <c r="A2835">
        <v>3150539</v>
      </c>
      <c r="B2835" t="s">
        <v>3753</v>
      </c>
      <c r="C2835">
        <v>-19.728608252847156</v>
      </c>
      <c r="D2835">
        <v>-42.408665778362071</v>
      </c>
    </row>
    <row r="2836" spans="1:4" x14ac:dyDescent="0.3">
      <c r="A2836">
        <v>3150570</v>
      </c>
      <c r="B2836" t="s">
        <v>3754</v>
      </c>
      <c r="C2836">
        <v>-16.054989729884504</v>
      </c>
      <c r="D2836">
        <v>-45.149506880596604</v>
      </c>
    </row>
    <row r="2837" spans="1:4" x14ac:dyDescent="0.3">
      <c r="A2837">
        <v>3150604</v>
      </c>
      <c r="B2837" t="s">
        <v>3755</v>
      </c>
      <c r="C2837">
        <v>-20.508995862821003</v>
      </c>
      <c r="D2837">
        <v>-44.47847177497183</v>
      </c>
    </row>
    <row r="2838" spans="1:4" x14ac:dyDescent="0.3">
      <c r="A2838">
        <v>3150703</v>
      </c>
      <c r="B2838" t="s">
        <v>3756</v>
      </c>
      <c r="C2838">
        <v>-19.908504908627105</v>
      </c>
      <c r="D2838">
        <v>-48.696638063801245</v>
      </c>
    </row>
    <row r="2839" spans="1:4" x14ac:dyDescent="0.3">
      <c r="A2839">
        <v>3150802</v>
      </c>
      <c r="B2839" t="s">
        <v>3757</v>
      </c>
      <c r="C2839">
        <v>-20.685143816154351</v>
      </c>
      <c r="D2839">
        <v>-43.287345553356381</v>
      </c>
    </row>
    <row r="2840" spans="1:4" x14ac:dyDescent="0.3">
      <c r="A2840">
        <v>3150901</v>
      </c>
      <c r="B2840" t="s">
        <v>3758</v>
      </c>
      <c r="C2840">
        <v>-22.526493845373153</v>
      </c>
      <c r="D2840">
        <v>-45.493271704966524</v>
      </c>
    </row>
    <row r="2841" spans="1:4" x14ac:dyDescent="0.3">
      <c r="A2841">
        <v>3151008</v>
      </c>
      <c r="B2841" t="s">
        <v>3759</v>
      </c>
      <c r="C2841">
        <v>-22.411873067843707</v>
      </c>
      <c r="D2841">
        <v>-45.534739178586555</v>
      </c>
    </row>
    <row r="2842" spans="1:4" x14ac:dyDescent="0.3">
      <c r="A2842">
        <v>3151107</v>
      </c>
      <c r="B2842" t="s">
        <v>3760</v>
      </c>
      <c r="C2842">
        <v>-21.655972007179901</v>
      </c>
      <c r="D2842">
        <v>-42.348431046642553</v>
      </c>
    </row>
    <row r="2843" spans="1:4" x14ac:dyDescent="0.3">
      <c r="A2843">
        <v>3151206</v>
      </c>
      <c r="B2843" t="s">
        <v>3761</v>
      </c>
      <c r="C2843">
        <v>-17.349582095609751</v>
      </c>
      <c r="D2843">
        <v>-44.951065380487478</v>
      </c>
    </row>
    <row r="2844" spans="1:4" x14ac:dyDescent="0.3">
      <c r="A2844">
        <v>3151305</v>
      </c>
      <c r="B2844" t="s">
        <v>3762</v>
      </c>
      <c r="C2844">
        <v>-21.276550129258602</v>
      </c>
      <c r="D2844">
        <v>-43.018130810869927</v>
      </c>
    </row>
    <row r="2845" spans="1:4" x14ac:dyDescent="0.3">
      <c r="A2845">
        <v>3151404</v>
      </c>
      <c r="B2845" t="s">
        <v>3763</v>
      </c>
      <c r="C2845">
        <v>-19.680597241292304</v>
      </c>
      <c r="D2845">
        <v>-44.890118890669186</v>
      </c>
    </row>
    <row r="2846" spans="1:4" x14ac:dyDescent="0.3">
      <c r="A2846">
        <v>3151503</v>
      </c>
      <c r="B2846" t="s">
        <v>3764</v>
      </c>
      <c r="C2846">
        <v>-20.470882867622201</v>
      </c>
      <c r="D2846">
        <v>-45.960568666787502</v>
      </c>
    </row>
    <row r="2847" spans="1:4" x14ac:dyDescent="0.3">
      <c r="A2847">
        <v>3151602</v>
      </c>
      <c r="B2847" t="s">
        <v>3765</v>
      </c>
      <c r="C2847">
        <v>-20.138663202028251</v>
      </c>
      <c r="D2847">
        <v>-48.699918855178971</v>
      </c>
    </row>
    <row r="2848" spans="1:4" x14ac:dyDescent="0.3">
      <c r="A2848">
        <v>3151701</v>
      </c>
      <c r="B2848" t="s">
        <v>3766</v>
      </c>
      <c r="C2848">
        <v>-21.784692549993153</v>
      </c>
      <c r="D2848">
        <v>-45.964969563160501</v>
      </c>
    </row>
    <row r="2849" spans="1:4" x14ac:dyDescent="0.3">
      <c r="A2849">
        <v>3151800</v>
      </c>
      <c r="B2849" t="s">
        <v>3767</v>
      </c>
      <c r="C2849">
        <v>-21.787363578594903</v>
      </c>
      <c r="D2849">
        <v>-46.566410044960428</v>
      </c>
    </row>
    <row r="2850" spans="1:4" x14ac:dyDescent="0.3">
      <c r="A2850">
        <v>3151909</v>
      </c>
      <c r="B2850" t="s">
        <v>3768</v>
      </c>
      <c r="C2850">
        <v>-19.620144404402403</v>
      </c>
      <c r="D2850">
        <v>-41.629001253256781</v>
      </c>
    </row>
    <row r="2851" spans="1:4" x14ac:dyDescent="0.3">
      <c r="A2851">
        <v>3152006</v>
      </c>
      <c r="B2851" t="s">
        <v>3769</v>
      </c>
      <c r="C2851">
        <v>-19.220957177094451</v>
      </c>
      <c r="D2851">
        <v>-45.001870858506813</v>
      </c>
    </row>
    <row r="2852" spans="1:4" x14ac:dyDescent="0.3">
      <c r="A2852">
        <v>3152105</v>
      </c>
      <c r="B2852" t="s">
        <v>3770</v>
      </c>
      <c r="C2852">
        <v>-20.416643422487855</v>
      </c>
      <c r="D2852">
        <v>-42.909684269937891</v>
      </c>
    </row>
    <row r="2853" spans="1:4" x14ac:dyDescent="0.3">
      <c r="A2853">
        <v>3152131</v>
      </c>
      <c r="B2853" t="s">
        <v>3771</v>
      </c>
      <c r="C2853">
        <v>-16.633039739249501</v>
      </c>
      <c r="D2853">
        <v>-45.063134509639404</v>
      </c>
    </row>
    <row r="2854" spans="1:4" x14ac:dyDescent="0.3">
      <c r="A2854">
        <v>3152170</v>
      </c>
      <c r="B2854" t="s">
        <v>3772</v>
      </c>
      <c r="C2854">
        <v>-16.754519633283003</v>
      </c>
      <c r="D2854">
        <v>-41.507808203431665</v>
      </c>
    </row>
    <row r="2855" spans="1:4" x14ac:dyDescent="0.3">
      <c r="A2855">
        <v>3152204</v>
      </c>
      <c r="B2855" t="s">
        <v>3773</v>
      </c>
      <c r="C2855">
        <v>-15.746837727002953</v>
      </c>
      <c r="D2855">
        <v>-43.028522649443268</v>
      </c>
    </row>
    <row r="2856" spans="1:4" x14ac:dyDescent="0.3">
      <c r="A2856">
        <v>3152303</v>
      </c>
      <c r="B2856" t="s">
        <v>3774</v>
      </c>
      <c r="C2856">
        <v>-20.668266969367657</v>
      </c>
      <c r="D2856">
        <v>-43.091410908435655</v>
      </c>
    </row>
    <row r="2857" spans="1:4" x14ac:dyDescent="0.3">
      <c r="A2857">
        <v>3152402</v>
      </c>
      <c r="B2857" t="s">
        <v>3775</v>
      </c>
      <c r="C2857">
        <v>-17.801369447294704</v>
      </c>
      <c r="D2857">
        <v>-41.788385524875217</v>
      </c>
    </row>
    <row r="2858" spans="1:4" x14ac:dyDescent="0.3">
      <c r="A2858">
        <v>3152501</v>
      </c>
      <c r="B2858" t="s">
        <v>3776</v>
      </c>
      <c r="C2858">
        <v>-22.230302995154805</v>
      </c>
      <c r="D2858">
        <v>-45.937144275826533</v>
      </c>
    </row>
    <row r="2859" spans="1:4" x14ac:dyDescent="0.3">
      <c r="A2859">
        <v>3152600</v>
      </c>
      <c r="B2859" t="s">
        <v>3777</v>
      </c>
      <c r="C2859">
        <v>-22.190942292589007</v>
      </c>
      <c r="D2859">
        <v>-44.975343574321123</v>
      </c>
    </row>
    <row r="2860" spans="1:4" x14ac:dyDescent="0.3">
      <c r="A2860">
        <v>3152709</v>
      </c>
      <c r="B2860" t="s">
        <v>3778</v>
      </c>
      <c r="C2860">
        <v>-21.056014458148155</v>
      </c>
      <c r="D2860">
        <v>-44.073280277183748</v>
      </c>
    </row>
    <row r="2861" spans="1:4" x14ac:dyDescent="0.3">
      <c r="A2861">
        <v>3152808</v>
      </c>
      <c r="B2861" t="s">
        <v>2387</v>
      </c>
      <c r="C2861">
        <v>-19.308211206298605</v>
      </c>
      <c r="D2861">
        <v>-48.923846069459934</v>
      </c>
    </row>
    <row r="2862" spans="1:4" x14ac:dyDescent="0.3">
      <c r="A2862">
        <v>3152907</v>
      </c>
      <c r="B2862" t="s">
        <v>3779</v>
      </c>
      <c r="C2862">
        <v>-20.744184453965453</v>
      </c>
      <c r="D2862">
        <v>-46.860917341701636</v>
      </c>
    </row>
    <row r="2863" spans="1:4" x14ac:dyDescent="0.3">
      <c r="A2863">
        <v>3153004</v>
      </c>
      <c r="B2863" t="s">
        <v>3780</v>
      </c>
      <c r="C2863">
        <v>-19.756945252258902</v>
      </c>
      <c r="D2863">
        <v>-46.378448644106378</v>
      </c>
    </row>
    <row r="2864" spans="1:4" x14ac:dyDescent="0.3">
      <c r="A2864">
        <v>3153103</v>
      </c>
      <c r="B2864" t="s">
        <v>3781</v>
      </c>
      <c r="C2864">
        <v>-20.765677501021255</v>
      </c>
      <c r="D2864">
        <v>-43.190055579242397</v>
      </c>
    </row>
    <row r="2865" spans="1:4" x14ac:dyDescent="0.3">
      <c r="A2865">
        <v>3153202</v>
      </c>
      <c r="B2865" t="s">
        <v>1618</v>
      </c>
      <c r="C2865">
        <v>-18.640781738392104</v>
      </c>
      <c r="D2865">
        <v>-44.054182275165481</v>
      </c>
    </row>
    <row r="2866" spans="1:4" x14ac:dyDescent="0.3">
      <c r="A2866">
        <v>3153301</v>
      </c>
      <c r="B2866" t="s">
        <v>3782</v>
      </c>
      <c r="C2866">
        <v>-18.615489802575553</v>
      </c>
      <c r="D2866">
        <v>-43.557447948681222</v>
      </c>
    </row>
    <row r="2867" spans="1:4" x14ac:dyDescent="0.3">
      <c r="A2867">
        <v>3153400</v>
      </c>
      <c r="B2867" t="s">
        <v>3783</v>
      </c>
      <c r="C2867">
        <v>-18.414741973874953</v>
      </c>
      <c r="D2867">
        <v>-46.417788687990637</v>
      </c>
    </row>
    <row r="2868" spans="1:4" x14ac:dyDescent="0.3">
      <c r="A2868">
        <v>3153509</v>
      </c>
      <c r="B2868" t="s">
        <v>3784</v>
      </c>
      <c r="C2868">
        <v>-20.422927110928601</v>
      </c>
      <c r="D2868">
        <v>-41.96717511267704</v>
      </c>
    </row>
    <row r="2869" spans="1:4" x14ac:dyDescent="0.3">
      <c r="A2869">
        <v>3153608</v>
      </c>
      <c r="B2869" t="s">
        <v>3785</v>
      </c>
      <c r="C2869">
        <v>-19.483560382447454</v>
      </c>
      <c r="D2869">
        <v>-44.158390667061752</v>
      </c>
    </row>
    <row r="2870" spans="1:4" x14ac:dyDescent="0.3">
      <c r="A2870">
        <v>3153707</v>
      </c>
      <c r="B2870" t="s">
        <v>3786</v>
      </c>
      <c r="C2870">
        <v>-19.267690095515899</v>
      </c>
      <c r="D2870">
        <v>-45.558863385959164</v>
      </c>
    </row>
    <row r="2871" spans="1:4" x14ac:dyDescent="0.3">
      <c r="A2871">
        <v>3153806</v>
      </c>
      <c r="B2871" t="s">
        <v>3787</v>
      </c>
      <c r="C2871">
        <v>-20.742384477711052</v>
      </c>
      <c r="D2871">
        <v>-43.880027302834314</v>
      </c>
    </row>
    <row r="2872" spans="1:4" x14ac:dyDescent="0.3">
      <c r="A2872">
        <v>3153905</v>
      </c>
      <c r="B2872" t="s">
        <v>3788</v>
      </c>
      <c r="C2872">
        <v>-19.965598769194504</v>
      </c>
      <c r="D2872">
        <v>-43.804774198126829</v>
      </c>
    </row>
    <row r="2873" spans="1:4" x14ac:dyDescent="0.3">
      <c r="A2873">
        <v>3154002</v>
      </c>
      <c r="B2873" t="s">
        <v>3789</v>
      </c>
      <c r="C2873">
        <v>-20.101958851994301</v>
      </c>
      <c r="D2873">
        <v>-42.454167536743483</v>
      </c>
    </row>
    <row r="2874" spans="1:4" x14ac:dyDescent="0.3">
      <c r="A2874">
        <v>3154101</v>
      </c>
      <c r="B2874" t="s">
        <v>3790</v>
      </c>
      <c r="C2874">
        <v>-21.533784618759753</v>
      </c>
      <c r="D2874">
        <v>-42.471394567285934</v>
      </c>
    </row>
    <row r="2875" spans="1:4" x14ac:dyDescent="0.3">
      <c r="A2875">
        <v>3154150</v>
      </c>
      <c r="B2875" t="s">
        <v>3791</v>
      </c>
      <c r="C2875">
        <v>-20.242679703493202</v>
      </c>
      <c r="D2875">
        <v>-41.985198857630159</v>
      </c>
    </row>
    <row r="2876" spans="1:4" x14ac:dyDescent="0.3">
      <c r="A2876">
        <v>3154200</v>
      </c>
      <c r="B2876" t="s">
        <v>3792</v>
      </c>
      <c r="C2876">
        <v>-20.917369244295404</v>
      </c>
      <c r="D2876">
        <v>-44.239403504313572</v>
      </c>
    </row>
    <row r="2877" spans="1:4" x14ac:dyDescent="0.3">
      <c r="A2877">
        <v>3154309</v>
      </c>
      <c r="B2877" t="s">
        <v>3793</v>
      </c>
      <c r="C2877">
        <v>-19.325483930853157</v>
      </c>
      <c r="D2877">
        <v>-41.253967108168169</v>
      </c>
    </row>
    <row r="2878" spans="1:4" x14ac:dyDescent="0.3">
      <c r="A2878">
        <v>3154408</v>
      </c>
      <c r="B2878" t="s">
        <v>3794</v>
      </c>
      <c r="C2878">
        <v>-21.055300917004349</v>
      </c>
      <c r="D2878">
        <v>-43.758706093883369</v>
      </c>
    </row>
    <row r="2879" spans="1:4" x14ac:dyDescent="0.3">
      <c r="A2879">
        <v>3154457</v>
      </c>
      <c r="B2879" t="s">
        <v>1441</v>
      </c>
      <c r="C2879">
        <v>-16.21682617241925</v>
      </c>
      <c r="D2879">
        <v>-46.002746818308694</v>
      </c>
    </row>
    <row r="2880" spans="1:4" x14ac:dyDescent="0.3">
      <c r="A2880">
        <v>3154507</v>
      </c>
      <c r="B2880" t="s">
        <v>3795</v>
      </c>
      <c r="C2880">
        <v>-15.998034160731903</v>
      </c>
      <c r="D2880">
        <v>-43.044563731779178</v>
      </c>
    </row>
    <row r="2881" spans="1:4" x14ac:dyDescent="0.3">
      <c r="A2881">
        <v>3154606</v>
      </c>
      <c r="B2881" t="s">
        <v>3796</v>
      </c>
      <c r="C2881">
        <v>-19.766022015497953</v>
      </c>
      <c r="D2881">
        <v>-44.08582364914097</v>
      </c>
    </row>
    <row r="2882" spans="1:4" x14ac:dyDescent="0.3">
      <c r="A2882">
        <v>3154705</v>
      </c>
      <c r="B2882" t="s">
        <v>3797</v>
      </c>
      <c r="C2882">
        <v>-21.190414325047303</v>
      </c>
      <c r="D2882">
        <v>-45.064782108457997</v>
      </c>
    </row>
    <row r="2883" spans="1:4" x14ac:dyDescent="0.3">
      <c r="A2883">
        <v>3154804</v>
      </c>
      <c r="B2883" t="s">
        <v>3798</v>
      </c>
      <c r="C2883">
        <v>-20.095130162918302</v>
      </c>
      <c r="D2883">
        <v>-43.790854376836712</v>
      </c>
    </row>
    <row r="2884" spans="1:4" x14ac:dyDescent="0.3">
      <c r="A2884">
        <v>3154903</v>
      </c>
      <c r="B2884" t="s">
        <v>3799</v>
      </c>
      <c r="C2884">
        <v>-20.226512866494108</v>
      </c>
      <c r="D2884">
        <v>-42.652230199154417</v>
      </c>
    </row>
    <row r="2885" spans="1:4" x14ac:dyDescent="0.3">
      <c r="A2885">
        <v>3155009</v>
      </c>
      <c r="B2885" t="s">
        <v>3800</v>
      </c>
      <c r="C2885">
        <v>-20.244645703406295</v>
      </c>
      <c r="D2885">
        <v>-42.89568130883444</v>
      </c>
    </row>
    <row r="2886" spans="1:4" x14ac:dyDescent="0.3">
      <c r="A2886">
        <v>3155108</v>
      </c>
      <c r="B2886" t="s">
        <v>3801</v>
      </c>
      <c r="C2886">
        <v>-16.609407845473601</v>
      </c>
      <c r="D2886">
        <v>-40.571893933796595</v>
      </c>
    </row>
    <row r="2887" spans="1:4" x14ac:dyDescent="0.3">
      <c r="A2887">
        <v>3155207</v>
      </c>
      <c r="B2887" t="s">
        <v>3802</v>
      </c>
      <c r="C2887">
        <v>-20.858080098641057</v>
      </c>
      <c r="D2887">
        <v>-43.465333400317299</v>
      </c>
    </row>
    <row r="2888" spans="1:4" x14ac:dyDescent="0.3">
      <c r="A2888">
        <v>3155306</v>
      </c>
      <c r="B2888" t="s">
        <v>3803</v>
      </c>
      <c r="C2888">
        <v>-20.261682365162503</v>
      </c>
      <c r="D2888">
        <v>-44.310205044565414</v>
      </c>
    </row>
    <row r="2889" spans="1:4" x14ac:dyDescent="0.3">
      <c r="A2889">
        <v>3155405</v>
      </c>
      <c r="B2889" t="s">
        <v>3804</v>
      </c>
      <c r="C2889">
        <v>-21.483249149878855</v>
      </c>
      <c r="D2889">
        <v>-43.12866891528666</v>
      </c>
    </row>
    <row r="2890" spans="1:4" x14ac:dyDescent="0.3">
      <c r="A2890">
        <v>3155504</v>
      </c>
      <c r="B2890" t="s">
        <v>3805</v>
      </c>
      <c r="C2890">
        <v>-19.191238301812952</v>
      </c>
      <c r="D2890">
        <v>-46.242753091627463</v>
      </c>
    </row>
    <row r="2891" spans="1:4" x14ac:dyDescent="0.3">
      <c r="A2891">
        <v>3155603</v>
      </c>
      <c r="B2891" t="s">
        <v>3806</v>
      </c>
      <c r="C2891">
        <v>-15.613078018859703</v>
      </c>
      <c r="D2891">
        <v>-42.541231978654899</v>
      </c>
    </row>
    <row r="2892" spans="1:4" x14ac:dyDescent="0.3">
      <c r="A2892">
        <v>3155702</v>
      </c>
      <c r="B2892" t="s">
        <v>3807</v>
      </c>
      <c r="C2892">
        <v>-19.954941168099104</v>
      </c>
      <c r="D2892">
        <v>-43.179823745668848</v>
      </c>
    </row>
    <row r="2893" spans="1:4" x14ac:dyDescent="0.3">
      <c r="A2893">
        <v>3155801</v>
      </c>
      <c r="B2893" t="s">
        <v>3808</v>
      </c>
      <c r="C2893">
        <v>-21.272190609813201</v>
      </c>
      <c r="D2893">
        <v>-43.177805645403247</v>
      </c>
    </row>
    <row r="2894" spans="1:4" x14ac:dyDescent="0.3">
      <c r="A2894">
        <v>3155900</v>
      </c>
      <c r="B2894" t="s">
        <v>3809</v>
      </c>
      <c r="C2894">
        <v>-22.08692225245505</v>
      </c>
      <c r="D2894">
        <v>-43.829465665580322</v>
      </c>
    </row>
    <row r="2895" spans="1:4" x14ac:dyDescent="0.3">
      <c r="A2895">
        <v>3156007</v>
      </c>
      <c r="B2895" t="s">
        <v>3810</v>
      </c>
      <c r="C2895">
        <v>-18.301110569207253</v>
      </c>
      <c r="D2895">
        <v>-43.022439098062165</v>
      </c>
    </row>
    <row r="2896" spans="1:4" x14ac:dyDescent="0.3">
      <c r="A2896">
        <v>3156106</v>
      </c>
      <c r="B2896" t="s">
        <v>3811</v>
      </c>
      <c r="C2896">
        <v>-21.023253270420856</v>
      </c>
      <c r="D2896">
        <v>-44.323477523838356</v>
      </c>
    </row>
    <row r="2897" spans="1:4" x14ac:dyDescent="0.3">
      <c r="A2897">
        <v>3156205</v>
      </c>
      <c r="B2897" t="s">
        <v>3812</v>
      </c>
      <c r="C2897">
        <v>-21.631459631461507</v>
      </c>
      <c r="D2897">
        <v>-43.022068505382613</v>
      </c>
    </row>
    <row r="2898" spans="1:4" x14ac:dyDescent="0.3">
      <c r="A2898">
        <v>3156304</v>
      </c>
      <c r="B2898" t="s">
        <v>3813</v>
      </c>
      <c r="C2898">
        <v>-21.200705079223006</v>
      </c>
      <c r="D2898">
        <v>-42.868676258612652</v>
      </c>
    </row>
    <row r="2899" spans="1:4" x14ac:dyDescent="0.3">
      <c r="A2899">
        <v>3156403</v>
      </c>
      <c r="B2899" t="s">
        <v>3814</v>
      </c>
      <c r="C2899">
        <v>-18.883480034871955</v>
      </c>
      <c r="D2899">
        <v>-47.581754900456026</v>
      </c>
    </row>
    <row r="2900" spans="1:4" x14ac:dyDescent="0.3">
      <c r="A2900">
        <v>3156452</v>
      </c>
      <c r="B2900" t="s">
        <v>3815</v>
      </c>
      <c r="C2900">
        <v>-20.981298201362005</v>
      </c>
      <c r="D2900">
        <v>-42.506059970218288</v>
      </c>
    </row>
    <row r="2901" spans="1:4" x14ac:dyDescent="0.3">
      <c r="A2901">
        <v>3156502</v>
      </c>
      <c r="B2901" t="s">
        <v>3816</v>
      </c>
      <c r="C2901">
        <v>-16.402966415692603</v>
      </c>
      <c r="D2901">
        <v>-42.264762332381508</v>
      </c>
    </row>
    <row r="2902" spans="1:4" x14ac:dyDescent="0.3">
      <c r="A2902">
        <v>3156601</v>
      </c>
      <c r="B2902" t="s">
        <v>3817</v>
      </c>
      <c r="C2902">
        <v>-16.372973516689601</v>
      </c>
      <c r="D2902">
        <v>-40.536941473853197</v>
      </c>
    </row>
    <row r="2903" spans="1:4" x14ac:dyDescent="0.3">
      <c r="A2903">
        <v>3156700</v>
      </c>
      <c r="B2903" t="s">
        <v>3818</v>
      </c>
      <c r="C2903">
        <v>-19.892494512089701</v>
      </c>
      <c r="D2903">
        <v>-43.825557090330221</v>
      </c>
    </row>
    <row r="2904" spans="1:4" x14ac:dyDescent="0.3">
      <c r="A2904">
        <v>3156809</v>
      </c>
      <c r="B2904" t="s">
        <v>3819</v>
      </c>
      <c r="C2904">
        <v>-18.6718146531902</v>
      </c>
      <c r="D2904">
        <v>-43.088203642904993</v>
      </c>
    </row>
    <row r="2905" spans="1:4" x14ac:dyDescent="0.3">
      <c r="A2905">
        <v>3156908</v>
      </c>
      <c r="B2905" t="s">
        <v>3820</v>
      </c>
      <c r="C2905">
        <v>-19.863576339353106</v>
      </c>
      <c r="D2905">
        <v>-47.436555316387462</v>
      </c>
    </row>
    <row r="2906" spans="1:4" x14ac:dyDescent="0.3">
      <c r="A2906">
        <v>3157005</v>
      </c>
      <c r="B2906" t="s">
        <v>3821</v>
      </c>
      <c r="C2906">
        <v>-16.169855732115803</v>
      </c>
      <c r="D2906">
        <v>-42.293506472275674</v>
      </c>
    </row>
    <row r="2907" spans="1:4" x14ac:dyDescent="0.3">
      <c r="A2907">
        <v>3157104</v>
      </c>
      <c r="B2907" t="s">
        <v>3822</v>
      </c>
      <c r="C2907">
        <v>-15.997570702152151</v>
      </c>
      <c r="D2907">
        <v>-39.950756023587303</v>
      </c>
    </row>
    <row r="2908" spans="1:4" x14ac:dyDescent="0.3">
      <c r="A2908">
        <v>3157203</v>
      </c>
      <c r="B2908" t="s">
        <v>3101</v>
      </c>
      <c r="C2908">
        <v>-19.965591192717202</v>
      </c>
      <c r="D2908">
        <v>-43.405220987975518</v>
      </c>
    </row>
    <row r="2909" spans="1:4" x14ac:dyDescent="0.3">
      <c r="A2909">
        <v>3157252</v>
      </c>
      <c r="B2909" t="s">
        <v>3823</v>
      </c>
      <c r="C2909">
        <v>-19.975792667414101</v>
      </c>
      <c r="D2909">
        <v>-42.140840581915903</v>
      </c>
    </row>
    <row r="2910" spans="1:4" x14ac:dyDescent="0.3">
      <c r="A2910">
        <v>3157278</v>
      </c>
      <c r="B2910" t="s">
        <v>3824</v>
      </c>
      <c r="C2910">
        <v>-21.957267015090359</v>
      </c>
      <c r="D2910">
        <v>-43.701774166392774</v>
      </c>
    </row>
    <row r="2911" spans="1:4" x14ac:dyDescent="0.3">
      <c r="A2911">
        <v>3157302</v>
      </c>
      <c r="B2911" t="s">
        <v>3825</v>
      </c>
      <c r="C2911">
        <v>-21.246208389465355</v>
      </c>
      <c r="D2911">
        <v>-43.5589487842784</v>
      </c>
    </row>
    <row r="2912" spans="1:4" x14ac:dyDescent="0.3">
      <c r="A2912">
        <v>3157336</v>
      </c>
      <c r="B2912" t="s">
        <v>3826</v>
      </c>
      <c r="C2912">
        <v>-21.119471032200703</v>
      </c>
      <c r="D2912">
        <v>-44.223257848384193</v>
      </c>
    </row>
    <row r="2913" spans="1:4" x14ac:dyDescent="0.3">
      <c r="A2913">
        <v>3157377</v>
      </c>
      <c r="B2913" t="s">
        <v>3827</v>
      </c>
      <c r="C2913">
        <v>-16.094355635283396</v>
      </c>
      <c r="D2913">
        <v>-41.750354526749653</v>
      </c>
    </row>
    <row r="2914" spans="1:4" x14ac:dyDescent="0.3">
      <c r="A2914">
        <v>3157401</v>
      </c>
      <c r="B2914" t="s">
        <v>3828</v>
      </c>
      <c r="C2914">
        <v>-20.238277255279204</v>
      </c>
      <c r="D2914">
        <v>-42.818452853326143</v>
      </c>
    </row>
    <row r="2915" spans="1:4" x14ac:dyDescent="0.3">
      <c r="A2915">
        <v>3157500</v>
      </c>
      <c r="B2915" t="s">
        <v>3829</v>
      </c>
      <c r="C2915">
        <v>-18.819837823213806</v>
      </c>
      <c r="D2915">
        <v>-42.43931266857048</v>
      </c>
    </row>
    <row r="2916" spans="1:4" x14ac:dyDescent="0.3">
      <c r="A2916">
        <v>3157609</v>
      </c>
      <c r="B2916" t="s">
        <v>3830</v>
      </c>
      <c r="C2916">
        <v>-16.687373452800852</v>
      </c>
      <c r="D2916">
        <v>-45.413633122154721</v>
      </c>
    </row>
    <row r="2917" spans="1:4" x14ac:dyDescent="0.3">
      <c r="A2917">
        <v>3157658</v>
      </c>
      <c r="B2917" t="s">
        <v>3831</v>
      </c>
      <c r="C2917">
        <v>-16.936307533624355</v>
      </c>
      <c r="D2917">
        <v>-40.686288642112189</v>
      </c>
    </row>
    <row r="2918" spans="1:4" x14ac:dyDescent="0.3">
      <c r="A2918">
        <v>3157708</v>
      </c>
      <c r="B2918" t="s">
        <v>3832</v>
      </c>
      <c r="C2918">
        <v>-19.311298933699955</v>
      </c>
      <c r="D2918">
        <v>-47.527144334350297</v>
      </c>
    </row>
    <row r="2919" spans="1:4" x14ac:dyDescent="0.3">
      <c r="A2919">
        <v>3157807</v>
      </c>
      <c r="B2919" t="s">
        <v>1630</v>
      </c>
      <c r="C2919">
        <v>-19.767616852522103</v>
      </c>
      <c r="D2919">
        <v>-43.850007260632069</v>
      </c>
    </row>
    <row r="2920" spans="1:4" x14ac:dyDescent="0.3">
      <c r="A2920">
        <v>3157906</v>
      </c>
      <c r="B2920" t="s">
        <v>3833</v>
      </c>
      <c r="C2920">
        <v>-20.377925426806055</v>
      </c>
      <c r="D2920">
        <v>-42.252535780265411</v>
      </c>
    </row>
    <row r="2921" spans="1:4" x14ac:dyDescent="0.3">
      <c r="A2921">
        <v>3158003</v>
      </c>
      <c r="B2921" t="s">
        <v>3834</v>
      </c>
      <c r="C2921">
        <v>-19.4590107742798</v>
      </c>
      <c r="D2921">
        <v>-43.110149844123782</v>
      </c>
    </row>
    <row r="2922" spans="1:4" x14ac:dyDescent="0.3">
      <c r="A2922">
        <v>3158102</v>
      </c>
      <c r="B2922" t="s">
        <v>3835</v>
      </c>
      <c r="C2922">
        <v>-16.2475726793913</v>
      </c>
      <c r="D2922">
        <v>-40.14693301499684</v>
      </c>
    </row>
    <row r="2923" spans="1:4" x14ac:dyDescent="0.3">
      <c r="A2923">
        <v>3158201</v>
      </c>
      <c r="B2923" t="s">
        <v>3836</v>
      </c>
      <c r="C2923">
        <v>-18.192252202490781</v>
      </c>
      <c r="D2923">
        <v>-42.417802450459796</v>
      </c>
    </row>
    <row r="2924" spans="1:4" x14ac:dyDescent="0.3">
      <c r="A2924">
        <v>3158300</v>
      </c>
      <c r="B2924" t="s">
        <v>3837</v>
      </c>
      <c r="C2924">
        <v>-21.248962180189753</v>
      </c>
      <c r="D2924">
        <v>-45.507121048738561</v>
      </c>
    </row>
    <row r="2925" spans="1:4" x14ac:dyDescent="0.3">
      <c r="A2925">
        <v>3158409</v>
      </c>
      <c r="B2925" t="s">
        <v>3838</v>
      </c>
      <c r="C2925">
        <v>-21.284028078618054</v>
      </c>
      <c r="D2925">
        <v>-42.554604949081089</v>
      </c>
    </row>
    <row r="2926" spans="1:4" x14ac:dyDescent="0.3">
      <c r="A2926">
        <v>3158508</v>
      </c>
      <c r="B2926" t="s">
        <v>3839</v>
      </c>
      <c r="C2926">
        <v>-19.006885996855303</v>
      </c>
      <c r="D2926">
        <v>-44.038102508067823</v>
      </c>
    </row>
    <row r="2927" spans="1:4" x14ac:dyDescent="0.3">
      <c r="A2927">
        <v>3158607</v>
      </c>
      <c r="B2927" t="s">
        <v>3840</v>
      </c>
      <c r="C2927">
        <v>-21.949692044444902</v>
      </c>
      <c r="D2927">
        <v>-43.172317833715987</v>
      </c>
    </row>
    <row r="2928" spans="1:4" x14ac:dyDescent="0.3">
      <c r="A2928">
        <v>3158706</v>
      </c>
      <c r="B2928" t="s">
        <v>3841</v>
      </c>
      <c r="C2928">
        <v>-21.601831857364054</v>
      </c>
      <c r="D2928">
        <v>-44.110873430003984</v>
      </c>
    </row>
    <row r="2929" spans="1:4" x14ac:dyDescent="0.3">
      <c r="A2929">
        <v>3158805</v>
      </c>
      <c r="B2929" t="s">
        <v>3842</v>
      </c>
      <c r="C2929">
        <v>-20.901677492436956</v>
      </c>
      <c r="D2929">
        <v>-45.128048569567774</v>
      </c>
    </row>
    <row r="2930" spans="1:4" x14ac:dyDescent="0.3">
      <c r="A2930">
        <v>3158904</v>
      </c>
      <c r="B2930" t="s">
        <v>3843</v>
      </c>
      <c r="C2930">
        <v>-20.108546165050704</v>
      </c>
      <c r="D2930">
        <v>-41.923497464232355</v>
      </c>
    </row>
    <row r="2931" spans="1:4" x14ac:dyDescent="0.3">
      <c r="A2931">
        <v>3158953</v>
      </c>
      <c r="B2931" t="s">
        <v>3844</v>
      </c>
      <c r="C2931">
        <v>-19.369098523554552</v>
      </c>
      <c r="D2931">
        <v>-42.552582949044947</v>
      </c>
    </row>
    <row r="2932" spans="1:4" x14ac:dyDescent="0.3">
      <c r="A2932">
        <v>3159001</v>
      </c>
      <c r="B2932" t="s">
        <v>3845</v>
      </c>
      <c r="C2932">
        <v>-19.170091868926303</v>
      </c>
      <c r="D2932">
        <v>-43.711459303395131</v>
      </c>
    </row>
    <row r="2933" spans="1:4" x14ac:dyDescent="0.3">
      <c r="A2933">
        <v>3159100</v>
      </c>
      <c r="B2933" t="s">
        <v>3846</v>
      </c>
      <c r="C2933">
        <v>-20.789734851480507</v>
      </c>
      <c r="D2933">
        <v>-43.705998278999786</v>
      </c>
    </row>
    <row r="2934" spans="1:4" x14ac:dyDescent="0.3">
      <c r="A2934">
        <v>3159209</v>
      </c>
      <c r="B2934" t="s">
        <v>3847</v>
      </c>
      <c r="C2934">
        <v>-22.026435486111005</v>
      </c>
      <c r="D2934">
        <v>-46.338625781358211</v>
      </c>
    </row>
    <row r="2935" spans="1:4" x14ac:dyDescent="0.3">
      <c r="A2935">
        <v>3159308</v>
      </c>
      <c r="B2935" t="s">
        <v>3848</v>
      </c>
      <c r="C2935">
        <v>-22.148461122225456</v>
      </c>
      <c r="D2935">
        <v>-44.100441854394155</v>
      </c>
    </row>
    <row r="2936" spans="1:4" x14ac:dyDescent="0.3">
      <c r="A2936">
        <v>3159357</v>
      </c>
      <c r="B2936" t="s">
        <v>3849</v>
      </c>
      <c r="C2936">
        <v>-19.875210170167502</v>
      </c>
      <c r="D2936">
        <v>-42.131780836916541</v>
      </c>
    </row>
    <row r="2937" spans="1:4" x14ac:dyDescent="0.3">
      <c r="A2937">
        <v>3159407</v>
      </c>
      <c r="B2937" t="s">
        <v>3850</v>
      </c>
      <c r="C2937">
        <v>-21.561230079445004</v>
      </c>
      <c r="D2937">
        <v>-43.916760518773437</v>
      </c>
    </row>
    <row r="2938" spans="1:4" x14ac:dyDescent="0.3">
      <c r="A2938">
        <v>3159506</v>
      </c>
      <c r="B2938" t="s">
        <v>3851</v>
      </c>
      <c r="C2938">
        <v>-19.3598130146739</v>
      </c>
      <c r="D2938">
        <v>-41.379278217515981</v>
      </c>
    </row>
    <row r="2939" spans="1:4" x14ac:dyDescent="0.3">
      <c r="A2939">
        <v>3159605</v>
      </c>
      <c r="B2939" t="s">
        <v>3852</v>
      </c>
      <c r="C2939">
        <v>-22.253329826369605</v>
      </c>
      <c r="D2939">
        <v>-45.703988192512362</v>
      </c>
    </row>
    <row r="2940" spans="1:4" x14ac:dyDescent="0.3">
      <c r="A2940">
        <v>3159704</v>
      </c>
      <c r="B2940" t="s">
        <v>3853</v>
      </c>
      <c r="C2940">
        <v>-19.532621138026006</v>
      </c>
      <c r="D2940">
        <v>-45.970664427352702</v>
      </c>
    </row>
    <row r="2941" spans="1:4" x14ac:dyDescent="0.3">
      <c r="A2941">
        <v>3159803</v>
      </c>
      <c r="B2941" t="s">
        <v>3854</v>
      </c>
      <c r="C2941">
        <v>-18.84394798256255</v>
      </c>
      <c r="D2941">
        <v>-50.123465111517469</v>
      </c>
    </row>
    <row r="2942" spans="1:4" x14ac:dyDescent="0.3">
      <c r="A2942">
        <v>3159902</v>
      </c>
      <c r="B2942" t="s">
        <v>3855</v>
      </c>
      <c r="C2942">
        <v>-20.946248565830555</v>
      </c>
      <c r="D2942">
        <v>-44.918674935228417</v>
      </c>
    </row>
    <row r="2943" spans="1:4" x14ac:dyDescent="0.3">
      <c r="A2943">
        <v>3160009</v>
      </c>
      <c r="B2943" t="s">
        <v>3856</v>
      </c>
      <c r="C2943">
        <v>-21.755828175855005</v>
      </c>
      <c r="D2943">
        <v>-42.811637246119304</v>
      </c>
    </row>
    <row r="2944" spans="1:4" x14ac:dyDescent="0.3">
      <c r="A2944">
        <v>3160108</v>
      </c>
      <c r="B2944" t="s">
        <v>3857</v>
      </c>
      <c r="C2944">
        <v>-20.312500277939602</v>
      </c>
      <c r="D2944">
        <v>-42.613898797015402</v>
      </c>
    </row>
    <row r="2945" spans="1:4" x14ac:dyDescent="0.3">
      <c r="A2945">
        <v>3160207</v>
      </c>
      <c r="B2945" t="s">
        <v>3858</v>
      </c>
      <c r="C2945">
        <v>-18.468971645516351</v>
      </c>
      <c r="D2945">
        <v>-43.303779409490836</v>
      </c>
    </row>
    <row r="2946" spans="1:4" x14ac:dyDescent="0.3">
      <c r="A2946">
        <v>3160306</v>
      </c>
      <c r="B2946" t="s">
        <v>3859</v>
      </c>
      <c r="C2946">
        <v>-16.537683409686004</v>
      </c>
      <c r="D2946">
        <v>-40.175337325243632</v>
      </c>
    </row>
    <row r="2947" spans="1:4" x14ac:dyDescent="0.3">
      <c r="A2947">
        <v>3160405</v>
      </c>
      <c r="B2947" t="s">
        <v>3860</v>
      </c>
      <c r="C2947">
        <v>-20.087219248879403</v>
      </c>
      <c r="D2947">
        <v>-45.293935919144495</v>
      </c>
    </row>
    <row r="2948" spans="1:4" x14ac:dyDescent="0.3">
      <c r="A2948">
        <v>3160454</v>
      </c>
      <c r="B2948" t="s">
        <v>3861</v>
      </c>
      <c r="C2948">
        <v>-15.342633537269453</v>
      </c>
      <c r="D2948">
        <v>-42.624376515675486</v>
      </c>
    </row>
    <row r="2949" spans="1:4" x14ac:dyDescent="0.3">
      <c r="A2949">
        <v>3160504</v>
      </c>
      <c r="B2949" t="s">
        <v>3862</v>
      </c>
      <c r="C2949">
        <v>-19.225679803791198</v>
      </c>
      <c r="D2949">
        <v>-43.253057182380793</v>
      </c>
    </row>
    <row r="2950" spans="1:4" x14ac:dyDescent="0.3">
      <c r="A2950">
        <v>3160603</v>
      </c>
      <c r="B2950" t="s">
        <v>3863</v>
      </c>
      <c r="C2950">
        <v>-18.287810190047303</v>
      </c>
      <c r="D2950">
        <v>-44.221698220523393</v>
      </c>
    </row>
    <row r="2951" spans="1:4" x14ac:dyDescent="0.3">
      <c r="A2951">
        <v>3160702</v>
      </c>
      <c r="B2951" t="s">
        <v>3864</v>
      </c>
      <c r="C2951">
        <v>-21.457531994701402</v>
      </c>
      <c r="D2951">
        <v>-43.553752165292103</v>
      </c>
    </row>
    <row r="2952" spans="1:4" x14ac:dyDescent="0.3">
      <c r="A2952">
        <v>3160801</v>
      </c>
      <c r="B2952" t="s">
        <v>3865</v>
      </c>
      <c r="C2952">
        <v>-21.579048016494554</v>
      </c>
      <c r="D2952">
        <v>-45.075360626692834</v>
      </c>
    </row>
    <row r="2953" spans="1:4" x14ac:dyDescent="0.3">
      <c r="A2953">
        <v>3160900</v>
      </c>
      <c r="B2953" t="s">
        <v>3866</v>
      </c>
      <c r="C2953">
        <v>-20.626504068482301</v>
      </c>
      <c r="D2953">
        <v>-43.952674647889054</v>
      </c>
    </row>
    <row r="2954" spans="1:4" x14ac:dyDescent="0.3">
      <c r="A2954">
        <v>3160959</v>
      </c>
      <c r="B2954" t="s">
        <v>3867</v>
      </c>
      <c r="C2954">
        <v>-19.529446067277103</v>
      </c>
      <c r="D2954">
        <v>-42.009507996903402</v>
      </c>
    </row>
    <row r="2955" spans="1:4" x14ac:dyDescent="0.3">
      <c r="A2955">
        <v>3161007</v>
      </c>
      <c r="B2955" t="s">
        <v>3868</v>
      </c>
      <c r="C2955">
        <v>-19.871027900436193</v>
      </c>
      <c r="D2955">
        <v>-42.960363400399011</v>
      </c>
    </row>
    <row r="2956" spans="1:4" x14ac:dyDescent="0.3">
      <c r="A2956">
        <v>3161056</v>
      </c>
      <c r="B2956" t="s">
        <v>3869</v>
      </c>
      <c r="C2956">
        <v>-18.586105594455255</v>
      </c>
      <c r="D2956">
        <v>-41.49035282882798</v>
      </c>
    </row>
    <row r="2957" spans="1:4" x14ac:dyDescent="0.3">
      <c r="A2957">
        <v>3161106</v>
      </c>
      <c r="B2957" t="s">
        <v>2409</v>
      </c>
      <c r="C2957">
        <v>-15.952563805561152</v>
      </c>
      <c r="D2957">
        <v>-44.861312742376583</v>
      </c>
    </row>
    <row r="2958" spans="1:4" x14ac:dyDescent="0.3">
      <c r="A2958">
        <v>3161205</v>
      </c>
      <c r="B2958" t="s">
        <v>3870</v>
      </c>
      <c r="C2958">
        <v>-20.713531799944505</v>
      </c>
      <c r="D2958">
        <v>-44.982630619926361</v>
      </c>
    </row>
    <row r="2959" spans="1:4" x14ac:dyDescent="0.3">
      <c r="A2959">
        <v>3161304</v>
      </c>
      <c r="B2959" t="s">
        <v>3871</v>
      </c>
      <c r="C2959">
        <v>-19.865114358281954</v>
      </c>
      <c r="D2959">
        <v>-49.765566317888187</v>
      </c>
    </row>
    <row r="2960" spans="1:4" x14ac:dyDescent="0.3">
      <c r="A2960">
        <v>3161403</v>
      </c>
      <c r="B2960" t="s">
        <v>3872</v>
      </c>
      <c r="C2960">
        <v>-20.792301418718854</v>
      </c>
      <c r="D2960">
        <v>-42.268220532667492</v>
      </c>
    </row>
    <row r="2961" spans="1:4" x14ac:dyDescent="0.3">
      <c r="A2961">
        <v>3161502</v>
      </c>
      <c r="B2961" t="s">
        <v>3873</v>
      </c>
      <c r="C2961">
        <v>-20.920847527928505</v>
      </c>
      <c r="D2961">
        <v>-42.837664133247159</v>
      </c>
    </row>
    <row r="2962" spans="1:4" x14ac:dyDescent="0.3">
      <c r="A2962">
        <v>3161601</v>
      </c>
      <c r="B2962" t="s">
        <v>3874</v>
      </c>
      <c r="C2962">
        <v>-18.844031341877756</v>
      </c>
      <c r="D2962">
        <v>-42.289135067930033</v>
      </c>
    </row>
    <row r="2963" spans="1:4" x14ac:dyDescent="0.3">
      <c r="A2963">
        <v>3161650</v>
      </c>
      <c r="B2963" t="s">
        <v>3875</v>
      </c>
      <c r="C2963">
        <v>-18.918808516417151</v>
      </c>
      <c r="D2963">
        <v>-41.36362823686958</v>
      </c>
    </row>
    <row r="2964" spans="1:4" x14ac:dyDescent="0.3">
      <c r="A2964">
        <v>3161700</v>
      </c>
      <c r="B2964" t="s">
        <v>3876</v>
      </c>
      <c r="C2964">
        <v>-18.341112928049352</v>
      </c>
      <c r="D2964">
        <v>-45.834246150400894</v>
      </c>
    </row>
    <row r="2965" spans="1:4" x14ac:dyDescent="0.3">
      <c r="A2965">
        <v>3161809</v>
      </c>
      <c r="B2965" t="s">
        <v>3877</v>
      </c>
      <c r="C2965">
        <v>-19.985684731903454</v>
      </c>
      <c r="D2965">
        <v>-44.857188983822958</v>
      </c>
    </row>
    <row r="2966" spans="1:4" x14ac:dyDescent="0.3">
      <c r="A2966">
        <v>3161908</v>
      </c>
      <c r="B2966" t="s">
        <v>3878</v>
      </c>
      <c r="C2966">
        <v>-19.831800701790602</v>
      </c>
      <c r="D2966">
        <v>-43.348040019305621</v>
      </c>
    </row>
    <row r="2967" spans="1:4" x14ac:dyDescent="0.3">
      <c r="A2967">
        <v>3162005</v>
      </c>
      <c r="B2967" t="s">
        <v>3879</v>
      </c>
      <c r="C2967">
        <v>-21.891905142095553</v>
      </c>
      <c r="D2967">
        <v>-45.594637794936901</v>
      </c>
    </row>
    <row r="2968" spans="1:4" x14ac:dyDescent="0.3">
      <c r="A2968">
        <v>3162104</v>
      </c>
      <c r="B2968" t="s">
        <v>3880</v>
      </c>
      <c r="C2968">
        <v>-19.312700191332151</v>
      </c>
      <c r="D2968">
        <v>-46.0531440401029</v>
      </c>
    </row>
    <row r="2969" spans="1:4" x14ac:dyDescent="0.3">
      <c r="A2969">
        <v>3162203</v>
      </c>
      <c r="B2969" t="s">
        <v>3881</v>
      </c>
      <c r="C2969">
        <v>-20.639036845645801</v>
      </c>
      <c r="D2969">
        <v>-46.503461469339442</v>
      </c>
    </row>
    <row r="2970" spans="1:4" x14ac:dyDescent="0.3">
      <c r="A2970">
        <v>3162252</v>
      </c>
      <c r="B2970" t="s">
        <v>3882</v>
      </c>
      <c r="C2970">
        <v>-16.8520551567279</v>
      </c>
      <c r="D2970">
        <v>-44.349088562194702</v>
      </c>
    </row>
    <row r="2971" spans="1:4" x14ac:dyDescent="0.3">
      <c r="A2971">
        <v>3162302</v>
      </c>
      <c r="B2971" t="s">
        <v>3883</v>
      </c>
      <c r="C2971">
        <v>-21.934852824523656</v>
      </c>
      <c r="D2971">
        <v>-45.926529807598783</v>
      </c>
    </row>
    <row r="2972" spans="1:4" x14ac:dyDescent="0.3">
      <c r="A2972">
        <v>3162401</v>
      </c>
      <c r="B2972" t="s">
        <v>3884</v>
      </c>
      <c r="C2972">
        <v>-15.924513065499154</v>
      </c>
      <c r="D2972">
        <v>-44.008955108496693</v>
      </c>
    </row>
    <row r="2973" spans="1:4" x14ac:dyDescent="0.3">
      <c r="A2973">
        <v>3162450</v>
      </c>
      <c r="B2973" t="s">
        <v>3885</v>
      </c>
      <c r="C2973">
        <v>-14.882533483912352</v>
      </c>
      <c r="D2973">
        <v>-44.081262289527494</v>
      </c>
    </row>
    <row r="2974" spans="1:4" x14ac:dyDescent="0.3">
      <c r="A2974">
        <v>3162500</v>
      </c>
      <c r="B2974" t="s">
        <v>3886</v>
      </c>
      <c r="C2974">
        <v>-21.135508974317251</v>
      </c>
      <c r="D2974">
        <v>-44.260972734729194</v>
      </c>
    </row>
    <row r="2975" spans="1:4" x14ac:dyDescent="0.3">
      <c r="A2975">
        <v>3162559</v>
      </c>
      <c r="B2975" t="s">
        <v>3887</v>
      </c>
      <c r="C2975">
        <v>-20.395499865980902</v>
      </c>
      <c r="D2975">
        <v>-42.152157750549399</v>
      </c>
    </row>
    <row r="2976" spans="1:4" x14ac:dyDescent="0.3">
      <c r="A2976">
        <v>3162575</v>
      </c>
      <c r="B2976" t="s">
        <v>3888</v>
      </c>
      <c r="C2976">
        <v>-18.727837486580302</v>
      </c>
      <c r="D2976">
        <v>-41.158748442561041</v>
      </c>
    </row>
    <row r="2977" spans="1:4" x14ac:dyDescent="0.3">
      <c r="A2977">
        <v>3162609</v>
      </c>
      <c r="B2977" t="s">
        <v>3889</v>
      </c>
      <c r="C2977">
        <v>-19.337666134261955</v>
      </c>
      <c r="D2977">
        <v>-42.156459894962033</v>
      </c>
    </row>
    <row r="2978" spans="1:4" x14ac:dyDescent="0.3">
      <c r="A2978">
        <v>3162658</v>
      </c>
      <c r="B2978" t="s">
        <v>3890</v>
      </c>
      <c r="C2978">
        <v>-16.538375144554454</v>
      </c>
      <c r="D2978">
        <v>-44.529570989100058</v>
      </c>
    </row>
    <row r="2979" spans="1:4" x14ac:dyDescent="0.3">
      <c r="A2979">
        <v>3162708</v>
      </c>
      <c r="B2979" t="s">
        <v>1647</v>
      </c>
      <c r="C2979">
        <v>-15.318438095090903</v>
      </c>
      <c r="D2979">
        <v>-42.011422442815508</v>
      </c>
    </row>
    <row r="2980" spans="1:4" x14ac:dyDescent="0.3">
      <c r="A2980">
        <v>3162807</v>
      </c>
      <c r="B2980" t="s">
        <v>3891</v>
      </c>
      <c r="C2980">
        <v>-18.545186829506438</v>
      </c>
      <c r="D2980">
        <v>-42.776048143391698</v>
      </c>
    </row>
    <row r="2981" spans="1:4" x14ac:dyDescent="0.3">
      <c r="A2981">
        <v>3162906</v>
      </c>
      <c r="B2981" t="s">
        <v>3892</v>
      </c>
      <c r="C2981">
        <v>-21.535697063588554</v>
      </c>
      <c r="D2981">
        <v>-43.011285768503974</v>
      </c>
    </row>
    <row r="2982" spans="1:4" x14ac:dyDescent="0.3">
      <c r="A2982">
        <v>3162922</v>
      </c>
      <c r="B2982" t="s">
        <v>3893</v>
      </c>
      <c r="C2982">
        <v>-20.063468460613155</v>
      </c>
      <c r="D2982">
        <v>-44.26627301609718</v>
      </c>
    </row>
    <row r="2983" spans="1:4" x14ac:dyDescent="0.3">
      <c r="A2983">
        <v>3162948</v>
      </c>
      <c r="B2983" t="s">
        <v>3894</v>
      </c>
      <c r="C2983">
        <v>-20.722090966241201</v>
      </c>
      <c r="D2983">
        <v>-46.319329570875489</v>
      </c>
    </row>
    <row r="2984" spans="1:4" x14ac:dyDescent="0.3">
      <c r="A2984">
        <v>3162955</v>
      </c>
      <c r="B2984" t="s">
        <v>3895</v>
      </c>
      <c r="C2984">
        <v>-19.698626821519053</v>
      </c>
      <c r="D2984">
        <v>-43.959956298233671</v>
      </c>
    </row>
    <row r="2985" spans="1:4" x14ac:dyDescent="0.3">
      <c r="A2985">
        <v>3163003</v>
      </c>
      <c r="B2985" t="s">
        <v>3896</v>
      </c>
      <c r="C2985">
        <v>-18.325117456760051</v>
      </c>
      <c r="D2985">
        <v>-42.146410524946383</v>
      </c>
    </row>
    <row r="2986" spans="1:4" x14ac:dyDescent="0.3">
      <c r="A2986">
        <v>3163102</v>
      </c>
      <c r="B2986" t="s">
        <v>3897</v>
      </c>
      <c r="C2986">
        <v>-19.704805986823605</v>
      </c>
      <c r="D2986">
        <v>-44.561059732986386</v>
      </c>
    </row>
    <row r="2987" spans="1:4" x14ac:dyDescent="0.3">
      <c r="A2987">
        <v>3163201</v>
      </c>
      <c r="B2987" t="s">
        <v>3898</v>
      </c>
      <c r="C2987">
        <v>-22.329055248633754</v>
      </c>
      <c r="D2987">
        <v>-45.530187607466772</v>
      </c>
    </row>
    <row r="2988" spans="1:4" x14ac:dyDescent="0.3">
      <c r="A2988">
        <v>3163300</v>
      </c>
      <c r="B2988" t="s">
        <v>1877</v>
      </c>
      <c r="C2988">
        <v>-18.483263321987099</v>
      </c>
      <c r="D2988">
        <v>-41.391208784389569</v>
      </c>
    </row>
    <row r="2989" spans="1:4" x14ac:dyDescent="0.3">
      <c r="A2989">
        <v>3163409</v>
      </c>
      <c r="B2989" t="s">
        <v>3899</v>
      </c>
      <c r="C2989">
        <v>-19.927983216965554</v>
      </c>
      <c r="D2989">
        <v>-42.709860126898171</v>
      </c>
    </row>
    <row r="2990" spans="1:4" x14ac:dyDescent="0.3">
      <c r="A2990">
        <v>3163508</v>
      </c>
      <c r="B2990" t="s">
        <v>3900</v>
      </c>
      <c r="C2990">
        <v>-18.275810750341552</v>
      </c>
      <c r="D2990">
        <v>-42.666626769167259</v>
      </c>
    </row>
    <row r="2991" spans="1:4" x14ac:dyDescent="0.3">
      <c r="A2991">
        <v>3163607</v>
      </c>
      <c r="B2991" t="s">
        <v>3901</v>
      </c>
      <c r="C2991">
        <v>-20.005998981942501</v>
      </c>
      <c r="D2991">
        <v>-41.749072816425972</v>
      </c>
    </row>
    <row r="2992" spans="1:4" x14ac:dyDescent="0.3">
      <c r="A2992">
        <v>3163706</v>
      </c>
      <c r="B2992" t="s">
        <v>3902</v>
      </c>
      <c r="C2992">
        <v>-22.117768671360206</v>
      </c>
      <c r="D2992">
        <v>-45.053373103144608</v>
      </c>
    </row>
    <row r="2993" spans="1:4" x14ac:dyDescent="0.3">
      <c r="A2993">
        <v>3163805</v>
      </c>
      <c r="B2993" t="s">
        <v>3903</v>
      </c>
      <c r="C2993">
        <v>-20.705917590458302</v>
      </c>
      <c r="D2993">
        <v>-42.720899046333166</v>
      </c>
    </row>
    <row r="2994" spans="1:4" x14ac:dyDescent="0.3">
      <c r="A2994">
        <v>3163904</v>
      </c>
      <c r="B2994" t="s">
        <v>3904</v>
      </c>
      <c r="C2994">
        <v>-21.133458495541451</v>
      </c>
      <c r="D2994">
        <v>-46.621326889343152</v>
      </c>
    </row>
    <row r="2995" spans="1:4" x14ac:dyDescent="0.3">
      <c r="A2995">
        <v>3164001</v>
      </c>
      <c r="B2995" t="s">
        <v>3905</v>
      </c>
      <c r="C2995">
        <v>-20.171909824516703</v>
      </c>
      <c r="D2995">
        <v>-42.523900934800992</v>
      </c>
    </row>
    <row r="2996" spans="1:4" x14ac:dyDescent="0.3">
      <c r="A2996">
        <v>3164100</v>
      </c>
      <c r="B2996" t="s">
        <v>3906</v>
      </c>
      <c r="C2996">
        <v>-18.365505759513557</v>
      </c>
      <c r="D2996">
        <v>-42.600231939651138</v>
      </c>
    </row>
    <row r="2997" spans="1:4" x14ac:dyDescent="0.3">
      <c r="A2997">
        <v>3164209</v>
      </c>
      <c r="B2997" t="s">
        <v>3907</v>
      </c>
      <c r="C2997">
        <v>-16.368639215831205</v>
      </c>
      <c r="D2997">
        <v>-45.069135197125163</v>
      </c>
    </row>
    <row r="2998" spans="1:4" x14ac:dyDescent="0.3">
      <c r="A2998">
        <v>3164308</v>
      </c>
      <c r="B2998" t="s">
        <v>3908</v>
      </c>
      <c r="C2998">
        <v>-20.250670811515601</v>
      </c>
      <c r="D2998">
        <v>-46.368994934639915</v>
      </c>
    </row>
    <row r="2999" spans="1:4" x14ac:dyDescent="0.3">
      <c r="A2999">
        <v>3164407</v>
      </c>
      <c r="B2999" t="s">
        <v>3909</v>
      </c>
      <c r="C2999">
        <v>-22.155005786784148</v>
      </c>
      <c r="D2999">
        <v>-45.754789208875536</v>
      </c>
    </row>
    <row r="3000" spans="1:4" x14ac:dyDescent="0.3">
      <c r="A3000">
        <v>3164431</v>
      </c>
      <c r="B3000" t="s">
        <v>3910</v>
      </c>
      <c r="C3000">
        <v>-21.073830338080754</v>
      </c>
      <c r="D3000">
        <v>-42.638665891930131</v>
      </c>
    </row>
    <row r="3001" spans="1:4" x14ac:dyDescent="0.3">
      <c r="A3001">
        <v>3164472</v>
      </c>
      <c r="B3001" t="s">
        <v>3911</v>
      </c>
      <c r="C3001">
        <v>-19.500107089935753</v>
      </c>
      <c r="D3001">
        <v>-41.979598898526042</v>
      </c>
    </row>
    <row r="3002" spans="1:4" x14ac:dyDescent="0.3">
      <c r="A3002">
        <v>3164506</v>
      </c>
      <c r="B3002" t="s">
        <v>3912</v>
      </c>
      <c r="C3002">
        <v>-18.09137151132985</v>
      </c>
      <c r="D3002">
        <v>-42.565745696668721</v>
      </c>
    </row>
    <row r="3003" spans="1:4" x14ac:dyDescent="0.3">
      <c r="A3003">
        <v>3164605</v>
      </c>
      <c r="B3003" t="s">
        <v>3913</v>
      </c>
      <c r="C3003">
        <v>-20.274095195186902</v>
      </c>
      <c r="D3003">
        <v>-45.00313398701595</v>
      </c>
    </row>
    <row r="3004" spans="1:4" x14ac:dyDescent="0.3">
      <c r="A3004">
        <v>3164704</v>
      </c>
      <c r="B3004" t="s">
        <v>3914</v>
      </c>
      <c r="C3004">
        <v>-20.918065448646903</v>
      </c>
      <c r="D3004">
        <v>-46.986471825605022</v>
      </c>
    </row>
    <row r="3005" spans="1:4" x14ac:dyDescent="0.3">
      <c r="A3005">
        <v>3164803</v>
      </c>
      <c r="B3005" t="s">
        <v>3915</v>
      </c>
      <c r="C3005">
        <v>-19.285766670318502</v>
      </c>
      <c r="D3005">
        <v>-43.174734422313641</v>
      </c>
    </row>
    <row r="3006" spans="1:4" x14ac:dyDescent="0.3">
      <c r="A3006">
        <v>3164902</v>
      </c>
      <c r="B3006" t="s">
        <v>3916</v>
      </c>
      <c r="C3006">
        <v>-22.215056227905553</v>
      </c>
      <c r="D3006">
        <v>-44.977736053397173</v>
      </c>
    </row>
    <row r="3007" spans="1:4" x14ac:dyDescent="0.3">
      <c r="A3007">
        <v>3165008</v>
      </c>
      <c r="B3007" t="s">
        <v>3917</v>
      </c>
      <c r="C3007">
        <v>-20.900946349895904</v>
      </c>
      <c r="D3007">
        <v>-44.503992442730677</v>
      </c>
    </row>
    <row r="3008" spans="1:4" x14ac:dyDescent="0.3">
      <c r="A3008">
        <v>3165107</v>
      </c>
      <c r="B3008" t="s">
        <v>3918</v>
      </c>
      <c r="C3008">
        <v>-20.784994387043152</v>
      </c>
      <c r="D3008">
        <v>-47.096782971871804</v>
      </c>
    </row>
    <row r="3009" spans="1:4" x14ac:dyDescent="0.3">
      <c r="A3009">
        <v>3165206</v>
      </c>
      <c r="B3009" t="s">
        <v>3919</v>
      </c>
      <c r="C3009">
        <v>-21.720722780225252</v>
      </c>
      <c r="D3009">
        <v>-44.98700845462168</v>
      </c>
    </row>
    <row r="3010" spans="1:4" x14ac:dyDescent="0.3">
      <c r="A3010">
        <v>3165305</v>
      </c>
      <c r="B3010" t="s">
        <v>3920</v>
      </c>
      <c r="C3010">
        <v>-21.697471837507305</v>
      </c>
      <c r="D3010">
        <v>-44.454683503552509</v>
      </c>
    </row>
    <row r="3011" spans="1:4" x14ac:dyDescent="0.3">
      <c r="A3011">
        <v>3165404</v>
      </c>
      <c r="B3011" t="s">
        <v>3921</v>
      </c>
      <c r="C3011">
        <v>-22.751596380934203</v>
      </c>
      <c r="D3011">
        <v>-45.740925737555791</v>
      </c>
    </row>
    <row r="3012" spans="1:4" x14ac:dyDescent="0.3">
      <c r="A3012">
        <v>3165503</v>
      </c>
      <c r="B3012" t="s">
        <v>3922</v>
      </c>
      <c r="C3012">
        <v>-18.783265346876053</v>
      </c>
      <c r="D3012">
        <v>-42.366129222893527</v>
      </c>
    </row>
    <row r="3013" spans="1:4" x14ac:dyDescent="0.3">
      <c r="A3013">
        <v>3165537</v>
      </c>
      <c r="B3013" t="s">
        <v>3923</v>
      </c>
      <c r="C3013">
        <v>-20.034534920799505</v>
      </c>
      <c r="D3013">
        <v>-44.145867361276629</v>
      </c>
    </row>
    <row r="3014" spans="1:4" x14ac:dyDescent="0.3">
      <c r="A3014">
        <v>3165552</v>
      </c>
      <c r="B3014" t="s">
        <v>3924</v>
      </c>
      <c r="C3014">
        <v>-17.597019016703886</v>
      </c>
      <c r="D3014">
        <v>-42.166438310787036</v>
      </c>
    </row>
    <row r="3015" spans="1:4" x14ac:dyDescent="0.3">
      <c r="A3015">
        <v>3165560</v>
      </c>
      <c r="B3015" t="s">
        <v>3925</v>
      </c>
      <c r="C3015">
        <v>-20.102536369222204</v>
      </c>
      <c r="D3015">
        <v>-42.841901730209344</v>
      </c>
    </row>
    <row r="3016" spans="1:4" x14ac:dyDescent="0.3">
      <c r="A3016">
        <v>3165578</v>
      </c>
      <c r="B3016" t="s">
        <v>3926</v>
      </c>
      <c r="C3016">
        <v>-22.588721566565805</v>
      </c>
      <c r="D3016">
        <v>-46.180233593797944</v>
      </c>
    </row>
    <row r="3017" spans="1:4" x14ac:dyDescent="0.3">
      <c r="A3017">
        <v>3165602</v>
      </c>
      <c r="B3017" t="s">
        <v>3927</v>
      </c>
      <c r="C3017">
        <v>-21.802516957544054</v>
      </c>
      <c r="D3017">
        <v>-42.944332099396433</v>
      </c>
    </row>
    <row r="3018" spans="1:4" x14ac:dyDescent="0.3">
      <c r="A3018">
        <v>3165701</v>
      </c>
      <c r="B3018" t="s">
        <v>3928</v>
      </c>
      <c r="C3018">
        <v>-20.918059600315054</v>
      </c>
      <c r="D3018">
        <v>-43.1041303932776</v>
      </c>
    </row>
    <row r="3019" spans="1:4" x14ac:dyDescent="0.3">
      <c r="A3019">
        <v>3165800</v>
      </c>
      <c r="B3019" t="s">
        <v>3929</v>
      </c>
      <c r="C3019">
        <v>-22.166606677687753</v>
      </c>
      <c r="D3019">
        <v>-46.179472695833319</v>
      </c>
    </row>
    <row r="3020" spans="1:4" x14ac:dyDescent="0.3">
      <c r="A3020">
        <v>3165909</v>
      </c>
      <c r="B3020" t="s">
        <v>3930</v>
      </c>
      <c r="C3020">
        <v>-17.946024670840405</v>
      </c>
      <c r="D3020">
        <v>-43.222975471485782</v>
      </c>
    </row>
    <row r="3021" spans="1:4" x14ac:dyDescent="0.3">
      <c r="A3021">
        <v>3166006</v>
      </c>
      <c r="B3021" t="s">
        <v>3931</v>
      </c>
      <c r="C3021">
        <v>-20.793899763181432</v>
      </c>
      <c r="D3021">
        <v>-43.33773199401508</v>
      </c>
    </row>
    <row r="3022" spans="1:4" x14ac:dyDescent="0.3">
      <c r="A3022">
        <v>3166105</v>
      </c>
      <c r="B3022" t="s">
        <v>3932</v>
      </c>
      <c r="C3022">
        <v>-18.898008019968401</v>
      </c>
      <c r="D3022">
        <v>-43.081755720779093</v>
      </c>
    </row>
    <row r="3023" spans="1:4" x14ac:dyDescent="0.3">
      <c r="A3023">
        <v>3166204</v>
      </c>
      <c r="B3023" t="s">
        <v>3933</v>
      </c>
      <c r="C3023">
        <v>-21.033082964242354</v>
      </c>
      <c r="D3023">
        <v>-43.58638195220346</v>
      </c>
    </row>
    <row r="3024" spans="1:4" x14ac:dyDescent="0.3">
      <c r="A3024">
        <v>3166303</v>
      </c>
      <c r="B3024" t="s">
        <v>3934</v>
      </c>
      <c r="C3024">
        <v>-20.471555354465103</v>
      </c>
      <c r="D3024">
        <v>-42.482007265626727</v>
      </c>
    </row>
    <row r="3025" spans="1:4" x14ac:dyDescent="0.3">
      <c r="A3025">
        <v>3166402</v>
      </c>
      <c r="B3025" t="s">
        <v>3935</v>
      </c>
      <c r="C3025">
        <v>-21.911349277747295</v>
      </c>
      <c r="D3025">
        <v>-44.521445351754458</v>
      </c>
    </row>
    <row r="3026" spans="1:4" x14ac:dyDescent="0.3">
      <c r="A3026">
        <v>3166501</v>
      </c>
      <c r="B3026" t="s">
        <v>3936</v>
      </c>
      <c r="C3026">
        <v>-18.362279724982404</v>
      </c>
      <c r="D3026">
        <v>-43.174459309057838</v>
      </c>
    </row>
    <row r="3027" spans="1:4" x14ac:dyDescent="0.3">
      <c r="A3027">
        <v>3166600</v>
      </c>
      <c r="B3027" t="s">
        <v>3937</v>
      </c>
      <c r="C3027">
        <v>-19.440562245750851</v>
      </c>
      <c r="D3027">
        <v>-45.796589574672097</v>
      </c>
    </row>
    <row r="3028" spans="1:4" x14ac:dyDescent="0.3">
      <c r="A3028">
        <v>3166709</v>
      </c>
      <c r="B3028" t="s">
        <v>3938</v>
      </c>
      <c r="C3028">
        <v>-17.785747018265656</v>
      </c>
      <c r="D3028">
        <v>-40.243168574940938</v>
      </c>
    </row>
    <row r="3029" spans="1:4" x14ac:dyDescent="0.3">
      <c r="A3029">
        <v>3166808</v>
      </c>
      <c r="B3029" t="s">
        <v>3939</v>
      </c>
      <c r="C3029">
        <v>-19.111795763451301</v>
      </c>
      <c r="D3029">
        <v>-46.69210872618401</v>
      </c>
    </row>
    <row r="3030" spans="1:4" x14ac:dyDescent="0.3">
      <c r="A3030">
        <v>3166907</v>
      </c>
      <c r="B3030" t="s">
        <v>3940</v>
      </c>
      <c r="C3030">
        <v>-21.546680651974654</v>
      </c>
      <c r="D3030">
        <v>-46.04314493578071</v>
      </c>
    </row>
    <row r="3031" spans="1:4" x14ac:dyDescent="0.3">
      <c r="A3031">
        <v>3166956</v>
      </c>
      <c r="B3031" t="s">
        <v>3941</v>
      </c>
      <c r="C3031">
        <v>-15.808783782071854</v>
      </c>
      <c r="D3031">
        <v>-42.874386393071681</v>
      </c>
    </row>
    <row r="3032" spans="1:4" x14ac:dyDescent="0.3">
      <c r="A3032">
        <v>3167004</v>
      </c>
      <c r="B3032" t="s">
        <v>3942</v>
      </c>
      <c r="C3032">
        <v>-21.888781797905853</v>
      </c>
      <c r="D3032">
        <v>-44.506754164736869</v>
      </c>
    </row>
    <row r="3033" spans="1:4" x14ac:dyDescent="0.3">
      <c r="A3033">
        <v>3167103</v>
      </c>
      <c r="B3033" t="s">
        <v>3943</v>
      </c>
      <c r="C3033">
        <v>-18.604442245340053</v>
      </c>
      <c r="D3033">
        <v>-43.388631268083437</v>
      </c>
    </row>
    <row r="3034" spans="1:4" x14ac:dyDescent="0.3">
      <c r="A3034">
        <v>3167202</v>
      </c>
      <c r="B3034" t="s">
        <v>3944</v>
      </c>
      <c r="C3034">
        <v>-19.458287418750754</v>
      </c>
      <c r="D3034">
        <v>-44.239594615620966</v>
      </c>
    </row>
    <row r="3035" spans="1:4" x14ac:dyDescent="0.3">
      <c r="A3035">
        <v>3167301</v>
      </c>
      <c r="B3035" t="s">
        <v>3945</v>
      </c>
      <c r="C3035">
        <v>-21.164637538520203</v>
      </c>
      <c r="D3035">
        <v>-43.217878469846013</v>
      </c>
    </row>
    <row r="3036" spans="1:4" x14ac:dyDescent="0.3">
      <c r="A3036">
        <v>3167400</v>
      </c>
      <c r="B3036" t="s">
        <v>3946</v>
      </c>
      <c r="C3036">
        <v>-22.027997263856253</v>
      </c>
      <c r="D3036">
        <v>-45.832447145567777</v>
      </c>
    </row>
    <row r="3037" spans="1:4" x14ac:dyDescent="0.3">
      <c r="A3037">
        <v>3167509</v>
      </c>
      <c r="B3037" t="s">
        <v>3947</v>
      </c>
      <c r="C3037">
        <v>-21.9648567892045</v>
      </c>
      <c r="D3037">
        <v>-43.31495581262115</v>
      </c>
    </row>
    <row r="3038" spans="1:4" x14ac:dyDescent="0.3">
      <c r="A3038">
        <v>3167608</v>
      </c>
      <c r="B3038" t="s">
        <v>3948</v>
      </c>
      <c r="C3038">
        <v>-20.122029597393702</v>
      </c>
      <c r="D3038">
        <v>-42.003856748696826</v>
      </c>
    </row>
    <row r="3039" spans="1:4" x14ac:dyDescent="0.3">
      <c r="A3039">
        <v>3167707</v>
      </c>
      <c r="B3039" t="s">
        <v>3949</v>
      </c>
      <c r="C3039">
        <v>-19.235549287903854</v>
      </c>
      <c r="D3039">
        <v>-42.098653839718899</v>
      </c>
    </row>
    <row r="3040" spans="1:4" x14ac:dyDescent="0.3">
      <c r="A3040">
        <v>3167806</v>
      </c>
      <c r="B3040" t="s">
        <v>3950</v>
      </c>
      <c r="C3040">
        <v>-22.059206405782053</v>
      </c>
      <c r="D3040">
        <v>-45.041022641962783</v>
      </c>
    </row>
    <row r="3041" spans="1:4" x14ac:dyDescent="0.3">
      <c r="A3041">
        <v>3167905</v>
      </c>
      <c r="B3041" t="s">
        <v>3951</v>
      </c>
      <c r="C3041">
        <v>-21.357577659441553</v>
      </c>
      <c r="D3041">
        <v>-43.245605264616678</v>
      </c>
    </row>
    <row r="3042" spans="1:4" x14ac:dyDescent="0.3">
      <c r="A3042">
        <v>3168002</v>
      </c>
      <c r="B3042" t="s">
        <v>3952</v>
      </c>
      <c r="C3042">
        <v>-15.811521437656753</v>
      </c>
      <c r="D3042">
        <v>-42.227915545579329</v>
      </c>
    </row>
    <row r="3043" spans="1:4" x14ac:dyDescent="0.3">
      <c r="A3043">
        <v>3168051</v>
      </c>
      <c r="B3043" t="s">
        <v>3953</v>
      </c>
      <c r="C3043">
        <v>-19.761469584343857</v>
      </c>
      <c r="D3043">
        <v>-41.615858130647354</v>
      </c>
    </row>
    <row r="3044" spans="1:4" x14ac:dyDescent="0.3">
      <c r="A3044">
        <v>3168101</v>
      </c>
      <c r="B3044" t="s">
        <v>3954</v>
      </c>
      <c r="C3044">
        <v>-19.92557921831725</v>
      </c>
      <c r="D3044">
        <v>-46.821915362183262</v>
      </c>
    </row>
    <row r="3045" spans="1:4" x14ac:dyDescent="0.3">
      <c r="A3045">
        <v>3168200</v>
      </c>
      <c r="B3045" t="s">
        <v>3955</v>
      </c>
      <c r="C3045">
        <v>-19.885805606880105</v>
      </c>
      <c r="D3045">
        <v>-46.018570209812133</v>
      </c>
    </row>
    <row r="3046" spans="1:4" x14ac:dyDescent="0.3">
      <c r="A3046">
        <v>3168309</v>
      </c>
      <c r="B3046" t="s">
        <v>3956</v>
      </c>
      <c r="C3046">
        <v>-19.673848048413053</v>
      </c>
      <c r="D3046">
        <v>-43.687142789668776</v>
      </c>
    </row>
    <row r="3047" spans="1:4" x14ac:dyDescent="0.3">
      <c r="A3047">
        <v>3168408</v>
      </c>
      <c r="B3047" t="s">
        <v>3957</v>
      </c>
      <c r="C3047">
        <v>-19.281494872784403</v>
      </c>
      <c r="D3047">
        <v>-42.007734577441234</v>
      </c>
    </row>
    <row r="3048" spans="1:4" x14ac:dyDescent="0.3">
      <c r="A3048">
        <v>3168507</v>
      </c>
      <c r="B3048" t="s">
        <v>3958</v>
      </c>
      <c r="C3048">
        <v>-20.649066525092159</v>
      </c>
      <c r="D3048">
        <v>-42.862643804410688</v>
      </c>
    </row>
    <row r="3049" spans="1:4" x14ac:dyDescent="0.3">
      <c r="A3049">
        <v>3168606</v>
      </c>
      <c r="B3049" t="s">
        <v>3959</v>
      </c>
      <c r="C3049">
        <v>-17.862539808014002</v>
      </c>
      <c r="D3049">
        <v>-41.509635165789696</v>
      </c>
    </row>
    <row r="3050" spans="1:4" x14ac:dyDescent="0.3">
      <c r="A3050">
        <v>3168705</v>
      </c>
      <c r="B3050" t="s">
        <v>3960</v>
      </c>
      <c r="C3050">
        <v>-19.584050358507803</v>
      </c>
      <c r="D3050">
        <v>-42.643942310806757</v>
      </c>
    </row>
    <row r="3051" spans="1:4" x14ac:dyDescent="0.3">
      <c r="A3051">
        <v>3168804</v>
      </c>
      <c r="B3051" t="s">
        <v>3961</v>
      </c>
      <c r="C3051">
        <v>-21.107043436754957</v>
      </c>
      <c r="D3051">
        <v>-44.172692381106664</v>
      </c>
    </row>
    <row r="3052" spans="1:4" x14ac:dyDescent="0.3">
      <c r="A3052">
        <v>3168903</v>
      </c>
      <c r="B3052" t="s">
        <v>3962</v>
      </c>
      <c r="C3052">
        <v>-19.003917380069804</v>
      </c>
      <c r="D3052">
        <v>-45.963551099152639</v>
      </c>
    </row>
    <row r="3053" spans="1:4" x14ac:dyDescent="0.3">
      <c r="A3053">
        <v>3169000</v>
      </c>
      <c r="B3053" t="s">
        <v>3963</v>
      </c>
      <c r="C3053">
        <v>-21.175549526018958</v>
      </c>
      <c r="D3053">
        <v>-43.01869950839113</v>
      </c>
    </row>
    <row r="3054" spans="1:4" x14ac:dyDescent="0.3">
      <c r="A3054">
        <v>3169059</v>
      </c>
      <c r="B3054" t="s">
        <v>3964</v>
      </c>
      <c r="C3054">
        <v>-22.371645594738453</v>
      </c>
      <c r="D3054">
        <v>-46.096446800741724</v>
      </c>
    </row>
    <row r="3055" spans="1:4" x14ac:dyDescent="0.3">
      <c r="A3055">
        <v>3169109</v>
      </c>
      <c r="B3055" t="s">
        <v>3965</v>
      </c>
      <c r="C3055">
        <v>-22.743394808070704</v>
      </c>
      <c r="D3055">
        <v>-46.378972656494277</v>
      </c>
    </row>
    <row r="3056" spans="1:4" x14ac:dyDescent="0.3">
      <c r="A3056">
        <v>3169208</v>
      </c>
      <c r="B3056" t="s">
        <v>3966</v>
      </c>
      <c r="C3056">
        <v>-20.902589225088104</v>
      </c>
      <c r="D3056">
        <v>-42.014681621078296</v>
      </c>
    </row>
    <row r="3057" spans="1:4" x14ac:dyDescent="0.3">
      <c r="A3057">
        <v>3169307</v>
      </c>
      <c r="B3057" t="s">
        <v>3967</v>
      </c>
      <c r="C3057">
        <v>-21.695965776909304</v>
      </c>
      <c r="D3057">
        <v>-45.254936873167047</v>
      </c>
    </row>
    <row r="3058" spans="1:4" x14ac:dyDescent="0.3">
      <c r="A3058">
        <v>3169356</v>
      </c>
      <c r="B3058" t="s">
        <v>3968</v>
      </c>
      <c r="C3058">
        <v>-18.205921224017402</v>
      </c>
      <c r="D3058">
        <v>-45.225735246741465</v>
      </c>
    </row>
    <row r="3059" spans="1:4" x14ac:dyDescent="0.3">
      <c r="A3059">
        <v>3169406</v>
      </c>
      <c r="B3059" t="s">
        <v>3969</v>
      </c>
      <c r="C3059">
        <v>-21.368769921651804</v>
      </c>
      <c r="D3059">
        <v>-45.515474797041044</v>
      </c>
    </row>
    <row r="3060" spans="1:4" x14ac:dyDescent="0.3">
      <c r="A3060">
        <v>3169505</v>
      </c>
      <c r="B3060" t="s">
        <v>3970</v>
      </c>
      <c r="C3060">
        <v>-18.976607661169453</v>
      </c>
      <c r="D3060">
        <v>-41.637980479358575</v>
      </c>
    </row>
    <row r="3061" spans="1:4" x14ac:dyDescent="0.3">
      <c r="A3061">
        <v>3169604</v>
      </c>
      <c r="B3061" t="s">
        <v>3971</v>
      </c>
      <c r="C3061">
        <v>-18.599352564442952</v>
      </c>
      <c r="D3061">
        <v>-48.693735880205899</v>
      </c>
    </row>
    <row r="3062" spans="1:4" x14ac:dyDescent="0.3">
      <c r="A3062">
        <v>3169703</v>
      </c>
      <c r="B3062" t="s">
        <v>3972</v>
      </c>
      <c r="C3062">
        <v>-17.286412094275203</v>
      </c>
      <c r="D3062">
        <v>-42.730414544790278</v>
      </c>
    </row>
    <row r="3063" spans="1:4" x14ac:dyDescent="0.3">
      <c r="A3063">
        <v>3169802</v>
      </c>
      <c r="B3063" t="s">
        <v>3973</v>
      </c>
      <c r="C3063">
        <v>-21.879389005663853</v>
      </c>
      <c r="D3063">
        <v>-45.796735792709036</v>
      </c>
    </row>
    <row r="3064" spans="1:4" x14ac:dyDescent="0.3">
      <c r="A3064">
        <v>3169901</v>
      </c>
      <c r="B3064" t="s">
        <v>3974</v>
      </c>
      <c r="C3064">
        <v>-21.118596951497803</v>
      </c>
      <c r="D3064">
        <v>-42.936786464392043</v>
      </c>
    </row>
    <row r="3065" spans="1:4" x14ac:dyDescent="0.3">
      <c r="A3065">
        <v>3170008</v>
      </c>
      <c r="B3065" t="s">
        <v>3975</v>
      </c>
      <c r="C3065">
        <v>-16.297404520945854</v>
      </c>
      <c r="D3065">
        <v>-44.787086205494113</v>
      </c>
    </row>
    <row r="3066" spans="1:4" x14ac:dyDescent="0.3">
      <c r="A3066">
        <v>3170057</v>
      </c>
      <c r="B3066" t="s">
        <v>3976</v>
      </c>
      <c r="C3066">
        <v>-19.641362004921053</v>
      </c>
      <c r="D3066">
        <v>-42.109216327090891</v>
      </c>
    </row>
    <row r="3067" spans="1:4" x14ac:dyDescent="0.3">
      <c r="A3067">
        <v>3170107</v>
      </c>
      <c r="B3067" t="s">
        <v>3977</v>
      </c>
      <c r="C3067">
        <v>-19.713534607102051</v>
      </c>
      <c r="D3067">
        <v>-47.983624895574245</v>
      </c>
    </row>
    <row r="3068" spans="1:4" x14ac:dyDescent="0.3">
      <c r="A3068">
        <v>3170206</v>
      </c>
      <c r="B3068" t="s">
        <v>3978</v>
      </c>
      <c r="C3068">
        <v>-18.918998609305604</v>
      </c>
      <c r="D3068">
        <v>-48.277950184734472</v>
      </c>
    </row>
    <row r="3069" spans="1:4" x14ac:dyDescent="0.3">
      <c r="A3069">
        <v>3170305</v>
      </c>
      <c r="B3069" t="s">
        <v>3979</v>
      </c>
      <c r="C3069">
        <v>-17.253607210291452</v>
      </c>
      <c r="D3069">
        <v>-40.572645020522792</v>
      </c>
    </row>
    <row r="3070" spans="1:4" x14ac:dyDescent="0.3">
      <c r="A3070">
        <v>3170404</v>
      </c>
      <c r="B3070" t="s">
        <v>3980</v>
      </c>
      <c r="C3070">
        <v>-16.359008492497701</v>
      </c>
      <c r="D3070">
        <v>-46.899956595284984</v>
      </c>
    </row>
    <row r="3071" spans="1:4" x14ac:dyDescent="0.3">
      <c r="A3071">
        <v>3170438</v>
      </c>
      <c r="B3071" t="s">
        <v>3981</v>
      </c>
      <c r="C3071">
        <v>-19.529736644128452</v>
      </c>
      <c r="D3071">
        <v>-50.33080294135442</v>
      </c>
    </row>
    <row r="3072" spans="1:4" x14ac:dyDescent="0.3">
      <c r="A3072">
        <v>3170479</v>
      </c>
      <c r="B3072" t="s">
        <v>3982</v>
      </c>
      <c r="C3072">
        <v>-16.060025197128756</v>
      </c>
      <c r="D3072">
        <v>-46.256228873446645</v>
      </c>
    </row>
    <row r="3073" spans="1:4" x14ac:dyDescent="0.3">
      <c r="A3073">
        <v>3170503</v>
      </c>
      <c r="B3073" t="s">
        <v>3983</v>
      </c>
      <c r="C3073">
        <v>-20.350870415719701</v>
      </c>
      <c r="D3073">
        <v>-42.741228451710619</v>
      </c>
    </row>
    <row r="3074" spans="1:4" x14ac:dyDescent="0.3">
      <c r="A3074">
        <v>3170529</v>
      </c>
      <c r="B3074" t="s">
        <v>3984</v>
      </c>
      <c r="C3074">
        <v>-16.132091016993098</v>
      </c>
      <c r="D3074">
        <v>-45.737028184367468</v>
      </c>
    </row>
    <row r="3075" spans="1:4" x14ac:dyDescent="0.3">
      <c r="A3075">
        <v>3170578</v>
      </c>
      <c r="B3075" t="s">
        <v>3985</v>
      </c>
      <c r="C3075">
        <v>-19.600720204109503</v>
      </c>
      <c r="D3075">
        <v>-42.299815482251731</v>
      </c>
    </row>
    <row r="3076" spans="1:4" x14ac:dyDescent="0.3">
      <c r="A3076">
        <v>3170602</v>
      </c>
      <c r="B3076" t="s">
        <v>3986</v>
      </c>
      <c r="C3076">
        <v>-20.326776648408753</v>
      </c>
      <c r="D3076">
        <v>-46.372456979448494</v>
      </c>
    </row>
    <row r="3077" spans="1:4" x14ac:dyDescent="0.3">
      <c r="A3077">
        <v>3170651</v>
      </c>
      <c r="B3077" t="s">
        <v>3987</v>
      </c>
      <c r="C3077">
        <v>-15.402400615917351</v>
      </c>
      <c r="D3077">
        <v>-42.309290866284201</v>
      </c>
    </row>
    <row r="3078" spans="1:4" x14ac:dyDescent="0.3">
      <c r="A3078">
        <v>3170701</v>
      </c>
      <c r="B3078" t="s">
        <v>3988</v>
      </c>
      <c r="C3078">
        <v>-21.557080039063354</v>
      </c>
      <c r="D3078">
        <v>-45.43188614427855</v>
      </c>
    </row>
    <row r="3079" spans="1:4" x14ac:dyDescent="0.3">
      <c r="A3079">
        <v>3170750</v>
      </c>
      <c r="B3079" t="s">
        <v>3989</v>
      </c>
      <c r="C3079">
        <v>-18.383704463781054</v>
      </c>
      <c r="D3079">
        <v>-46.033501545730978</v>
      </c>
    </row>
    <row r="3080" spans="1:4" x14ac:dyDescent="0.3">
      <c r="A3080">
        <v>3170800</v>
      </c>
      <c r="B3080" t="s">
        <v>3990</v>
      </c>
      <c r="C3080">
        <v>-17.597570177090454</v>
      </c>
      <c r="D3080">
        <v>-44.730346582732288</v>
      </c>
    </row>
    <row r="3081" spans="1:4" x14ac:dyDescent="0.3">
      <c r="A3081">
        <v>3170909</v>
      </c>
      <c r="B3081" t="s">
        <v>3991</v>
      </c>
      <c r="C3081">
        <v>-15.7088710522808</v>
      </c>
      <c r="D3081">
        <v>-44.027948143227029</v>
      </c>
    </row>
    <row r="3082" spans="1:4" x14ac:dyDescent="0.3">
      <c r="A3082">
        <v>3171006</v>
      </c>
      <c r="B3082" t="s">
        <v>3992</v>
      </c>
      <c r="C3082">
        <v>-17.991038430243851</v>
      </c>
      <c r="D3082">
        <v>-46.901966885847962</v>
      </c>
    </row>
    <row r="3083" spans="1:4" x14ac:dyDescent="0.3">
      <c r="A3083">
        <v>3171030</v>
      </c>
      <c r="B3083" t="s">
        <v>3993</v>
      </c>
      <c r="C3083">
        <v>-15.594542347344403</v>
      </c>
      <c r="D3083">
        <v>-43.606022262399698</v>
      </c>
    </row>
    <row r="3084" spans="1:4" x14ac:dyDescent="0.3">
      <c r="A3084">
        <v>3171071</v>
      </c>
      <c r="B3084" t="s">
        <v>3994</v>
      </c>
      <c r="C3084">
        <v>-17.393969080340501</v>
      </c>
      <c r="D3084">
        <v>-42.735930240024729</v>
      </c>
    </row>
    <row r="3085" spans="1:4" x14ac:dyDescent="0.3">
      <c r="A3085">
        <v>3171105</v>
      </c>
      <c r="B3085" t="s">
        <v>3995</v>
      </c>
      <c r="C3085">
        <v>-19.669357832615002</v>
      </c>
      <c r="D3085">
        <v>-48.303710580260976</v>
      </c>
    </row>
    <row r="3086" spans="1:4" x14ac:dyDescent="0.3">
      <c r="A3086">
        <v>3171154</v>
      </c>
      <c r="B3086" t="s">
        <v>3996</v>
      </c>
      <c r="C3086">
        <v>-20.034766088254152</v>
      </c>
      <c r="D3086">
        <v>-42.268345817397275</v>
      </c>
    </row>
    <row r="3087" spans="1:4" x14ac:dyDescent="0.3">
      <c r="A3087">
        <v>3171204</v>
      </c>
      <c r="B3087" t="s">
        <v>3997</v>
      </c>
      <c r="C3087">
        <v>-19.693030439771253</v>
      </c>
      <c r="D3087">
        <v>-43.919915186737846</v>
      </c>
    </row>
    <row r="3088" spans="1:4" x14ac:dyDescent="0.3">
      <c r="A3088">
        <v>3171303</v>
      </c>
      <c r="B3088" t="s">
        <v>2245</v>
      </c>
      <c r="C3088">
        <v>-20.752072007029252</v>
      </c>
      <c r="D3088">
        <v>-42.879477375670859</v>
      </c>
    </row>
    <row r="3089" spans="1:4" x14ac:dyDescent="0.3">
      <c r="A3089">
        <v>3171402</v>
      </c>
      <c r="B3089" t="s">
        <v>3998</v>
      </c>
      <c r="C3089">
        <v>-20.865340693219707</v>
      </c>
      <c r="D3089">
        <v>-42.245803542323152</v>
      </c>
    </row>
    <row r="3090" spans="1:4" x14ac:dyDescent="0.3">
      <c r="A3090">
        <v>3171501</v>
      </c>
      <c r="B3090" t="s">
        <v>3999</v>
      </c>
      <c r="C3090">
        <v>-18.579588908262604</v>
      </c>
      <c r="D3090">
        <v>-41.92336046091679</v>
      </c>
    </row>
    <row r="3091" spans="1:4" x14ac:dyDescent="0.3">
      <c r="A3091">
        <v>3171600</v>
      </c>
      <c r="B3091" t="s">
        <v>4000</v>
      </c>
      <c r="C3091">
        <v>-16.802148857031256</v>
      </c>
      <c r="D3091">
        <v>-42.343281066566156</v>
      </c>
    </row>
    <row r="3092" spans="1:4" x14ac:dyDescent="0.3">
      <c r="A3092">
        <v>3171709</v>
      </c>
      <c r="B3092" t="s">
        <v>4001</v>
      </c>
      <c r="C3092">
        <v>-22.336972066806858</v>
      </c>
      <c r="D3092">
        <v>-45.095425162955806</v>
      </c>
    </row>
    <row r="3093" spans="1:4" x14ac:dyDescent="0.3">
      <c r="A3093">
        <v>3171808</v>
      </c>
      <c r="B3093" t="s">
        <v>4002</v>
      </c>
      <c r="C3093">
        <v>-18.825140392548054</v>
      </c>
      <c r="D3093">
        <v>-42.714804470327067</v>
      </c>
    </row>
    <row r="3094" spans="1:4" x14ac:dyDescent="0.3">
      <c r="A3094">
        <v>3171907</v>
      </c>
      <c r="B3094" t="s">
        <v>4003</v>
      </c>
      <c r="C3094">
        <v>-18.476061704788055</v>
      </c>
      <c r="D3094">
        <v>-42.310810037318518</v>
      </c>
    </row>
    <row r="3095" spans="1:4" x14ac:dyDescent="0.3">
      <c r="A3095">
        <v>3172004</v>
      </c>
      <c r="B3095" t="s">
        <v>4004</v>
      </c>
      <c r="C3095">
        <v>-21.0119895771312</v>
      </c>
      <c r="D3095">
        <v>-42.839389391001568</v>
      </c>
    </row>
    <row r="3096" spans="1:4" x14ac:dyDescent="0.3">
      <c r="A3096">
        <v>3172103</v>
      </c>
      <c r="B3096" t="s">
        <v>4005</v>
      </c>
      <c r="C3096">
        <v>-21.770711149206804</v>
      </c>
      <c r="D3096">
        <v>-42.541284947387545</v>
      </c>
    </row>
    <row r="3097" spans="1:4" x14ac:dyDescent="0.3">
      <c r="A3097">
        <v>3172202</v>
      </c>
      <c r="B3097" t="s">
        <v>4006</v>
      </c>
      <c r="C3097">
        <v>-22.529013039655652</v>
      </c>
      <c r="D3097">
        <v>-45.356773953052809</v>
      </c>
    </row>
    <row r="3098" spans="1:4" x14ac:dyDescent="0.3">
      <c r="A3098">
        <v>3200102</v>
      </c>
      <c r="B3098" t="s">
        <v>4007</v>
      </c>
      <c r="C3098">
        <v>-20.077040009896901</v>
      </c>
      <c r="D3098">
        <v>-41.125459717168944</v>
      </c>
    </row>
    <row r="3099" spans="1:4" x14ac:dyDescent="0.3">
      <c r="A3099">
        <v>3200136</v>
      </c>
      <c r="B3099" t="s">
        <v>4008</v>
      </c>
      <c r="C3099">
        <v>-18.987361369525253</v>
      </c>
      <c r="D3099">
        <v>-40.736638167374949</v>
      </c>
    </row>
    <row r="3100" spans="1:4" x14ac:dyDescent="0.3">
      <c r="A3100">
        <v>3200169</v>
      </c>
      <c r="B3100" t="s">
        <v>4009</v>
      </c>
      <c r="C3100">
        <v>-18.5455464912766</v>
      </c>
      <c r="D3100">
        <v>-40.976455911881963</v>
      </c>
    </row>
    <row r="3101" spans="1:4" x14ac:dyDescent="0.3">
      <c r="A3101">
        <v>3200201</v>
      </c>
      <c r="B3101" t="s">
        <v>4010</v>
      </c>
      <c r="C3101">
        <v>-20.763265135122602</v>
      </c>
      <c r="D3101">
        <v>-41.536488318766317</v>
      </c>
    </row>
    <row r="3102" spans="1:4" x14ac:dyDescent="0.3">
      <c r="A3102">
        <v>3200300</v>
      </c>
      <c r="B3102" t="s">
        <v>4011</v>
      </c>
      <c r="C3102">
        <v>-20.630347537231987</v>
      </c>
      <c r="D3102">
        <v>-40.76004964639111</v>
      </c>
    </row>
    <row r="3103" spans="1:4" x14ac:dyDescent="0.3">
      <c r="A3103">
        <v>3200359</v>
      </c>
      <c r="B3103" t="s">
        <v>4012</v>
      </c>
      <c r="C3103">
        <v>-19.057499605620404</v>
      </c>
      <c r="D3103">
        <v>-41.018684343341803</v>
      </c>
    </row>
    <row r="3104" spans="1:4" x14ac:dyDescent="0.3">
      <c r="A3104">
        <v>3200409</v>
      </c>
      <c r="B3104" t="s">
        <v>4013</v>
      </c>
      <c r="C3104">
        <v>-20.8056132241888</v>
      </c>
      <c r="D3104">
        <v>-40.647658942202654</v>
      </c>
    </row>
    <row r="3105" spans="1:4" x14ac:dyDescent="0.3">
      <c r="A3105">
        <v>3200508</v>
      </c>
      <c r="B3105" t="s">
        <v>4014</v>
      </c>
      <c r="C3105">
        <v>-21.156447885261802</v>
      </c>
      <c r="D3105">
        <v>-41.563379760861835</v>
      </c>
    </row>
    <row r="3106" spans="1:4" x14ac:dyDescent="0.3">
      <c r="A3106">
        <v>3200607</v>
      </c>
      <c r="B3106" t="s">
        <v>4015</v>
      </c>
      <c r="C3106">
        <v>-19.823277740446702</v>
      </c>
      <c r="D3106">
        <v>-40.276223376362431</v>
      </c>
    </row>
    <row r="3107" spans="1:4" x14ac:dyDescent="0.3">
      <c r="A3107">
        <v>3200706</v>
      </c>
      <c r="B3107" t="s">
        <v>4016</v>
      </c>
      <c r="C3107">
        <v>-20.915896620209907</v>
      </c>
      <c r="D3107">
        <v>-41.191241909454412</v>
      </c>
    </row>
    <row r="3108" spans="1:4" x14ac:dyDescent="0.3">
      <c r="A3108">
        <v>3200805</v>
      </c>
      <c r="B3108" t="s">
        <v>4017</v>
      </c>
      <c r="C3108">
        <v>-19.514246128619053</v>
      </c>
      <c r="D3108">
        <v>-41.012067735901205</v>
      </c>
    </row>
    <row r="3109" spans="1:4" x14ac:dyDescent="0.3">
      <c r="A3109">
        <v>3200904</v>
      </c>
      <c r="B3109" t="s">
        <v>4018</v>
      </c>
      <c r="C3109">
        <v>-18.759089053331252</v>
      </c>
      <c r="D3109">
        <v>-40.890398623960024</v>
      </c>
    </row>
    <row r="3110" spans="1:4" x14ac:dyDescent="0.3">
      <c r="A3110">
        <v>3201001</v>
      </c>
      <c r="B3110" t="s">
        <v>3248</v>
      </c>
      <c r="C3110">
        <v>-18.538715162204053</v>
      </c>
      <c r="D3110">
        <v>-40.302955643101278</v>
      </c>
    </row>
    <row r="3111" spans="1:4" x14ac:dyDescent="0.3">
      <c r="A3111">
        <v>3201100</v>
      </c>
      <c r="B3111" t="s">
        <v>4019</v>
      </c>
      <c r="C3111">
        <v>-21.129341788413004</v>
      </c>
      <c r="D3111">
        <v>-41.675810507765412</v>
      </c>
    </row>
    <row r="3112" spans="1:4" x14ac:dyDescent="0.3">
      <c r="A3112">
        <v>3201159</v>
      </c>
      <c r="B3112" t="s">
        <v>4020</v>
      </c>
      <c r="C3112">
        <v>-20.157034186191051</v>
      </c>
      <c r="D3112">
        <v>-41.289676528511208</v>
      </c>
    </row>
    <row r="3113" spans="1:4" x14ac:dyDescent="0.3">
      <c r="A3113">
        <v>3201209</v>
      </c>
      <c r="B3113" t="s">
        <v>4021</v>
      </c>
      <c r="C3113">
        <v>-20.850112349692051</v>
      </c>
      <c r="D3113">
        <v>-41.11191881044261</v>
      </c>
    </row>
    <row r="3114" spans="1:4" x14ac:dyDescent="0.3">
      <c r="A3114">
        <v>3201308</v>
      </c>
      <c r="B3114" t="s">
        <v>4022</v>
      </c>
      <c r="C3114">
        <v>-20.294677796517153</v>
      </c>
      <c r="D3114">
        <v>-40.390559104677514</v>
      </c>
    </row>
    <row r="3115" spans="1:4" x14ac:dyDescent="0.3">
      <c r="A3115">
        <v>3201407</v>
      </c>
      <c r="B3115" t="s">
        <v>4023</v>
      </c>
      <c r="C3115">
        <v>-20.602065086052004</v>
      </c>
      <c r="D3115">
        <v>-41.202212703976251</v>
      </c>
    </row>
    <row r="3116" spans="1:4" x14ac:dyDescent="0.3">
      <c r="A3116">
        <v>3201506</v>
      </c>
      <c r="B3116" t="s">
        <v>4024</v>
      </c>
      <c r="C3116">
        <v>-19.536270083621655</v>
      </c>
      <c r="D3116">
        <v>-40.63031755403194</v>
      </c>
    </row>
    <row r="3117" spans="1:4" x14ac:dyDescent="0.3">
      <c r="A3117">
        <v>3201605</v>
      </c>
      <c r="B3117" t="s">
        <v>4025</v>
      </c>
      <c r="C3117">
        <v>-18.598462300899701</v>
      </c>
      <c r="D3117">
        <v>-39.727474419438906</v>
      </c>
    </row>
    <row r="3118" spans="1:4" x14ac:dyDescent="0.3">
      <c r="A3118">
        <v>3201704</v>
      </c>
      <c r="B3118" t="s">
        <v>4026</v>
      </c>
      <c r="C3118">
        <v>-20.365581113809856</v>
      </c>
      <c r="D3118">
        <v>-41.245348041194099</v>
      </c>
    </row>
    <row r="3119" spans="1:4" x14ac:dyDescent="0.3">
      <c r="A3119">
        <v>3201803</v>
      </c>
      <c r="B3119" t="s">
        <v>4027</v>
      </c>
      <c r="C3119">
        <v>-20.620470651850301</v>
      </c>
      <c r="D3119">
        <v>-41.679976328320691</v>
      </c>
    </row>
    <row r="3120" spans="1:4" x14ac:dyDescent="0.3">
      <c r="A3120">
        <v>3201902</v>
      </c>
      <c r="B3120" t="s">
        <v>4028</v>
      </c>
      <c r="C3120">
        <v>-20.364238522378553</v>
      </c>
      <c r="D3120">
        <v>-40.659396354581062</v>
      </c>
    </row>
    <row r="3121" spans="1:4" x14ac:dyDescent="0.3">
      <c r="A3121">
        <v>3202009</v>
      </c>
      <c r="B3121" t="s">
        <v>4029</v>
      </c>
      <c r="C3121">
        <v>-20.692893905302956</v>
      </c>
      <c r="D3121">
        <v>-41.8495773624823</v>
      </c>
    </row>
    <row r="3122" spans="1:4" x14ac:dyDescent="0.3">
      <c r="A3122">
        <v>3202108</v>
      </c>
      <c r="B3122" t="s">
        <v>4030</v>
      </c>
      <c r="C3122">
        <v>-18.375252379510801</v>
      </c>
      <c r="D3122">
        <v>-40.830081159336224</v>
      </c>
    </row>
    <row r="3123" spans="1:4" x14ac:dyDescent="0.3">
      <c r="A3123">
        <v>3202207</v>
      </c>
      <c r="B3123" t="s">
        <v>4031</v>
      </c>
      <c r="C3123">
        <v>-19.93344711769355</v>
      </c>
      <c r="D3123">
        <v>-40.403765444029837</v>
      </c>
    </row>
    <row r="3124" spans="1:4" x14ac:dyDescent="0.3">
      <c r="A3124">
        <v>3202256</v>
      </c>
      <c r="B3124" t="s">
        <v>4032</v>
      </c>
      <c r="C3124">
        <v>-19.252807444409704</v>
      </c>
      <c r="D3124">
        <v>-40.457766061407888</v>
      </c>
    </row>
    <row r="3125" spans="1:4" x14ac:dyDescent="0.3">
      <c r="A3125">
        <v>3202306</v>
      </c>
      <c r="B3125" t="s">
        <v>4033</v>
      </c>
      <c r="C3125">
        <v>-20.775337805284856</v>
      </c>
      <c r="D3125">
        <v>-41.679496292747345</v>
      </c>
    </row>
    <row r="3126" spans="1:4" x14ac:dyDescent="0.3">
      <c r="A3126">
        <v>3202405</v>
      </c>
      <c r="B3126" t="s">
        <v>4034</v>
      </c>
      <c r="C3126">
        <v>-20.665974579644203</v>
      </c>
      <c r="D3126">
        <v>-40.495021019457887</v>
      </c>
    </row>
    <row r="3127" spans="1:4" x14ac:dyDescent="0.3">
      <c r="A3127">
        <v>3202454</v>
      </c>
      <c r="B3127" t="s">
        <v>4035</v>
      </c>
      <c r="C3127">
        <v>-20.234020346285803</v>
      </c>
      <c r="D3127">
        <v>-41.507207999498014</v>
      </c>
    </row>
    <row r="3128" spans="1:4" x14ac:dyDescent="0.3">
      <c r="A3128">
        <v>3202504</v>
      </c>
      <c r="B3128" t="s">
        <v>4036</v>
      </c>
      <c r="C3128">
        <v>-19.83187999807215</v>
      </c>
      <c r="D3128">
        <v>-40.371666178863471</v>
      </c>
    </row>
    <row r="3129" spans="1:4" x14ac:dyDescent="0.3">
      <c r="A3129">
        <v>3202553</v>
      </c>
      <c r="B3129" t="s">
        <v>4037</v>
      </c>
      <c r="C3129">
        <v>-20.538730966589402</v>
      </c>
      <c r="D3129">
        <v>-41.659412400859679</v>
      </c>
    </row>
    <row r="3130" spans="1:4" x14ac:dyDescent="0.3">
      <c r="A3130">
        <v>3202603</v>
      </c>
      <c r="B3130" t="s">
        <v>4038</v>
      </c>
      <c r="C3130">
        <v>-20.797144753860504</v>
      </c>
      <c r="D3130">
        <v>-40.81122104533712</v>
      </c>
    </row>
    <row r="3131" spans="1:4" x14ac:dyDescent="0.3">
      <c r="A3131">
        <v>3202652</v>
      </c>
      <c r="B3131" t="s">
        <v>4039</v>
      </c>
      <c r="C3131">
        <v>-20.348597039293203</v>
      </c>
      <c r="D3131">
        <v>-41.647527861467282</v>
      </c>
    </row>
    <row r="3132" spans="1:4" x14ac:dyDescent="0.3">
      <c r="A3132">
        <v>3202702</v>
      </c>
      <c r="B3132" t="s">
        <v>4040</v>
      </c>
      <c r="C3132">
        <v>-19.802507711212701</v>
      </c>
      <c r="D3132">
        <v>-40.856598486628428</v>
      </c>
    </row>
    <row r="3133" spans="1:4" x14ac:dyDescent="0.3">
      <c r="A3133">
        <v>3202801</v>
      </c>
      <c r="B3133" t="s">
        <v>4041</v>
      </c>
      <c r="C3133">
        <v>-21.011099627250704</v>
      </c>
      <c r="D3133">
        <v>-40.836145116845039</v>
      </c>
    </row>
    <row r="3134" spans="1:4" x14ac:dyDescent="0.3">
      <c r="A3134">
        <v>3202900</v>
      </c>
      <c r="B3134" t="s">
        <v>4042</v>
      </c>
      <c r="C3134">
        <v>-19.872348006049005</v>
      </c>
      <c r="D3134">
        <v>-40.879791082226049</v>
      </c>
    </row>
    <row r="3135" spans="1:4" x14ac:dyDescent="0.3">
      <c r="A3135">
        <v>3203007</v>
      </c>
      <c r="B3135" t="s">
        <v>4043</v>
      </c>
      <c r="C3135">
        <v>-20.348599513777902</v>
      </c>
      <c r="D3135">
        <v>-41.532888693521308</v>
      </c>
    </row>
    <row r="3136" spans="1:4" x14ac:dyDescent="0.3">
      <c r="A3136">
        <v>3203056</v>
      </c>
      <c r="B3136" t="s">
        <v>4044</v>
      </c>
      <c r="C3136">
        <v>-18.900435909521402</v>
      </c>
      <c r="D3136">
        <v>-40.086140992363916</v>
      </c>
    </row>
    <row r="3137" spans="1:4" x14ac:dyDescent="0.3">
      <c r="A3137">
        <v>3203106</v>
      </c>
      <c r="B3137" t="s">
        <v>4045</v>
      </c>
      <c r="C3137">
        <v>-20.797697898267703</v>
      </c>
      <c r="D3137">
        <v>-41.402934574470599</v>
      </c>
    </row>
    <row r="3138" spans="1:4" x14ac:dyDescent="0.3">
      <c r="A3138">
        <v>3203130</v>
      </c>
      <c r="B3138" t="s">
        <v>4046</v>
      </c>
      <c r="C3138">
        <v>-19.752958598857223</v>
      </c>
      <c r="D3138">
        <v>-40.380880485337649</v>
      </c>
    </row>
    <row r="3139" spans="1:4" x14ac:dyDescent="0.3">
      <c r="A3139">
        <v>3203163</v>
      </c>
      <c r="B3139" t="s">
        <v>4047</v>
      </c>
      <c r="C3139">
        <v>-19.898693450439001</v>
      </c>
      <c r="D3139">
        <v>-41.055244354522422</v>
      </c>
    </row>
    <row r="3140" spans="1:4" x14ac:dyDescent="0.3">
      <c r="A3140">
        <v>3203205</v>
      </c>
      <c r="B3140" t="s">
        <v>4048</v>
      </c>
      <c r="C3140">
        <v>-19.398105934464905</v>
      </c>
      <c r="D3140">
        <v>-40.065305798695533</v>
      </c>
    </row>
    <row r="3141" spans="1:4" x14ac:dyDescent="0.3">
      <c r="A3141">
        <v>3203304</v>
      </c>
      <c r="B3141" t="s">
        <v>4049</v>
      </c>
      <c r="C3141">
        <v>-18.861178966247149</v>
      </c>
      <c r="D3141">
        <v>-41.117737478806028</v>
      </c>
    </row>
    <row r="3142" spans="1:4" x14ac:dyDescent="0.3">
      <c r="A3142">
        <v>3203320</v>
      </c>
      <c r="B3142" t="s">
        <v>4050</v>
      </c>
      <c r="C3142">
        <v>-21.042996275291305</v>
      </c>
      <c r="D3142">
        <v>-40.83018728567442</v>
      </c>
    </row>
    <row r="3143" spans="1:4" x14ac:dyDescent="0.3">
      <c r="A3143">
        <v>3203346</v>
      </c>
      <c r="B3143" t="s">
        <v>4051</v>
      </c>
      <c r="C3143">
        <v>-20.42670859197165</v>
      </c>
      <c r="D3143">
        <v>-40.680383432888092</v>
      </c>
    </row>
    <row r="3144" spans="1:4" x14ac:dyDescent="0.3">
      <c r="A3144">
        <v>3203353</v>
      </c>
      <c r="B3144" t="s">
        <v>4052</v>
      </c>
      <c r="C3144">
        <v>-19.412812757751755</v>
      </c>
      <c r="D3144">
        <v>-40.550951003632299</v>
      </c>
    </row>
    <row r="3145" spans="1:4" x14ac:dyDescent="0.3">
      <c r="A3145">
        <v>3203403</v>
      </c>
      <c r="B3145" t="s">
        <v>4053</v>
      </c>
      <c r="C3145">
        <v>-21.065373508171703</v>
      </c>
      <c r="D3145">
        <v>-41.364425265884535</v>
      </c>
    </row>
    <row r="3146" spans="1:4" x14ac:dyDescent="0.3">
      <c r="A3146">
        <v>3203502</v>
      </c>
      <c r="B3146" t="s">
        <v>4054</v>
      </c>
      <c r="C3146">
        <v>-18.126856647178155</v>
      </c>
      <c r="D3146">
        <v>-40.363420879571486</v>
      </c>
    </row>
    <row r="3147" spans="1:4" x14ac:dyDescent="0.3">
      <c r="A3147">
        <v>3203601</v>
      </c>
      <c r="B3147" t="s">
        <v>4055</v>
      </c>
      <c r="C3147">
        <v>-18.097236379571953</v>
      </c>
      <c r="D3147">
        <v>-40.517926836510121</v>
      </c>
    </row>
    <row r="3148" spans="1:4" x14ac:dyDescent="0.3">
      <c r="A3148">
        <v>3203700</v>
      </c>
      <c r="B3148" t="s">
        <v>4056</v>
      </c>
      <c r="C3148">
        <v>-20.456545593526755</v>
      </c>
      <c r="D3148">
        <v>-41.417513780413024</v>
      </c>
    </row>
    <row r="3149" spans="1:4" x14ac:dyDescent="0.3">
      <c r="A3149">
        <v>3203809</v>
      </c>
      <c r="B3149" t="s">
        <v>4057</v>
      </c>
      <c r="C3149">
        <v>-20.953692309542252</v>
      </c>
      <c r="D3149">
        <v>-41.346213998369102</v>
      </c>
    </row>
    <row r="3150" spans="1:4" x14ac:dyDescent="0.3">
      <c r="A3150">
        <v>3203908</v>
      </c>
      <c r="B3150" t="s">
        <v>4058</v>
      </c>
      <c r="C3150">
        <v>-18.7129060016259</v>
      </c>
      <c r="D3150">
        <v>-40.401547877016981</v>
      </c>
    </row>
    <row r="3151" spans="1:4" x14ac:dyDescent="0.3">
      <c r="A3151">
        <v>3204005</v>
      </c>
      <c r="B3151" t="s">
        <v>4059</v>
      </c>
      <c r="C3151">
        <v>-19.224419786132049</v>
      </c>
      <c r="D3151">
        <v>-40.856003100712506</v>
      </c>
    </row>
    <row r="3152" spans="1:4" x14ac:dyDescent="0.3">
      <c r="A3152">
        <v>3204054</v>
      </c>
      <c r="B3152" t="s">
        <v>4060</v>
      </c>
      <c r="C3152">
        <v>-18.297191503895601</v>
      </c>
      <c r="D3152">
        <v>-39.954936951872639</v>
      </c>
    </row>
    <row r="3153" spans="1:4" x14ac:dyDescent="0.3">
      <c r="A3153">
        <v>3204104</v>
      </c>
      <c r="B3153" t="s">
        <v>4061</v>
      </c>
      <c r="C3153">
        <v>-18.413323343618007</v>
      </c>
      <c r="D3153">
        <v>-40.2177280801912</v>
      </c>
    </row>
    <row r="3154" spans="1:4" x14ac:dyDescent="0.3">
      <c r="A3154">
        <v>3204203</v>
      </c>
      <c r="B3154" t="s">
        <v>4062</v>
      </c>
      <c r="C3154">
        <v>-20.837608899689901</v>
      </c>
      <c r="D3154">
        <v>-40.727980940428566</v>
      </c>
    </row>
    <row r="3155" spans="1:4" x14ac:dyDescent="0.3">
      <c r="A3155">
        <v>3204252</v>
      </c>
      <c r="B3155" t="s">
        <v>4063</v>
      </c>
      <c r="C3155">
        <v>-18.129126085531151</v>
      </c>
      <c r="D3155">
        <v>-40.538133777057958</v>
      </c>
    </row>
    <row r="3156" spans="1:4" x14ac:dyDescent="0.3">
      <c r="A3156">
        <v>3204302</v>
      </c>
      <c r="B3156" t="s">
        <v>1438</v>
      </c>
      <c r="C3156">
        <v>-21.100148408468058</v>
      </c>
      <c r="D3156">
        <v>-41.051895630589534</v>
      </c>
    </row>
    <row r="3157" spans="1:4" x14ac:dyDescent="0.3">
      <c r="A3157">
        <v>3204351</v>
      </c>
      <c r="B3157" t="s">
        <v>4064</v>
      </c>
      <c r="C3157">
        <v>-19.27708648592375</v>
      </c>
      <c r="D3157">
        <v>-40.322478428269882</v>
      </c>
    </row>
    <row r="3158" spans="1:4" x14ac:dyDescent="0.3">
      <c r="A3158">
        <v>3204401</v>
      </c>
      <c r="B3158" t="s">
        <v>4065</v>
      </c>
      <c r="C3158">
        <v>-20.864586149686701</v>
      </c>
      <c r="D3158">
        <v>-40.936228355451171</v>
      </c>
    </row>
    <row r="3159" spans="1:4" x14ac:dyDescent="0.3">
      <c r="A3159">
        <v>3204500</v>
      </c>
      <c r="B3159" t="s">
        <v>4066</v>
      </c>
      <c r="C3159">
        <v>-20.098890692492553</v>
      </c>
      <c r="D3159">
        <v>-40.533209612337835</v>
      </c>
    </row>
    <row r="3160" spans="1:4" x14ac:dyDescent="0.3">
      <c r="A3160">
        <v>3204559</v>
      </c>
      <c r="B3160" t="s">
        <v>4067</v>
      </c>
      <c r="C3160">
        <v>-20.028814058188352</v>
      </c>
      <c r="D3160">
        <v>-40.741617800649692</v>
      </c>
    </row>
    <row r="3161" spans="1:4" x14ac:dyDescent="0.3">
      <c r="A3161">
        <v>3204609</v>
      </c>
      <c r="B3161" t="s">
        <v>4068</v>
      </c>
      <c r="C3161">
        <v>-19.937714316860653</v>
      </c>
      <c r="D3161">
        <v>-40.598997721714163</v>
      </c>
    </row>
    <row r="3162" spans="1:4" x14ac:dyDescent="0.3">
      <c r="A3162">
        <v>3204658</v>
      </c>
      <c r="B3162" t="s">
        <v>4069</v>
      </c>
      <c r="C3162">
        <v>-19.148168510005899</v>
      </c>
      <c r="D3162">
        <v>-40.621877732717017</v>
      </c>
    </row>
    <row r="3163" spans="1:4" x14ac:dyDescent="0.3">
      <c r="A3163">
        <v>3204708</v>
      </c>
      <c r="B3163" t="s">
        <v>4070</v>
      </c>
      <c r="C3163">
        <v>-19.021964753248952</v>
      </c>
      <c r="D3163">
        <v>-40.529599507560022</v>
      </c>
    </row>
    <row r="3164" spans="1:4" x14ac:dyDescent="0.3">
      <c r="A3164">
        <v>3204807</v>
      </c>
      <c r="B3164" t="s">
        <v>4071</v>
      </c>
      <c r="C3164">
        <v>-21.026130246727501</v>
      </c>
      <c r="D3164">
        <v>-41.656087849807385</v>
      </c>
    </row>
    <row r="3165" spans="1:4" x14ac:dyDescent="0.3">
      <c r="A3165">
        <v>3204906</v>
      </c>
      <c r="B3165" t="s">
        <v>4072</v>
      </c>
      <c r="C3165">
        <v>-18.718446967859602</v>
      </c>
      <c r="D3165">
        <v>-39.858200595610505</v>
      </c>
    </row>
    <row r="3166" spans="1:4" x14ac:dyDescent="0.3">
      <c r="A3166">
        <v>3204955</v>
      </c>
      <c r="B3166" t="s">
        <v>4073</v>
      </c>
      <c r="C3166">
        <v>-19.725307204810097</v>
      </c>
      <c r="D3166">
        <v>-40.643138755547376</v>
      </c>
    </row>
    <row r="3167" spans="1:4" x14ac:dyDescent="0.3">
      <c r="A3167">
        <v>3205002</v>
      </c>
      <c r="B3167" t="s">
        <v>4074</v>
      </c>
      <c r="C3167">
        <v>-20.156769842431704</v>
      </c>
      <c r="D3167">
        <v>-40.27521703670849</v>
      </c>
    </row>
    <row r="3168" spans="1:4" x14ac:dyDescent="0.3">
      <c r="A3168">
        <v>3205010</v>
      </c>
      <c r="B3168" t="s">
        <v>4075</v>
      </c>
      <c r="C3168">
        <v>-19.19194962785615</v>
      </c>
      <c r="D3168">
        <v>-40.096490807132177</v>
      </c>
    </row>
    <row r="3169" spans="1:4" x14ac:dyDescent="0.3">
      <c r="A3169">
        <v>3205036</v>
      </c>
      <c r="B3169" t="s">
        <v>4076</v>
      </c>
      <c r="C3169">
        <v>-20.671678198787852</v>
      </c>
      <c r="D3169">
        <v>-41.007148360164344</v>
      </c>
    </row>
    <row r="3170" spans="1:4" x14ac:dyDescent="0.3">
      <c r="A3170">
        <v>3205069</v>
      </c>
      <c r="B3170" t="s">
        <v>4077</v>
      </c>
      <c r="C3170">
        <v>-20.331518177434251</v>
      </c>
      <c r="D3170">
        <v>-41.129053211088213</v>
      </c>
    </row>
    <row r="3171" spans="1:4" x14ac:dyDescent="0.3">
      <c r="A3171">
        <v>3205101</v>
      </c>
      <c r="B3171" t="s">
        <v>1678</v>
      </c>
      <c r="C3171">
        <v>-20.390862511166151</v>
      </c>
      <c r="D3171">
        <v>-40.495624335491073</v>
      </c>
    </row>
    <row r="3172" spans="1:4" x14ac:dyDescent="0.3">
      <c r="A3172">
        <v>3205150</v>
      </c>
      <c r="B3172" t="s">
        <v>4078</v>
      </c>
      <c r="C3172">
        <v>-18.620803452346003</v>
      </c>
      <c r="D3172">
        <v>-40.60241141082134</v>
      </c>
    </row>
    <row r="3173" spans="1:4" x14ac:dyDescent="0.3">
      <c r="A3173">
        <v>3205176</v>
      </c>
      <c r="B3173" t="s">
        <v>4079</v>
      </c>
      <c r="C3173">
        <v>-18.993617438914303</v>
      </c>
      <c r="D3173">
        <v>-40.390589777413766</v>
      </c>
    </row>
    <row r="3174" spans="1:4" x14ac:dyDescent="0.3">
      <c r="A3174">
        <v>3205200</v>
      </c>
      <c r="B3174" t="s">
        <v>4080</v>
      </c>
      <c r="C3174">
        <v>-20.338374104213852</v>
      </c>
      <c r="D3174">
        <v>-40.293956636947101</v>
      </c>
    </row>
    <row r="3175" spans="1:4" x14ac:dyDescent="0.3">
      <c r="A3175">
        <v>3205309</v>
      </c>
      <c r="B3175" t="s">
        <v>4081</v>
      </c>
      <c r="C3175">
        <v>-20.320153792853304</v>
      </c>
      <c r="D3175">
        <v>-40.322208726726629</v>
      </c>
    </row>
    <row r="3176" spans="1:4" x14ac:dyDescent="0.3">
      <c r="A3176">
        <v>3300100</v>
      </c>
      <c r="B3176" t="s">
        <v>4082</v>
      </c>
      <c r="C3176">
        <v>-23.009115935275499</v>
      </c>
      <c r="D3176">
        <v>-44.319627262266629</v>
      </c>
    </row>
    <row r="3177" spans="1:4" x14ac:dyDescent="0.3">
      <c r="A3177">
        <v>3300159</v>
      </c>
      <c r="B3177" t="s">
        <v>4083</v>
      </c>
      <c r="C3177">
        <v>-21.619421769786104</v>
      </c>
      <c r="D3177">
        <v>-42.104916654112586</v>
      </c>
    </row>
    <row r="3178" spans="1:4" x14ac:dyDescent="0.3">
      <c r="A3178">
        <v>3300209</v>
      </c>
      <c r="B3178" t="s">
        <v>4084</v>
      </c>
      <c r="C3178">
        <v>-22.877438387354356</v>
      </c>
      <c r="D3178">
        <v>-42.341096023163381</v>
      </c>
    </row>
    <row r="3179" spans="1:4" x14ac:dyDescent="0.3">
      <c r="A3179">
        <v>3300225</v>
      </c>
      <c r="B3179" t="s">
        <v>4085</v>
      </c>
      <c r="C3179">
        <v>-22.2369120035668</v>
      </c>
      <c r="D3179">
        <v>-43.101069805168287</v>
      </c>
    </row>
    <row r="3180" spans="1:4" x14ac:dyDescent="0.3">
      <c r="A3180">
        <v>3300233</v>
      </c>
      <c r="B3180" t="s">
        <v>4086</v>
      </c>
      <c r="C3180">
        <v>-22.75776379292375</v>
      </c>
      <c r="D3180">
        <v>-41.887749468088096</v>
      </c>
    </row>
    <row r="3181" spans="1:4" x14ac:dyDescent="0.3">
      <c r="A3181">
        <v>3300258</v>
      </c>
      <c r="B3181" t="s">
        <v>4087</v>
      </c>
      <c r="C3181">
        <v>-22.967638277583955</v>
      </c>
      <c r="D3181">
        <v>-42.028335967636842</v>
      </c>
    </row>
    <row r="3182" spans="1:4" x14ac:dyDescent="0.3">
      <c r="A3182">
        <v>3300308</v>
      </c>
      <c r="B3182" t="s">
        <v>4088</v>
      </c>
      <c r="C3182">
        <v>-22.469596292123956</v>
      </c>
      <c r="D3182">
        <v>-43.828452453825491</v>
      </c>
    </row>
    <row r="3183" spans="1:4" x14ac:dyDescent="0.3">
      <c r="A3183">
        <v>3300407</v>
      </c>
      <c r="B3183" t="s">
        <v>4089</v>
      </c>
      <c r="C3183">
        <v>-22.545301133930451</v>
      </c>
      <c r="D3183">
        <v>-44.172431373686599</v>
      </c>
    </row>
    <row r="3184" spans="1:4" x14ac:dyDescent="0.3">
      <c r="A3184">
        <v>3300456</v>
      </c>
      <c r="B3184" t="s">
        <v>4090</v>
      </c>
      <c r="C3184">
        <v>-22.764555967546052</v>
      </c>
      <c r="D3184">
        <v>-43.399624970815175</v>
      </c>
    </row>
    <row r="3185" spans="1:4" x14ac:dyDescent="0.3">
      <c r="A3185">
        <v>3300506</v>
      </c>
      <c r="B3185" t="s">
        <v>1501</v>
      </c>
      <c r="C3185">
        <v>-22.1533052283079</v>
      </c>
      <c r="D3185">
        <v>-42.417211482286788</v>
      </c>
    </row>
    <row r="3186" spans="1:4" x14ac:dyDescent="0.3">
      <c r="A3186">
        <v>3300605</v>
      </c>
      <c r="B3186" t="s">
        <v>4091</v>
      </c>
      <c r="C3186">
        <v>-21.13449744187735</v>
      </c>
      <c r="D3186">
        <v>-41.677679794981685</v>
      </c>
    </row>
    <row r="3187" spans="1:4" x14ac:dyDescent="0.3">
      <c r="A3187">
        <v>3300704</v>
      </c>
      <c r="B3187" t="s">
        <v>4092</v>
      </c>
      <c r="C3187">
        <v>-22.880764667133001</v>
      </c>
      <c r="D3187">
        <v>-42.020074801902645</v>
      </c>
    </row>
    <row r="3188" spans="1:4" x14ac:dyDescent="0.3">
      <c r="A3188">
        <v>3300803</v>
      </c>
      <c r="B3188" t="s">
        <v>4093</v>
      </c>
      <c r="C3188">
        <v>-22.467570872249699</v>
      </c>
      <c r="D3188">
        <v>-42.663164357262744</v>
      </c>
    </row>
    <row r="3189" spans="1:4" x14ac:dyDescent="0.3">
      <c r="A3189">
        <v>3300902</v>
      </c>
      <c r="B3189" t="s">
        <v>4094</v>
      </c>
      <c r="C3189">
        <v>-21.5772767096589</v>
      </c>
      <c r="D3189">
        <v>-41.908636004656152</v>
      </c>
    </row>
    <row r="3190" spans="1:4" x14ac:dyDescent="0.3">
      <c r="A3190">
        <v>3300936</v>
      </c>
      <c r="B3190" t="s">
        <v>4095</v>
      </c>
      <c r="C3190">
        <v>-22.182594727367352</v>
      </c>
      <c r="D3190">
        <v>-41.664010595857846</v>
      </c>
    </row>
    <row r="3191" spans="1:4" x14ac:dyDescent="0.3">
      <c r="A3191">
        <v>3300951</v>
      </c>
      <c r="B3191" t="s">
        <v>4096</v>
      </c>
      <c r="C3191">
        <v>-22.033358938382751</v>
      </c>
      <c r="D3191">
        <v>-43.217223715587089</v>
      </c>
    </row>
    <row r="3192" spans="1:4" x14ac:dyDescent="0.3">
      <c r="A3192">
        <v>3301009</v>
      </c>
      <c r="B3192" t="s">
        <v>4097</v>
      </c>
      <c r="C3192">
        <v>-21.751898632064051</v>
      </c>
      <c r="D3192">
        <v>-41.33047649186264</v>
      </c>
    </row>
    <row r="3193" spans="1:4" x14ac:dyDescent="0.3">
      <c r="A3193">
        <v>3301108</v>
      </c>
      <c r="B3193" t="s">
        <v>3297</v>
      </c>
      <c r="C3193">
        <v>-21.981839858792103</v>
      </c>
      <c r="D3193">
        <v>-42.365977599020972</v>
      </c>
    </row>
    <row r="3194" spans="1:4" x14ac:dyDescent="0.3">
      <c r="A3194">
        <v>3301157</v>
      </c>
      <c r="B3194" t="s">
        <v>4098</v>
      </c>
      <c r="C3194">
        <v>-21.496157356667602</v>
      </c>
      <c r="D3194">
        <v>-41.613296346210134</v>
      </c>
    </row>
    <row r="3195" spans="1:4" x14ac:dyDescent="0.3">
      <c r="A3195">
        <v>3301207</v>
      </c>
      <c r="B3195" t="s">
        <v>4099</v>
      </c>
      <c r="C3195">
        <v>-21.929311780139351</v>
      </c>
      <c r="D3195">
        <v>-42.609717640681744</v>
      </c>
    </row>
    <row r="3196" spans="1:4" x14ac:dyDescent="0.3">
      <c r="A3196">
        <v>3301306</v>
      </c>
      <c r="B3196" t="s">
        <v>4100</v>
      </c>
      <c r="C3196">
        <v>-22.479536502554801</v>
      </c>
      <c r="D3196">
        <v>-42.204210544431</v>
      </c>
    </row>
    <row r="3197" spans="1:4" x14ac:dyDescent="0.3">
      <c r="A3197">
        <v>3301405</v>
      </c>
      <c r="B3197" t="s">
        <v>4101</v>
      </c>
      <c r="C3197">
        <v>-22.087871526525351</v>
      </c>
      <c r="D3197">
        <v>-41.867758505714782</v>
      </c>
    </row>
    <row r="3198" spans="1:4" x14ac:dyDescent="0.3">
      <c r="A3198">
        <v>3301504</v>
      </c>
      <c r="B3198" t="s">
        <v>4102</v>
      </c>
      <c r="C3198">
        <v>-22.0277765631233</v>
      </c>
      <c r="D3198">
        <v>-42.363030537907719</v>
      </c>
    </row>
    <row r="3199" spans="1:4" x14ac:dyDescent="0.3">
      <c r="A3199">
        <v>3301603</v>
      </c>
      <c r="B3199" t="s">
        <v>4103</v>
      </c>
      <c r="C3199">
        <v>-22.058906089940102</v>
      </c>
      <c r="D3199">
        <v>-42.515097631466951</v>
      </c>
    </row>
    <row r="3200" spans="1:4" x14ac:dyDescent="0.3">
      <c r="A3200">
        <v>3301702</v>
      </c>
      <c r="B3200" t="s">
        <v>4104</v>
      </c>
      <c r="C3200">
        <v>-22.785253249654154</v>
      </c>
      <c r="D3200">
        <v>-43.309888071722604</v>
      </c>
    </row>
    <row r="3201" spans="1:4" x14ac:dyDescent="0.3">
      <c r="A3201">
        <v>3301801</v>
      </c>
      <c r="B3201" t="s">
        <v>4105</v>
      </c>
      <c r="C3201">
        <v>-22.543684664727301</v>
      </c>
      <c r="D3201">
        <v>-43.679476828952623</v>
      </c>
    </row>
    <row r="3202" spans="1:4" x14ac:dyDescent="0.3">
      <c r="A3202">
        <v>3301850</v>
      </c>
      <c r="B3202" t="s">
        <v>4106</v>
      </c>
      <c r="C3202">
        <v>-22.519595794123902</v>
      </c>
      <c r="D3202">
        <v>-42.978329704320743</v>
      </c>
    </row>
    <row r="3203" spans="1:4" x14ac:dyDescent="0.3">
      <c r="A3203">
        <v>3301876</v>
      </c>
      <c r="B3203" t="s">
        <v>4107</v>
      </c>
      <c r="C3203">
        <v>-22.8390569836941</v>
      </c>
      <c r="D3203">
        <v>-42.222124542323925</v>
      </c>
    </row>
    <row r="3204" spans="1:4" x14ac:dyDescent="0.3">
      <c r="A3204">
        <v>3301900</v>
      </c>
      <c r="B3204" t="s">
        <v>4108</v>
      </c>
      <c r="C3204">
        <v>-22.745863017426252</v>
      </c>
      <c r="D3204">
        <v>-42.86034342619638</v>
      </c>
    </row>
    <row r="3205" spans="1:4" x14ac:dyDescent="0.3">
      <c r="A3205">
        <v>3302007</v>
      </c>
      <c r="B3205" t="s">
        <v>4109</v>
      </c>
      <c r="C3205">
        <v>-22.871250768421952</v>
      </c>
      <c r="D3205">
        <v>-43.77504063494181</v>
      </c>
    </row>
    <row r="3206" spans="1:4" x14ac:dyDescent="0.3">
      <c r="A3206">
        <v>3302056</v>
      </c>
      <c r="B3206" t="s">
        <v>4110</v>
      </c>
      <c r="C3206">
        <v>-21.425103277982902</v>
      </c>
      <c r="D3206">
        <v>-41.690964760493024</v>
      </c>
    </row>
    <row r="3207" spans="1:4" x14ac:dyDescent="0.3">
      <c r="A3207">
        <v>3302106</v>
      </c>
      <c r="B3207" t="s">
        <v>4111</v>
      </c>
      <c r="C3207">
        <v>-21.670502673297101</v>
      </c>
      <c r="D3207">
        <v>-42.077729524570778</v>
      </c>
    </row>
    <row r="3208" spans="1:4" x14ac:dyDescent="0.3">
      <c r="A3208">
        <v>3302205</v>
      </c>
      <c r="B3208" t="s">
        <v>4112</v>
      </c>
      <c r="C3208">
        <v>-21.210591084753752</v>
      </c>
      <c r="D3208">
        <v>-41.886203176650604</v>
      </c>
    </row>
    <row r="3209" spans="1:4" x14ac:dyDescent="0.3">
      <c r="A3209">
        <v>3302254</v>
      </c>
      <c r="B3209" t="s">
        <v>4113</v>
      </c>
      <c r="C3209">
        <v>-22.4970145997172</v>
      </c>
      <c r="D3209">
        <v>-44.562771994177012</v>
      </c>
    </row>
    <row r="3210" spans="1:4" x14ac:dyDescent="0.3">
      <c r="A3210">
        <v>3302270</v>
      </c>
      <c r="B3210" t="s">
        <v>4114</v>
      </c>
      <c r="C3210">
        <v>-22.644818571111404</v>
      </c>
      <c r="D3210">
        <v>-43.653785800982781</v>
      </c>
    </row>
    <row r="3211" spans="1:4" x14ac:dyDescent="0.3">
      <c r="A3211">
        <v>3302304</v>
      </c>
      <c r="B3211" t="s">
        <v>4115</v>
      </c>
      <c r="C3211">
        <v>-21.205720835248801</v>
      </c>
      <c r="D3211">
        <v>-42.131174419234732</v>
      </c>
    </row>
    <row r="3212" spans="1:4" x14ac:dyDescent="0.3">
      <c r="A3212">
        <v>3302403</v>
      </c>
      <c r="B3212" t="s">
        <v>4116</v>
      </c>
      <c r="C3212">
        <v>-22.368704974385</v>
      </c>
      <c r="D3212">
        <v>-41.775064285475999</v>
      </c>
    </row>
    <row r="3213" spans="1:4" x14ac:dyDescent="0.3">
      <c r="A3213">
        <v>3302452</v>
      </c>
      <c r="B3213" t="s">
        <v>4117</v>
      </c>
      <c r="C3213">
        <v>-21.990229505143351</v>
      </c>
      <c r="D3213">
        <v>-42.25707387972632</v>
      </c>
    </row>
    <row r="3214" spans="1:4" x14ac:dyDescent="0.3">
      <c r="A3214">
        <v>3302502</v>
      </c>
      <c r="B3214" t="s">
        <v>4118</v>
      </c>
      <c r="C3214">
        <v>-22.654348757433404</v>
      </c>
      <c r="D3214">
        <v>-43.040246132715069</v>
      </c>
    </row>
    <row r="3215" spans="1:4" x14ac:dyDescent="0.3">
      <c r="A3215">
        <v>3302601</v>
      </c>
      <c r="B3215" t="s">
        <v>4119</v>
      </c>
      <c r="C3215">
        <v>-22.961711941240253</v>
      </c>
      <c r="D3215">
        <v>-44.041126545357614</v>
      </c>
    </row>
    <row r="3216" spans="1:4" x14ac:dyDescent="0.3">
      <c r="A3216">
        <v>3302700</v>
      </c>
      <c r="B3216" t="s">
        <v>4120</v>
      </c>
      <c r="C3216">
        <v>-22.916955337401049</v>
      </c>
      <c r="D3216">
        <v>-42.819824114826964</v>
      </c>
    </row>
    <row r="3217" spans="1:4" x14ac:dyDescent="0.3">
      <c r="A3217">
        <v>3302809</v>
      </c>
      <c r="B3217" t="s">
        <v>4121</v>
      </c>
      <c r="C3217">
        <v>-22.517422601897948</v>
      </c>
      <c r="D3217">
        <v>-43.72148688769515</v>
      </c>
    </row>
    <row r="3218" spans="1:4" x14ac:dyDescent="0.3">
      <c r="A3218">
        <v>3302858</v>
      </c>
      <c r="B3218" t="s">
        <v>3645</v>
      </c>
      <c r="C3218">
        <v>-22.768087922634951</v>
      </c>
      <c r="D3218">
        <v>-43.429223763106883</v>
      </c>
    </row>
    <row r="3219" spans="1:4" x14ac:dyDescent="0.3">
      <c r="A3219">
        <v>3302908</v>
      </c>
      <c r="B3219" t="s">
        <v>4122</v>
      </c>
      <c r="C3219">
        <v>-22.455426608425153</v>
      </c>
      <c r="D3219">
        <v>-43.47467612145936</v>
      </c>
    </row>
    <row r="3220" spans="1:4" x14ac:dyDescent="0.3">
      <c r="A3220">
        <v>3303005</v>
      </c>
      <c r="B3220" t="s">
        <v>4123</v>
      </c>
      <c r="C3220">
        <v>-21.411163299160251</v>
      </c>
      <c r="D3220">
        <v>-42.198411407190278</v>
      </c>
    </row>
    <row r="3221" spans="1:4" x14ac:dyDescent="0.3">
      <c r="A3221">
        <v>3303104</v>
      </c>
      <c r="B3221" t="s">
        <v>1416</v>
      </c>
      <c r="C3221">
        <v>-21.043756988965502</v>
      </c>
      <c r="D3221">
        <v>-41.97644031334459</v>
      </c>
    </row>
    <row r="3222" spans="1:4" x14ac:dyDescent="0.3">
      <c r="A3222">
        <v>3303203</v>
      </c>
      <c r="B3222" t="s">
        <v>4124</v>
      </c>
      <c r="C3222">
        <v>-22.8075142239115</v>
      </c>
      <c r="D3222">
        <v>-43.416609980863726</v>
      </c>
    </row>
    <row r="3223" spans="1:4" x14ac:dyDescent="0.3">
      <c r="A3223">
        <v>3303302</v>
      </c>
      <c r="B3223" t="s">
        <v>4125</v>
      </c>
      <c r="C3223">
        <v>-22.896452385127251</v>
      </c>
      <c r="D3223">
        <v>-43.075823167273469</v>
      </c>
    </row>
    <row r="3224" spans="1:4" x14ac:dyDescent="0.3">
      <c r="A3224">
        <v>3303401</v>
      </c>
      <c r="B3224" t="s">
        <v>4126</v>
      </c>
      <c r="C3224">
        <v>-22.286461459196055</v>
      </c>
      <c r="D3224">
        <v>-42.532771262963344</v>
      </c>
    </row>
    <row r="3225" spans="1:4" x14ac:dyDescent="0.3">
      <c r="A3225">
        <v>3303500</v>
      </c>
      <c r="B3225" t="s">
        <v>4127</v>
      </c>
      <c r="C3225">
        <v>-22.759834826264751</v>
      </c>
      <c r="D3225">
        <v>-43.450345329919124</v>
      </c>
    </row>
    <row r="3226" spans="1:4" x14ac:dyDescent="0.3">
      <c r="A3226">
        <v>3303609</v>
      </c>
      <c r="B3226" t="s">
        <v>4128</v>
      </c>
      <c r="C3226">
        <v>-22.60972716206625</v>
      </c>
      <c r="D3226">
        <v>-43.709384563029239</v>
      </c>
    </row>
    <row r="3227" spans="1:4" x14ac:dyDescent="0.3">
      <c r="A3227">
        <v>3303708</v>
      </c>
      <c r="B3227" t="s">
        <v>4129</v>
      </c>
      <c r="C3227">
        <v>-22.161981542183298</v>
      </c>
      <c r="D3227">
        <v>-43.289544464845683</v>
      </c>
    </row>
    <row r="3228" spans="1:4" x14ac:dyDescent="0.3">
      <c r="A3228">
        <v>3303807</v>
      </c>
      <c r="B3228" t="s">
        <v>4130</v>
      </c>
      <c r="C3228">
        <v>-23.219413607340901</v>
      </c>
      <c r="D3228">
        <v>-44.710858502017381</v>
      </c>
    </row>
    <row r="3229" spans="1:4" x14ac:dyDescent="0.3">
      <c r="A3229">
        <v>3303856</v>
      </c>
      <c r="B3229" t="s">
        <v>4131</v>
      </c>
      <c r="C3229">
        <v>-22.427414633233504</v>
      </c>
      <c r="D3229">
        <v>-43.424870916733845</v>
      </c>
    </row>
    <row r="3230" spans="1:4" x14ac:dyDescent="0.3">
      <c r="A3230">
        <v>3303906</v>
      </c>
      <c r="B3230" t="s">
        <v>4132</v>
      </c>
      <c r="C3230">
        <v>-22.510598611961804</v>
      </c>
      <c r="D3230">
        <v>-43.177336576674996</v>
      </c>
    </row>
    <row r="3231" spans="1:4" x14ac:dyDescent="0.3">
      <c r="A3231">
        <v>3303955</v>
      </c>
      <c r="B3231" t="s">
        <v>4133</v>
      </c>
      <c r="C3231">
        <v>-22.51567398579175</v>
      </c>
      <c r="D3231">
        <v>-44.000354556953901</v>
      </c>
    </row>
    <row r="3232" spans="1:4" x14ac:dyDescent="0.3">
      <c r="A3232">
        <v>3304003</v>
      </c>
      <c r="B3232" t="s">
        <v>4134</v>
      </c>
      <c r="C3232">
        <v>-22.6287569098054</v>
      </c>
      <c r="D3232">
        <v>-43.899351185765653</v>
      </c>
    </row>
    <row r="3233" spans="1:4" x14ac:dyDescent="0.3">
      <c r="A3233">
        <v>3304102</v>
      </c>
      <c r="B3233" t="s">
        <v>4135</v>
      </c>
      <c r="C3233">
        <v>-20.962607626976556</v>
      </c>
      <c r="D3233">
        <v>-42.040156358505207</v>
      </c>
    </row>
    <row r="3234" spans="1:4" x14ac:dyDescent="0.3">
      <c r="A3234">
        <v>3304110</v>
      </c>
      <c r="B3234" t="s">
        <v>4136</v>
      </c>
      <c r="C3234">
        <v>-22.432948423821021</v>
      </c>
      <c r="D3234">
        <v>-44.296900734991141</v>
      </c>
    </row>
    <row r="3235" spans="1:4" x14ac:dyDescent="0.3">
      <c r="A3235">
        <v>3304128</v>
      </c>
      <c r="B3235" t="s">
        <v>4137</v>
      </c>
      <c r="C3235">
        <v>-22.409918661677001</v>
      </c>
      <c r="D3235">
        <v>-44.262711301584162</v>
      </c>
    </row>
    <row r="3236" spans="1:4" x14ac:dyDescent="0.3">
      <c r="A3236">
        <v>3304144</v>
      </c>
      <c r="B3236" t="s">
        <v>4138</v>
      </c>
      <c r="C3236">
        <v>-22.717430490091903</v>
      </c>
      <c r="D3236">
        <v>-43.555669547082736</v>
      </c>
    </row>
    <row r="3237" spans="1:4" x14ac:dyDescent="0.3">
      <c r="A3237">
        <v>3304151</v>
      </c>
      <c r="B3237" t="s">
        <v>4139</v>
      </c>
      <c r="C3237">
        <v>-22.106640165514552</v>
      </c>
      <c r="D3237">
        <v>-41.472509400099923</v>
      </c>
    </row>
    <row r="3238" spans="1:4" x14ac:dyDescent="0.3">
      <c r="A3238">
        <v>3304201</v>
      </c>
      <c r="B3238" t="s">
        <v>4140</v>
      </c>
      <c r="C3238">
        <v>-22.471183586122802</v>
      </c>
      <c r="D3238">
        <v>-44.443613422920684</v>
      </c>
    </row>
    <row r="3239" spans="1:4" x14ac:dyDescent="0.3">
      <c r="A3239">
        <v>3304300</v>
      </c>
      <c r="B3239" t="s">
        <v>4141</v>
      </c>
      <c r="C3239">
        <v>-22.711271502570202</v>
      </c>
      <c r="D3239">
        <v>-42.625997841162707</v>
      </c>
    </row>
    <row r="3240" spans="1:4" x14ac:dyDescent="0.3">
      <c r="A3240">
        <v>3304409</v>
      </c>
      <c r="B3240" t="s">
        <v>4142</v>
      </c>
      <c r="C3240">
        <v>-22.731726834048548</v>
      </c>
      <c r="D3240">
        <v>-44.139405637707313</v>
      </c>
    </row>
    <row r="3241" spans="1:4" x14ac:dyDescent="0.3">
      <c r="A3241">
        <v>3304508</v>
      </c>
      <c r="B3241" t="s">
        <v>4143</v>
      </c>
      <c r="C3241">
        <v>-22.171862243836003</v>
      </c>
      <c r="D3241">
        <v>-43.576432948133466</v>
      </c>
    </row>
    <row r="3242" spans="1:4" x14ac:dyDescent="0.3">
      <c r="A3242">
        <v>3304524</v>
      </c>
      <c r="B3242" t="s">
        <v>4144</v>
      </c>
      <c r="C3242">
        <v>-22.523941185805</v>
      </c>
      <c r="D3242">
        <v>-41.936967127160798</v>
      </c>
    </row>
    <row r="3243" spans="1:4" x14ac:dyDescent="0.3">
      <c r="A3243">
        <v>3304557</v>
      </c>
      <c r="B3243" t="s">
        <v>4145</v>
      </c>
      <c r="C3243">
        <v>-22.876652118186456</v>
      </c>
      <c r="D3243">
        <v>-43.227875124995187</v>
      </c>
    </row>
    <row r="3244" spans="1:4" x14ac:dyDescent="0.3">
      <c r="A3244">
        <v>3304607</v>
      </c>
      <c r="B3244" t="s">
        <v>4146</v>
      </c>
      <c r="C3244">
        <v>-21.966094470677152</v>
      </c>
      <c r="D3244">
        <v>-42.014444992831521</v>
      </c>
    </row>
    <row r="3245" spans="1:4" x14ac:dyDescent="0.3">
      <c r="A3245">
        <v>3304706</v>
      </c>
      <c r="B3245" t="s">
        <v>4147</v>
      </c>
      <c r="C3245">
        <v>-21.535977120944455</v>
      </c>
      <c r="D3245">
        <v>-42.177911557488187</v>
      </c>
    </row>
    <row r="3246" spans="1:4" x14ac:dyDescent="0.3">
      <c r="A3246">
        <v>3304755</v>
      </c>
      <c r="B3246" t="s">
        <v>4148</v>
      </c>
      <c r="C3246">
        <v>-21.4801381322882</v>
      </c>
      <c r="D3246">
        <v>-41.117719728579772</v>
      </c>
    </row>
    <row r="3247" spans="1:4" x14ac:dyDescent="0.3">
      <c r="A3247">
        <v>3304805</v>
      </c>
      <c r="B3247" t="s">
        <v>4149</v>
      </c>
      <c r="C3247">
        <v>-21.643626546627949</v>
      </c>
      <c r="D3247">
        <v>-41.755592312335828</v>
      </c>
    </row>
    <row r="3248" spans="1:4" x14ac:dyDescent="0.3">
      <c r="A3248">
        <v>3304904</v>
      </c>
      <c r="B3248" t="s">
        <v>4150</v>
      </c>
      <c r="C3248">
        <v>-22.829547313026101</v>
      </c>
      <c r="D3248">
        <v>-43.032335061964822</v>
      </c>
    </row>
    <row r="3249" spans="1:4" x14ac:dyDescent="0.3">
      <c r="A3249">
        <v>3305000</v>
      </c>
      <c r="B3249" t="s">
        <v>4151</v>
      </c>
      <c r="C3249">
        <v>-21.640457752379248</v>
      </c>
      <c r="D3249">
        <v>-41.05034814548398</v>
      </c>
    </row>
    <row r="3250" spans="1:4" x14ac:dyDescent="0.3">
      <c r="A3250">
        <v>3305109</v>
      </c>
      <c r="B3250" t="s">
        <v>4152</v>
      </c>
      <c r="C3250">
        <v>-22.80233080863395</v>
      </c>
      <c r="D3250">
        <v>-43.371884603039526</v>
      </c>
    </row>
    <row r="3251" spans="1:4" x14ac:dyDescent="0.3">
      <c r="A3251">
        <v>3305133</v>
      </c>
      <c r="B3251" t="s">
        <v>4153</v>
      </c>
      <c r="C3251">
        <v>-21.360221109757351</v>
      </c>
      <c r="D3251">
        <v>-41.941231941445785</v>
      </c>
    </row>
    <row r="3252" spans="1:4" x14ac:dyDescent="0.3">
      <c r="A3252">
        <v>3305158</v>
      </c>
      <c r="B3252" t="s">
        <v>4154</v>
      </c>
      <c r="C3252">
        <v>-22.149739510490324</v>
      </c>
      <c r="D3252">
        <v>-42.923368301334094</v>
      </c>
    </row>
    <row r="3253" spans="1:4" x14ac:dyDescent="0.3">
      <c r="A3253">
        <v>3305208</v>
      </c>
      <c r="B3253" t="s">
        <v>4155</v>
      </c>
      <c r="C3253">
        <v>-22.837203194755649</v>
      </c>
      <c r="D3253">
        <v>-42.103528670154155</v>
      </c>
    </row>
    <row r="3254" spans="1:4" x14ac:dyDescent="0.3">
      <c r="A3254">
        <v>3305307</v>
      </c>
      <c r="B3254" t="s">
        <v>4156</v>
      </c>
      <c r="C3254">
        <v>-21.954463410854853</v>
      </c>
      <c r="D3254">
        <v>-42.130219678486398</v>
      </c>
    </row>
    <row r="3255" spans="1:4" x14ac:dyDescent="0.3">
      <c r="A3255">
        <v>3305406</v>
      </c>
      <c r="B3255" t="s">
        <v>1311</v>
      </c>
      <c r="C3255">
        <v>-21.9939558651925</v>
      </c>
      <c r="D3255">
        <v>-42.914175360467645</v>
      </c>
    </row>
    <row r="3256" spans="1:4" x14ac:dyDescent="0.3">
      <c r="A3256">
        <v>3305505</v>
      </c>
      <c r="B3256" t="s">
        <v>4157</v>
      </c>
      <c r="C3256">
        <v>-22.931127415995949</v>
      </c>
      <c r="D3256">
        <v>-42.496694050033803</v>
      </c>
    </row>
    <row r="3257" spans="1:4" x14ac:dyDescent="0.3">
      <c r="A3257">
        <v>3305554</v>
      </c>
      <c r="B3257" t="s">
        <v>4158</v>
      </c>
      <c r="C3257">
        <v>-22.74301106802405</v>
      </c>
      <c r="D3257">
        <v>-43.70192522116178</v>
      </c>
    </row>
    <row r="3258" spans="1:4" x14ac:dyDescent="0.3">
      <c r="A3258">
        <v>3305604</v>
      </c>
      <c r="B3258" t="s">
        <v>4159</v>
      </c>
      <c r="C3258">
        <v>-22.654330198418549</v>
      </c>
      <c r="D3258">
        <v>-42.38982592735379</v>
      </c>
    </row>
    <row r="3259" spans="1:4" x14ac:dyDescent="0.3">
      <c r="A3259">
        <v>3305703</v>
      </c>
      <c r="B3259" t="s">
        <v>4160</v>
      </c>
      <c r="C3259">
        <v>-22.050669410834701</v>
      </c>
      <c r="D3259">
        <v>-42.678625581111923</v>
      </c>
    </row>
    <row r="3260" spans="1:4" x14ac:dyDescent="0.3">
      <c r="A3260">
        <v>3305752</v>
      </c>
      <c r="B3260" t="s">
        <v>4161</v>
      </c>
      <c r="C3260">
        <v>-22.733937434316434</v>
      </c>
      <c r="D3260">
        <v>-42.721171948412938</v>
      </c>
    </row>
    <row r="3261" spans="1:4" x14ac:dyDescent="0.3">
      <c r="A3261">
        <v>3305802</v>
      </c>
      <c r="B3261" t="s">
        <v>4162</v>
      </c>
      <c r="C3261">
        <v>-22.409004945563151</v>
      </c>
      <c r="D3261">
        <v>-42.962956713902443</v>
      </c>
    </row>
    <row r="3262" spans="1:4" x14ac:dyDescent="0.3">
      <c r="A3262">
        <v>3305901</v>
      </c>
      <c r="B3262" t="s">
        <v>4163</v>
      </c>
      <c r="C3262">
        <v>-22.061379704848605</v>
      </c>
      <c r="D3262">
        <v>-42.054815248620208</v>
      </c>
    </row>
    <row r="3263" spans="1:4" x14ac:dyDescent="0.3">
      <c r="A3263">
        <v>3306008</v>
      </c>
      <c r="B3263" t="s">
        <v>4164</v>
      </c>
      <c r="C3263">
        <v>-22.117448000951704</v>
      </c>
      <c r="D3263">
        <v>-43.211609444335359</v>
      </c>
    </row>
    <row r="3264" spans="1:4" x14ac:dyDescent="0.3">
      <c r="A3264">
        <v>3306107</v>
      </c>
      <c r="B3264" t="s">
        <v>3161</v>
      </c>
      <c r="C3264">
        <v>-22.244719431179352</v>
      </c>
      <c r="D3264">
        <v>-43.704843678327094</v>
      </c>
    </row>
    <row r="3265" spans="1:4" x14ac:dyDescent="0.3">
      <c r="A3265">
        <v>3306156</v>
      </c>
      <c r="B3265" t="s">
        <v>4165</v>
      </c>
      <c r="C3265">
        <v>-20.929297663870901</v>
      </c>
      <c r="D3265">
        <v>-41.863295388298816</v>
      </c>
    </row>
    <row r="3266" spans="1:4" x14ac:dyDescent="0.3">
      <c r="A3266">
        <v>3306206</v>
      </c>
      <c r="B3266" t="s">
        <v>4166</v>
      </c>
      <c r="C3266">
        <v>-22.4090075730264</v>
      </c>
      <c r="D3266">
        <v>-43.663874024513206</v>
      </c>
    </row>
    <row r="3267" spans="1:4" x14ac:dyDescent="0.3">
      <c r="A3267">
        <v>3306305</v>
      </c>
      <c r="B3267" t="s">
        <v>4167</v>
      </c>
      <c r="C3267">
        <v>-22.509967600797751</v>
      </c>
      <c r="D3267">
        <v>-44.093521884687092</v>
      </c>
    </row>
    <row r="3268" spans="1:4" x14ac:dyDescent="0.3">
      <c r="A3268">
        <v>3500105</v>
      </c>
      <c r="B3268" t="s">
        <v>4168</v>
      </c>
      <c r="C3268">
        <v>-21.688311480000003</v>
      </c>
      <c r="D3268">
        <v>-51.073364749581806</v>
      </c>
    </row>
    <row r="3269" spans="1:4" x14ac:dyDescent="0.3">
      <c r="A3269">
        <v>3500204</v>
      </c>
      <c r="B3269" t="s">
        <v>4169</v>
      </c>
      <c r="C3269">
        <v>-21.232729777347952</v>
      </c>
      <c r="D3269">
        <v>-49.649721425559569</v>
      </c>
    </row>
    <row r="3270" spans="1:4" x14ac:dyDescent="0.3">
      <c r="A3270">
        <v>3500303</v>
      </c>
      <c r="B3270" t="s">
        <v>4170</v>
      </c>
      <c r="C3270">
        <v>-22.059684000000001</v>
      </c>
      <c r="D3270">
        <v>-46.979693109269718</v>
      </c>
    </row>
    <row r="3271" spans="1:4" x14ac:dyDescent="0.3">
      <c r="A3271">
        <v>3500402</v>
      </c>
      <c r="B3271" t="s">
        <v>4171</v>
      </c>
      <c r="C3271">
        <v>-21.934829000000004</v>
      </c>
      <c r="D3271">
        <v>-46.716766709626121</v>
      </c>
    </row>
    <row r="3272" spans="1:4" x14ac:dyDescent="0.3">
      <c r="A3272">
        <v>3500501</v>
      </c>
      <c r="B3272" t="s">
        <v>4172</v>
      </c>
      <c r="C3272">
        <v>-22.473822036170656</v>
      </c>
      <c r="D3272">
        <v>-46.631778835922162</v>
      </c>
    </row>
    <row r="3273" spans="1:4" x14ac:dyDescent="0.3">
      <c r="A3273">
        <v>3500550</v>
      </c>
      <c r="B3273" t="s">
        <v>4173</v>
      </c>
      <c r="C3273">
        <v>-22.869149409424953</v>
      </c>
      <c r="D3273">
        <v>-49.238607767131619</v>
      </c>
    </row>
    <row r="3274" spans="1:4" x14ac:dyDescent="0.3">
      <c r="A3274">
        <v>3500600</v>
      </c>
      <c r="B3274" t="s">
        <v>4174</v>
      </c>
      <c r="C3274">
        <v>-22.597339553853903</v>
      </c>
      <c r="D3274">
        <v>-47.883974740977592</v>
      </c>
    </row>
    <row r="3275" spans="1:4" x14ac:dyDescent="0.3">
      <c r="A3275">
        <v>3500709</v>
      </c>
      <c r="B3275" t="s">
        <v>4175</v>
      </c>
      <c r="C3275">
        <v>-22.474037000000003</v>
      </c>
      <c r="D3275">
        <v>-48.990156287942362</v>
      </c>
    </row>
    <row r="3276" spans="1:4" x14ac:dyDescent="0.3">
      <c r="A3276">
        <v>3500758</v>
      </c>
      <c r="B3276" t="s">
        <v>4176</v>
      </c>
      <c r="C3276">
        <v>-23.553898892670556</v>
      </c>
      <c r="D3276">
        <v>-47.893588387233564</v>
      </c>
    </row>
    <row r="3277" spans="1:4" x14ac:dyDescent="0.3">
      <c r="A3277">
        <v>3500808</v>
      </c>
      <c r="B3277" t="s">
        <v>4177</v>
      </c>
      <c r="C3277">
        <v>-21.952741123600152</v>
      </c>
      <c r="D3277">
        <v>-51.412938066506307</v>
      </c>
    </row>
    <row r="3278" spans="1:4" x14ac:dyDescent="0.3">
      <c r="A3278">
        <v>3500907</v>
      </c>
      <c r="B3278" t="s">
        <v>4178</v>
      </c>
      <c r="C3278">
        <v>-20.523304881603952</v>
      </c>
      <c r="D3278">
        <v>-49.060110754240945</v>
      </c>
    </row>
    <row r="3279" spans="1:4" x14ac:dyDescent="0.3">
      <c r="A3279">
        <v>3501004</v>
      </c>
      <c r="B3279" t="s">
        <v>4179</v>
      </c>
      <c r="C3279">
        <v>-21.02458264457281</v>
      </c>
      <c r="D3279">
        <v>-47.373280292890094</v>
      </c>
    </row>
    <row r="3280" spans="1:4" x14ac:dyDescent="0.3">
      <c r="A3280">
        <v>3501103</v>
      </c>
      <c r="B3280" t="s">
        <v>74</v>
      </c>
      <c r="C3280">
        <v>-21.581689457205304</v>
      </c>
      <c r="D3280">
        <v>-50.163596796087383</v>
      </c>
    </row>
    <row r="3281" spans="1:4" x14ac:dyDescent="0.3">
      <c r="A3281">
        <v>3501152</v>
      </c>
      <c r="B3281" t="s">
        <v>4180</v>
      </c>
      <c r="C3281">
        <v>-23.533373047846855</v>
      </c>
      <c r="D3281">
        <v>-47.259056918470357</v>
      </c>
    </row>
    <row r="3282" spans="1:4" x14ac:dyDescent="0.3">
      <c r="A3282">
        <v>3501202</v>
      </c>
      <c r="B3282" t="s">
        <v>4181</v>
      </c>
      <c r="C3282">
        <v>-20.3198762474474</v>
      </c>
      <c r="D3282">
        <v>-49.911184812489964</v>
      </c>
    </row>
    <row r="3283" spans="1:4" x14ac:dyDescent="0.3">
      <c r="A3283">
        <v>3501301</v>
      </c>
      <c r="B3283" t="s">
        <v>4182</v>
      </c>
      <c r="C3283">
        <v>-22.077778995000003</v>
      </c>
      <c r="D3283">
        <v>-51.468797273012463</v>
      </c>
    </row>
    <row r="3284" spans="1:4" x14ac:dyDescent="0.3">
      <c r="A3284">
        <v>3501400</v>
      </c>
      <c r="B3284" t="s">
        <v>4183</v>
      </c>
      <c r="C3284">
        <v>-22.076374634043351</v>
      </c>
      <c r="D3284">
        <v>-49.720609020316033</v>
      </c>
    </row>
    <row r="3285" spans="1:4" x14ac:dyDescent="0.3">
      <c r="A3285">
        <v>3501509</v>
      </c>
      <c r="B3285" t="s">
        <v>4184</v>
      </c>
      <c r="C3285">
        <v>-22.445010151578803</v>
      </c>
      <c r="D3285">
        <v>-49.763033029359946</v>
      </c>
    </row>
    <row r="3286" spans="1:4" x14ac:dyDescent="0.3">
      <c r="A3286">
        <v>3501608</v>
      </c>
      <c r="B3286" t="s">
        <v>4185</v>
      </c>
      <c r="C3286">
        <v>-22.740883500000006</v>
      </c>
      <c r="D3286">
        <v>-47.330362926381412</v>
      </c>
    </row>
    <row r="3287" spans="1:4" x14ac:dyDescent="0.3">
      <c r="A3287">
        <v>3501707</v>
      </c>
      <c r="B3287" t="s">
        <v>4186</v>
      </c>
      <c r="C3287">
        <v>-21.730036500000004</v>
      </c>
      <c r="D3287">
        <v>-48.106604561843916</v>
      </c>
    </row>
    <row r="3288" spans="1:4" x14ac:dyDescent="0.3">
      <c r="A3288">
        <v>3501806</v>
      </c>
      <c r="B3288" t="s">
        <v>4187</v>
      </c>
      <c r="C3288">
        <v>-20.296401943598305</v>
      </c>
      <c r="D3288">
        <v>-49.727026837449621</v>
      </c>
    </row>
    <row r="3289" spans="1:4" x14ac:dyDescent="0.3">
      <c r="A3289">
        <v>3501905</v>
      </c>
      <c r="B3289" t="s">
        <v>2255</v>
      </c>
      <c r="C3289">
        <v>-22.699388626340653</v>
      </c>
      <c r="D3289">
        <v>-46.765085690463664</v>
      </c>
    </row>
    <row r="3290" spans="1:4" x14ac:dyDescent="0.3">
      <c r="A3290">
        <v>3502002</v>
      </c>
      <c r="B3290" t="s">
        <v>4188</v>
      </c>
      <c r="C3290">
        <v>-22.128785499340903</v>
      </c>
      <c r="D3290">
        <v>-47.660766415922573</v>
      </c>
    </row>
    <row r="3291" spans="1:4" x14ac:dyDescent="0.3">
      <c r="A3291">
        <v>3502101</v>
      </c>
      <c r="B3291" t="s">
        <v>4189</v>
      </c>
      <c r="C3291">
        <v>-20.901463515000003</v>
      </c>
      <c r="D3291">
        <v>-51.378847794763693</v>
      </c>
    </row>
    <row r="3292" spans="1:4" x14ac:dyDescent="0.3">
      <c r="A3292">
        <v>3502200</v>
      </c>
      <c r="B3292" t="s">
        <v>4190</v>
      </c>
      <c r="C3292">
        <v>-23.483987000000003</v>
      </c>
      <c r="D3292">
        <v>-48.406759616492963</v>
      </c>
    </row>
    <row r="3293" spans="1:4" x14ac:dyDescent="0.3">
      <c r="A3293">
        <v>3502309</v>
      </c>
      <c r="B3293" t="s">
        <v>4191</v>
      </c>
      <c r="C3293">
        <v>-22.786320939625003</v>
      </c>
      <c r="D3293">
        <v>-48.126926830642979</v>
      </c>
    </row>
    <row r="3294" spans="1:4" x14ac:dyDescent="0.3">
      <c r="A3294">
        <v>3502408</v>
      </c>
      <c r="B3294" t="s">
        <v>4192</v>
      </c>
      <c r="C3294">
        <v>-22.293237175831106</v>
      </c>
      <c r="D3294">
        <v>-51.386074423277968</v>
      </c>
    </row>
    <row r="3295" spans="1:4" x14ac:dyDescent="0.3">
      <c r="A3295">
        <v>3502507</v>
      </c>
      <c r="B3295" t="s">
        <v>2256</v>
      </c>
      <c r="C3295">
        <v>-22.848154000000008</v>
      </c>
      <c r="D3295">
        <v>-45.229429338091826</v>
      </c>
    </row>
    <row r="3296" spans="1:4" x14ac:dyDescent="0.3">
      <c r="A3296">
        <v>3502606</v>
      </c>
      <c r="B3296" t="s">
        <v>4193</v>
      </c>
      <c r="C3296">
        <v>-20.4508453725492</v>
      </c>
      <c r="D3296">
        <v>-50.885615706166355</v>
      </c>
    </row>
    <row r="3297" spans="1:4" x14ac:dyDescent="0.3">
      <c r="A3297">
        <v>3502705</v>
      </c>
      <c r="B3297" t="s">
        <v>4194</v>
      </c>
      <c r="C3297">
        <v>-24.513316000000007</v>
      </c>
      <c r="D3297">
        <v>-48.848659904639831</v>
      </c>
    </row>
    <row r="3298" spans="1:4" x14ac:dyDescent="0.3">
      <c r="A3298">
        <v>3502754</v>
      </c>
      <c r="B3298" t="s">
        <v>4195</v>
      </c>
      <c r="C3298">
        <v>-23.430040848169252</v>
      </c>
      <c r="D3298">
        <v>-47.071547636190239</v>
      </c>
    </row>
    <row r="3299" spans="1:4" x14ac:dyDescent="0.3">
      <c r="A3299">
        <v>3502804</v>
      </c>
      <c r="B3299" t="s">
        <v>4196</v>
      </c>
      <c r="C3299">
        <v>-21.205476000000004</v>
      </c>
      <c r="D3299">
        <v>-50.439226072752582</v>
      </c>
    </row>
    <row r="3300" spans="1:4" x14ac:dyDescent="0.3">
      <c r="A3300">
        <v>3502903</v>
      </c>
      <c r="B3300" t="s">
        <v>4197</v>
      </c>
      <c r="C3300">
        <v>-23.507319797218656</v>
      </c>
      <c r="D3300">
        <v>-47.587242938627121</v>
      </c>
    </row>
    <row r="3301" spans="1:4" x14ac:dyDescent="0.3">
      <c r="A3301">
        <v>3503000</v>
      </c>
      <c r="B3301" t="s">
        <v>4198</v>
      </c>
      <c r="C3301">
        <v>-20.089944207125054</v>
      </c>
      <c r="D3301">
        <v>-47.786013041037712</v>
      </c>
    </row>
    <row r="3302" spans="1:4" x14ac:dyDescent="0.3">
      <c r="A3302">
        <v>3503109</v>
      </c>
      <c r="B3302" t="s">
        <v>4199</v>
      </c>
      <c r="C3302">
        <v>-23.133407115644449</v>
      </c>
      <c r="D3302">
        <v>-49.050975871537453</v>
      </c>
    </row>
    <row r="3303" spans="1:4" x14ac:dyDescent="0.3">
      <c r="A3303">
        <v>3503158</v>
      </c>
      <c r="B3303" t="s">
        <v>4200</v>
      </c>
      <c r="C3303">
        <v>-22.674798723272453</v>
      </c>
      <c r="D3303">
        <v>-44.448106556794272</v>
      </c>
    </row>
    <row r="3304" spans="1:4" x14ac:dyDescent="0.3">
      <c r="A3304">
        <v>3503208</v>
      </c>
      <c r="B3304" t="s">
        <v>4201</v>
      </c>
      <c r="C3304">
        <v>-21.790359500000005</v>
      </c>
      <c r="D3304">
        <v>-48.174439937543745</v>
      </c>
    </row>
    <row r="3305" spans="1:4" x14ac:dyDescent="0.3">
      <c r="A3305">
        <v>3503307</v>
      </c>
      <c r="B3305" t="s">
        <v>4202</v>
      </c>
      <c r="C3305">
        <v>-22.357086519658704</v>
      </c>
      <c r="D3305">
        <v>-47.385829527469362</v>
      </c>
    </row>
    <row r="3306" spans="1:4" x14ac:dyDescent="0.3">
      <c r="A3306">
        <v>3503356</v>
      </c>
      <c r="B3306" t="s">
        <v>4203</v>
      </c>
      <c r="C3306">
        <v>-21.773914025021153</v>
      </c>
      <c r="D3306">
        <v>-50.464910868264113</v>
      </c>
    </row>
    <row r="3307" spans="1:4" x14ac:dyDescent="0.3">
      <c r="A3307">
        <v>3503406</v>
      </c>
      <c r="B3307" t="s">
        <v>4204</v>
      </c>
      <c r="C3307">
        <v>-22.024767499308755</v>
      </c>
      <c r="D3307">
        <v>-48.920414801370661</v>
      </c>
    </row>
    <row r="3308" spans="1:4" x14ac:dyDescent="0.3">
      <c r="A3308">
        <v>3503505</v>
      </c>
      <c r="B3308" t="s">
        <v>4205</v>
      </c>
      <c r="C3308">
        <v>-22.582193885871909</v>
      </c>
      <c r="D3308">
        <v>-44.699432005090451</v>
      </c>
    </row>
    <row r="3309" spans="1:4" x14ac:dyDescent="0.3">
      <c r="A3309">
        <v>3503604</v>
      </c>
      <c r="B3309" t="s">
        <v>4206</v>
      </c>
      <c r="C3309">
        <v>-22.673940449164554</v>
      </c>
      <c r="D3309">
        <v>-48.665594558484656</v>
      </c>
    </row>
    <row r="3310" spans="1:4" x14ac:dyDescent="0.3">
      <c r="A3310">
        <v>3503703</v>
      </c>
      <c r="B3310" t="s">
        <v>4207</v>
      </c>
      <c r="C3310">
        <v>-21.186127442915851</v>
      </c>
      <c r="D3310">
        <v>-48.788336564107944</v>
      </c>
    </row>
    <row r="3311" spans="1:4" x14ac:dyDescent="0.3">
      <c r="A3311">
        <v>3503802</v>
      </c>
      <c r="B3311" t="s">
        <v>4208</v>
      </c>
      <c r="C3311">
        <v>-22.571343010476571</v>
      </c>
      <c r="D3311">
        <v>-47.164301150267747</v>
      </c>
    </row>
    <row r="3312" spans="1:4" x14ac:dyDescent="0.3">
      <c r="A3312">
        <v>3503901</v>
      </c>
      <c r="B3312" t="s">
        <v>4209</v>
      </c>
      <c r="C3312">
        <v>-23.395826740999905</v>
      </c>
      <c r="D3312">
        <v>-46.320489600113774</v>
      </c>
    </row>
    <row r="3313" spans="1:4" x14ac:dyDescent="0.3">
      <c r="A3313">
        <v>3503950</v>
      </c>
      <c r="B3313" t="s">
        <v>4210</v>
      </c>
      <c r="C3313">
        <v>-20.158189985895003</v>
      </c>
      <c r="D3313">
        <v>-50.726962671419088</v>
      </c>
    </row>
    <row r="3314" spans="1:4" x14ac:dyDescent="0.3">
      <c r="A3314">
        <v>3504008</v>
      </c>
      <c r="B3314" t="s">
        <v>4211</v>
      </c>
      <c r="C3314">
        <v>-22.662835020000003</v>
      </c>
      <c r="D3314">
        <v>-50.417510040000003</v>
      </c>
    </row>
    <row r="3315" spans="1:4" x14ac:dyDescent="0.3">
      <c r="A3315">
        <v>3504107</v>
      </c>
      <c r="B3315" t="s">
        <v>4212</v>
      </c>
      <c r="C3315">
        <v>-23.116308</v>
      </c>
      <c r="D3315">
        <v>-46.555062500674296</v>
      </c>
    </row>
    <row r="3316" spans="1:4" x14ac:dyDescent="0.3">
      <c r="A3316">
        <v>3504206</v>
      </c>
      <c r="B3316" t="s">
        <v>4213</v>
      </c>
      <c r="C3316">
        <v>-20.6873348994576</v>
      </c>
      <c r="D3316">
        <v>-50.553959333214863</v>
      </c>
    </row>
    <row r="3317" spans="1:4" x14ac:dyDescent="0.3">
      <c r="A3317">
        <v>3504305</v>
      </c>
      <c r="B3317" t="s">
        <v>4214</v>
      </c>
      <c r="C3317">
        <v>-22.156772116287204</v>
      </c>
      <c r="D3317">
        <v>-49.336815041183421</v>
      </c>
    </row>
    <row r="3318" spans="1:4" x14ac:dyDescent="0.3">
      <c r="A3318">
        <v>3504404</v>
      </c>
      <c r="B3318" t="s">
        <v>4215</v>
      </c>
      <c r="C3318">
        <v>-21.460870560715154</v>
      </c>
      <c r="D3318">
        <v>-49.942697301187621</v>
      </c>
    </row>
    <row r="3319" spans="1:4" x14ac:dyDescent="0.3">
      <c r="A3319">
        <v>3504503</v>
      </c>
      <c r="B3319" t="s">
        <v>4216</v>
      </c>
      <c r="C3319">
        <v>-23.1031935</v>
      </c>
      <c r="D3319">
        <v>-48.92326319435665</v>
      </c>
    </row>
    <row r="3320" spans="1:4" x14ac:dyDescent="0.3">
      <c r="A3320">
        <v>3504602</v>
      </c>
      <c r="B3320" t="s">
        <v>4217</v>
      </c>
      <c r="C3320">
        <v>-20.918563779599804</v>
      </c>
      <c r="D3320">
        <v>-49.44857370929315</v>
      </c>
    </row>
    <row r="3321" spans="1:4" x14ac:dyDescent="0.3">
      <c r="A3321">
        <v>3504701</v>
      </c>
      <c r="B3321" t="s">
        <v>4218</v>
      </c>
      <c r="C3321">
        <v>-21.901523782031152</v>
      </c>
      <c r="D3321">
        <v>-49.356473499413504</v>
      </c>
    </row>
    <row r="3322" spans="1:4" x14ac:dyDescent="0.3">
      <c r="A3322">
        <v>3504800</v>
      </c>
      <c r="B3322" t="s">
        <v>4219</v>
      </c>
      <c r="C3322">
        <v>-20.738263778181601</v>
      </c>
      <c r="D3322">
        <v>-49.579327690024719</v>
      </c>
    </row>
    <row r="3323" spans="1:4" x14ac:dyDescent="0.3">
      <c r="A3323">
        <v>3504909</v>
      </c>
      <c r="B3323" t="s">
        <v>4220</v>
      </c>
      <c r="C3323">
        <v>-22.682615999324106</v>
      </c>
      <c r="D3323">
        <v>-44.323330128990769</v>
      </c>
    </row>
    <row r="3324" spans="1:4" x14ac:dyDescent="0.3">
      <c r="A3324">
        <v>3505005</v>
      </c>
      <c r="B3324" t="s">
        <v>4221</v>
      </c>
      <c r="C3324">
        <v>-23.627110519724603</v>
      </c>
      <c r="D3324">
        <v>-49.566063896902328</v>
      </c>
    </row>
    <row r="3325" spans="1:4" x14ac:dyDescent="0.3">
      <c r="A3325">
        <v>3505104</v>
      </c>
      <c r="B3325" t="s">
        <v>4222</v>
      </c>
      <c r="C3325">
        <v>-21.259025921970753</v>
      </c>
      <c r="D3325">
        <v>-49.953988516548904</v>
      </c>
    </row>
    <row r="3326" spans="1:4" x14ac:dyDescent="0.3">
      <c r="A3326">
        <v>3505203</v>
      </c>
      <c r="B3326" t="s">
        <v>4223</v>
      </c>
      <c r="C3326">
        <v>-22.071978000000001</v>
      </c>
      <c r="D3326">
        <v>-48.74152477123976</v>
      </c>
    </row>
    <row r="3327" spans="1:4" x14ac:dyDescent="0.3">
      <c r="A3327">
        <v>3505302</v>
      </c>
      <c r="B3327" t="s">
        <v>4224</v>
      </c>
      <c r="C3327">
        <v>-22.491145500000005</v>
      </c>
      <c r="D3327">
        <v>-48.563229227569458</v>
      </c>
    </row>
    <row r="3328" spans="1:4" x14ac:dyDescent="0.3">
      <c r="A3328">
        <v>3505351</v>
      </c>
      <c r="B3328" t="s">
        <v>4225</v>
      </c>
      <c r="C3328">
        <v>-24.471425999287952</v>
      </c>
      <c r="D3328">
        <v>-49.027139136803854</v>
      </c>
    </row>
    <row r="3329" spans="1:4" x14ac:dyDescent="0.3">
      <c r="A3329">
        <v>3505401</v>
      </c>
      <c r="B3329" t="s">
        <v>4226</v>
      </c>
      <c r="C3329">
        <v>-24.759386656017259</v>
      </c>
      <c r="D3329">
        <v>-48.502343452770837</v>
      </c>
    </row>
    <row r="3330" spans="1:4" x14ac:dyDescent="0.3">
      <c r="A3330">
        <v>3505500</v>
      </c>
      <c r="B3330" t="s">
        <v>4227</v>
      </c>
      <c r="C3330">
        <v>-20.558455515000002</v>
      </c>
      <c r="D3330">
        <v>-48.567377839455055</v>
      </c>
    </row>
    <row r="3331" spans="1:4" x14ac:dyDescent="0.3">
      <c r="A3331">
        <v>3505609</v>
      </c>
      <c r="B3331" t="s">
        <v>4228</v>
      </c>
      <c r="C3331">
        <v>-21.191743500000005</v>
      </c>
      <c r="D3331">
        <v>-48.162813518526143</v>
      </c>
    </row>
    <row r="3332" spans="1:4" x14ac:dyDescent="0.3">
      <c r="A3332">
        <v>3505708</v>
      </c>
      <c r="B3332" t="s">
        <v>4229</v>
      </c>
      <c r="C3332">
        <v>-23.508902000000003</v>
      </c>
      <c r="D3332">
        <v>-46.874652886530505</v>
      </c>
    </row>
    <row r="3333" spans="1:4" x14ac:dyDescent="0.3">
      <c r="A3333">
        <v>3505807</v>
      </c>
      <c r="B3333" t="s">
        <v>4230</v>
      </c>
      <c r="C3333">
        <v>-21.921037470000005</v>
      </c>
      <c r="D3333">
        <v>-50.734870861895374</v>
      </c>
    </row>
    <row r="3334" spans="1:4" x14ac:dyDescent="0.3">
      <c r="A3334">
        <v>3505906</v>
      </c>
      <c r="B3334" t="s">
        <v>4231</v>
      </c>
      <c r="C3334">
        <v>-20.891929500000003</v>
      </c>
      <c r="D3334">
        <v>-47.586106726868273</v>
      </c>
    </row>
    <row r="3335" spans="1:4" x14ac:dyDescent="0.3">
      <c r="A3335">
        <v>3506003</v>
      </c>
      <c r="B3335" t="s">
        <v>4232</v>
      </c>
      <c r="C3335">
        <v>-22.325122500000006</v>
      </c>
      <c r="D3335">
        <v>-49.083000867090362</v>
      </c>
    </row>
    <row r="3336" spans="1:4" x14ac:dyDescent="0.3">
      <c r="A3336">
        <v>3506102</v>
      </c>
      <c r="B3336" t="s">
        <v>4233</v>
      </c>
      <c r="C3336">
        <v>-20.949815520000005</v>
      </c>
      <c r="D3336">
        <v>-48.477362174701703</v>
      </c>
    </row>
    <row r="3337" spans="1:4" x14ac:dyDescent="0.3">
      <c r="A3337">
        <v>3506201</v>
      </c>
      <c r="B3337" t="s">
        <v>4234</v>
      </c>
      <c r="C3337">
        <v>-21.269108021202353</v>
      </c>
      <c r="D3337">
        <v>-50.811852214805619</v>
      </c>
    </row>
    <row r="3338" spans="1:4" x14ac:dyDescent="0.3">
      <c r="A3338">
        <v>3506300</v>
      </c>
      <c r="B3338" t="s">
        <v>4235</v>
      </c>
      <c r="C3338">
        <v>-23.013553004003153</v>
      </c>
      <c r="D3338">
        <v>-49.474043484681708</v>
      </c>
    </row>
    <row r="3339" spans="1:4" x14ac:dyDescent="0.3">
      <c r="A3339">
        <v>3506359</v>
      </c>
      <c r="B3339" t="s">
        <v>4236</v>
      </c>
      <c r="C3339">
        <v>-23.854014500000005</v>
      </c>
      <c r="D3339">
        <v>-46.136538335134581</v>
      </c>
    </row>
    <row r="3340" spans="1:4" x14ac:dyDescent="0.3">
      <c r="A3340">
        <v>3506409</v>
      </c>
      <c r="B3340" t="s">
        <v>4237</v>
      </c>
      <c r="C3340">
        <v>-21.402571135191707</v>
      </c>
      <c r="D3340">
        <v>-50.481110480500149</v>
      </c>
    </row>
    <row r="3341" spans="1:4" x14ac:dyDescent="0.3">
      <c r="A3341">
        <v>3506508</v>
      </c>
      <c r="B3341" t="s">
        <v>4238</v>
      </c>
      <c r="C3341">
        <v>-21.292392288249403</v>
      </c>
      <c r="D3341">
        <v>-50.339328516986953</v>
      </c>
    </row>
    <row r="3342" spans="1:4" x14ac:dyDescent="0.3">
      <c r="A3342">
        <v>3506607</v>
      </c>
      <c r="B3342" t="s">
        <v>4239</v>
      </c>
      <c r="C3342">
        <v>-23.571033387499956</v>
      </c>
      <c r="D3342">
        <v>-46.041212224814579</v>
      </c>
    </row>
    <row r="3343" spans="1:4" x14ac:dyDescent="0.3">
      <c r="A3343">
        <v>3506706</v>
      </c>
      <c r="B3343" t="s">
        <v>4240</v>
      </c>
      <c r="C3343">
        <v>-21.992484163440356</v>
      </c>
      <c r="D3343">
        <v>-48.390596906985081</v>
      </c>
    </row>
    <row r="3344" spans="1:4" x14ac:dyDescent="0.3">
      <c r="A3344">
        <v>3506805</v>
      </c>
      <c r="B3344" t="s">
        <v>1712</v>
      </c>
      <c r="C3344">
        <v>-22.133922545685706</v>
      </c>
      <c r="D3344">
        <v>-48.52049362438256</v>
      </c>
    </row>
    <row r="3345" spans="1:4" x14ac:dyDescent="0.3">
      <c r="A3345">
        <v>3506904</v>
      </c>
      <c r="B3345" t="s">
        <v>4241</v>
      </c>
      <c r="C3345">
        <v>-23.1025199999814</v>
      </c>
      <c r="D3345">
        <v>-48.260033058819779</v>
      </c>
    </row>
    <row r="3346" spans="1:4" x14ac:dyDescent="0.3">
      <c r="A3346">
        <v>3507001</v>
      </c>
      <c r="B3346" t="s">
        <v>4242</v>
      </c>
      <c r="C3346">
        <v>-23.281944003499902</v>
      </c>
      <c r="D3346">
        <v>-47.671473497974105</v>
      </c>
    </row>
    <row r="3347" spans="1:4" x14ac:dyDescent="0.3">
      <c r="A3347">
        <v>3507100</v>
      </c>
      <c r="B3347" t="s">
        <v>4243</v>
      </c>
      <c r="C3347">
        <v>-23.13083742873885</v>
      </c>
      <c r="D3347">
        <v>-46.466492842629151</v>
      </c>
    </row>
    <row r="3348" spans="1:4" x14ac:dyDescent="0.3">
      <c r="A3348">
        <v>3507159</v>
      </c>
      <c r="B3348" t="s">
        <v>4244</v>
      </c>
      <c r="C3348">
        <v>-24.318262840715601</v>
      </c>
      <c r="D3348">
        <v>-49.143761922603886</v>
      </c>
    </row>
    <row r="3349" spans="1:4" x14ac:dyDescent="0.3">
      <c r="A3349">
        <v>3507209</v>
      </c>
      <c r="B3349" t="s">
        <v>4245</v>
      </c>
      <c r="C3349">
        <v>-22.270117106681351</v>
      </c>
      <c r="D3349">
        <v>-50.544880999220943</v>
      </c>
    </row>
    <row r="3350" spans="1:4" x14ac:dyDescent="0.3">
      <c r="A3350">
        <v>3507308</v>
      </c>
      <c r="B3350" t="s">
        <v>4246</v>
      </c>
      <c r="C3350">
        <v>-22.193205654365752</v>
      </c>
      <c r="D3350">
        <v>-48.779218283157569</v>
      </c>
    </row>
    <row r="3351" spans="1:4" x14ac:dyDescent="0.3">
      <c r="A3351">
        <v>3507407</v>
      </c>
      <c r="B3351" t="s">
        <v>2278</v>
      </c>
      <c r="C3351">
        <v>-21.621537994247401</v>
      </c>
      <c r="D3351">
        <v>-49.072640247934004</v>
      </c>
    </row>
    <row r="3352" spans="1:4" x14ac:dyDescent="0.3">
      <c r="A3352">
        <v>3507456</v>
      </c>
      <c r="B3352" t="s">
        <v>4247</v>
      </c>
      <c r="C3352">
        <v>-22.567833116865355</v>
      </c>
      <c r="D3352">
        <v>-48.971595840505195</v>
      </c>
    </row>
    <row r="3353" spans="1:4" x14ac:dyDescent="0.3">
      <c r="A3353">
        <v>3507506</v>
      </c>
      <c r="B3353" t="s">
        <v>4248</v>
      </c>
      <c r="C3353">
        <v>-22.888381500000008</v>
      </c>
      <c r="D3353">
        <v>-48.441289384350434</v>
      </c>
    </row>
    <row r="3354" spans="1:4" x14ac:dyDescent="0.3">
      <c r="A3354">
        <v>3507605</v>
      </c>
      <c r="B3354" t="s">
        <v>4249</v>
      </c>
      <c r="C3354">
        <v>-22.956895500000009</v>
      </c>
      <c r="D3354">
        <v>-46.542333373979822</v>
      </c>
    </row>
    <row r="3355" spans="1:4" x14ac:dyDescent="0.3">
      <c r="A3355">
        <v>3507704</v>
      </c>
      <c r="B3355" t="s">
        <v>4250</v>
      </c>
      <c r="C3355">
        <v>-21.501021208455452</v>
      </c>
      <c r="D3355">
        <v>-50.318165610326361</v>
      </c>
    </row>
    <row r="3356" spans="1:4" x14ac:dyDescent="0.3">
      <c r="A3356">
        <v>3507753</v>
      </c>
      <c r="B3356" t="s">
        <v>4251</v>
      </c>
      <c r="C3356">
        <v>-21.166128499364003</v>
      </c>
      <c r="D3356">
        <v>-50.187258508288046</v>
      </c>
    </row>
    <row r="3357" spans="1:4" x14ac:dyDescent="0.3">
      <c r="A3357">
        <v>3507803</v>
      </c>
      <c r="B3357" t="s">
        <v>4252</v>
      </c>
      <c r="C3357">
        <v>-20.990140380192404</v>
      </c>
      <c r="D3357">
        <v>-47.656397956853844</v>
      </c>
    </row>
    <row r="3358" spans="1:4" x14ac:dyDescent="0.3">
      <c r="A3358">
        <v>3507902</v>
      </c>
      <c r="B3358" t="s">
        <v>4253</v>
      </c>
      <c r="C3358">
        <v>-22.286516985000006</v>
      </c>
      <c r="D3358">
        <v>-48.126833324115658</v>
      </c>
    </row>
    <row r="3359" spans="1:4" x14ac:dyDescent="0.3">
      <c r="A3359">
        <v>3508009</v>
      </c>
      <c r="B3359" t="s">
        <v>4254</v>
      </c>
      <c r="C3359">
        <v>-23.799381418972601</v>
      </c>
      <c r="D3359">
        <v>-48.597414973797804</v>
      </c>
    </row>
    <row r="3360" spans="1:4" x14ac:dyDescent="0.3">
      <c r="A3360">
        <v>3508108</v>
      </c>
      <c r="B3360" t="s">
        <v>4255</v>
      </c>
      <c r="C3360">
        <v>-21.067039566902153</v>
      </c>
      <c r="D3360">
        <v>-50.149281252785258</v>
      </c>
    </row>
    <row r="3361" spans="1:4" x14ac:dyDescent="0.3">
      <c r="A3361">
        <v>3508207</v>
      </c>
      <c r="B3361" t="s">
        <v>4256</v>
      </c>
      <c r="C3361">
        <v>-20.193148221638555</v>
      </c>
      <c r="D3361">
        <v>-47.708860039517496</v>
      </c>
    </row>
    <row r="3362" spans="1:4" x14ac:dyDescent="0.3">
      <c r="A3362">
        <v>3508306</v>
      </c>
      <c r="B3362" t="s">
        <v>4257</v>
      </c>
      <c r="C3362">
        <v>-22.455086958133503</v>
      </c>
      <c r="D3362">
        <v>-49.332446833143095</v>
      </c>
    </row>
    <row r="3363" spans="1:4" x14ac:dyDescent="0.3">
      <c r="A3363">
        <v>3508405</v>
      </c>
      <c r="B3363" t="s">
        <v>4258</v>
      </c>
      <c r="C3363">
        <v>-23.312674394775829</v>
      </c>
      <c r="D3363">
        <v>-47.133658373434912</v>
      </c>
    </row>
    <row r="3364" spans="1:4" x14ac:dyDescent="0.3">
      <c r="A3364">
        <v>3508504</v>
      </c>
      <c r="B3364" t="s">
        <v>4259</v>
      </c>
      <c r="C3364">
        <v>-23.100663752708954</v>
      </c>
      <c r="D3364">
        <v>-45.707730365087535</v>
      </c>
    </row>
    <row r="3365" spans="1:4" x14ac:dyDescent="0.3">
      <c r="A3365">
        <v>3508603</v>
      </c>
      <c r="B3365" t="s">
        <v>4260</v>
      </c>
      <c r="C3365">
        <v>-22.664754376142351</v>
      </c>
      <c r="D3365">
        <v>-45.010630414928322</v>
      </c>
    </row>
    <row r="3366" spans="1:4" x14ac:dyDescent="0.3">
      <c r="A3366">
        <v>3508702</v>
      </c>
      <c r="B3366" t="s">
        <v>4261</v>
      </c>
      <c r="C3366">
        <v>-21.528738037497451</v>
      </c>
      <c r="D3366">
        <v>-46.646834878964285</v>
      </c>
    </row>
    <row r="3367" spans="1:4" x14ac:dyDescent="0.3">
      <c r="A3367">
        <v>3508801</v>
      </c>
      <c r="B3367" t="s">
        <v>4262</v>
      </c>
      <c r="C3367">
        <v>-21.809705286609603</v>
      </c>
      <c r="D3367">
        <v>-49.6003544059215</v>
      </c>
    </row>
    <row r="3368" spans="1:4" x14ac:dyDescent="0.3">
      <c r="A3368">
        <v>3508900</v>
      </c>
      <c r="B3368" t="s">
        <v>4263</v>
      </c>
      <c r="C3368">
        <v>-22.012325256593304</v>
      </c>
      <c r="D3368">
        <v>-51.235953135481132</v>
      </c>
    </row>
    <row r="3369" spans="1:4" x14ac:dyDescent="0.3">
      <c r="A3369">
        <v>3509007</v>
      </c>
      <c r="B3369" t="s">
        <v>4264</v>
      </c>
      <c r="C3369">
        <v>-23.362116054741225</v>
      </c>
      <c r="D3369">
        <v>-46.744101417665405</v>
      </c>
    </row>
    <row r="3370" spans="1:4" x14ac:dyDescent="0.3">
      <c r="A3370">
        <v>3509106</v>
      </c>
      <c r="B3370" t="s">
        <v>4265</v>
      </c>
      <c r="C3370">
        <v>-21.829910273396901</v>
      </c>
      <c r="D3370">
        <v>-51.986892696725555</v>
      </c>
    </row>
    <row r="3371" spans="1:4" x14ac:dyDescent="0.3">
      <c r="A3371">
        <v>3509205</v>
      </c>
      <c r="B3371" t="s">
        <v>4266</v>
      </c>
      <c r="C3371">
        <v>-23.360971384727979</v>
      </c>
      <c r="D3371">
        <v>-46.882920146569546</v>
      </c>
    </row>
    <row r="3372" spans="1:4" x14ac:dyDescent="0.3">
      <c r="A3372">
        <v>3509254</v>
      </c>
      <c r="B3372" t="s">
        <v>4267</v>
      </c>
      <c r="C3372">
        <v>-24.726360972223041</v>
      </c>
      <c r="D3372">
        <v>-48.104999809005243</v>
      </c>
    </row>
    <row r="3373" spans="1:4" x14ac:dyDescent="0.3">
      <c r="A3373">
        <v>3509304</v>
      </c>
      <c r="B3373" t="s">
        <v>4268</v>
      </c>
      <c r="C3373">
        <v>-20.879092517862851</v>
      </c>
      <c r="D3373">
        <v>-48.810122364709429</v>
      </c>
    </row>
    <row r="3374" spans="1:4" x14ac:dyDescent="0.3">
      <c r="A3374">
        <v>3509403</v>
      </c>
      <c r="B3374" t="s">
        <v>4269</v>
      </c>
      <c r="C3374">
        <v>-21.274717500000005</v>
      </c>
      <c r="D3374">
        <v>-47.304266116796953</v>
      </c>
    </row>
    <row r="3375" spans="1:4" x14ac:dyDescent="0.3">
      <c r="A3375">
        <v>3509452</v>
      </c>
      <c r="B3375" t="s">
        <v>4270</v>
      </c>
      <c r="C3375">
        <v>-23.584076838313354</v>
      </c>
      <c r="D3375">
        <v>-48.480399019938346</v>
      </c>
    </row>
    <row r="3376" spans="1:4" x14ac:dyDescent="0.3">
      <c r="A3376">
        <v>3509502</v>
      </c>
      <c r="B3376" t="s">
        <v>4271</v>
      </c>
      <c r="C3376">
        <v>-22.907342500000002</v>
      </c>
      <c r="D3376">
        <v>-47.06015627297316</v>
      </c>
    </row>
    <row r="3377" spans="1:4" x14ac:dyDescent="0.3">
      <c r="A3377">
        <v>3509601</v>
      </c>
      <c r="B3377" t="s">
        <v>4272</v>
      </c>
      <c r="C3377">
        <v>-23.209396429522258</v>
      </c>
      <c r="D3377">
        <v>-46.763819232789082</v>
      </c>
    </row>
    <row r="3378" spans="1:4" x14ac:dyDescent="0.3">
      <c r="A3378">
        <v>3509700</v>
      </c>
      <c r="B3378" t="s">
        <v>4273</v>
      </c>
      <c r="C3378">
        <v>-22.740091913881155</v>
      </c>
      <c r="D3378">
        <v>-45.58920170044906</v>
      </c>
    </row>
    <row r="3379" spans="1:4" x14ac:dyDescent="0.3">
      <c r="A3379">
        <v>3509809</v>
      </c>
      <c r="B3379" t="s">
        <v>4274</v>
      </c>
      <c r="C3379">
        <v>-22.599748999328352</v>
      </c>
      <c r="D3379">
        <v>-50.001794724885286</v>
      </c>
    </row>
    <row r="3380" spans="1:4" x14ac:dyDescent="0.3">
      <c r="A3380">
        <v>3509908</v>
      </c>
      <c r="B3380" t="s">
        <v>4275</v>
      </c>
      <c r="C3380">
        <v>-25.016908069980904</v>
      </c>
      <c r="D3380">
        <v>-47.928482814429735</v>
      </c>
    </row>
    <row r="3381" spans="1:4" x14ac:dyDescent="0.3">
      <c r="A3381">
        <v>3509957</v>
      </c>
      <c r="B3381" t="s">
        <v>4276</v>
      </c>
      <c r="C3381">
        <v>-22.690669066040002</v>
      </c>
      <c r="D3381">
        <v>-45.056975740535016</v>
      </c>
    </row>
    <row r="3382" spans="1:4" x14ac:dyDescent="0.3">
      <c r="A3382">
        <v>3510005</v>
      </c>
      <c r="B3382" t="s">
        <v>4277</v>
      </c>
      <c r="C3382">
        <v>-22.746925500000007</v>
      </c>
      <c r="D3382">
        <v>-50.388393171768513</v>
      </c>
    </row>
    <row r="3383" spans="1:4" x14ac:dyDescent="0.3">
      <c r="A3383">
        <v>3510104</v>
      </c>
      <c r="B3383" t="s">
        <v>4278</v>
      </c>
      <c r="C3383">
        <v>-21.322613582849804</v>
      </c>
      <c r="D3383">
        <v>-48.63403931083802</v>
      </c>
    </row>
    <row r="3384" spans="1:4" x14ac:dyDescent="0.3">
      <c r="A3384">
        <v>3510153</v>
      </c>
      <c r="B3384" t="s">
        <v>4279</v>
      </c>
      <c r="C3384">
        <v>-23.009837218795305</v>
      </c>
      <c r="D3384">
        <v>-49.785431954502307</v>
      </c>
    </row>
    <row r="3385" spans="1:4" x14ac:dyDescent="0.3">
      <c r="A3385">
        <v>3510203</v>
      </c>
      <c r="B3385" t="s">
        <v>4280</v>
      </c>
      <c r="C3385">
        <v>-24.006800970000004</v>
      </c>
      <c r="D3385">
        <v>-48.351434517927522</v>
      </c>
    </row>
    <row r="3386" spans="1:4" x14ac:dyDescent="0.3">
      <c r="A3386">
        <v>3510302</v>
      </c>
      <c r="B3386" t="s">
        <v>4281</v>
      </c>
      <c r="C3386">
        <v>-23.469902955253907</v>
      </c>
      <c r="D3386">
        <v>-47.736118443644258</v>
      </c>
    </row>
    <row r="3387" spans="1:4" x14ac:dyDescent="0.3">
      <c r="A3387">
        <v>3510401</v>
      </c>
      <c r="B3387" t="s">
        <v>4282</v>
      </c>
      <c r="C3387">
        <v>-22.999548914588303</v>
      </c>
      <c r="D3387">
        <v>-47.502206154668748</v>
      </c>
    </row>
    <row r="3388" spans="1:4" x14ac:dyDescent="0.3">
      <c r="A3388">
        <v>3510500</v>
      </c>
      <c r="B3388" t="s">
        <v>4283</v>
      </c>
      <c r="C3388">
        <v>-23.622006500000001</v>
      </c>
      <c r="D3388">
        <v>-45.410818382249786</v>
      </c>
    </row>
    <row r="3389" spans="1:4" x14ac:dyDescent="0.3">
      <c r="A3389">
        <v>3510609</v>
      </c>
      <c r="B3389" t="s">
        <v>4284</v>
      </c>
      <c r="C3389">
        <v>-23.535249500000003</v>
      </c>
      <c r="D3389">
        <v>-46.841445431909598</v>
      </c>
    </row>
    <row r="3390" spans="1:4" x14ac:dyDescent="0.3">
      <c r="A3390">
        <v>3510708</v>
      </c>
      <c r="B3390" t="s">
        <v>4285</v>
      </c>
      <c r="C3390">
        <v>-20.080991509997855</v>
      </c>
      <c r="D3390">
        <v>-49.91494230289026</v>
      </c>
    </row>
    <row r="3391" spans="1:4" x14ac:dyDescent="0.3">
      <c r="A3391">
        <v>3510807</v>
      </c>
      <c r="B3391" t="s">
        <v>4286</v>
      </c>
      <c r="C3391">
        <v>-21.777986990000006</v>
      </c>
      <c r="D3391">
        <v>-47.079758204827158</v>
      </c>
    </row>
    <row r="3392" spans="1:4" x14ac:dyDescent="0.3">
      <c r="A3392">
        <v>3510906</v>
      </c>
      <c r="B3392" t="s">
        <v>4287</v>
      </c>
      <c r="C3392">
        <v>-21.285000428529404</v>
      </c>
      <c r="D3392">
        <v>-47.167105877048876</v>
      </c>
    </row>
    <row r="3393" spans="1:4" x14ac:dyDescent="0.3">
      <c r="A3393">
        <v>3511003</v>
      </c>
      <c r="B3393" t="s">
        <v>4288</v>
      </c>
      <c r="C3393">
        <v>-20.872026554121053</v>
      </c>
      <c r="D3393">
        <v>-51.489407055842278</v>
      </c>
    </row>
    <row r="3394" spans="1:4" x14ac:dyDescent="0.3">
      <c r="A3394">
        <v>3511102</v>
      </c>
      <c r="B3394" t="s">
        <v>4289</v>
      </c>
      <c r="C3394">
        <v>-21.139538500000004</v>
      </c>
      <c r="D3394">
        <v>-48.975870939042814</v>
      </c>
    </row>
    <row r="3395" spans="1:4" x14ac:dyDescent="0.3">
      <c r="A3395">
        <v>3511201</v>
      </c>
      <c r="B3395" t="s">
        <v>4290</v>
      </c>
      <c r="C3395">
        <v>-21.048579999366858</v>
      </c>
      <c r="D3395">
        <v>-49.057742152508247</v>
      </c>
    </row>
    <row r="3396" spans="1:4" x14ac:dyDescent="0.3">
      <c r="A3396">
        <v>3511300</v>
      </c>
      <c r="B3396" t="s">
        <v>1520</v>
      </c>
      <c r="C3396">
        <v>-20.904231922286552</v>
      </c>
      <c r="D3396">
        <v>-49.272841545890991</v>
      </c>
    </row>
    <row r="3397" spans="1:4" x14ac:dyDescent="0.3">
      <c r="A3397">
        <v>3511409</v>
      </c>
      <c r="B3397" t="s">
        <v>4291</v>
      </c>
      <c r="C3397">
        <v>-23.034797499319904</v>
      </c>
      <c r="D3397">
        <v>-49.165330170887934</v>
      </c>
    </row>
    <row r="3398" spans="1:4" x14ac:dyDescent="0.3">
      <c r="A3398">
        <v>3511508</v>
      </c>
      <c r="B3398" t="s">
        <v>4292</v>
      </c>
      <c r="C3398">
        <v>-23.168672500000003</v>
      </c>
      <c r="D3398">
        <v>-47.737531325107895</v>
      </c>
    </row>
    <row r="3399" spans="1:4" x14ac:dyDescent="0.3">
      <c r="A3399">
        <v>3511607</v>
      </c>
      <c r="B3399" t="s">
        <v>4293</v>
      </c>
      <c r="C3399">
        <v>-23.224731835877456</v>
      </c>
      <c r="D3399">
        <v>-47.952110655390264</v>
      </c>
    </row>
    <row r="3400" spans="1:4" x14ac:dyDescent="0.3">
      <c r="A3400">
        <v>3511706</v>
      </c>
      <c r="B3400" t="s">
        <v>4294</v>
      </c>
      <c r="C3400">
        <v>-22.508882412068655</v>
      </c>
      <c r="D3400">
        <v>-47.775700203456722</v>
      </c>
    </row>
    <row r="3401" spans="1:4" x14ac:dyDescent="0.3">
      <c r="A3401">
        <v>3511904</v>
      </c>
      <c r="B3401" t="s">
        <v>4295</v>
      </c>
      <c r="C3401">
        <v>-21.560310036799354</v>
      </c>
      <c r="D3401">
        <v>-50.450348692156652</v>
      </c>
    </row>
    <row r="3402" spans="1:4" x14ac:dyDescent="0.3">
      <c r="A3402">
        <v>3512001</v>
      </c>
      <c r="B3402" t="s">
        <v>4296</v>
      </c>
      <c r="C3402">
        <v>-20.718734499377604</v>
      </c>
      <c r="D3402">
        <v>-48.539738329013375</v>
      </c>
    </row>
    <row r="3403" spans="1:4" x14ac:dyDescent="0.3">
      <c r="A3403">
        <v>3512100</v>
      </c>
      <c r="B3403" t="s">
        <v>4297</v>
      </c>
      <c r="C3403">
        <v>-20.171558843335301</v>
      </c>
      <c r="D3403">
        <v>-48.687484179829646</v>
      </c>
    </row>
    <row r="3404" spans="1:4" x14ac:dyDescent="0.3">
      <c r="A3404">
        <v>3512209</v>
      </c>
      <c r="B3404" t="s">
        <v>4298</v>
      </c>
      <c r="C3404">
        <v>-22.330076447999904</v>
      </c>
      <c r="D3404">
        <v>-47.174375742552414</v>
      </c>
    </row>
    <row r="3405" spans="1:4" x14ac:dyDescent="0.3">
      <c r="A3405">
        <v>3512308</v>
      </c>
      <c r="B3405" t="s">
        <v>4299</v>
      </c>
      <c r="C3405">
        <v>-23.012958080648964</v>
      </c>
      <c r="D3405">
        <v>-48.00989213364484</v>
      </c>
    </row>
    <row r="3406" spans="1:4" x14ac:dyDescent="0.3">
      <c r="A3406">
        <v>3512407</v>
      </c>
      <c r="B3406" t="s">
        <v>4300</v>
      </c>
      <c r="C3406">
        <v>-22.481707032329005</v>
      </c>
      <c r="D3406">
        <v>-47.458282925400148</v>
      </c>
    </row>
    <row r="3407" spans="1:4" x14ac:dyDescent="0.3">
      <c r="A3407">
        <v>3512506</v>
      </c>
      <c r="B3407" t="s">
        <v>4301</v>
      </c>
      <c r="C3407">
        <v>-21.35405285027235</v>
      </c>
      <c r="D3407">
        <v>-50.287295847911714</v>
      </c>
    </row>
    <row r="3408" spans="1:4" x14ac:dyDescent="0.3">
      <c r="A3408">
        <v>3512605</v>
      </c>
      <c r="B3408" t="s">
        <v>4302</v>
      </c>
      <c r="C3408">
        <v>-23.632234981801354</v>
      </c>
      <c r="D3408">
        <v>-49.318912396415541</v>
      </c>
    </row>
    <row r="3409" spans="1:4" x14ac:dyDescent="0.3">
      <c r="A3409">
        <v>3512704</v>
      </c>
      <c r="B3409" t="s">
        <v>4303</v>
      </c>
      <c r="C3409">
        <v>-22.218996750170806</v>
      </c>
      <c r="D3409">
        <v>-47.626610130408217</v>
      </c>
    </row>
    <row r="3410" spans="1:4" x14ac:dyDescent="0.3">
      <c r="A3410">
        <v>3512803</v>
      </c>
      <c r="B3410" t="s">
        <v>4304</v>
      </c>
      <c r="C3410">
        <v>-22.645784885852652</v>
      </c>
      <c r="D3410">
        <v>-47.196770776794587</v>
      </c>
    </row>
    <row r="3411" spans="1:4" x14ac:dyDescent="0.3">
      <c r="A3411">
        <v>3512902</v>
      </c>
      <c r="B3411" t="s">
        <v>4305</v>
      </c>
      <c r="C3411">
        <v>-20.477034658871002</v>
      </c>
      <c r="D3411">
        <v>-49.778859693117063</v>
      </c>
    </row>
    <row r="3412" spans="1:4" x14ac:dyDescent="0.3">
      <c r="A3412">
        <v>3513009</v>
      </c>
      <c r="B3412" t="s">
        <v>4306</v>
      </c>
      <c r="C3412">
        <v>-23.603514000000004</v>
      </c>
      <c r="D3412">
        <v>-46.931846327888586</v>
      </c>
    </row>
    <row r="3413" spans="1:4" x14ac:dyDescent="0.3">
      <c r="A3413">
        <v>3513108</v>
      </c>
      <c r="B3413" t="s">
        <v>4307</v>
      </c>
      <c r="C3413">
        <v>-21.340430500000004</v>
      </c>
      <c r="D3413">
        <v>-47.730042348127988</v>
      </c>
    </row>
    <row r="3414" spans="1:4" x14ac:dyDescent="0.3">
      <c r="A3414">
        <v>3513207</v>
      </c>
      <c r="B3414" t="s">
        <v>4308</v>
      </c>
      <c r="C3414">
        <v>-20.402491999392403</v>
      </c>
      <c r="D3414">
        <v>-47.423806452050769</v>
      </c>
    </row>
    <row r="3415" spans="1:4" x14ac:dyDescent="0.3">
      <c r="A3415">
        <v>3513306</v>
      </c>
      <c r="B3415" t="s">
        <v>4309</v>
      </c>
      <c r="C3415">
        <v>-22.745498928978854</v>
      </c>
      <c r="D3415">
        <v>-50.793666159557638</v>
      </c>
    </row>
    <row r="3416" spans="1:4" x14ac:dyDescent="0.3">
      <c r="A3416">
        <v>3513405</v>
      </c>
      <c r="B3416" t="s">
        <v>4310</v>
      </c>
      <c r="C3416">
        <v>-22.577749880422036</v>
      </c>
      <c r="D3416">
        <v>-44.96173196059668</v>
      </c>
    </row>
    <row r="3417" spans="1:4" x14ac:dyDescent="0.3">
      <c r="A3417">
        <v>3513504</v>
      </c>
      <c r="B3417" t="s">
        <v>4311</v>
      </c>
      <c r="C3417">
        <v>-23.883839000000005</v>
      </c>
      <c r="D3417">
        <v>-46.420031768274477</v>
      </c>
    </row>
    <row r="3418" spans="1:4" x14ac:dyDescent="0.3">
      <c r="A3418">
        <v>3513603</v>
      </c>
      <c r="B3418" t="s">
        <v>4312</v>
      </c>
      <c r="C3418">
        <v>-23.074750147406501</v>
      </c>
      <c r="D3418">
        <v>-44.958026903498052</v>
      </c>
    </row>
    <row r="3419" spans="1:4" x14ac:dyDescent="0.3">
      <c r="A3419">
        <v>3513702</v>
      </c>
      <c r="B3419" t="s">
        <v>4313</v>
      </c>
      <c r="C3419">
        <v>-21.909083000000006</v>
      </c>
      <c r="D3419">
        <v>-47.620663971859237</v>
      </c>
    </row>
    <row r="3420" spans="1:4" x14ac:dyDescent="0.3">
      <c r="A3420">
        <v>3513801</v>
      </c>
      <c r="B3420" t="s">
        <v>4314</v>
      </c>
      <c r="C3420">
        <v>-23.689295000000008</v>
      </c>
      <c r="D3420">
        <v>-46.623381393203019</v>
      </c>
    </row>
    <row r="3421" spans="1:4" x14ac:dyDescent="0.3">
      <c r="A3421">
        <v>3513850</v>
      </c>
      <c r="B3421" t="s">
        <v>4315</v>
      </c>
      <c r="C3421">
        <v>-20.464412794300202</v>
      </c>
      <c r="D3421">
        <v>-50.606055988833148</v>
      </c>
    </row>
    <row r="3422" spans="1:4" x14ac:dyDescent="0.3">
      <c r="A3422">
        <v>3513900</v>
      </c>
      <c r="B3422" t="s">
        <v>4316</v>
      </c>
      <c r="C3422">
        <v>-21.661621506036553</v>
      </c>
      <c r="D3422">
        <v>-46.736869786792376</v>
      </c>
    </row>
    <row r="3423" spans="1:4" x14ac:dyDescent="0.3">
      <c r="A3423">
        <v>3514007</v>
      </c>
      <c r="B3423" t="s">
        <v>4317</v>
      </c>
      <c r="C3423">
        <v>-21.514804330405855</v>
      </c>
      <c r="D3423">
        <v>-48.400242719251693</v>
      </c>
    </row>
    <row r="3424" spans="1:4" x14ac:dyDescent="0.3">
      <c r="A3424">
        <v>3514106</v>
      </c>
      <c r="B3424" t="s">
        <v>4318</v>
      </c>
      <c r="C3424">
        <v>-22.367316000000002</v>
      </c>
      <c r="D3424">
        <v>-48.382675987535464</v>
      </c>
    </row>
    <row r="3425" spans="1:4" x14ac:dyDescent="0.3">
      <c r="A3425">
        <v>3514205</v>
      </c>
      <c r="B3425" t="s">
        <v>4319</v>
      </c>
      <c r="C3425">
        <v>-20.122870661056659</v>
      </c>
      <c r="D3425">
        <v>-50.515363084024557</v>
      </c>
    </row>
    <row r="3426" spans="1:4" x14ac:dyDescent="0.3">
      <c r="A3426">
        <v>3514304</v>
      </c>
      <c r="B3426" t="s">
        <v>4320</v>
      </c>
      <c r="C3426">
        <v>-22.113167196367058</v>
      </c>
      <c r="D3426">
        <v>-48.316235806343272</v>
      </c>
    </row>
    <row r="3427" spans="1:4" x14ac:dyDescent="0.3">
      <c r="A3427">
        <v>3514403</v>
      </c>
      <c r="B3427" t="s">
        <v>4321</v>
      </c>
      <c r="C3427">
        <v>-21.486137535000005</v>
      </c>
      <c r="D3427">
        <v>-51.53404966006272</v>
      </c>
    </row>
    <row r="3428" spans="1:4" x14ac:dyDescent="0.3">
      <c r="A3428">
        <v>3514502</v>
      </c>
      <c r="B3428" t="s">
        <v>4322</v>
      </c>
      <c r="C3428">
        <v>-22.414881375807752</v>
      </c>
      <c r="D3428">
        <v>-49.405045410632958</v>
      </c>
    </row>
    <row r="3429" spans="1:4" x14ac:dyDescent="0.3">
      <c r="A3429">
        <v>3514601</v>
      </c>
      <c r="B3429" t="s">
        <v>4323</v>
      </c>
      <c r="C3429">
        <v>-21.233325999362354</v>
      </c>
      <c r="D3429">
        <v>-47.970843449444295</v>
      </c>
    </row>
    <row r="3430" spans="1:4" x14ac:dyDescent="0.3">
      <c r="A3430">
        <v>3514700</v>
      </c>
      <c r="B3430" t="s">
        <v>4324</v>
      </c>
      <c r="C3430">
        <v>-22.424996999334002</v>
      </c>
      <c r="D3430">
        <v>-50.207006146214439</v>
      </c>
    </row>
    <row r="3431" spans="1:4" x14ac:dyDescent="0.3">
      <c r="A3431">
        <v>3514809</v>
      </c>
      <c r="B3431" t="s">
        <v>4325</v>
      </c>
      <c r="C3431">
        <v>-24.525386611147006</v>
      </c>
      <c r="D3431">
        <v>-48.103228422535025</v>
      </c>
    </row>
    <row r="3432" spans="1:4" x14ac:dyDescent="0.3">
      <c r="A3432">
        <v>3514908</v>
      </c>
      <c r="B3432" t="s">
        <v>4326</v>
      </c>
      <c r="C3432">
        <v>-23.04253672118076</v>
      </c>
      <c r="D3432">
        <v>-47.376774239641627</v>
      </c>
    </row>
    <row r="3433" spans="1:4" x14ac:dyDescent="0.3">
      <c r="A3433">
        <v>3514924</v>
      </c>
      <c r="B3433" t="s">
        <v>4327</v>
      </c>
      <c r="C3433">
        <v>-21.164429018489251</v>
      </c>
      <c r="D3433">
        <v>-49.110835890202573</v>
      </c>
    </row>
    <row r="3434" spans="1:4" x14ac:dyDescent="0.3">
      <c r="A3434">
        <v>3514957</v>
      </c>
      <c r="B3434" t="s">
        <v>4328</v>
      </c>
      <c r="C3434">
        <v>-20.982668054874704</v>
      </c>
      <c r="D3434">
        <v>-48.83262029214584</v>
      </c>
    </row>
    <row r="3435" spans="1:4" x14ac:dyDescent="0.3">
      <c r="A3435">
        <v>3515004</v>
      </c>
      <c r="B3435" t="s">
        <v>4329</v>
      </c>
      <c r="C3435">
        <v>-23.647312500000005</v>
      </c>
      <c r="D3435">
        <v>-46.850859993673581</v>
      </c>
    </row>
    <row r="3436" spans="1:4" x14ac:dyDescent="0.3">
      <c r="A3436">
        <v>3515103</v>
      </c>
      <c r="B3436" t="s">
        <v>4330</v>
      </c>
      <c r="C3436">
        <v>-23.831829103771252</v>
      </c>
      <c r="D3436">
        <v>-46.817108872549611</v>
      </c>
    </row>
    <row r="3437" spans="1:4" x14ac:dyDescent="0.3">
      <c r="A3437">
        <v>3515129</v>
      </c>
      <c r="B3437" t="s">
        <v>4331</v>
      </c>
      <c r="C3437">
        <v>-21.83130897810015</v>
      </c>
      <c r="D3437">
        <v>-51.480431428050558</v>
      </c>
    </row>
    <row r="3438" spans="1:4" x14ac:dyDescent="0.3">
      <c r="A3438">
        <v>3515152</v>
      </c>
      <c r="B3438" t="s">
        <v>4332</v>
      </c>
      <c r="C3438">
        <v>-22.491189952477502</v>
      </c>
      <c r="D3438">
        <v>-47.213079730539313</v>
      </c>
    </row>
    <row r="3439" spans="1:4" x14ac:dyDescent="0.3">
      <c r="A3439">
        <v>3515186</v>
      </c>
      <c r="B3439" t="s">
        <v>4333</v>
      </c>
      <c r="C3439">
        <v>-22.197053500000003</v>
      </c>
      <c r="D3439">
        <v>-46.745514289869647</v>
      </c>
    </row>
    <row r="3440" spans="1:4" x14ac:dyDescent="0.3">
      <c r="A3440">
        <v>3515194</v>
      </c>
      <c r="B3440" t="s">
        <v>4334</v>
      </c>
      <c r="C3440">
        <v>-22.694973492069455</v>
      </c>
      <c r="D3440">
        <v>-49.429825285815944</v>
      </c>
    </row>
    <row r="3441" spans="1:4" x14ac:dyDescent="0.3">
      <c r="A3441">
        <v>3515202</v>
      </c>
      <c r="B3441" t="s">
        <v>4335</v>
      </c>
      <c r="C3441">
        <v>-20.286082203974658</v>
      </c>
      <c r="D3441">
        <v>-50.405466847951246</v>
      </c>
    </row>
    <row r="3442" spans="1:4" x14ac:dyDescent="0.3">
      <c r="A3442">
        <v>3515301</v>
      </c>
      <c r="B3442" t="s">
        <v>4336</v>
      </c>
      <c r="C3442">
        <v>-22.490598901991106</v>
      </c>
      <c r="D3442">
        <v>-51.664176190951686</v>
      </c>
    </row>
    <row r="3443" spans="1:4" x14ac:dyDescent="0.3">
      <c r="A3443">
        <v>3515350</v>
      </c>
      <c r="B3443" t="s">
        <v>4337</v>
      </c>
      <c r="C3443">
        <v>-22.554996920208456</v>
      </c>
      <c r="D3443">
        <v>-52.590898380276627</v>
      </c>
    </row>
    <row r="3444" spans="1:4" x14ac:dyDescent="0.3">
      <c r="A3444">
        <v>3515400</v>
      </c>
      <c r="B3444" t="s">
        <v>4338</v>
      </c>
      <c r="C3444">
        <v>-23.388960913938501</v>
      </c>
      <c r="D3444">
        <v>-49.512053376698297</v>
      </c>
    </row>
    <row r="3445" spans="1:4" x14ac:dyDescent="0.3">
      <c r="A3445">
        <v>3515509</v>
      </c>
      <c r="B3445" t="s">
        <v>4339</v>
      </c>
      <c r="C3445">
        <v>-20.282382990000006</v>
      </c>
      <c r="D3445">
        <v>-50.248748430583433</v>
      </c>
    </row>
    <row r="3446" spans="1:4" x14ac:dyDescent="0.3">
      <c r="A3446">
        <v>3515608</v>
      </c>
      <c r="B3446" t="s">
        <v>4340</v>
      </c>
      <c r="C3446">
        <v>-21.267121989952404</v>
      </c>
      <c r="D3446">
        <v>-48.692273053194221</v>
      </c>
    </row>
    <row r="3447" spans="1:4" x14ac:dyDescent="0.3">
      <c r="A3447">
        <v>3515657</v>
      </c>
      <c r="B3447" t="s">
        <v>4341</v>
      </c>
      <c r="C3447">
        <v>-22.359138319147654</v>
      </c>
      <c r="D3447">
        <v>-49.519841211156304</v>
      </c>
    </row>
    <row r="3448" spans="1:4" x14ac:dyDescent="0.3">
      <c r="A3448">
        <v>3515707</v>
      </c>
      <c r="B3448" t="s">
        <v>4342</v>
      </c>
      <c r="C3448">
        <v>-23.541544500000004</v>
      </c>
      <c r="D3448">
        <v>-46.366552671574183</v>
      </c>
    </row>
    <row r="3449" spans="1:4" x14ac:dyDescent="0.3">
      <c r="A3449">
        <v>3515806</v>
      </c>
      <c r="B3449" t="s">
        <v>4343</v>
      </c>
      <c r="C3449">
        <v>-21.676733935614351</v>
      </c>
      <c r="D3449">
        <v>-51.382300841071938</v>
      </c>
    </row>
    <row r="3450" spans="1:4" x14ac:dyDescent="0.3">
      <c r="A3450">
        <v>3515905</v>
      </c>
      <c r="B3450" t="s">
        <v>4344</v>
      </c>
      <c r="C3450">
        <v>-20.674031227925401</v>
      </c>
      <c r="D3450">
        <v>-50.145689008682758</v>
      </c>
    </row>
    <row r="3451" spans="1:4" x14ac:dyDescent="0.3">
      <c r="A3451">
        <v>3516002</v>
      </c>
      <c r="B3451" t="s">
        <v>4345</v>
      </c>
      <c r="C3451">
        <v>-21.613427615164152</v>
      </c>
      <c r="D3451">
        <v>-51.168876466827719</v>
      </c>
    </row>
    <row r="3452" spans="1:4" x14ac:dyDescent="0.3">
      <c r="A3452">
        <v>3516101</v>
      </c>
      <c r="B3452" t="s">
        <v>4346</v>
      </c>
      <c r="C3452">
        <v>-22.903568778761954</v>
      </c>
      <c r="D3452">
        <v>-50.724822473379952</v>
      </c>
    </row>
    <row r="3453" spans="1:4" x14ac:dyDescent="0.3">
      <c r="A3453">
        <v>3516200</v>
      </c>
      <c r="B3453" t="s">
        <v>4347</v>
      </c>
      <c r="C3453">
        <v>-20.536097000000002</v>
      </c>
      <c r="D3453">
        <v>-47.40233162567754</v>
      </c>
    </row>
    <row r="3454" spans="1:4" x14ac:dyDescent="0.3">
      <c r="A3454">
        <v>3516309</v>
      </c>
      <c r="B3454" t="s">
        <v>4348</v>
      </c>
      <c r="C3454">
        <v>-23.2758255</v>
      </c>
      <c r="D3454">
        <v>-46.732526704705307</v>
      </c>
    </row>
    <row r="3455" spans="1:4" x14ac:dyDescent="0.3">
      <c r="A3455">
        <v>3516408</v>
      </c>
      <c r="B3455" t="s">
        <v>4349</v>
      </c>
      <c r="C3455">
        <v>-23.320302500000004</v>
      </c>
      <c r="D3455">
        <v>-46.727874668552587</v>
      </c>
    </row>
    <row r="3456" spans="1:4" x14ac:dyDescent="0.3">
      <c r="A3456">
        <v>3516507</v>
      </c>
      <c r="B3456" t="s">
        <v>4350</v>
      </c>
      <c r="C3456">
        <v>-21.528980135312807</v>
      </c>
      <c r="D3456">
        <v>-50.555460841939841</v>
      </c>
    </row>
    <row r="3457" spans="1:4" x14ac:dyDescent="0.3">
      <c r="A3457">
        <v>3516606</v>
      </c>
      <c r="B3457" t="s">
        <v>4351</v>
      </c>
      <c r="C3457">
        <v>-22.294019248259001</v>
      </c>
      <c r="D3457">
        <v>-49.552111329830026</v>
      </c>
    </row>
    <row r="3458" spans="1:4" x14ac:dyDescent="0.3">
      <c r="A3458">
        <v>3516705</v>
      </c>
      <c r="B3458" t="s">
        <v>4352</v>
      </c>
      <c r="C3458">
        <v>-22.210709490000003</v>
      </c>
      <c r="D3458">
        <v>-49.656529935058046</v>
      </c>
    </row>
    <row r="3459" spans="1:4" x14ac:dyDescent="0.3">
      <c r="A3459">
        <v>3516804</v>
      </c>
      <c r="B3459" t="s">
        <v>4353</v>
      </c>
      <c r="C3459">
        <v>-20.795239499374603</v>
      </c>
      <c r="D3459">
        <v>-50.190219732204923</v>
      </c>
    </row>
    <row r="3460" spans="1:4" x14ac:dyDescent="0.3">
      <c r="A3460">
        <v>3516853</v>
      </c>
      <c r="B3460" t="s">
        <v>4354</v>
      </c>
      <c r="C3460">
        <v>-21.840366902270201</v>
      </c>
      <c r="D3460">
        <v>-48.495459202748087</v>
      </c>
    </row>
    <row r="3461" spans="1:4" x14ac:dyDescent="0.3">
      <c r="A3461">
        <v>3516903</v>
      </c>
      <c r="B3461" t="s">
        <v>4355</v>
      </c>
      <c r="C3461">
        <v>-20.648369316722</v>
      </c>
      <c r="D3461">
        <v>-50.361813702123669</v>
      </c>
    </row>
    <row r="3462" spans="1:4" x14ac:dyDescent="0.3">
      <c r="A3462">
        <v>3517000</v>
      </c>
      <c r="B3462" t="s">
        <v>4356</v>
      </c>
      <c r="C3462">
        <v>-21.799830597460055</v>
      </c>
      <c r="D3462">
        <v>-49.929283572293976</v>
      </c>
    </row>
    <row r="3463" spans="1:4" x14ac:dyDescent="0.3">
      <c r="A3463">
        <v>3517109</v>
      </c>
      <c r="B3463" t="s">
        <v>4357</v>
      </c>
      <c r="C3463">
        <v>-21.379777805706556</v>
      </c>
      <c r="D3463">
        <v>-50.208416728114045</v>
      </c>
    </row>
    <row r="3464" spans="1:4" x14ac:dyDescent="0.3">
      <c r="A3464">
        <v>3517208</v>
      </c>
      <c r="B3464" t="s">
        <v>4358</v>
      </c>
      <c r="C3464">
        <v>-21.622142999353002</v>
      </c>
      <c r="D3464">
        <v>-49.798761690961769</v>
      </c>
    </row>
    <row r="3465" spans="1:4" x14ac:dyDescent="0.3">
      <c r="A3465">
        <v>3517307</v>
      </c>
      <c r="B3465" t="s">
        <v>4359</v>
      </c>
      <c r="C3465">
        <v>-21.910920658920002</v>
      </c>
      <c r="D3465">
        <v>-49.897177750237852</v>
      </c>
    </row>
    <row r="3466" spans="1:4" x14ac:dyDescent="0.3">
      <c r="A3466">
        <v>3517406</v>
      </c>
      <c r="B3466" t="s">
        <v>4360</v>
      </c>
      <c r="C3466">
        <v>-20.320144335000005</v>
      </c>
      <c r="D3466">
        <v>-48.314470490025975</v>
      </c>
    </row>
    <row r="3467" spans="1:4" x14ac:dyDescent="0.3">
      <c r="A3467">
        <v>3517505</v>
      </c>
      <c r="B3467" t="s">
        <v>4361</v>
      </c>
      <c r="C3467">
        <v>-20.796448624865253</v>
      </c>
      <c r="D3467">
        <v>-49.219145857724484</v>
      </c>
    </row>
    <row r="3468" spans="1:4" x14ac:dyDescent="0.3">
      <c r="A3468">
        <v>3517604</v>
      </c>
      <c r="B3468" t="s">
        <v>4362</v>
      </c>
      <c r="C3468">
        <v>-24.182526500000005</v>
      </c>
      <c r="D3468">
        <v>-48.527681321849471</v>
      </c>
    </row>
    <row r="3469" spans="1:4" x14ac:dyDescent="0.3">
      <c r="A3469">
        <v>3517703</v>
      </c>
      <c r="B3469" t="s">
        <v>4363</v>
      </c>
      <c r="C3469">
        <v>-20.4275570617021</v>
      </c>
      <c r="D3469">
        <v>-47.824592950174626</v>
      </c>
    </row>
    <row r="3470" spans="1:4" x14ac:dyDescent="0.3">
      <c r="A3470">
        <v>3517802</v>
      </c>
      <c r="B3470" t="s">
        <v>4364</v>
      </c>
      <c r="C3470">
        <v>-21.032881387582503</v>
      </c>
      <c r="D3470">
        <v>-51.209106344995398</v>
      </c>
    </row>
    <row r="3471" spans="1:4" x14ac:dyDescent="0.3">
      <c r="A3471">
        <v>3517901</v>
      </c>
      <c r="B3471" t="s">
        <v>4365</v>
      </c>
      <c r="C3471">
        <v>-20.498809212893551</v>
      </c>
      <c r="D3471">
        <v>-48.944502595049869</v>
      </c>
    </row>
    <row r="3472" spans="1:4" x14ac:dyDescent="0.3">
      <c r="A3472">
        <v>3518008</v>
      </c>
      <c r="B3472" t="s">
        <v>4366</v>
      </c>
      <c r="C3472">
        <v>-20.075705571849799</v>
      </c>
      <c r="D3472">
        <v>-50.341533881692783</v>
      </c>
    </row>
    <row r="3473" spans="1:4" x14ac:dyDescent="0.3">
      <c r="A3473">
        <v>3518107</v>
      </c>
      <c r="B3473" t="s">
        <v>4367</v>
      </c>
      <c r="C3473">
        <v>-21.895146201472752</v>
      </c>
      <c r="D3473">
        <v>-49.594821847378277</v>
      </c>
    </row>
    <row r="3474" spans="1:4" x14ac:dyDescent="0.3">
      <c r="A3474">
        <v>3518206</v>
      </c>
      <c r="B3474" t="s">
        <v>4368</v>
      </c>
      <c r="C3474">
        <v>-21.253446495000002</v>
      </c>
      <c r="D3474">
        <v>-50.642639048250544</v>
      </c>
    </row>
    <row r="3475" spans="1:4" x14ac:dyDescent="0.3">
      <c r="A3475">
        <v>3518305</v>
      </c>
      <c r="B3475" t="s">
        <v>4369</v>
      </c>
      <c r="C3475">
        <v>-23.415233019833007</v>
      </c>
      <c r="D3475">
        <v>-46.041053464758157</v>
      </c>
    </row>
    <row r="3476" spans="1:4" x14ac:dyDescent="0.3">
      <c r="A3476">
        <v>3518404</v>
      </c>
      <c r="B3476" t="s">
        <v>4370</v>
      </c>
      <c r="C3476">
        <v>-22.817425089331753</v>
      </c>
      <c r="D3476">
        <v>-45.191600128420163</v>
      </c>
    </row>
    <row r="3477" spans="1:4" x14ac:dyDescent="0.3">
      <c r="A3477">
        <v>3518503</v>
      </c>
      <c r="B3477" t="s">
        <v>4371</v>
      </c>
      <c r="C3477">
        <v>-23.373140191766353</v>
      </c>
      <c r="D3477">
        <v>-48.184538175309712</v>
      </c>
    </row>
    <row r="3478" spans="1:4" x14ac:dyDescent="0.3">
      <c r="A3478">
        <v>3518602</v>
      </c>
      <c r="B3478" t="s">
        <v>4372</v>
      </c>
      <c r="C3478">
        <v>-21.357996000000007</v>
      </c>
      <c r="D3478">
        <v>-48.234056727223212</v>
      </c>
    </row>
    <row r="3479" spans="1:4" x14ac:dyDescent="0.3">
      <c r="A3479">
        <v>3518701</v>
      </c>
      <c r="B3479" t="s">
        <v>4373</v>
      </c>
      <c r="C3479">
        <v>-23.995149000000001</v>
      </c>
      <c r="D3479">
        <v>-46.249034279441624</v>
      </c>
    </row>
    <row r="3480" spans="1:4" x14ac:dyDescent="0.3">
      <c r="A3480">
        <v>3518800</v>
      </c>
      <c r="B3480" t="s">
        <v>4374</v>
      </c>
      <c r="C3480">
        <v>-23.468506000000001</v>
      </c>
      <c r="D3480">
        <v>-46.531084085661085</v>
      </c>
    </row>
    <row r="3481" spans="1:4" x14ac:dyDescent="0.3">
      <c r="A3481">
        <v>3518859</v>
      </c>
      <c r="B3481" t="s">
        <v>4375</v>
      </c>
      <c r="C3481">
        <v>-21.491894653589799</v>
      </c>
      <c r="D3481">
        <v>-48.037729357498954</v>
      </c>
    </row>
    <row r="3482" spans="1:4" x14ac:dyDescent="0.3">
      <c r="A3482">
        <v>3518909</v>
      </c>
      <c r="B3482" t="s">
        <v>4376</v>
      </c>
      <c r="C3482">
        <v>-20.650168687255054</v>
      </c>
      <c r="D3482">
        <v>-50.661459504143636</v>
      </c>
    </row>
    <row r="3483" spans="1:4" x14ac:dyDescent="0.3">
      <c r="A3483">
        <v>3519006</v>
      </c>
      <c r="B3483" t="s">
        <v>4377</v>
      </c>
      <c r="C3483">
        <v>-22.003747180667801</v>
      </c>
      <c r="D3483">
        <v>-50.385521598082825</v>
      </c>
    </row>
    <row r="3484" spans="1:4" x14ac:dyDescent="0.3">
      <c r="A3484">
        <v>3519055</v>
      </c>
      <c r="B3484" t="s">
        <v>4378</v>
      </c>
      <c r="C3484">
        <v>-22.641749624212682</v>
      </c>
      <c r="D3484">
        <v>-47.059286906241311</v>
      </c>
    </row>
    <row r="3485" spans="1:4" x14ac:dyDescent="0.3">
      <c r="A3485">
        <v>3519071</v>
      </c>
      <c r="B3485" t="s">
        <v>4379</v>
      </c>
      <c r="C3485">
        <v>-22.858395000000005</v>
      </c>
      <c r="D3485">
        <v>-47.221096609757517</v>
      </c>
    </row>
    <row r="3486" spans="1:4" x14ac:dyDescent="0.3">
      <c r="A3486">
        <v>3519105</v>
      </c>
      <c r="B3486" t="s">
        <v>4380</v>
      </c>
      <c r="C3486">
        <v>-21.891977602699701</v>
      </c>
      <c r="D3486">
        <v>-49.016929918912609</v>
      </c>
    </row>
    <row r="3487" spans="1:4" x14ac:dyDescent="0.3">
      <c r="A3487">
        <v>3519204</v>
      </c>
      <c r="B3487" t="s">
        <v>4381</v>
      </c>
      <c r="C3487">
        <v>-21.855061086860808</v>
      </c>
      <c r="D3487">
        <v>-50.689199932370684</v>
      </c>
    </row>
    <row r="3488" spans="1:4" x14ac:dyDescent="0.3">
      <c r="A3488">
        <v>3519253</v>
      </c>
      <c r="B3488" t="s">
        <v>4382</v>
      </c>
      <c r="C3488">
        <v>-22.871892279592803</v>
      </c>
      <c r="D3488">
        <v>-49.156179151707128</v>
      </c>
    </row>
    <row r="3489" spans="1:4" x14ac:dyDescent="0.3">
      <c r="A3489">
        <v>3519303</v>
      </c>
      <c r="B3489" t="s">
        <v>4383</v>
      </c>
      <c r="C3489">
        <v>-21.955602000000003</v>
      </c>
      <c r="D3489">
        <v>-48.002388208652455</v>
      </c>
    </row>
    <row r="3490" spans="1:4" x14ac:dyDescent="0.3">
      <c r="A3490">
        <v>3519402</v>
      </c>
      <c r="B3490" t="s">
        <v>4384</v>
      </c>
      <c r="C3490">
        <v>-21.080537499366105</v>
      </c>
      <c r="D3490">
        <v>-49.238861531251032</v>
      </c>
    </row>
    <row r="3491" spans="1:4" x14ac:dyDescent="0.3">
      <c r="A3491">
        <v>3519501</v>
      </c>
      <c r="B3491" t="s">
        <v>4385</v>
      </c>
      <c r="C3491">
        <v>-22.81454295970865</v>
      </c>
      <c r="D3491">
        <v>-50.079125394570042</v>
      </c>
    </row>
    <row r="3492" spans="1:4" x14ac:dyDescent="0.3">
      <c r="A3492">
        <v>3519600</v>
      </c>
      <c r="B3492" t="s">
        <v>4386</v>
      </c>
      <c r="C3492">
        <v>-21.757082984349758</v>
      </c>
      <c r="D3492">
        <v>-48.827694693000119</v>
      </c>
    </row>
    <row r="3493" spans="1:4" x14ac:dyDescent="0.3">
      <c r="A3493">
        <v>3519709</v>
      </c>
      <c r="B3493" t="s">
        <v>4387</v>
      </c>
      <c r="C3493">
        <v>-23.652632500000003</v>
      </c>
      <c r="D3493">
        <v>-47.220491187489856</v>
      </c>
    </row>
    <row r="3494" spans="1:4" x14ac:dyDescent="0.3">
      <c r="A3494">
        <v>3519808</v>
      </c>
      <c r="B3494" t="s">
        <v>4388</v>
      </c>
      <c r="C3494">
        <v>-20.343505121059604</v>
      </c>
      <c r="D3494">
        <v>-49.196120191474236</v>
      </c>
    </row>
    <row r="3495" spans="1:4" x14ac:dyDescent="0.3">
      <c r="A3495">
        <v>3519907</v>
      </c>
      <c r="B3495" t="s">
        <v>4389</v>
      </c>
      <c r="C3495">
        <v>-22.663101471325305</v>
      </c>
      <c r="D3495">
        <v>-51.0774138909334</v>
      </c>
    </row>
    <row r="3496" spans="1:4" x14ac:dyDescent="0.3">
      <c r="A3496">
        <v>3520004</v>
      </c>
      <c r="B3496" t="s">
        <v>4390</v>
      </c>
      <c r="C3496">
        <v>-22.511149000000003</v>
      </c>
      <c r="D3496">
        <v>-48.557066101387115</v>
      </c>
    </row>
    <row r="3497" spans="1:4" x14ac:dyDescent="0.3">
      <c r="A3497">
        <v>3520103</v>
      </c>
      <c r="B3497" t="s">
        <v>4391</v>
      </c>
      <c r="C3497">
        <v>-20.039612535000003</v>
      </c>
      <c r="D3497">
        <v>-47.751066571312961</v>
      </c>
    </row>
    <row r="3498" spans="1:4" x14ac:dyDescent="0.3">
      <c r="A3498">
        <v>3520202</v>
      </c>
      <c r="B3498" t="s">
        <v>4392</v>
      </c>
      <c r="C3498">
        <v>-23.204843000000007</v>
      </c>
      <c r="D3498">
        <v>-46.156314423937715</v>
      </c>
    </row>
    <row r="3499" spans="1:4" x14ac:dyDescent="0.3">
      <c r="A3499">
        <v>3520301</v>
      </c>
      <c r="B3499" t="s">
        <v>4393</v>
      </c>
      <c r="C3499">
        <v>-24.706954196425801</v>
      </c>
      <c r="D3499">
        <v>-47.553137408817555</v>
      </c>
    </row>
    <row r="3500" spans="1:4" x14ac:dyDescent="0.3">
      <c r="A3500">
        <v>3520400</v>
      </c>
      <c r="B3500" t="s">
        <v>4394</v>
      </c>
      <c r="C3500">
        <v>-23.788652500000001</v>
      </c>
      <c r="D3500">
        <v>-45.354056666940934</v>
      </c>
    </row>
    <row r="3501" spans="1:4" x14ac:dyDescent="0.3">
      <c r="A3501">
        <v>3520426</v>
      </c>
      <c r="B3501" t="s">
        <v>4395</v>
      </c>
      <c r="C3501">
        <v>-24.739239940397805</v>
      </c>
      <c r="D3501">
        <v>-47.554316965929928</v>
      </c>
    </row>
    <row r="3502" spans="1:4" x14ac:dyDescent="0.3">
      <c r="A3502">
        <v>3520442</v>
      </c>
      <c r="B3502" t="s">
        <v>4396</v>
      </c>
      <c r="C3502">
        <v>-20.429372500000003</v>
      </c>
      <c r="D3502">
        <v>-51.344890657634998</v>
      </c>
    </row>
    <row r="3503" spans="1:4" x14ac:dyDescent="0.3">
      <c r="A3503">
        <v>3520509</v>
      </c>
      <c r="B3503" t="s">
        <v>4397</v>
      </c>
      <c r="C3503">
        <v>-23.081646000000003</v>
      </c>
      <c r="D3503">
        <v>-47.212308940251397</v>
      </c>
    </row>
    <row r="3504" spans="1:4" x14ac:dyDescent="0.3">
      <c r="A3504">
        <v>3520608</v>
      </c>
      <c r="B3504" t="s">
        <v>4398</v>
      </c>
      <c r="C3504">
        <v>-22.172093448680307</v>
      </c>
      <c r="D3504">
        <v>-51.251758513420206</v>
      </c>
    </row>
    <row r="3505" spans="1:4" x14ac:dyDescent="0.3">
      <c r="A3505">
        <v>3520707</v>
      </c>
      <c r="B3505" t="s">
        <v>4399</v>
      </c>
      <c r="C3505">
        <v>-19.977542999393453</v>
      </c>
      <c r="D3505">
        <v>-50.288981041994035</v>
      </c>
    </row>
    <row r="3506" spans="1:4" x14ac:dyDescent="0.3">
      <c r="A3506">
        <v>3520806</v>
      </c>
      <c r="B3506" t="s">
        <v>4400</v>
      </c>
      <c r="C3506">
        <v>-21.769911990320651</v>
      </c>
      <c r="D3506">
        <v>-50.964374893995235</v>
      </c>
    </row>
    <row r="3507" spans="1:4" x14ac:dyDescent="0.3">
      <c r="A3507">
        <v>3520905</v>
      </c>
      <c r="B3507" t="s">
        <v>4401</v>
      </c>
      <c r="C3507">
        <v>-23.052912999319503</v>
      </c>
      <c r="D3507">
        <v>-49.626806978311677</v>
      </c>
    </row>
    <row r="3508" spans="1:4" x14ac:dyDescent="0.3">
      <c r="A3508">
        <v>3521002</v>
      </c>
      <c r="B3508" t="s">
        <v>4402</v>
      </c>
      <c r="C3508">
        <v>-23.350277390297954</v>
      </c>
      <c r="D3508">
        <v>-47.689893893544628</v>
      </c>
    </row>
    <row r="3509" spans="1:4" x14ac:dyDescent="0.3">
      <c r="A3509">
        <v>3521101</v>
      </c>
      <c r="B3509" t="s">
        <v>4403</v>
      </c>
      <c r="C3509">
        <v>-22.437299502194854</v>
      </c>
      <c r="D3509">
        <v>-47.719095971109105</v>
      </c>
    </row>
    <row r="3510" spans="1:4" x14ac:dyDescent="0.3">
      <c r="A3510">
        <v>3521150</v>
      </c>
      <c r="B3510" t="s">
        <v>4404</v>
      </c>
      <c r="C3510">
        <v>-20.661645528879003</v>
      </c>
      <c r="D3510">
        <v>-49.388142381684411</v>
      </c>
    </row>
    <row r="3511" spans="1:4" x14ac:dyDescent="0.3">
      <c r="A3511">
        <v>3521200</v>
      </c>
      <c r="B3511" t="s">
        <v>4405</v>
      </c>
      <c r="C3511">
        <v>-24.584460178276952</v>
      </c>
      <c r="D3511">
        <v>-48.589600714087638</v>
      </c>
    </row>
    <row r="3512" spans="1:4" x14ac:dyDescent="0.3">
      <c r="A3512">
        <v>3521309</v>
      </c>
      <c r="B3512" t="s">
        <v>4406</v>
      </c>
      <c r="C3512">
        <v>-20.441482601041951</v>
      </c>
      <c r="D3512">
        <v>-48.017385038510419</v>
      </c>
    </row>
    <row r="3513" spans="1:4" x14ac:dyDescent="0.3">
      <c r="A3513">
        <v>3521408</v>
      </c>
      <c r="B3513" t="s">
        <v>4407</v>
      </c>
      <c r="C3513">
        <v>-22.583036934282401</v>
      </c>
      <c r="D3513">
        <v>-47.522246634171658</v>
      </c>
    </row>
    <row r="3514" spans="1:4" x14ac:dyDescent="0.3">
      <c r="A3514">
        <v>3521507</v>
      </c>
      <c r="B3514" t="s">
        <v>4408</v>
      </c>
      <c r="C3514">
        <v>-21.276437176419002</v>
      </c>
      <c r="D3514">
        <v>-49.408151782226433</v>
      </c>
    </row>
    <row r="3515" spans="1:4" x14ac:dyDescent="0.3">
      <c r="A3515">
        <v>3521606</v>
      </c>
      <c r="B3515" t="s">
        <v>4409</v>
      </c>
      <c r="C3515">
        <v>-21.567476235299303</v>
      </c>
      <c r="D3515">
        <v>-51.350172730815665</v>
      </c>
    </row>
    <row r="3516" spans="1:4" x14ac:dyDescent="0.3">
      <c r="A3516">
        <v>3521705</v>
      </c>
      <c r="B3516" t="s">
        <v>4410</v>
      </c>
      <c r="C3516">
        <v>-23.859811470068852</v>
      </c>
      <c r="D3516">
        <v>-49.137133285852528</v>
      </c>
    </row>
    <row r="3517" spans="1:4" x14ac:dyDescent="0.3">
      <c r="A3517">
        <v>3521804</v>
      </c>
      <c r="B3517" t="s">
        <v>4411</v>
      </c>
      <c r="C3517">
        <v>-23.419055385000007</v>
      </c>
      <c r="D3517">
        <v>-49.081032248485364</v>
      </c>
    </row>
    <row r="3518" spans="1:4" x14ac:dyDescent="0.3">
      <c r="A3518">
        <v>3521903</v>
      </c>
      <c r="B3518" t="s">
        <v>4412</v>
      </c>
      <c r="C3518">
        <v>-21.315707058707854</v>
      </c>
      <c r="D3518">
        <v>-49.054311079798545</v>
      </c>
    </row>
    <row r="3519" spans="1:4" x14ac:dyDescent="0.3">
      <c r="A3519">
        <v>3522000</v>
      </c>
      <c r="B3519" t="s">
        <v>4413</v>
      </c>
      <c r="C3519">
        <v>-21.984672420775752</v>
      </c>
      <c r="D3519">
        <v>-48.805021736265651</v>
      </c>
    </row>
    <row r="3520" spans="1:4" x14ac:dyDescent="0.3">
      <c r="A3520">
        <v>3522109</v>
      </c>
      <c r="B3520" t="s">
        <v>4414</v>
      </c>
      <c r="C3520">
        <v>-24.186120666832753</v>
      </c>
      <c r="D3520">
        <v>-46.790991482878688</v>
      </c>
    </row>
    <row r="3521" spans="1:4" x14ac:dyDescent="0.3">
      <c r="A3521">
        <v>3522158</v>
      </c>
      <c r="B3521" t="s">
        <v>4415</v>
      </c>
      <c r="C3521">
        <v>-24.642594234803955</v>
      </c>
      <c r="D3521">
        <v>-48.842855681530537</v>
      </c>
    </row>
    <row r="3522" spans="1:4" x14ac:dyDescent="0.3">
      <c r="A3522">
        <v>3522208</v>
      </c>
      <c r="B3522" t="s">
        <v>4416</v>
      </c>
      <c r="C3522">
        <v>-23.715357000000004</v>
      </c>
      <c r="D3522">
        <v>-46.85055196685208</v>
      </c>
    </row>
    <row r="3523" spans="1:4" x14ac:dyDescent="0.3">
      <c r="A3523">
        <v>3522307</v>
      </c>
      <c r="B3523" t="s">
        <v>4417</v>
      </c>
      <c r="C3523">
        <v>-23.587872500000007</v>
      </c>
      <c r="D3523">
        <v>-48.046142895454686</v>
      </c>
    </row>
    <row r="3524" spans="1:4" x14ac:dyDescent="0.3">
      <c r="A3524">
        <v>3522406</v>
      </c>
      <c r="B3524" t="s">
        <v>3545</v>
      </c>
      <c r="C3524">
        <v>-23.983437999298651</v>
      </c>
      <c r="D3524">
        <v>-48.877389159065352</v>
      </c>
    </row>
    <row r="3525" spans="1:4" x14ac:dyDescent="0.3">
      <c r="A3525">
        <v>3522505</v>
      </c>
      <c r="B3525" t="s">
        <v>4418</v>
      </c>
      <c r="C3525">
        <v>-23.546934000000004</v>
      </c>
      <c r="D3525">
        <v>-46.933372863488053</v>
      </c>
    </row>
    <row r="3526" spans="1:4" x14ac:dyDescent="0.3">
      <c r="A3526">
        <v>3522604</v>
      </c>
      <c r="B3526" t="s">
        <v>4419</v>
      </c>
      <c r="C3526">
        <v>-22.436005499333753</v>
      </c>
      <c r="D3526">
        <v>-46.821248011133704</v>
      </c>
    </row>
    <row r="3527" spans="1:4" x14ac:dyDescent="0.3">
      <c r="A3527">
        <v>3522653</v>
      </c>
      <c r="B3527" t="s">
        <v>4420</v>
      </c>
      <c r="C3527">
        <v>-24.571553499285802</v>
      </c>
      <c r="D3527">
        <v>-49.172165655280821</v>
      </c>
    </row>
    <row r="3528" spans="1:4" x14ac:dyDescent="0.3">
      <c r="A3528">
        <v>3522703</v>
      </c>
      <c r="B3528" t="s">
        <v>4421</v>
      </c>
      <c r="C3528">
        <v>-21.594703994353655</v>
      </c>
      <c r="D3528">
        <v>-48.813391985538438</v>
      </c>
    </row>
    <row r="3529" spans="1:4" x14ac:dyDescent="0.3">
      <c r="A3529">
        <v>3522802</v>
      </c>
      <c r="B3529" t="s">
        <v>2331</v>
      </c>
      <c r="C3529">
        <v>-23.703499943163258</v>
      </c>
      <c r="D3529">
        <v>-49.484396312080925</v>
      </c>
    </row>
    <row r="3530" spans="1:4" x14ac:dyDescent="0.3">
      <c r="A3530">
        <v>3522901</v>
      </c>
      <c r="B3530" t="s">
        <v>4422</v>
      </c>
      <c r="C3530">
        <v>-22.232127625043706</v>
      </c>
      <c r="D3530">
        <v>-48.718874159535133</v>
      </c>
    </row>
    <row r="3531" spans="1:4" x14ac:dyDescent="0.3">
      <c r="A3531">
        <v>3523008</v>
      </c>
      <c r="B3531" t="s">
        <v>4423</v>
      </c>
      <c r="C3531">
        <v>-20.639825775573904</v>
      </c>
      <c r="D3531">
        <v>-51.509969369509719</v>
      </c>
    </row>
    <row r="3532" spans="1:4" x14ac:dyDescent="0.3">
      <c r="A3532">
        <v>3523107</v>
      </c>
      <c r="B3532" t="s">
        <v>4424</v>
      </c>
      <c r="C3532">
        <v>-23.476897500000007</v>
      </c>
      <c r="D3532">
        <v>-46.351603140965388</v>
      </c>
    </row>
    <row r="3533" spans="1:4" x14ac:dyDescent="0.3">
      <c r="A3533">
        <v>3523206</v>
      </c>
      <c r="B3533" t="s">
        <v>4425</v>
      </c>
      <c r="C3533">
        <v>-24.112137960000002</v>
      </c>
      <c r="D3533">
        <v>-49.336119713929449</v>
      </c>
    </row>
    <row r="3534" spans="1:4" x14ac:dyDescent="0.3">
      <c r="A3534">
        <v>3523305</v>
      </c>
      <c r="B3534" t="s">
        <v>4426</v>
      </c>
      <c r="C3534">
        <v>-24.292005633897006</v>
      </c>
      <c r="D3534">
        <v>-47.175726056555447</v>
      </c>
    </row>
    <row r="3535" spans="1:4" x14ac:dyDescent="0.3">
      <c r="A3535">
        <v>3523404</v>
      </c>
      <c r="B3535" t="s">
        <v>4427</v>
      </c>
      <c r="C3535">
        <v>-23.004852999320605</v>
      </c>
      <c r="D3535">
        <v>-46.837557852941181</v>
      </c>
    </row>
    <row r="3536" spans="1:4" x14ac:dyDescent="0.3">
      <c r="A3536">
        <v>3523503</v>
      </c>
      <c r="B3536" t="s">
        <v>4428</v>
      </c>
      <c r="C3536">
        <v>-23.104273401677357</v>
      </c>
      <c r="D3536">
        <v>-48.6133802692841</v>
      </c>
    </row>
    <row r="3537" spans="1:4" x14ac:dyDescent="0.3">
      <c r="A3537">
        <v>3523602</v>
      </c>
      <c r="B3537" t="s">
        <v>4429</v>
      </c>
      <c r="C3537">
        <v>-22.253967973805057</v>
      </c>
      <c r="D3537">
        <v>-47.819884866607318</v>
      </c>
    </row>
    <row r="3538" spans="1:4" x14ac:dyDescent="0.3">
      <c r="A3538">
        <v>3523701</v>
      </c>
      <c r="B3538" t="s">
        <v>4430</v>
      </c>
      <c r="C3538">
        <v>-20.642426529747404</v>
      </c>
      <c r="D3538">
        <v>-47.219952884855068</v>
      </c>
    </row>
    <row r="3539" spans="1:4" x14ac:dyDescent="0.3">
      <c r="A3539">
        <v>3523800</v>
      </c>
      <c r="B3539" t="s">
        <v>4431</v>
      </c>
      <c r="C3539">
        <v>-21.734901819147655</v>
      </c>
      <c r="D3539">
        <v>-46.973418654180172</v>
      </c>
    </row>
    <row r="3540" spans="1:4" x14ac:dyDescent="0.3">
      <c r="A3540">
        <v>3523909</v>
      </c>
      <c r="B3540" t="s">
        <v>4432</v>
      </c>
      <c r="C3540">
        <v>-23.265442500000002</v>
      </c>
      <c r="D3540">
        <v>-47.299749835960981</v>
      </c>
    </row>
    <row r="3541" spans="1:4" x14ac:dyDescent="0.3">
      <c r="A3541">
        <v>3524006</v>
      </c>
      <c r="B3541" t="s">
        <v>4433</v>
      </c>
      <c r="C3541">
        <v>-23.153409626186349</v>
      </c>
      <c r="D3541">
        <v>-47.055701152091729</v>
      </c>
    </row>
    <row r="3542" spans="1:4" x14ac:dyDescent="0.3">
      <c r="A3542">
        <v>3524105</v>
      </c>
      <c r="B3542" t="s">
        <v>4434</v>
      </c>
      <c r="C3542">
        <v>-20.336287965870802</v>
      </c>
      <c r="D3542">
        <v>-47.780415655388985</v>
      </c>
    </row>
    <row r="3543" spans="1:4" x14ac:dyDescent="0.3">
      <c r="A3543">
        <v>3524204</v>
      </c>
      <c r="B3543" t="s">
        <v>2977</v>
      </c>
      <c r="C3543">
        <v>-20.687224499375752</v>
      </c>
      <c r="D3543">
        <v>-48.413444920628585</v>
      </c>
    </row>
    <row r="3544" spans="1:4" x14ac:dyDescent="0.3">
      <c r="A3544">
        <v>3524303</v>
      </c>
      <c r="B3544" t="s">
        <v>4435</v>
      </c>
      <c r="C3544">
        <v>-21.254471499361856</v>
      </c>
      <c r="D3544">
        <v>-48.32034975125751</v>
      </c>
    </row>
    <row r="3545" spans="1:4" x14ac:dyDescent="0.3">
      <c r="A3545">
        <v>3524402</v>
      </c>
      <c r="B3545" t="s">
        <v>4436</v>
      </c>
      <c r="C3545">
        <v>-23.304880499313754</v>
      </c>
      <c r="D3545">
        <v>-45.969593204409357</v>
      </c>
    </row>
    <row r="3546" spans="1:4" x14ac:dyDescent="0.3">
      <c r="A3546">
        <v>3524501</v>
      </c>
      <c r="B3546" t="s">
        <v>4437</v>
      </c>
      <c r="C3546">
        <v>-20.884085133117853</v>
      </c>
      <c r="D3546">
        <v>-49.573344611531674</v>
      </c>
    </row>
    <row r="3547" spans="1:4" x14ac:dyDescent="0.3">
      <c r="A3547">
        <v>3524600</v>
      </c>
      <c r="B3547" t="s">
        <v>4438</v>
      </c>
      <c r="C3547">
        <v>-24.698150280957801</v>
      </c>
      <c r="D3547">
        <v>-48.004704511540098</v>
      </c>
    </row>
    <row r="3548" spans="1:4" x14ac:dyDescent="0.3">
      <c r="A3548">
        <v>3524709</v>
      </c>
      <c r="B3548" t="s">
        <v>4439</v>
      </c>
      <c r="C3548">
        <v>-22.706781958197556</v>
      </c>
      <c r="D3548">
        <v>-46.98234346628788</v>
      </c>
    </row>
    <row r="3549" spans="1:4" x14ac:dyDescent="0.3">
      <c r="A3549">
        <v>3524808</v>
      </c>
      <c r="B3549" t="s">
        <v>4440</v>
      </c>
      <c r="C3549">
        <v>-20.267853047500004</v>
      </c>
      <c r="D3549">
        <v>-50.550356199042753</v>
      </c>
    </row>
    <row r="3550" spans="1:4" x14ac:dyDescent="0.3">
      <c r="A3550">
        <v>3524907</v>
      </c>
      <c r="B3550" t="s">
        <v>4441</v>
      </c>
      <c r="C3550">
        <v>-23.256576866836607</v>
      </c>
      <c r="D3550">
        <v>-45.69365512457987</v>
      </c>
    </row>
    <row r="3551" spans="1:4" x14ac:dyDescent="0.3">
      <c r="A3551">
        <v>3525003</v>
      </c>
      <c r="B3551" t="s">
        <v>4442</v>
      </c>
      <c r="C3551">
        <v>-23.529939000000002</v>
      </c>
      <c r="D3551">
        <v>-46.905221141741073</v>
      </c>
    </row>
    <row r="3552" spans="1:4" x14ac:dyDescent="0.3">
      <c r="A3552">
        <v>3525102</v>
      </c>
      <c r="B3552" t="s">
        <v>4443</v>
      </c>
      <c r="C3552">
        <v>-21.022457000000003</v>
      </c>
      <c r="D3552">
        <v>-47.765352928523406</v>
      </c>
    </row>
    <row r="3553" spans="1:4" x14ac:dyDescent="0.3">
      <c r="A3553">
        <v>3525201</v>
      </c>
      <c r="B3553" t="s">
        <v>4444</v>
      </c>
      <c r="C3553">
        <v>-23.103062500000004</v>
      </c>
      <c r="D3553">
        <v>-46.738270935405829</v>
      </c>
    </row>
    <row r="3554" spans="1:4" x14ac:dyDescent="0.3">
      <c r="A3554">
        <v>3525300</v>
      </c>
      <c r="B3554" t="s">
        <v>4445</v>
      </c>
      <c r="C3554">
        <v>-22.295790990000008</v>
      </c>
      <c r="D3554">
        <v>-48.558141387833111</v>
      </c>
    </row>
    <row r="3555" spans="1:4" x14ac:dyDescent="0.3">
      <c r="A3555">
        <v>3525409</v>
      </c>
      <c r="B3555" t="s">
        <v>4446</v>
      </c>
      <c r="C3555">
        <v>-20.312041589292903</v>
      </c>
      <c r="D3555">
        <v>-47.588743916570039</v>
      </c>
    </row>
    <row r="3556" spans="1:4" x14ac:dyDescent="0.3">
      <c r="A3556">
        <v>3525508</v>
      </c>
      <c r="B3556" t="s">
        <v>4447</v>
      </c>
      <c r="C3556">
        <v>-22.930678218205603</v>
      </c>
      <c r="D3556">
        <v>-46.273416610136671</v>
      </c>
    </row>
    <row r="3557" spans="1:4" x14ac:dyDescent="0.3">
      <c r="A3557">
        <v>3525607</v>
      </c>
      <c r="B3557" t="s">
        <v>4448</v>
      </c>
      <c r="C3557">
        <v>-22.251046055078699</v>
      </c>
      <c r="D3557">
        <v>-50.768535308413988</v>
      </c>
    </row>
    <row r="3558" spans="1:4" x14ac:dyDescent="0.3">
      <c r="A3558">
        <v>3525706</v>
      </c>
      <c r="B3558" t="s">
        <v>4449</v>
      </c>
      <c r="C3558">
        <v>-21.053719035000004</v>
      </c>
      <c r="D3558">
        <v>-49.686282716033325</v>
      </c>
    </row>
    <row r="3559" spans="1:4" x14ac:dyDescent="0.3">
      <c r="A3559">
        <v>3525805</v>
      </c>
      <c r="B3559" t="s">
        <v>4450</v>
      </c>
      <c r="C3559">
        <v>-22.013168999343701</v>
      </c>
      <c r="D3559">
        <v>-49.790794283774673</v>
      </c>
    </row>
    <row r="3560" spans="1:4" x14ac:dyDescent="0.3">
      <c r="A3560">
        <v>3525854</v>
      </c>
      <c r="B3560" t="s">
        <v>4451</v>
      </c>
      <c r="C3560">
        <v>-23.0825599993188</v>
      </c>
      <c r="D3560">
        <v>-47.798173511904771</v>
      </c>
    </row>
    <row r="3561" spans="1:4" x14ac:dyDescent="0.3">
      <c r="A3561">
        <v>3525904</v>
      </c>
      <c r="B3561" t="s">
        <v>4452</v>
      </c>
      <c r="C3561">
        <v>-23.187668000000006</v>
      </c>
      <c r="D3561">
        <v>-46.885273967996739</v>
      </c>
    </row>
    <row r="3562" spans="1:4" x14ac:dyDescent="0.3">
      <c r="A3562">
        <v>3526001</v>
      </c>
      <c r="B3562" t="s">
        <v>4453</v>
      </c>
      <c r="C3562">
        <v>-21.511275749680955</v>
      </c>
      <c r="D3562">
        <v>-51.434011950548992</v>
      </c>
    </row>
    <row r="3563" spans="1:4" x14ac:dyDescent="0.3">
      <c r="A3563">
        <v>3526100</v>
      </c>
      <c r="B3563" t="s">
        <v>4454</v>
      </c>
      <c r="C3563">
        <v>-24.320703078972656</v>
      </c>
      <c r="D3563">
        <v>-47.635341967662214</v>
      </c>
    </row>
    <row r="3564" spans="1:4" x14ac:dyDescent="0.3">
      <c r="A3564">
        <v>3526209</v>
      </c>
      <c r="B3564" t="s">
        <v>4455</v>
      </c>
      <c r="C3564">
        <v>-23.935689201507817</v>
      </c>
      <c r="D3564">
        <v>-47.081594072291821</v>
      </c>
    </row>
    <row r="3565" spans="1:4" x14ac:dyDescent="0.3">
      <c r="A3565">
        <v>3526308</v>
      </c>
      <c r="B3565" t="s">
        <v>4456</v>
      </c>
      <c r="C3565">
        <v>-23.086921351486403</v>
      </c>
      <c r="D3565">
        <v>-45.190810820432951</v>
      </c>
    </row>
    <row r="3566" spans="1:4" x14ac:dyDescent="0.3">
      <c r="A3566">
        <v>3526407</v>
      </c>
      <c r="B3566" t="s">
        <v>4457</v>
      </c>
      <c r="C3566">
        <v>-23.054011606537156</v>
      </c>
      <c r="D3566">
        <v>-47.833780710266304</v>
      </c>
    </row>
    <row r="3567" spans="1:4" x14ac:dyDescent="0.3">
      <c r="A3567">
        <v>3526506</v>
      </c>
      <c r="B3567" t="s">
        <v>4458</v>
      </c>
      <c r="C3567">
        <v>-21.164856565473503</v>
      </c>
      <c r="D3567">
        <v>-51.040501657068525</v>
      </c>
    </row>
    <row r="3568" spans="1:4" x14ac:dyDescent="0.3">
      <c r="A3568">
        <v>3526605</v>
      </c>
      <c r="B3568" t="s">
        <v>4459</v>
      </c>
      <c r="C3568">
        <v>-22.570096474152958</v>
      </c>
      <c r="D3568">
        <v>-44.893110279387081</v>
      </c>
    </row>
    <row r="3569" spans="1:4" x14ac:dyDescent="0.3">
      <c r="A3569">
        <v>3526704</v>
      </c>
      <c r="B3569" t="s">
        <v>4460</v>
      </c>
      <c r="C3569">
        <v>-22.185436005000003</v>
      </c>
      <c r="D3569">
        <v>-47.388707969614835</v>
      </c>
    </row>
    <row r="3570" spans="1:4" x14ac:dyDescent="0.3">
      <c r="A3570">
        <v>3526803</v>
      </c>
      <c r="B3570" t="s">
        <v>4461</v>
      </c>
      <c r="C3570">
        <v>-22.597507000000004</v>
      </c>
      <c r="D3570">
        <v>-48.798681972457324</v>
      </c>
    </row>
    <row r="3571" spans="1:4" x14ac:dyDescent="0.3">
      <c r="A3571">
        <v>3526902</v>
      </c>
      <c r="B3571" t="s">
        <v>4462</v>
      </c>
      <c r="C3571">
        <v>-22.562194000000005</v>
      </c>
      <c r="D3571">
        <v>-47.401939523310205</v>
      </c>
    </row>
    <row r="3572" spans="1:4" x14ac:dyDescent="0.3">
      <c r="A3572">
        <v>3527009</v>
      </c>
      <c r="B3572" t="s">
        <v>4463</v>
      </c>
      <c r="C3572">
        <v>-22.520488192169154</v>
      </c>
      <c r="D3572">
        <v>-46.661483616308736</v>
      </c>
    </row>
    <row r="3573" spans="1:4" x14ac:dyDescent="0.3">
      <c r="A3573">
        <v>3527108</v>
      </c>
      <c r="B3573" t="s">
        <v>4464</v>
      </c>
      <c r="C3573">
        <v>-21.6723465</v>
      </c>
      <c r="D3573">
        <v>-49.751423386685467</v>
      </c>
    </row>
    <row r="3574" spans="1:4" x14ac:dyDescent="0.3">
      <c r="A3574">
        <v>3527207</v>
      </c>
      <c r="B3574" t="s">
        <v>4465</v>
      </c>
      <c r="C3574">
        <v>-22.731693032629604</v>
      </c>
      <c r="D3574">
        <v>-45.124248144163182</v>
      </c>
    </row>
    <row r="3575" spans="1:4" x14ac:dyDescent="0.3">
      <c r="A3575">
        <v>3527256</v>
      </c>
      <c r="B3575" t="s">
        <v>4466</v>
      </c>
      <c r="C3575">
        <v>-20.965390538303705</v>
      </c>
      <c r="D3575">
        <v>-50.22666009599601</v>
      </c>
    </row>
    <row r="3576" spans="1:4" x14ac:dyDescent="0.3">
      <c r="A3576">
        <v>3527306</v>
      </c>
      <c r="B3576" t="s">
        <v>4467</v>
      </c>
      <c r="C3576">
        <v>-23.086778500000005</v>
      </c>
      <c r="D3576">
        <v>-46.946440218048735</v>
      </c>
    </row>
    <row r="3577" spans="1:4" x14ac:dyDescent="0.3">
      <c r="A3577">
        <v>3527405</v>
      </c>
      <c r="B3577" t="s">
        <v>4468</v>
      </c>
      <c r="C3577">
        <v>-21.723415646037903</v>
      </c>
      <c r="D3577">
        <v>-51.018349142240865</v>
      </c>
    </row>
    <row r="3578" spans="1:4" x14ac:dyDescent="0.3">
      <c r="A3578">
        <v>3527504</v>
      </c>
      <c r="B3578" t="s">
        <v>4469</v>
      </c>
      <c r="C3578">
        <v>-22.431639999333854</v>
      </c>
      <c r="D3578">
        <v>-49.523179124461372</v>
      </c>
    </row>
    <row r="3579" spans="1:4" x14ac:dyDescent="0.3">
      <c r="A3579">
        <v>3527603</v>
      </c>
      <c r="B3579" t="s">
        <v>4470</v>
      </c>
      <c r="C3579">
        <v>-21.551706525237204</v>
      </c>
      <c r="D3579">
        <v>-47.700279944847594</v>
      </c>
    </row>
    <row r="3580" spans="1:4" x14ac:dyDescent="0.3">
      <c r="A3580">
        <v>3527702</v>
      </c>
      <c r="B3580" t="s">
        <v>4471</v>
      </c>
      <c r="C3580">
        <v>-21.673602964563049</v>
      </c>
      <c r="D3580">
        <v>-50.327639489638479</v>
      </c>
    </row>
    <row r="3581" spans="1:4" x14ac:dyDescent="0.3">
      <c r="A3581">
        <v>3527801</v>
      </c>
      <c r="B3581" t="s">
        <v>4472</v>
      </c>
      <c r="C3581">
        <v>-22.413815392232703</v>
      </c>
      <c r="D3581">
        <v>-49.820324699943825</v>
      </c>
    </row>
    <row r="3582" spans="1:4" x14ac:dyDescent="0.3">
      <c r="A3582">
        <v>3527900</v>
      </c>
      <c r="B3582" t="s">
        <v>4473</v>
      </c>
      <c r="C3582">
        <v>-22.343444287208154</v>
      </c>
      <c r="D3582">
        <v>-50.38932711588177</v>
      </c>
    </row>
    <row r="3583" spans="1:4" x14ac:dyDescent="0.3">
      <c r="A3583">
        <v>3528007</v>
      </c>
      <c r="B3583" t="s">
        <v>4474</v>
      </c>
      <c r="C3583">
        <v>-22.505549628843855</v>
      </c>
      <c r="D3583">
        <v>-48.71140538696806</v>
      </c>
    </row>
    <row r="3584" spans="1:4" x14ac:dyDescent="0.3">
      <c r="A3584">
        <v>3528106</v>
      </c>
      <c r="B3584" t="s">
        <v>4475</v>
      </c>
      <c r="C3584">
        <v>-20.801313539563303</v>
      </c>
      <c r="D3584">
        <v>-49.963497820342063</v>
      </c>
    </row>
    <row r="3585" spans="1:4" x14ac:dyDescent="0.3">
      <c r="A3585">
        <v>3528205</v>
      </c>
      <c r="B3585" t="s">
        <v>4476</v>
      </c>
      <c r="C3585">
        <v>-20.149997984692504</v>
      </c>
      <c r="D3585">
        <v>-50.197628484223976</v>
      </c>
    </row>
    <row r="3586" spans="1:4" x14ac:dyDescent="0.3">
      <c r="A3586">
        <v>3528304</v>
      </c>
      <c r="B3586" t="s">
        <v>4477</v>
      </c>
      <c r="C3586">
        <v>-20.643481311055101</v>
      </c>
      <c r="D3586">
        <v>-50.227537047108889</v>
      </c>
    </row>
    <row r="3587" spans="1:4" x14ac:dyDescent="0.3">
      <c r="A3587">
        <v>3528403</v>
      </c>
      <c r="B3587" t="s">
        <v>4478</v>
      </c>
      <c r="C3587">
        <v>-23.547457999999907</v>
      </c>
      <c r="D3587">
        <v>-47.184482626249711</v>
      </c>
    </row>
    <row r="3588" spans="1:4" x14ac:dyDescent="0.3">
      <c r="A3588">
        <v>3528502</v>
      </c>
      <c r="B3588" t="s">
        <v>4479</v>
      </c>
      <c r="C3588">
        <v>-23.322459382970386</v>
      </c>
      <c r="D3588">
        <v>-46.590195873141873</v>
      </c>
    </row>
    <row r="3589" spans="1:4" x14ac:dyDescent="0.3">
      <c r="A3589">
        <v>3528601</v>
      </c>
      <c r="B3589" t="s">
        <v>4480</v>
      </c>
      <c r="C3589">
        <v>-23.003346089863552</v>
      </c>
      <c r="D3589">
        <v>-49.318113120583106</v>
      </c>
    </row>
    <row r="3590" spans="1:4" x14ac:dyDescent="0.3">
      <c r="A3590">
        <v>3528700</v>
      </c>
      <c r="B3590" t="s">
        <v>4481</v>
      </c>
      <c r="C3590">
        <v>-22.110331499341353</v>
      </c>
      <c r="D3590">
        <v>-51.968467484711482</v>
      </c>
    </row>
    <row r="3591" spans="1:4" x14ac:dyDescent="0.3">
      <c r="A3591">
        <v>3528809</v>
      </c>
      <c r="B3591" t="s">
        <v>4482</v>
      </c>
      <c r="C3591">
        <v>-22.61041533676195</v>
      </c>
      <c r="D3591">
        <v>-50.668968249501823</v>
      </c>
    </row>
    <row r="3592" spans="1:4" x14ac:dyDescent="0.3">
      <c r="A3592">
        <v>3528858</v>
      </c>
      <c r="B3592" t="s">
        <v>4483</v>
      </c>
      <c r="C3592">
        <v>-21.258761925566304</v>
      </c>
      <c r="D3592">
        <v>-49.140000810266159</v>
      </c>
    </row>
    <row r="3593" spans="1:4" x14ac:dyDescent="0.3">
      <c r="A3593">
        <v>3528908</v>
      </c>
      <c r="B3593" t="s">
        <v>4484</v>
      </c>
      <c r="C3593">
        <v>-21.794493366467254</v>
      </c>
      <c r="D3593">
        <v>-51.182897555050317</v>
      </c>
    </row>
    <row r="3594" spans="1:4" x14ac:dyDescent="0.3">
      <c r="A3594">
        <v>3529005</v>
      </c>
      <c r="B3594" t="s">
        <v>4485</v>
      </c>
      <c r="C3594">
        <v>-22.214933000000002</v>
      </c>
      <c r="D3594">
        <v>-49.951645643103269</v>
      </c>
    </row>
    <row r="3595" spans="1:4" x14ac:dyDescent="0.3">
      <c r="A3595">
        <v>3529104</v>
      </c>
      <c r="B3595" t="s">
        <v>4486</v>
      </c>
      <c r="C3595">
        <v>-20.439398912525252</v>
      </c>
      <c r="D3595">
        <v>-50.825677294830072</v>
      </c>
    </row>
    <row r="3596" spans="1:4" x14ac:dyDescent="0.3">
      <c r="A3596">
        <v>3529203</v>
      </c>
      <c r="B3596" t="s">
        <v>4487</v>
      </c>
      <c r="C3596">
        <v>-22.147832475000008</v>
      </c>
      <c r="D3596">
        <v>-51.170768057488502</v>
      </c>
    </row>
    <row r="3597" spans="1:4" x14ac:dyDescent="0.3">
      <c r="A3597">
        <v>3529302</v>
      </c>
      <c r="B3597" t="s">
        <v>4488</v>
      </c>
      <c r="C3597">
        <v>-21.602994506272555</v>
      </c>
      <c r="D3597">
        <v>-48.367747699366184</v>
      </c>
    </row>
    <row r="3598" spans="1:4" x14ac:dyDescent="0.3">
      <c r="A3598">
        <v>3529401</v>
      </c>
      <c r="B3598" t="s">
        <v>4489</v>
      </c>
      <c r="C3598">
        <v>-23.669334500000001</v>
      </c>
      <c r="D3598">
        <v>-46.458262012164653</v>
      </c>
    </row>
    <row r="3599" spans="1:4" x14ac:dyDescent="0.3">
      <c r="A3599">
        <v>3529500</v>
      </c>
      <c r="B3599" t="s">
        <v>4490</v>
      </c>
      <c r="C3599">
        <v>-21.180156172304553</v>
      </c>
      <c r="D3599">
        <v>-49.582018998867298</v>
      </c>
    </row>
    <row r="3600" spans="1:4" x14ac:dyDescent="0.3">
      <c r="A3600">
        <v>3529609</v>
      </c>
      <c r="B3600" t="s">
        <v>4491</v>
      </c>
      <c r="C3600">
        <v>-20.354109903167451</v>
      </c>
      <c r="D3600">
        <v>-50.181831839905065</v>
      </c>
    </row>
    <row r="3601" spans="1:4" x14ac:dyDescent="0.3">
      <c r="A3601">
        <v>3529658</v>
      </c>
      <c r="B3601" t="s">
        <v>4492</v>
      </c>
      <c r="C3601">
        <v>-19.9670371030093</v>
      </c>
      <c r="D3601">
        <v>-50.622080265368048</v>
      </c>
    </row>
    <row r="3602" spans="1:4" x14ac:dyDescent="0.3">
      <c r="A3602">
        <v>3529708</v>
      </c>
      <c r="B3602" t="s">
        <v>4493</v>
      </c>
      <c r="C3602">
        <v>-20.177129232579301</v>
      </c>
      <c r="D3602">
        <v>-48.029334182714521</v>
      </c>
    </row>
    <row r="3603" spans="1:4" x14ac:dyDescent="0.3">
      <c r="A3603">
        <v>3529807</v>
      </c>
      <c r="B3603" t="s">
        <v>4494</v>
      </c>
      <c r="C3603">
        <v>-22.411696800770851</v>
      </c>
      <c r="D3603">
        <v>-48.451802309283096</v>
      </c>
    </row>
    <row r="3604" spans="1:4" x14ac:dyDescent="0.3">
      <c r="A3604">
        <v>3529906</v>
      </c>
      <c r="B3604" t="s">
        <v>4495</v>
      </c>
      <c r="C3604">
        <v>-24.283929465376051</v>
      </c>
      <c r="D3604">
        <v>-47.45710399910886</v>
      </c>
    </row>
    <row r="3605" spans="1:4" x14ac:dyDescent="0.3">
      <c r="A3605">
        <v>3530003</v>
      </c>
      <c r="B3605" t="s">
        <v>4496</v>
      </c>
      <c r="C3605">
        <v>-19.980516052412604</v>
      </c>
      <c r="D3605">
        <v>-50.13842719642804</v>
      </c>
    </row>
    <row r="3606" spans="1:4" x14ac:dyDescent="0.3">
      <c r="A3606">
        <v>3530102</v>
      </c>
      <c r="B3606" t="s">
        <v>4497</v>
      </c>
      <c r="C3606">
        <v>-21.132086985000004</v>
      </c>
      <c r="D3606">
        <v>-51.105640391753681</v>
      </c>
    </row>
    <row r="3607" spans="1:4" x14ac:dyDescent="0.3">
      <c r="A3607">
        <v>3530201</v>
      </c>
      <c r="B3607" t="s">
        <v>4498</v>
      </c>
      <c r="C3607">
        <v>-22.290558594472301</v>
      </c>
      <c r="D3607">
        <v>-51.905794305934975</v>
      </c>
    </row>
    <row r="3608" spans="1:4" x14ac:dyDescent="0.3">
      <c r="A3608">
        <v>3530300</v>
      </c>
      <c r="B3608" t="s">
        <v>4499</v>
      </c>
      <c r="C3608">
        <v>-20.817004500000003</v>
      </c>
      <c r="D3608">
        <v>-49.512139217927263</v>
      </c>
    </row>
    <row r="3609" spans="1:4" x14ac:dyDescent="0.3">
      <c r="A3609">
        <v>3530409</v>
      </c>
      <c r="B3609" t="s">
        <v>4500</v>
      </c>
      <c r="C3609">
        <v>-20.616857219804</v>
      </c>
      <c r="D3609">
        <v>-49.465519842508506</v>
      </c>
    </row>
    <row r="3610" spans="1:4" x14ac:dyDescent="0.3">
      <c r="A3610">
        <v>3530508</v>
      </c>
      <c r="B3610" t="s">
        <v>4501</v>
      </c>
      <c r="C3610">
        <v>-21.468990510000001</v>
      </c>
      <c r="D3610">
        <v>-47.007170978736696</v>
      </c>
    </row>
    <row r="3611" spans="1:4" x14ac:dyDescent="0.3">
      <c r="A3611">
        <v>3530607</v>
      </c>
      <c r="B3611" t="s">
        <v>4502</v>
      </c>
      <c r="C3611">
        <v>-23.522706500000002</v>
      </c>
      <c r="D3611">
        <v>-46.196760084326563</v>
      </c>
    </row>
    <row r="3612" spans="1:4" x14ac:dyDescent="0.3">
      <c r="A3612">
        <v>3530706</v>
      </c>
      <c r="B3612" t="s">
        <v>4503</v>
      </c>
      <c r="C3612">
        <v>-22.365720189511567</v>
      </c>
      <c r="D3612">
        <v>-46.944474088149072</v>
      </c>
    </row>
    <row r="3613" spans="1:4" x14ac:dyDescent="0.3">
      <c r="A3613">
        <v>3530805</v>
      </c>
      <c r="B3613" t="s">
        <v>4504</v>
      </c>
      <c r="C3613">
        <v>-22.432695500000008</v>
      </c>
      <c r="D3613">
        <v>-46.956367126578954</v>
      </c>
    </row>
    <row r="3614" spans="1:4" x14ac:dyDescent="0.3">
      <c r="A3614">
        <v>3530904</v>
      </c>
      <c r="B3614" t="s">
        <v>4505</v>
      </c>
      <c r="C3614">
        <v>-22.926827883407753</v>
      </c>
      <c r="D3614">
        <v>-47.567524004838418</v>
      </c>
    </row>
    <row r="3615" spans="1:4" x14ac:dyDescent="0.3">
      <c r="A3615">
        <v>3531001</v>
      </c>
      <c r="B3615" t="s">
        <v>4506</v>
      </c>
      <c r="C3615">
        <v>-20.850325703772853</v>
      </c>
      <c r="D3615">
        <v>-50.096306131545759</v>
      </c>
    </row>
    <row r="3616" spans="1:4" x14ac:dyDescent="0.3">
      <c r="A3616">
        <v>3531100</v>
      </c>
      <c r="B3616" t="s">
        <v>4507</v>
      </c>
      <c r="C3616">
        <v>-24.094116144999902</v>
      </c>
      <c r="D3616">
        <v>-46.619992725371041</v>
      </c>
    </row>
    <row r="3617" spans="1:4" x14ac:dyDescent="0.3">
      <c r="A3617">
        <v>3531209</v>
      </c>
      <c r="B3617" t="s">
        <v>4508</v>
      </c>
      <c r="C3617">
        <v>-22.68112865985935</v>
      </c>
      <c r="D3617">
        <v>-46.681194300508714</v>
      </c>
    </row>
    <row r="3618" spans="1:4" x14ac:dyDescent="0.3">
      <c r="A3618">
        <v>3531308</v>
      </c>
      <c r="B3618" t="s">
        <v>4509</v>
      </c>
      <c r="C3618">
        <v>-21.263863995000005</v>
      </c>
      <c r="D3618">
        <v>-48.496651259965986</v>
      </c>
    </row>
    <row r="3619" spans="1:4" x14ac:dyDescent="0.3">
      <c r="A3619">
        <v>3531407</v>
      </c>
      <c r="B3619" t="s">
        <v>4510</v>
      </c>
      <c r="C3619">
        <v>-20.772140137594654</v>
      </c>
      <c r="D3619">
        <v>-49.71411616142862</v>
      </c>
    </row>
    <row r="3620" spans="1:4" x14ac:dyDescent="0.3">
      <c r="A3620">
        <v>3531506</v>
      </c>
      <c r="B3620" t="s">
        <v>4511</v>
      </c>
      <c r="C3620">
        <v>-20.903841225890652</v>
      </c>
      <c r="D3620">
        <v>-48.642971283280971</v>
      </c>
    </row>
    <row r="3621" spans="1:4" x14ac:dyDescent="0.3">
      <c r="A3621">
        <v>3531605</v>
      </c>
      <c r="B3621" t="s">
        <v>4512</v>
      </c>
      <c r="C3621">
        <v>-21.298959449262554</v>
      </c>
      <c r="D3621">
        <v>-51.565493248709366</v>
      </c>
    </row>
    <row r="3622" spans="1:4" x14ac:dyDescent="0.3">
      <c r="A3622">
        <v>3531704</v>
      </c>
      <c r="B3622" t="s">
        <v>4513</v>
      </c>
      <c r="C3622">
        <v>-22.955010579151153</v>
      </c>
      <c r="D3622">
        <v>-45.84815198496505</v>
      </c>
    </row>
    <row r="3623" spans="1:4" x14ac:dyDescent="0.3">
      <c r="A3623">
        <v>3531803</v>
      </c>
      <c r="B3623" t="s">
        <v>4514</v>
      </c>
      <c r="C3623">
        <v>-22.945521999321958</v>
      </c>
      <c r="D3623">
        <v>-47.313269248336269</v>
      </c>
    </row>
    <row r="3624" spans="1:4" x14ac:dyDescent="0.3">
      <c r="A3624">
        <v>3531902</v>
      </c>
      <c r="B3624" t="s">
        <v>4515</v>
      </c>
      <c r="C3624">
        <v>-20.7326629993746</v>
      </c>
      <c r="D3624">
        <v>-48.057593825321732</v>
      </c>
    </row>
    <row r="3625" spans="1:4" x14ac:dyDescent="0.3">
      <c r="A3625">
        <v>3532009</v>
      </c>
      <c r="B3625" t="s">
        <v>4516</v>
      </c>
      <c r="C3625">
        <v>-22.881030932694454</v>
      </c>
      <c r="D3625">
        <v>-46.79134439458381</v>
      </c>
    </row>
    <row r="3626" spans="1:4" x14ac:dyDescent="0.3">
      <c r="A3626">
        <v>3532058</v>
      </c>
      <c r="B3626" t="s">
        <v>4517</v>
      </c>
      <c r="C3626">
        <v>-21.507609441189903</v>
      </c>
      <c r="D3626">
        <v>-48.150661254394855</v>
      </c>
    </row>
    <row r="3627" spans="1:4" x14ac:dyDescent="0.3">
      <c r="A3627">
        <v>3532108</v>
      </c>
      <c r="B3627" t="s">
        <v>4518</v>
      </c>
      <c r="C3627">
        <v>-20.994298089260052</v>
      </c>
      <c r="D3627">
        <v>-51.277138185509848</v>
      </c>
    </row>
    <row r="3628" spans="1:4" x14ac:dyDescent="0.3">
      <c r="A3628">
        <v>3532157</v>
      </c>
      <c r="B3628" t="s">
        <v>4519</v>
      </c>
      <c r="C3628">
        <v>-22.620117582520201</v>
      </c>
      <c r="D3628">
        <v>-51.238587497594786</v>
      </c>
    </row>
    <row r="3629" spans="1:4" x14ac:dyDescent="0.3">
      <c r="A3629">
        <v>3532207</v>
      </c>
      <c r="B3629" t="s">
        <v>4520</v>
      </c>
      <c r="C3629">
        <v>-22.404283199904853</v>
      </c>
      <c r="D3629">
        <v>-51.524239850810247</v>
      </c>
    </row>
    <row r="3630" spans="1:4" x14ac:dyDescent="0.3">
      <c r="A3630">
        <v>3532306</v>
      </c>
      <c r="B3630" t="s">
        <v>4521</v>
      </c>
      <c r="C3630">
        <v>-23.375786983358754</v>
      </c>
      <c r="D3630">
        <v>-45.446400470724441</v>
      </c>
    </row>
    <row r="3631" spans="1:4" x14ac:dyDescent="0.3">
      <c r="A3631">
        <v>3532405</v>
      </c>
      <c r="B3631" t="s">
        <v>4522</v>
      </c>
      <c r="C3631">
        <v>-23.178695811004506</v>
      </c>
      <c r="D3631">
        <v>-46.402590214989615</v>
      </c>
    </row>
    <row r="3632" spans="1:4" x14ac:dyDescent="0.3">
      <c r="A3632">
        <v>3532504</v>
      </c>
      <c r="B3632" t="s">
        <v>4523</v>
      </c>
      <c r="C3632">
        <v>-20.843916155827404</v>
      </c>
      <c r="D3632">
        <v>-49.630474851340189</v>
      </c>
    </row>
    <row r="3633" spans="1:4" x14ac:dyDescent="0.3">
      <c r="A3633">
        <v>3532603</v>
      </c>
      <c r="B3633" t="s">
        <v>4524</v>
      </c>
      <c r="C3633">
        <v>-20.694823499375559</v>
      </c>
      <c r="D3633">
        <v>-50.040274495542853</v>
      </c>
    </row>
    <row r="3634" spans="1:4" x14ac:dyDescent="0.3">
      <c r="A3634">
        <v>3532702</v>
      </c>
      <c r="B3634" t="s">
        <v>4525</v>
      </c>
      <c r="C3634">
        <v>-20.91390242761695</v>
      </c>
      <c r="D3634">
        <v>-49.780898651089437</v>
      </c>
    </row>
    <row r="3635" spans="1:4" x14ac:dyDescent="0.3">
      <c r="A3635">
        <v>3532801</v>
      </c>
      <c r="B3635" t="s">
        <v>4526</v>
      </c>
      <c r="C3635">
        <v>-21.013734717199803</v>
      </c>
      <c r="D3635">
        <v>-49.507138347943247</v>
      </c>
    </row>
    <row r="3636" spans="1:4" x14ac:dyDescent="0.3">
      <c r="A3636">
        <v>3532827</v>
      </c>
      <c r="B3636" t="s">
        <v>4527</v>
      </c>
      <c r="C3636">
        <v>-24.123210417911206</v>
      </c>
      <c r="D3636">
        <v>-48.905738479049141</v>
      </c>
    </row>
    <row r="3637" spans="1:4" x14ac:dyDescent="0.3">
      <c r="A3637">
        <v>3532843</v>
      </c>
      <c r="B3637" t="s">
        <v>4528</v>
      </c>
      <c r="C3637">
        <v>-20.386895026048851</v>
      </c>
      <c r="D3637">
        <v>-50.948052438527355</v>
      </c>
    </row>
    <row r="3638" spans="1:4" x14ac:dyDescent="0.3">
      <c r="A3638">
        <v>3532868</v>
      </c>
      <c r="B3638" t="s">
        <v>4529</v>
      </c>
      <c r="C3638">
        <v>-20.765654620104801</v>
      </c>
      <c r="D3638">
        <v>-50.343906176177668</v>
      </c>
    </row>
    <row r="3639" spans="1:4" x14ac:dyDescent="0.3">
      <c r="A3639">
        <v>3532900</v>
      </c>
      <c r="B3639" t="s">
        <v>4530</v>
      </c>
      <c r="C3639">
        <v>-21.778922883855454</v>
      </c>
      <c r="D3639">
        <v>-48.562140427676248</v>
      </c>
    </row>
    <row r="3640" spans="1:4" x14ac:dyDescent="0.3">
      <c r="A3640">
        <v>3533007</v>
      </c>
      <c r="B3640" t="s">
        <v>4531</v>
      </c>
      <c r="C3640">
        <v>-20.533153999379554</v>
      </c>
      <c r="D3640">
        <v>-49.32009287611158</v>
      </c>
    </row>
    <row r="3641" spans="1:4" x14ac:dyDescent="0.3">
      <c r="A3641">
        <v>3533106</v>
      </c>
      <c r="B3641" t="s">
        <v>4532</v>
      </c>
      <c r="C3641">
        <v>-21.329937141170053</v>
      </c>
      <c r="D3641">
        <v>-51.649832890356862</v>
      </c>
    </row>
    <row r="3642" spans="1:4" x14ac:dyDescent="0.3">
      <c r="A3642">
        <v>3533205</v>
      </c>
      <c r="B3642" t="s">
        <v>4533</v>
      </c>
      <c r="C3642">
        <v>-21.104542001455556</v>
      </c>
      <c r="D3642">
        <v>-51.490446528051578</v>
      </c>
    </row>
    <row r="3643" spans="1:4" x14ac:dyDescent="0.3">
      <c r="A3643">
        <v>3533254</v>
      </c>
      <c r="B3643" t="s">
        <v>4534</v>
      </c>
      <c r="C3643">
        <v>-20.990358196418253</v>
      </c>
      <c r="D3643">
        <v>-48.917063709695732</v>
      </c>
    </row>
    <row r="3644" spans="1:4" x14ac:dyDescent="0.3">
      <c r="A3644">
        <v>3533304</v>
      </c>
      <c r="B3644" t="s">
        <v>4535</v>
      </c>
      <c r="C3644">
        <v>-20.856610999371551</v>
      </c>
      <c r="D3644">
        <v>-50.265827372287376</v>
      </c>
    </row>
    <row r="3645" spans="1:4" x14ac:dyDescent="0.3">
      <c r="A3645">
        <v>3533403</v>
      </c>
      <c r="B3645" t="s">
        <v>4536</v>
      </c>
      <c r="C3645">
        <v>-22.782794660913055</v>
      </c>
      <c r="D3645">
        <v>-47.293634614404752</v>
      </c>
    </row>
    <row r="3646" spans="1:4" x14ac:dyDescent="0.3">
      <c r="A3646">
        <v>3533502</v>
      </c>
      <c r="B3646" t="s">
        <v>3050</v>
      </c>
      <c r="C3646">
        <v>-21.468474989356704</v>
      </c>
      <c r="D3646">
        <v>-49.22174953367697</v>
      </c>
    </row>
    <row r="3647" spans="1:4" x14ac:dyDescent="0.3">
      <c r="A3647">
        <v>3533601</v>
      </c>
      <c r="B3647" t="s">
        <v>4537</v>
      </c>
      <c r="C3647">
        <v>-20.73399973477115</v>
      </c>
      <c r="D3647">
        <v>-47.749105463903184</v>
      </c>
    </row>
    <row r="3648" spans="1:4" x14ac:dyDescent="0.3">
      <c r="A3648">
        <v>3533700</v>
      </c>
      <c r="B3648" t="s">
        <v>4538</v>
      </c>
      <c r="C3648">
        <v>-22.438860447948951</v>
      </c>
      <c r="D3648">
        <v>-49.927372830360518</v>
      </c>
    </row>
    <row r="3649" spans="1:4" x14ac:dyDescent="0.3">
      <c r="A3649">
        <v>3533809</v>
      </c>
      <c r="B3649" t="s">
        <v>4539</v>
      </c>
      <c r="C3649">
        <v>-22.944584777489698</v>
      </c>
      <c r="D3649">
        <v>-49.340950752602339</v>
      </c>
    </row>
    <row r="3650" spans="1:4" x14ac:dyDescent="0.3">
      <c r="A3650">
        <v>3533908</v>
      </c>
      <c r="B3650" t="s">
        <v>4540</v>
      </c>
      <c r="C3650">
        <v>-20.737283985000001</v>
      </c>
      <c r="D3650">
        <v>-48.913491725769418</v>
      </c>
    </row>
    <row r="3651" spans="1:4" x14ac:dyDescent="0.3">
      <c r="A3651">
        <v>3534005</v>
      </c>
      <c r="B3651" t="s">
        <v>4541</v>
      </c>
      <c r="C3651">
        <v>-20.612722120149304</v>
      </c>
      <c r="D3651">
        <v>-49.299214794262355</v>
      </c>
    </row>
    <row r="3652" spans="1:4" x14ac:dyDescent="0.3">
      <c r="A3652">
        <v>3534104</v>
      </c>
      <c r="B3652" t="s">
        <v>4542</v>
      </c>
      <c r="C3652">
        <v>-22.148599411827053</v>
      </c>
      <c r="D3652">
        <v>-50.093585463660212</v>
      </c>
    </row>
    <row r="3653" spans="1:4" x14ac:dyDescent="0.3">
      <c r="A3653">
        <v>3534203</v>
      </c>
      <c r="B3653" t="s">
        <v>4543</v>
      </c>
      <c r="C3653">
        <v>-20.180196743036753</v>
      </c>
      <c r="D3653">
        <v>-49.351818480998617</v>
      </c>
    </row>
    <row r="3654" spans="1:4" x14ac:dyDescent="0.3">
      <c r="A3654">
        <v>3534302</v>
      </c>
      <c r="B3654" t="s">
        <v>4544</v>
      </c>
      <c r="C3654">
        <v>-20.720421495000004</v>
      </c>
      <c r="D3654">
        <v>-47.886383822127812</v>
      </c>
    </row>
    <row r="3655" spans="1:4" x14ac:dyDescent="0.3">
      <c r="A3655">
        <v>3534401</v>
      </c>
      <c r="B3655" t="s">
        <v>4545</v>
      </c>
      <c r="C3655">
        <v>-23.533612000000005</v>
      </c>
      <c r="D3655">
        <v>-46.788810144271423</v>
      </c>
    </row>
    <row r="3656" spans="1:4" x14ac:dyDescent="0.3">
      <c r="A3656">
        <v>3534500</v>
      </c>
      <c r="B3656" t="s">
        <v>4546</v>
      </c>
      <c r="C3656">
        <v>-22.317882054899901</v>
      </c>
      <c r="D3656">
        <v>-50.28412616584793</v>
      </c>
    </row>
    <row r="3657" spans="1:4" x14ac:dyDescent="0.3">
      <c r="A3657">
        <v>3534609</v>
      </c>
      <c r="B3657" t="s">
        <v>4547</v>
      </c>
      <c r="C3657">
        <v>-21.797083500000003</v>
      </c>
      <c r="D3657">
        <v>-50.873139110263445</v>
      </c>
    </row>
    <row r="3658" spans="1:4" x14ac:dyDescent="0.3">
      <c r="A3658">
        <v>3534708</v>
      </c>
      <c r="B3658" t="s">
        <v>4548</v>
      </c>
      <c r="C3658">
        <v>-22.977267500000004</v>
      </c>
      <c r="D3658">
        <v>-49.86857983593697</v>
      </c>
    </row>
    <row r="3659" spans="1:4" x14ac:dyDescent="0.3">
      <c r="A3659">
        <v>3534757</v>
      </c>
      <c r="B3659" t="s">
        <v>4549</v>
      </c>
      <c r="C3659">
        <v>-19.9955921069967</v>
      </c>
      <c r="D3659">
        <v>-50.377584652198053</v>
      </c>
    </row>
    <row r="3660" spans="1:4" x14ac:dyDescent="0.3">
      <c r="A3660">
        <v>3534807</v>
      </c>
      <c r="B3660" t="s">
        <v>4550</v>
      </c>
      <c r="C3660">
        <v>-21.491165917105501</v>
      </c>
      <c r="D3660">
        <v>-51.699320721678831</v>
      </c>
    </row>
    <row r="3661" spans="1:4" x14ac:dyDescent="0.3">
      <c r="A3661">
        <v>3534906</v>
      </c>
      <c r="B3661" t="s">
        <v>4551</v>
      </c>
      <c r="C3661">
        <v>-21.560078499354503</v>
      </c>
      <c r="D3661">
        <v>-51.265201519932354</v>
      </c>
    </row>
    <row r="3662" spans="1:4" x14ac:dyDescent="0.3">
      <c r="A3662">
        <v>3535002</v>
      </c>
      <c r="B3662" t="s">
        <v>2675</v>
      </c>
      <c r="C3662">
        <v>-20.390587470269804</v>
      </c>
      <c r="D3662">
        <v>-49.433782399918428</v>
      </c>
    </row>
    <row r="3663" spans="1:4" x14ac:dyDescent="0.3">
      <c r="A3663">
        <v>3535101</v>
      </c>
      <c r="B3663" t="s">
        <v>4552</v>
      </c>
      <c r="C3663">
        <v>-21.082470691401152</v>
      </c>
      <c r="D3663">
        <v>-48.801284626537182</v>
      </c>
    </row>
    <row r="3664" spans="1:4" x14ac:dyDescent="0.3">
      <c r="A3664">
        <v>3535200</v>
      </c>
      <c r="B3664" t="s">
        <v>4553</v>
      </c>
      <c r="C3664">
        <v>-20.416217324696401</v>
      </c>
      <c r="D3664">
        <v>-50.765987804946747</v>
      </c>
    </row>
    <row r="3665" spans="1:4" x14ac:dyDescent="0.3">
      <c r="A3665">
        <v>3535309</v>
      </c>
      <c r="B3665" t="s">
        <v>4554</v>
      </c>
      <c r="C3665">
        <v>-22.785592000000008</v>
      </c>
      <c r="D3665">
        <v>-50.218790987722301</v>
      </c>
    </row>
    <row r="3666" spans="1:4" x14ac:dyDescent="0.3">
      <c r="A3666">
        <v>3535408</v>
      </c>
      <c r="B3666" t="s">
        <v>4555</v>
      </c>
      <c r="C3666">
        <v>-21.360183557941006</v>
      </c>
      <c r="D3666">
        <v>-51.856574161537743</v>
      </c>
    </row>
    <row r="3667" spans="1:4" x14ac:dyDescent="0.3">
      <c r="A3667">
        <v>3535507</v>
      </c>
      <c r="B3667" t="s">
        <v>4556</v>
      </c>
      <c r="C3667">
        <v>-22.417711020000006</v>
      </c>
      <c r="D3667">
        <v>-50.575028530478257</v>
      </c>
    </row>
    <row r="3668" spans="1:4" x14ac:dyDescent="0.3">
      <c r="A3668">
        <v>3535606</v>
      </c>
      <c r="B3668" t="s">
        <v>4557</v>
      </c>
      <c r="C3668">
        <v>-23.386261565928553</v>
      </c>
      <c r="D3668">
        <v>-45.662864060550085</v>
      </c>
    </row>
    <row r="3669" spans="1:4" x14ac:dyDescent="0.3">
      <c r="A3669">
        <v>3535705</v>
      </c>
      <c r="B3669" t="s">
        <v>4558</v>
      </c>
      <c r="C3669">
        <v>-21.0157929993515</v>
      </c>
      <c r="D3669">
        <v>-48.772528912749827</v>
      </c>
    </row>
    <row r="3670" spans="1:4" x14ac:dyDescent="0.3">
      <c r="A3670">
        <v>3535804</v>
      </c>
      <c r="B3670" t="s">
        <v>4559</v>
      </c>
      <c r="C3670">
        <v>-23.386927999311954</v>
      </c>
      <c r="D3670">
        <v>-48.723676984127096</v>
      </c>
    </row>
    <row r="3671" spans="1:4" x14ac:dyDescent="0.3">
      <c r="A3671">
        <v>3535903</v>
      </c>
      <c r="B3671" t="s">
        <v>4560</v>
      </c>
      <c r="C3671">
        <v>-20.099805952458805</v>
      </c>
      <c r="D3671">
        <v>-50.586718917995455</v>
      </c>
    </row>
    <row r="3672" spans="1:4" x14ac:dyDescent="0.3">
      <c r="A3672">
        <v>3536000</v>
      </c>
      <c r="B3672" t="s">
        <v>4561</v>
      </c>
      <c r="C3672">
        <v>-21.779839143789101</v>
      </c>
      <c r="D3672">
        <v>-50.793843843062461</v>
      </c>
    </row>
    <row r="3673" spans="1:4" x14ac:dyDescent="0.3">
      <c r="A3673">
        <v>3536109</v>
      </c>
      <c r="B3673" t="s">
        <v>4562</v>
      </c>
      <c r="C3673">
        <v>-23.080318323936503</v>
      </c>
      <c r="D3673">
        <v>-48.372876683655541</v>
      </c>
    </row>
    <row r="3674" spans="1:4" x14ac:dyDescent="0.3">
      <c r="A3674">
        <v>3536208</v>
      </c>
      <c r="B3674" t="s">
        <v>4563</v>
      </c>
      <c r="C3674">
        <v>-24.712546630958105</v>
      </c>
      <c r="D3674">
        <v>-47.879997602894392</v>
      </c>
    </row>
    <row r="3675" spans="1:4" x14ac:dyDescent="0.3">
      <c r="A3675">
        <v>3536257</v>
      </c>
      <c r="B3675" t="s">
        <v>4564</v>
      </c>
      <c r="C3675">
        <v>-20.302191175418304</v>
      </c>
      <c r="D3675">
        <v>-50.012617830836952</v>
      </c>
    </row>
    <row r="3676" spans="1:4" x14ac:dyDescent="0.3">
      <c r="A3676">
        <v>3536307</v>
      </c>
      <c r="B3676" t="s">
        <v>4565</v>
      </c>
      <c r="C3676">
        <v>-20.641153402307655</v>
      </c>
      <c r="D3676">
        <v>-47.283060090300175</v>
      </c>
    </row>
    <row r="3677" spans="1:4" x14ac:dyDescent="0.3">
      <c r="A3677">
        <v>3536406</v>
      </c>
      <c r="B3677" t="s">
        <v>4566</v>
      </c>
      <c r="C3677">
        <v>-21.309275557982609</v>
      </c>
      <c r="D3677">
        <v>-51.847139950941155</v>
      </c>
    </row>
    <row r="3678" spans="1:4" x14ac:dyDescent="0.3">
      <c r="A3678">
        <v>3536505</v>
      </c>
      <c r="B3678" t="s">
        <v>4567</v>
      </c>
      <c r="C3678">
        <v>-22.759921699999953</v>
      </c>
      <c r="D3678">
        <v>-47.154385800969493</v>
      </c>
    </row>
    <row r="3679" spans="1:4" x14ac:dyDescent="0.3">
      <c r="A3679">
        <v>3536570</v>
      </c>
      <c r="B3679" t="s">
        <v>4568</v>
      </c>
      <c r="C3679">
        <v>-22.57430074801</v>
      </c>
      <c r="D3679">
        <v>-49.399038346137544</v>
      </c>
    </row>
    <row r="3680" spans="1:4" x14ac:dyDescent="0.3">
      <c r="A3680">
        <v>3536604</v>
      </c>
      <c r="B3680" t="s">
        <v>4569</v>
      </c>
      <c r="C3680">
        <v>-20.029300027799255</v>
      </c>
      <c r="D3680">
        <v>-49.399551886382483</v>
      </c>
    </row>
    <row r="3681" spans="1:4" x14ac:dyDescent="0.3">
      <c r="A3681">
        <v>3536703</v>
      </c>
      <c r="B3681" t="s">
        <v>4570</v>
      </c>
      <c r="C3681">
        <v>-22.355491500000007</v>
      </c>
      <c r="D3681">
        <v>-48.77968096362126</v>
      </c>
    </row>
    <row r="3682" spans="1:4" x14ac:dyDescent="0.3">
      <c r="A3682">
        <v>3536802</v>
      </c>
      <c r="B3682" t="s">
        <v>4571</v>
      </c>
      <c r="C3682">
        <v>-22.791384351859904</v>
      </c>
      <c r="D3682">
        <v>-46.442030947329137</v>
      </c>
    </row>
    <row r="3683" spans="1:4" x14ac:dyDescent="0.3">
      <c r="A3683">
        <v>3536901</v>
      </c>
      <c r="B3683" t="s">
        <v>4572</v>
      </c>
      <c r="C3683">
        <v>-20.247646667245352</v>
      </c>
      <c r="D3683">
        <v>-50.112390282897117</v>
      </c>
    </row>
    <row r="3684" spans="1:4" x14ac:dyDescent="0.3">
      <c r="A3684">
        <v>3537008</v>
      </c>
      <c r="B3684" t="s">
        <v>4573</v>
      </c>
      <c r="C3684">
        <v>-20.256870999386454</v>
      </c>
      <c r="D3684">
        <v>-47.481794969120699</v>
      </c>
    </row>
    <row r="3685" spans="1:4" x14ac:dyDescent="0.3">
      <c r="A3685">
        <v>3537107</v>
      </c>
      <c r="B3685" t="s">
        <v>4574</v>
      </c>
      <c r="C3685">
        <v>-22.743771000000002</v>
      </c>
      <c r="D3685">
        <v>-46.897802090290753</v>
      </c>
    </row>
    <row r="3686" spans="1:4" x14ac:dyDescent="0.3">
      <c r="A3686">
        <v>3537156</v>
      </c>
      <c r="B3686" t="s">
        <v>4575</v>
      </c>
      <c r="C3686">
        <v>-22.811215213632</v>
      </c>
      <c r="D3686">
        <v>-50.792165655456955</v>
      </c>
    </row>
    <row r="3687" spans="1:4" x14ac:dyDescent="0.3">
      <c r="A3687">
        <v>3537206</v>
      </c>
      <c r="B3687" t="s">
        <v>4576</v>
      </c>
      <c r="C3687">
        <v>-24.272800673545394</v>
      </c>
      <c r="D3687">
        <v>-47.229076349741732</v>
      </c>
    </row>
    <row r="3688" spans="1:4" x14ac:dyDescent="0.3">
      <c r="A3688">
        <v>3537305</v>
      </c>
      <c r="B3688" t="s">
        <v>4577</v>
      </c>
      <c r="C3688">
        <v>-21.418383015</v>
      </c>
      <c r="D3688">
        <v>-50.07303627502921</v>
      </c>
    </row>
    <row r="3689" spans="1:4" x14ac:dyDescent="0.3">
      <c r="A3689">
        <v>3537404</v>
      </c>
      <c r="B3689" t="s">
        <v>4578</v>
      </c>
      <c r="C3689">
        <v>-20.636668999377008</v>
      </c>
      <c r="D3689">
        <v>-51.106661019946934</v>
      </c>
    </row>
    <row r="3690" spans="1:4" x14ac:dyDescent="0.3">
      <c r="A3690">
        <v>3537503</v>
      </c>
      <c r="B3690" t="s">
        <v>4579</v>
      </c>
      <c r="C3690">
        <v>-23.072852335940709</v>
      </c>
      <c r="D3690">
        <v>-47.967866772984912</v>
      </c>
    </row>
    <row r="3691" spans="1:4" x14ac:dyDescent="0.3">
      <c r="A3691">
        <v>3537602</v>
      </c>
      <c r="B3691" t="s">
        <v>4580</v>
      </c>
      <c r="C3691">
        <v>-24.319508883999905</v>
      </c>
      <c r="D3691">
        <v>-46.997301864512337</v>
      </c>
    </row>
    <row r="3692" spans="1:4" x14ac:dyDescent="0.3">
      <c r="A3692">
        <v>3537701</v>
      </c>
      <c r="B3692" t="s">
        <v>4581</v>
      </c>
      <c r="C3692">
        <v>-21.5953916792139</v>
      </c>
      <c r="D3692">
        <v>-50.599425717222353</v>
      </c>
    </row>
    <row r="3693" spans="1:4" x14ac:dyDescent="0.3">
      <c r="A3693">
        <v>3537800</v>
      </c>
      <c r="B3693" t="s">
        <v>4582</v>
      </c>
      <c r="C3693">
        <v>-23.714202222999905</v>
      </c>
      <c r="D3693">
        <v>-47.418015150930991</v>
      </c>
    </row>
    <row r="3694" spans="1:4" x14ac:dyDescent="0.3">
      <c r="A3694">
        <v>3537909</v>
      </c>
      <c r="B3694" t="s">
        <v>4583</v>
      </c>
      <c r="C3694">
        <v>-23.814612000000004</v>
      </c>
      <c r="D3694">
        <v>-47.71550771583852</v>
      </c>
    </row>
    <row r="3695" spans="1:4" x14ac:dyDescent="0.3">
      <c r="A3695">
        <v>3538006</v>
      </c>
      <c r="B3695" t="s">
        <v>4584</v>
      </c>
      <c r="C3695">
        <v>-22.926668725898853</v>
      </c>
      <c r="D3695">
        <v>-45.46204884623041</v>
      </c>
    </row>
    <row r="3696" spans="1:4" x14ac:dyDescent="0.3">
      <c r="A3696">
        <v>3538105</v>
      </c>
      <c r="B3696" t="s">
        <v>4585</v>
      </c>
      <c r="C3696">
        <v>-21.18598848855255</v>
      </c>
      <c r="D3696">
        <v>-48.90563753529365</v>
      </c>
    </row>
    <row r="3697" spans="1:4" x14ac:dyDescent="0.3">
      <c r="A3697">
        <v>3538204</v>
      </c>
      <c r="B3697" t="s">
        <v>4586</v>
      </c>
      <c r="C3697">
        <v>-22.780796068516207</v>
      </c>
      <c r="D3697">
        <v>-46.590577318931651</v>
      </c>
    </row>
    <row r="3698" spans="1:4" x14ac:dyDescent="0.3">
      <c r="A3698">
        <v>3538303</v>
      </c>
      <c r="B3698" t="s">
        <v>4587</v>
      </c>
      <c r="C3698">
        <v>-21.884989698814802</v>
      </c>
      <c r="D3698">
        <v>-51.731626903764202</v>
      </c>
    </row>
    <row r="3699" spans="1:4" x14ac:dyDescent="0.3">
      <c r="A3699">
        <v>3538501</v>
      </c>
      <c r="B3699" t="s">
        <v>4588</v>
      </c>
      <c r="C3699">
        <v>-22.611166885180054</v>
      </c>
      <c r="D3699">
        <v>-45.183569424497712</v>
      </c>
    </row>
    <row r="3700" spans="1:4" x14ac:dyDescent="0.3">
      <c r="A3700">
        <v>3538600</v>
      </c>
      <c r="B3700" t="s">
        <v>4589</v>
      </c>
      <c r="C3700">
        <v>-23.050499000000006</v>
      </c>
      <c r="D3700">
        <v>-46.358755200469574</v>
      </c>
    </row>
    <row r="3701" spans="1:4" x14ac:dyDescent="0.3">
      <c r="A3701">
        <v>3538709</v>
      </c>
      <c r="B3701" t="s">
        <v>4590</v>
      </c>
      <c r="C3701">
        <v>-22.723722000000002</v>
      </c>
      <c r="D3701">
        <v>-47.646846236158197</v>
      </c>
    </row>
    <row r="3702" spans="1:4" x14ac:dyDescent="0.3">
      <c r="A3702">
        <v>3538808</v>
      </c>
      <c r="B3702" t="s">
        <v>4591</v>
      </c>
      <c r="C3702">
        <v>-23.192991495000008</v>
      </c>
      <c r="D3702">
        <v>-49.383974489660609</v>
      </c>
    </row>
    <row r="3703" spans="1:4" x14ac:dyDescent="0.3">
      <c r="A3703">
        <v>3538907</v>
      </c>
      <c r="B3703" t="s">
        <v>4592</v>
      </c>
      <c r="C3703">
        <v>-21.993447000000003</v>
      </c>
      <c r="D3703">
        <v>-49.456642433369588</v>
      </c>
    </row>
    <row r="3704" spans="1:4" x14ac:dyDescent="0.3">
      <c r="A3704">
        <v>3539004</v>
      </c>
      <c r="B3704" t="s">
        <v>4593</v>
      </c>
      <c r="C3704">
        <v>-21.099631662599752</v>
      </c>
      <c r="D3704">
        <v>-48.669841932561816</v>
      </c>
    </row>
    <row r="3705" spans="1:4" x14ac:dyDescent="0.3">
      <c r="A3705">
        <v>3539103</v>
      </c>
      <c r="B3705" t="s">
        <v>4594</v>
      </c>
      <c r="C3705">
        <v>-23.397523307901903</v>
      </c>
      <c r="D3705">
        <v>-47.000967568744898</v>
      </c>
    </row>
    <row r="3706" spans="1:4" x14ac:dyDescent="0.3">
      <c r="A3706">
        <v>3539202</v>
      </c>
      <c r="B3706" t="s">
        <v>4595</v>
      </c>
      <c r="C3706">
        <v>-22.276675485000002</v>
      </c>
      <c r="D3706">
        <v>-51.499584290089487</v>
      </c>
    </row>
    <row r="3707" spans="1:4" x14ac:dyDescent="0.3">
      <c r="A3707">
        <v>3539301</v>
      </c>
      <c r="B3707" t="s">
        <v>4596</v>
      </c>
      <c r="C3707">
        <v>-21.994049295000003</v>
      </c>
      <c r="D3707">
        <v>-47.425172881653872</v>
      </c>
    </row>
    <row r="3708" spans="1:4" x14ac:dyDescent="0.3">
      <c r="A3708">
        <v>3539400</v>
      </c>
      <c r="B3708" t="s">
        <v>4597</v>
      </c>
      <c r="C3708">
        <v>-22.412065944821105</v>
      </c>
      <c r="D3708">
        <v>-49.137252216790841</v>
      </c>
    </row>
    <row r="3709" spans="1:4" x14ac:dyDescent="0.3">
      <c r="A3709">
        <v>3539509</v>
      </c>
      <c r="B3709" t="s">
        <v>4598</v>
      </c>
      <c r="C3709">
        <v>-21.010999499367802</v>
      </c>
      <c r="D3709">
        <v>-48.222265751502015</v>
      </c>
    </row>
    <row r="3710" spans="1:4" x14ac:dyDescent="0.3">
      <c r="A3710">
        <v>3539608</v>
      </c>
      <c r="B3710" t="s">
        <v>3075</v>
      </c>
      <c r="C3710">
        <v>-21.032328202496551</v>
      </c>
      <c r="D3710">
        <v>-49.925719799208963</v>
      </c>
    </row>
    <row r="3711" spans="1:4" x14ac:dyDescent="0.3">
      <c r="A3711">
        <v>3539707</v>
      </c>
      <c r="B3711" t="s">
        <v>4599</v>
      </c>
      <c r="C3711">
        <v>-22.633457258333753</v>
      </c>
      <c r="D3711">
        <v>-50.208934535832</v>
      </c>
    </row>
    <row r="3712" spans="1:4" x14ac:dyDescent="0.3">
      <c r="A3712">
        <v>3539806</v>
      </c>
      <c r="B3712" t="s">
        <v>4600</v>
      </c>
      <c r="C3712">
        <v>-23.528626567661505</v>
      </c>
      <c r="D3712">
        <v>-46.346220388658651</v>
      </c>
    </row>
    <row r="3713" spans="1:4" x14ac:dyDescent="0.3">
      <c r="A3713">
        <v>3539905</v>
      </c>
      <c r="B3713" t="s">
        <v>4601</v>
      </c>
      <c r="C3713">
        <v>-20.785857750580252</v>
      </c>
      <c r="D3713">
        <v>-49.813894906677447</v>
      </c>
    </row>
    <row r="3714" spans="1:4" x14ac:dyDescent="0.3">
      <c r="A3714">
        <v>3540002</v>
      </c>
      <c r="B3714" t="s">
        <v>4602</v>
      </c>
      <c r="C3714">
        <v>-22.106145654078301</v>
      </c>
      <c r="D3714">
        <v>-50.176028054852985</v>
      </c>
    </row>
    <row r="3715" spans="1:4" x14ac:dyDescent="0.3">
      <c r="A3715">
        <v>3540101</v>
      </c>
      <c r="B3715" t="s">
        <v>4603</v>
      </c>
      <c r="C3715">
        <v>-21.7361764725485</v>
      </c>
      <c r="D3715">
        <v>-49.360870074892581</v>
      </c>
    </row>
    <row r="3716" spans="1:4" x14ac:dyDescent="0.3">
      <c r="A3716">
        <v>3540200</v>
      </c>
      <c r="B3716" t="s">
        <v>4604</v>
      </c>
      <c r="C3716">
        <v>-21.02571</v>
      </c>
      <c r="D3716">
        <v>-48.037837302541938</v>
      </c>
    </row>
    <row r="3717" spans="1:4" x14ac:dyDescent="0.3">
      <c r="A3717">
        <v>3540259</v>
      </c>
      <c r="B3717" t="s">
        <v>4605</v>
      </c>
      <c r="C3717">
        <v>-20.440833842943853</v>
      </c>
      <c r="D3717">
        <v>-50.524602015676024</v>
      </c>
    </row>
    <row r="3718" spans="1:4" x14ac:dyDescent="0.3">
      <c r="A3718">
        <v>3540309</v>
      </c>
      <c r="B3718" t="s">
        <v>4606</v>
      </c>
      <c r="C3718">
        <v>-20.182363106209657</v>
      </c>
      <c r="D3718">
        <v>-49.703552355833949</v>
      </c>
    </row>
    <row r="3719" spans="1:4" x14ac:dyDescent="0.3">
      <c r="A3719">
        <v>3540408</v>
      </c>
      <c r="B3719" t="s">
        <v>4607</v>
      </c>
      <c r="C3719">
        <v>-19.944333130697753</v>
      </c>
      <c r="D3719">
        <v>-50.536853115436664</v>
      </c>
    </row>
    <row r="3720" spans="1:4" x14ac:dyDescent="0.3">
      <c r="A3720">
        <v>3540507</v>
      </c>
      <c r="B3720" t="s">
        <v>4608</v>
      </c>
      <c r="C3720">
        <v>-23.175387499316702</v>
      </c>
      <c r="D3720">
        <v>-48.126767435800161</v>
      </c>
    </row>
    <row r="3721" spans="1:4" x14ac:dyDescent="0.3">
      <c r="A3721">
        <v>3540606</v>
      </c>
      <c r="B3721" t="s">
        <v>4609</v>
      </c>
      <c r="C3721">
        <v>-23.214412267999901</v>
      </c>
      <c r="D3721">
        <v>-47.524596573065608</v>
      </c>
    </row>
    <row r="3722" spans="1:4" x14ac:dyDescent="0.3">
      <c r="A3722">
        <v>3540705</v>
      </c>
      <c r="B3722" t="s">
        <v>4610</v>
      </c>
      <c r="C3722">
        <v>-21.858362505000006</v>
      </c>
      <c r="D3722">
        <v>-47.48140964335802</v>
      </c>
    </row>
    <row r="3723" spans="1:4" x14ac:dyDescent="0.3">
      <c r="A3723">
        <v>3540754</v>
      </c>
      <c r="B3723" t="s">
        <v>4611</v>
      </c>
      <c r="C3723">
        <v>-22.840620206318604</v>
      </c>
      <c r="D3723">
        <v>-45.255974312882017</v>
      </c>
    </row>
    <row r="3724" spans="1:4" x14ac:dyDescent="0.3">
      <c r="A3724">
        <v>3540804</v>
      </c>
      <c r="B3724" t="s">
        <v>4612</v>
      </c>
      <c r="C3724">
        <v>-21.045094721092756</v>
      </c>
      <c r="D3724">
        <v>-49.378183199902708</v>
      </c>
    </row>
    <row r="3725" spans="1:4" x14ac:dyDescent="0.3">
      <c r="A3725">
        <v>3540853</v>
      </c>
      <c r="B3725" t="s">
        <v>4613</v>
      </c>
      <c r="C3725">
        <v>-21.851927620730056</v>
      </c>
      <c r="D3725">
        <v>-51.087077210506941</v>
      </c>
    </row>
    <row r="3726" spans="1:4" x14ac:dyDescent="0.3">
      <c r="A3726">
        <v>3540903</v>
      </c>
      <c r="B3726" t="s">
        <v>4614</v>
      </c>
      <c r="C3726">
        <v>-21.358049011278002</v>
      </c>
      <c r="D3726">
        <v>-48.065583022045409</v>
      </c>
    </row>
    <row r="3727" spans="1:4" x14ac:dyDescent="0.3">
      <c r="A3727">
        <v>3541000</v>
      </c>
      <c r="B3727" t="s">
        <v>4615</v>
      </c>
      <c r="C3727">
        <v>-24.003021500000003</v>
      </c>
      <c r="D3727">
        <v>-46.412049583612436</v>
      </c>
    </row>
    <row r="3728" spans="1:4" x14ac:dyDescent="0.3">
      <c r="A3728">
        <v>3541059</v>
      </c>
      <c r="B3728" t="s">
        <v>4616</v>
      </c>
      <c r="C3728">
        <v>-22.811467984467601</v>
      </c>
      <c r="D3728">
        <v>-48.66468557751746</v>
      </c>
    </row>
    <row r="3729" spans="1:4" x14ac:dyDescent="0.3">
      <c r="A3729">
        <v>3541109</v>
      </c>
      <c r="B3729" t="s">
        <v>4617</v>
      </c>
      <c r="C3729">
        <v>-22.103674319237403</v>
      </c>
      <c r="D3729">
        <v>-49.439149287236681</v>
      </c>
    </row>
    <row r="3730" spans="1:4" x14ac:dyDescent="0.3">
      <c r="A3730">
        <v>3541208</v>
      </c>
      <c r="B3730" t="s">
        <v>3781</v>
      </c>
      <c r="C3730">
        <v>-22.008990778755852</v>
      </c>
      <c r="D3730">
        <v>-51.557570191824034</v>
      </c>
    </row>
    <row r="3731" spans="1:4" x14ac:dyDescent="0.3">
      <c r="A3731">
        <v>3541307</v>
      </c>
      <c r="B3731" t="s">
        <v>4618</v>
      </c>
      <c r="C3731">
        <v>-21.768781995000001</v>
      </c>
      <c r="D3731">
        <v>-52.115275826996601</v>
      </c>
    </row>
    <row r="3732" spans="1:4" x14ac:dyDescent="0.3">
      <c r="A3732">
        <v>3541406</v>
      </c>
      <c r="B3732" t="s">
        <v>4619</v>
      </c>
      <c r="C3732">
        <v>-22.122743500000002</v>
      </c>
      <c r="D3732">
        <v>-51.386765581912492</v>
      </c>
    </row>
    <row r="3733" spans="1:4" x14ac:dyDescent="0.3">
      <c r="A3733">
        <v>3541505</v>
      </c>
      <c r="B3733" t="s">
        <v>4620</v>
      </c>
      <c r="C3733">
        <v>-21.875939505000005</v>
      </c>
      <c r="D3733">
        <v>-51.840258805056799</v>
      </c>
    </row>
    <row r="3734" spans="1:4" x14ac:dyDescent="0.3">
      <c r="A3734">
        <v>3541604</v>
      </c>
      <c r="B3734" t="s">
        <v>4621</v>
      </c>
      <c r="C3734">
        <v>-21.538867499355003</v>
      </c>
      <c r="D3734">
        <v>-49.857735234791051</v>
      </c>
    </row>
    <row r="3735" spans="1:4" x14ac:dyDescent="0.3">
      <c r="A3735">
        <v>3541653</v>
      </c>
      <c r="B3735" t="s">
        <v>4622</v>
      </c>
      <c r="C3735">
        <v>-23.301574999313853</v>
      </c>
      <c r="D3735">
        <v>-48.052685336085517</v>
      </c>
    </row>
    <row r="3736" spans="1:4" x14ac:dyDescent="0.3">
      <c r="A3736">
        <v>3541703</v>
      </c>
      <c r="B3736" t="s">
        <v>4623</v>
      </c>
      <c r="C3736">
        <v>-22.249404798371657</v>
      </c>
      <c r="D3736">
        <v>-50.697947389350155</v>
      </c>
    </row>
    <row r="3737" spans="1:4" x14ac:dyDescent="0.3">
      <c r="A3737">
        <v>3541802</v>
      </c>
      <c r="B3737" t="s">
        <v>4624</v>
      </c>
      <c r="C3737">
        <v>-21.799094433957357</v>
      </c>
      <c r="D3737">
        <v>-50.240928456105337</v>
      </c>
    </row>
    <row r="3738" spans="1:4" x14ac:dyDescent="0.3">
      <c r="A3738">
        <v>3541901</v>
      </c>
      <c r="B3738" t="s">
        <v>4625</v>
      </c>
      <c r="C3738">
        <v>-22.541844499331255</v>
      </c>
      <c r="D3738">
        <v>-44.778477310059543</v>
      </c>
    </row>
    <row r="3739" spans="1:4" x14ac:dyDescent="0.3">
      <c r="A3739">
        <v>3542008</v>
      </c>
      <c r="B3739" t="s">
        <v>4626</v>
      </c>
      <c r="C3739">
        <v>-22.071919826416956</v>
      </c>
      <c r="D3739">
        <v>-50.311595242929911</v>
      </c>
    </row>
    <row r="3740" spans="1:4" x14ac:dyDescent="0.3">
      <c r="A3740">
        <v>3542107</v>
      </c>
      <c r="B3740" t="s">
        <v>4627</v>
      </c>
      <c r="C3740">
        <v>-23.011556353887332</v>
      </c>
      <c r="D3740">
        <v>-47.531160680903128</v>
      </c>
    </row>
    <row r="3741" spans="1:4" x14ac:dyDescent="0.3">
      <c r="A3741">
        <v>3542206</v>
      </c>
      <c r="B3741" t="s">
        <v>4628</v>
      </c>
      <c r="C3741">
        <v>-22.228451010000004</v>
      </c>
      <c r="D3741">
        <v>-50.890211685938034</v>
      </c>
    </row>
    <row r="3742" spans="1:4" x14ac:dyDescent="0.3">
      <c r="A3742">
        <v>3542305</v>
      </c>
      <c r="B3742" t="s">
        <v>4629</v>
      </c>
      <c r="C3742">
        <v>-23.272655499310559</v>
      </c>
      <c r="D3742">
        <v>-45.536495610738875</v>
      </c>
    </row>
    <row r="3743" spans="1:4" x14ac:dyDescent="0.3">
      <c r="A3743">
        <v>3542404</v>
      </c>
      <c r="B3743" t="s">
        <v>4630</v>
      </c>
      <c r="C3743">
        <v>-22.220234092901951</v>
      </c>
      <c r="D3743">
        <v>-51.303148976682117</v>
      </c>
    </row>
    <row r="3744" spans="1:4" x14ac:dyDescent="0.3">
      <c r="A3744">
        <v>3542503</v>
      </c>
      <c r="B3744" t="s">
        <v>4631</v>
      </c>
      <c r="C3744">
        <v>-21.886760938559505</v>
      </c>
      <c r="D3744">
        <v>-49.229797671051791</v>
      </c>
    </row>
    <row r="3745" spans="1:4" x14ac:dyDescent="0.3">
      <c r="A3745">
        <v>3542602</v>
      </c>
      <c r="B3745" t="s">
        <v>4632</v>
      </c>
      <c r="C3745">
        <v>-24.494251427999906</v>
      </c>
      <c r="D3745">
        <v>-47.841054751674982</v>
      </c>
    </row>
    <row r="3746" spans="1:4" x14ac:dyDescent="0.3">
      <c r="A3746">
        <v>3542701</v>
      </c>
      <c r="B3746" t="s">
        <v>4633</v>
      </c>
      <c r="C3746">
        <v>-20.603802826270904</v>
      </c>
      <c r="D3746">
        <v>-47.483090237451677</v>
      </c>
    </row>
    <row r="3747" spans="1:4" x14ac:dyDescent="0.3">
      <c r="A3747">
        <v>3542800</v>
      </c>
      <c r="B3747" t="s">
        <v>4634</v>
      </c>
      <c r="C3747">
        <v>-24.657489499283951</v>
      </c>
      <c r="D3747">
        <v>-49.008301994760842</v>
      </c>
    </row>
    <row r="3748" spans="1:4" x14ac:dyDescent="0.3">
      <c r="A3748">
        <v>3542909</v>
      </c>
      <c r="B3748" t="s">
        <v>4635</v>
      </c>
      <c r="C3748">
        <v>-22.064934664020004</v>
      </c>
      <c r="D3748">
        <v>-48.177705754140838</v>
      </c>
    </row>
    <row r="3749" spans="1:4" x14ac:dyDescent="0.3">
      <c r="A3749">
        <v>3543006</v>
      </c>
      <c r="B3749" t="s">
        <v>4636</v>
      </c>
      <c r="C3749">
        <v>-24.220268457556852</v>
      </c>
      <c r="D3749">
        <v>-48.765477481482321</v>
      </c>
    </row>
    <row r="3750" spans="1:4" x14ac:dyDescent="0.3">
      <c r="A3750">
        <v>3543105</v>
      </c>
      <c r="B3750" t="s">
        <v>4637</v>
      </c>
      <c r="C3750">
        <v>-20.460660174376002</v>
      </c>
      <c r="D3750">
        <v>-47.590705092533476</v>
      </c>
    </row>
    <row r="3751" spans="1:4" x14ac:dyDescent="0.3">
      <c r="A3751">
        <v>3543204</v>
      </c>
      <c r="B3751" t="s">
        <v>4638</v>
      </c>
      <c r="C3751">
        <v>-22.785734799678352</v>
      </c>
      <c r="D3751">
        <v>-49.934167814712218</v>
      </c>
    </row>
    <row r="3752" spans="1:4" x14ac:dyDescent="0.3">
      <c r="A3752">
        <v>3543238</v>
      </c>
      <c r="B3752" t="s">
        <v>4639</v>
      </c>
      <c r="C3752">
        <v>-21.838500039749253</v>
      </c>
      <c r="D3752">
        <v>-51.600634517170683</v>
      </c>
    </row>
    <row r="3753" spans="1:4" x14ac:dyDescent="0.3">
      <c r="A3753">
        <v>3543253</v>
      </c>
      <c r="B3753" t="s">
        <v>4640</v>
      </c>
      <c r="C3753">
        <v>-24.101200310693006</v>
      </c>
      <c r="D3753">
        <v>-48.367071155950498</v>
      </c>
    </row>
    <row r="3754" spans="1:4" x14ac:dyDescent="0.3">
      <c r="A3754">
        <v>3543303</v>
      </c>
      <c r="B3754" t="s">
        <v>4641</v>
      </c>
      <c r="C3754">
        <v>-23.707423000000006</v>
      </c>
      <c r="D3754">
        <v>-46.415344374918476</v>
      </c>
    </row>
    <row r="3755" spans="1:4" x14ac:dyDescent="0.3">
      <c r="A3755">
        <v>3543402</v>
      </c>
      <c r="B3755" t="s">
        <v>4642</v>
      </c>
      <c r="C3755">
        <v>-21.184834500000004</v>
      </c>
      <c r="D3755">
        <v>-47.805475915541528</v>
      </c>
    </row>
    <row r="3756" spans="1:4" x14ac:dyDescent="0.3">
      <c r="A3756">
        <v>3543501</v>
      </c>
      <c r="B3756" t="s">
        <v>4643</v>
      </c>
      <c r="C3756">
        <v>-23.831335006579906</v>
      </c>
      <c r="D3756">
        <v>-49.436696718913453</v>
      </c>
    </row>
    <row r="3757" spans="1:4" x14ac:dyDescent="0.3">
      <c r="A3757">
        <v>3543600</v>
      </c>
      <c r="B3757" t="s">
        <v>4644</v>
      </c>
      <c r="C3757">
        <v>-20.082932499390804</v>
      </c>
      <c r="D3757">
        <v>-47.429198899108492</v>
      </c>
    </row>
    <row r="3758" spans="1:4" x14ac:dyDescent="0.3">
      <c r="A3758">
        <v>3543709</v>
      </c>
      <c r="B3758" t="s">
        <v>4645</v>
      </c>
      <c r="C3758">
        <v>-21.589189499357602</v>
      </c>
      <c r="D3758">
        <v>-48.072330066710776</v>
      </c>
    </row>
    <row r="3759" spans="1:4" x14ac:dyDescent="0.3">
      <c r="A3759">
        <v>3543808</v>
      </c>
      <c r="B3759" t="s">
        <v>4646</v>
      </c>
      <c r="C3759">
        <v>-21.727890999350453</v>
      </c>
      <c r="D3759">
        <v>-50.724838321651255</v>
      </c>
    </row>
    <row r="3760" spans="1:4" x14ac:dyDescent="0.3">
      <c r="A3760">
        <v>3543907</v>
      </c>
      <c r="B3760" t="s">
        <v>4142</v>
      </c>
      <c r="C3760">
        <v>-22.412511500000004</v>
      </c>
      <c r="D3760">
        <v>-47.563533238434395</v>
      </c>
    </row>
    <row r="3761" spans="1:4" x14ac:dyDescent="0.3">
      <c r="A3761">
        <v>3544004</v>
      </c>
      <c r="B3761" t="s">
        <v>4647</v>
      </c>
      <c r="C3761">
        <v>-22.842860722499907</v>
      </c>
      <c r="D3761">
        <v>-47.60448488616057</v>
      </c>
    </row>
    <row r="3762" spans="1:4" x14ac:dyDescent="0.3">
      <c r="A3762">
        <v>3544103</v>
      </c>
      <c r="B3762" t="s">
        <v>4648</v>
      </c>
      <c r="C3762">
        <v>-23.744515000000003</v>
      </c>
      <c r="D3762">
        <v>-46.393692673973653</v>
      </c>
    </row>
    <row r="3763" spans="1:4" x14ac:dyDescent="0.3">
      <c r="A3763">
        <v>3544202</v>
      </c>
      <c r="B3763" t="s">
        <v>4649</v>
      </c>
      <c r="C3763">
        <v>-19.977734337965408</v>
      </c>
      <c r="D3763">
        <v>-49.681159102896977</v>
      </c>
    </row>
    <row r="3764" spans="1:4" x14ac:dyDescent="0.3">
      <c r="A3764">
        <v>3544251</v>
      </c>
      <c r="B3764" t="s">
        <v>4650</v>
      </c>
      <c r="C3764">
        <v>-22.5811754993051</v>
      </c>
      <c r="D3764">
        <v>-53.058654479408091</v>
      </c>
    </row>
    <row r="3765" spans="1:4" x14ac:dyDescent="0.3">
      <c r="A3765">
        <v>3544301</v>
      </c>
      <c r="B3765" t="s">
        <v>4651</v>
      </c>
      <c r="C3765">
        <v>-22.896818547492405</v>
      </c>
      <c r="D3765">
        <v>-45.3093777870655</v>
      </c>
    </row>
    <row r="3766" spans="1:4" x14ac:dyDescent="0.3">
      <c r="A3766">
        <v>3544400</v>
      </c>
      <c r="B3766" t="s">
        <v>4652</v>
      </c>
      <c r="C3766">
        <v>-21.300523989459602</v>
      </c>
      <c r="D3766">
        <v>-50.726907999479359</v>
      </c>
    </row>
    <row r="3767" spans="1:4" x14ac:dyDescent="0.3">
      <c r="A3767">
        <v>3544509</v>
      </c>
      <c r="B3767" t="s">
        <v>4653</v>
      </c>
      <c r="C3767">
        <v>-20.171774500000001</v>
      </c>
      <c r="D3767">
        <v>-50.997484555034724</v>
      </c>
    </row>
    <row r="3768" spans="1:4" x14ac:dyDescent="0.3">
      <c r="A3768">
        <v>3544608</v>
      </c>
      <c r="B3768" t="s">
        <v>4654</v>
      </c>
      <c r="C3768">
        <v>-21.460213833726002</v>
      </c>
      <c r="D3768">
        <v>-49.580818560208577</v>
      </c>
    </row>
    <row r="3769" spans="1:4" x14ac:dyDescent="0.3">
      <c r="A3769">
        <v>3544707</v>
      </c>
      <c r="B3769" t="s">
        <v>4655</v>
      </c>
      <c r="C3769">
        <v>-21.881138670638304</v>
      </c>
      <c r="D3769">
        <v>-50.957154711178084</v>
      </c>
    </row>
    <row r="3770" spans="1:4" x14ac:dyDescent="0.3">
      <c r="A3770">
        <v>3544806</v>
      </c>
      <c r="B3770" t="s">
        <v>4656</v>
      </c>
      <c r="C3770">
        <v>-21.344453376843301</v>
      </c>
      <c r="D3770">
        <v>-49.498768668620059</v>
      </c>
    </row>
    <row r="3771" spans="1:4" x14ac:dyDescent="0.3">
      <c r="A3771">
        <v>3544905</v>
      </c>
      <c r="B3771" t="s">
        <v>4657</v>
      </c>
      <c r="C3771">
        <v>-20.777882151973504</v>
      </c>
      <c r="D3771">
        <v>-47.842349339924858</v>
      </c>
    </row>
    <row r="3772" spans="1:4" x14ac:dyDescent="0.3">
      <c r="A3772">
        <v>3545001</v>
      </c>
      <c r="B3772" t="s">
        <v>4658</v>
      </c>
      <c r="C3772">
        <v>-23.5317929883978</v>
      </c>
      <c r="D3772">
        <v>-45.84717692961798</v>
      </c>
    </row>
    <row r="3773" spans="1:4" x14ac:dyDescent="0.3">
      <c r="A3773">
        <v>3545100</v>
      </c>
      <c r="B3773" t="s">
        <v>4659</v>
      </c>
      <c r="C3773">
        <v>-21.625362732839552</v>
      </c>
      <c r="D3773">
        <v>-50.860672004289604</v>
      </c>
    </row>
    <row r="3774" spans="1:4" x14ac:dyDescent="0.3">
      <c r="A3774">
        <v>3545159</v>
      </c>
      <c r="B3774" t="s">
        <v>4660</v>
      </c>
      <c r="C3774">
        <v>-22.843367497823351</v>
      </c>
      <c r="D3774">
        <v>-47.678288388797604</v>
      </c>
    </row>
    <row r="3775" spans="1:4" x14ac:dyDescent="0.3">
      <c r="A3775">
        <v>3545209</v>
      </c>
      <c r="B3775" t="s">
        <v>4661</v>
      </c>
      <c r="C3775">
        <v>-23.204073805797098</v>
      </c>
      <c r="D3775">
        <v>-47.292415629078661</v>
      </c>
    </row>
    <row r="3776" spans="1:4" x14ac:dyDescent="0.3">
      <c r="A3776">
        <v>3545308</v>
      </c>
      <c r="B3776" t="s">
        <v>4662</v>
      </c>
      <c r="C3776">
        <v>-23.649132224999903</v>
      </c>
      <c r="D3776">
        <v>-47.574680120208107</v>
      </c>
    </row>
    <row r="3777" spans="1:4" x14ac:dyDescent="0.3">
      <c r="A3777">
        <v>3545407</v>
      </c>
      <c r="B3777" t="s">
        <v>4663</v>
      </c>
      <c r="C3777">
        <v>-22.890507254193899</v>
      </c>
      <c r="D3777">
        <v>-49.981077758995298</v>
      </c>
    </row>
    <row r="3778" spans="1:4" x14ac:dyDescent="0.3">
      <c r="A3778">
        <v>3545506</v>
      </c>
      <c r="B3778" t="s">
        <v>4664</v>
      </c>
      <c r="C3778">
        <v>-22.458541739996353</v>
      </c>
      <c r="D3778">
        <v>-51.759951736099495</v>
      </c>
    </row>
    <row r="3779" spans="1:4" x14ac:dyDescent="0.3">
      <c r="A3779">
        <v>3545605</v>
      </c>
      <c r="B3779" t="s">
        <v>4665</v>
      </c>
      <c r="C3779">
        <v>-21.243270000000003</v>
      </c>
      <c r="D3779">
        <v>-48.805948418612523</v>
      </c>
    </row>
    <row r="3780" spans="1:4" x14ac:dyDescent="0.3">
      <c r="A3780">
        <v>3545704</v>
      </c>
      <c r="B3780" t="s">
        <v>4666</v>
      </c>
      <c r="C3780">
        <v>-20.030702621951704</v>
      </c>
      <c r="D3780">
        <v>-50.730564370839311</v>
      </c>
    </row>
    <row r="3781" spans="1:4" x14ac:dyDescent="0.3">
      <c r="A3781">
        <v>3545803</v>
      </c>
      <c r="B3781" t="s">
        <v>4667</v>
      </c>
      <c r="C3781">
        <v>-22.755393500000004</v>
      </c>
      <c r="D3781">
        <v>-47.413954766230283</v>
      </c>
    </row>
    <row r="3782" spans="1:4" x14ac:dyDescent="0.3">
      <c r="A3782">
        <v>3546009</v>
      </c>
      <c r="B3782" t="s">
        <v>4668</v>
      </c>
      <c r="C3782">
        <v>-23.395758034871651</v>
      </c>
      <c r="D3782">
        <v>-45.887648287112221</v>
      </c>
    </row>
    <row r="3783" spans="1:4" x14ac:dyDescent="0.3">
      <c r="A3783">
        <v>3546108</v>
      </c>
      <c r="B3783" t="s">
        <v>4669</v>
      </c>
      <c r="C3783">
        <v>-20.091391935902251</v>
      </c>
      <c r="D3783">
        <v>-50.930221154463588</v>
      </c>
    </row>
    <row r="3784" spans="1:4" x14ac:dyDescent="0.3">
      <c r="A3784">
        <v>3546207</v>
      </c>
      <c r="B3784" t="s">
        <v>4670</v>
      </c>
      <c r="C3784">
        <v>-22.127681965070703</v>
      </c>
      <c r="D3784">
        <v>-47.457163694997277</v>
      </c>
    </row>
    <row r="3785" spans="1:4" x14ac:dyDescent="0.3">
      <c r="A3785">
        <v>3546256</v>
      </c>
      <c r="B3785" t="s">
        <v>4671</v>
      </c>
      <c r="C3785">
        <v>-21.2911683770477</v>
      </c>
      <c r="D3785">
        <v>-47.43378056152681</v>
      </c>
    </row>
    <row r="3786" spans="1:4" x14ac:dyDescent="0.3">
      <c r="A3786">
        <v>3546306</v>
      </c>
      <c r="B3786" t="s">
        <v>4672</v>
      </c>
      <c r="C3786">
        <v>-21.827568000000007</v>
      </c>
      <c r="D3786">
        <v>-47.249414421875009</v>
      </c>
    </row>
    <row r="3787" spans="1:4" x14ac:dyDescent="0.3">
      <c r="A3787">
        <v>3546405</v>
      </c>
      <c r="B3787" t="s">
        <v>4673</v>
      </c>
      <c r="C3787">
        <v>-22.9057225</v>
      </c>
      <c r="D3787">
        <v>-49.624608869300936</v>
      </c>
    </row>
    <row r="3788" spans="1:4" x14ac:dyDescent="0.3">
      <c r="A3788">
        <v>3546504</v>
      </c>
      <c r="B3788" t="s">
        <v>4674</v>
      </c>
      <c r="C3788">
        <v>-21.462921503002956</v>
      </c>
      <c r="D3788">
        <v>-48.393649928861812</v>
      </c>
    </row>
    <row r="3789" spans="1:4" x14ac:dyDescent="0.3">
      <c r="A3789">
        <v>3546603</v>
      </c>
      <c r="B3789" t="s">
        <v>4675</v>
      </c>
      <c r="C3789">
        <v>-20.211693165000003</v>
      </c>
      <c r="D3789">
        <v>-50.92677742384334</v>
      </c>
    </row>
    <row r="3790" spans="1:4" x14ac:dyDescent="0.3">
      <c r="A3790">
        <v>3546702</v>
      </c>
      <c r="B3790" t="s">
        <v>4676</v>
      </c>
      <c r="C3790">
        <v>-22.455326956296258</v>
      </c>
      <c r="D3790">
        <v>-47.530708716203748</v>
      </c>
    </row>
    <row r="3791" spans="1:4" x14ac:dyDescent="0.3">
      <c r="A3791">
        <v>3546801</v>
      </c>
      <c r="B3791" t="s">
        <v>4677</v>
      </c>
      <c r="C3791">
        <v>-23.31808850000002</v>
      </c>
      <c r="D3791">
        <v>-46.227012841821789</v>
      </c>
    </row>
    <row r="3792" spans="1:4" x14ac:dyDescent="0.3">
      <c r="A3792">
        <v>3546900</v>
      </c>
      <c r="B3792" t="s">
        <v>4678</v>
      </c>
      <c r="C3792">
        <v>-21.686567851077204</v>
      </c>
      <c r="D3792">
        <v>-48.085336013100189</v>
      </c>
    </row>
    <row r="3793" spans="1:4" x14ac:dyDescent="0.3">
      <c r="A3793">
        <v>3547007</v>
      </c>
      <c r="B3793" t="s">
        <v>4679</v>
      </c>
      <c r="C3793">
        <v>-22.569410257822707</v>
      </c>
      <c r="D3793">
        <v>-48.159014141546734</v>
      </c>
    </row>
    <row r="3794" spans="1:4" x14ac:dyDescent="0.3">
      <c r="A3794">
        <v>3547106</v>
      </c>
      <c r="B3794" t="s">
        <v>4680</v>
      </c>
      <c r="C3794">
        <v>-21.346910745592201</v>
      </c>
      <c r="D3794">
        <v>-51.758974242144937</v>
      </c>
    </row>
    <row r="3795" spans="1:4" x14ac:dyDescent="0.3">
      <c r="A3795">
        <v>3547205</v>
      </c>
      <c r="B3795" t="s">
        <v>4681</v>
      </c>
      <c r="C3795">
        <v>-20.252602255670553</v>
      </c>
      <c r="D3795">
        <v>-50.798403844625568</v>
      </c>
    </row>
    <row r="3796" spans="1:4" x14ac:dyDescent="0.3">
      <c r="A3796">
        <v>3547304</v>
      </c>
      <c r="B3796" t="s">
        <v>4682</v>
      </c>
      <c r="C3796">
        <v>-23.449453000000005</v>
      </c>
      <c r="D3796">
        <v>-46.922092505649722</v>
      </c>
    </row>
    <row r="3797" spans="1:4" x14ac:dyDescent="0.3">
      <c r="A3797">
        <v>3547403</v>
      </c>
      <c r="B3797" t="s">
        <v>4683</v>
      </c>
      <c r="C3797">
        <v>-20.141801473440854</v>
      </c>
      <c r="D3797">
        <v>-50.830947388177513</v>
      </c>
    </row>
    <row r="3798" spans="1:4" x14ac:dyDescent="0.3">
      <c r="A3798">
        <v>3547502</v>
      </c>
      <c r="B3798" t="s">
        <v>4684</v>
      </c>
      <c r="C3798">
        <v>-21.707144010000004</v>
      </c>
      <c r="D3798">
        <v>-47.478980851786389</v>
      </c>
    </row>
    <row r="3799" spans="1:4" x14ac:dyDescent="0.3">
      <c r="A3799">
        <v>3547601</v>
      </c>
      <c r="B3799" t="s">
        <v>4685</v>
      </c>
      <c r="C3799">
        <v>-21.485272500000004</v>
      </c>
      <c r="D3799">
        <v>-47.36726892829423</v>
      </c>
    </row>
    <row r="3800" spans="1:4" x14ac:dyDescent="0.3">
      <c r="A3800">
        <v>3547650</v>
      </c>
      <c r="B3800" t="s">
        <v>4686</v>
      </c>
      <c r="C3800">
        <v>-20.243845188018554</v>
      </c>
      <c r="D3800">
        <v>-50.688461881161054</v>
      </c>
    </row>
    <row r="3801" spans="1:4" x14ac:dyDescent="0.3">
      <c r="A3801">
        <v>3547700</v>
      </c>
      <c r="B3801" t="s">
        <v>4687</v>
      </c>
      <c r="C3801">
        <v>-21.973021020000004</v>
      </c>
      <c r="D3801">
        <v>-51.649892211767877</v>
      </c>
    </row>
    <row r="3802" spans="1:4" x14ac:dyDescent="0.3">
      <c r="A3802">
        <v>3547809</v>
      </c>
      <c r="B3802" t="s">
        <v>2405</v>
      </c>
      <c r="C3802">
        <v>-23.657510000000002</v>
      </c>
      <c r="D3802">
        <v>-46.530874257629542</v>
      </c>
    </row>
    <row r="3803" spans="1:4" x14ac:dyDescent="0.3">
      <c r="A3803">
        <v>3547908</v>
      </c>
      <c r="B3803" t="s">
        <v>4688</v>
      </c>
      <c r="C3803">
        <v>-21.089964029079102</v>
      </c>
      <c r="D3803">
        <v>-47.155930969991516</v>
      </c>
    </row>
    <row r="3804" spans="1:4" x14ac:dyDescent="0.3">
      <c r="A3804">
        <v>3548005</v>
      </c>
      <c r="B3804" t="s">
        <v>4689</v>
      </c>
      <c r="C3804">
        <v>-22.604796852294054</v>
      </c>
      <c r="D3804">
        <v>-46.915909900122074</v>
      </c>
    </row>
    <row r="3805" spans="1:4" x14ac:dyDescent="0.3">
      <c r="A3805">
        <v>3548054</v>
      </c>
      <c r="B3805" t="s">
        <v>4690</v>
      </c>
      <c r="C3805">
        <v>-20.932496842544253</v>
      </c>
      <c r="D3805">
        <v>-50.496735052327885</v>
      </c>
    </row>
    <row r="3806" spans="1:4" x14ac:dyDescent="0.3">
      <c r="A3806">
        <v>3548104</v>
      </c>
      <c r="B3806" t="s">
        <v>4691</v>
      </c>
      <c r="C3806">
        <v>-22.118523499931857</v>
      </c>
      <c r="D3806">
        <v>-46.682306631830471</v>
      </c>
    </row>
    <row r="3807" spans="1:4" x14ac:dyDescent="0.3">
      <c r="A3807">
        <v>3548203</v>
      </c>
      <c r="B3807" t="s">
        <v>4692</v>
      </c>
      <c r="C3807">
        <v>-22.831193402258851</v>
      </c>
      <c r="D3807">
        <v>-45.679278863261565</v>
      </c>
    </row>
    <row r="3808" spans="1:4" x14ac:dyDescent="0.3">
      <c r="A3808">
        <v>3548302</v>
      </c>
      <c r="B3808" t="s">
        <v>4693</v>
      </c>
      <c r="C3808">
        <v>-21.846805051206054</v>
      </c>
      <c r="D3808">
        <v>-51.390920981413316</v>
      </c>
    </row>
    <row r="3809" spans="1:4" x14ac:dyDescent="0.3">
      <c r="A3809">
        <v>3548401</v>
      </c>
      <c r="B3809" t="s">
        <v>4694</v>
      </c>
      <c r="C3809">
        <v>-21.639311663835056</v>
      </c>
      <c r="D3809">
        <v>-50.504692473553753</v>
      </c>
    </row>
    <row r="3810" spans="1:4" x14ac:dyDescent="0.3">
      <c r="A3810">
        <v>3548500</v>
      </c>
      <c r="B3810" t="s">
        <v>4695</v>
      </c>
      <c r="C3810">
        <v>-23.933737500000003</v>
      </c>
      <c r="D3810">
        <v>-46.331370849190684</v>
      </c>
    </row>
    <row r="3811" spans="1:4" x14ac:dyDescent="0.3">
      <c r="A3811">
        <v>3548609</v>
      </c>
      <c r="B3811" t="s">
        <v>4696</v>
      </c>
      <c r="C3811">
        <v>-22.685286953319157</v>
      </c>
      <c r="D3811">
        <v>-45.737138986892376</v>
      </c>
    </row>
    <row r="3812" spans="1:4" x14ac:dyDescent="0.3">
      <c r="A3812">
        <v>3548708</v>
      </c>
      <c r="B3812" t="s">
        <v>4697</v>
      </c>
      <c r="C3812">
        <v>-23.710304500000007</v>
      </c>
      <c r="D3812">
        <v>-46.550257247678331</v>
      </c>
    </row>
    <row r="3813" spans="1:4" x14ac:dyDescent="0.3">
      <c r="A3813">
        <v>3548807</v>
      </c>
      <c r="B3813" t="s">
        <v>4698</v>
      </c>
      <c r="C3813">
        <v>-23.614705000000004</v>
      </c>
      <c r="D3813">
        <v>-46.571514608630615</v>
      </c>
    </row>
    <row r="3814" spans="1:4" x14ac:dyDescent="0.3">
      <c r="A3814">
        <v>3548906</v>
      </c>
      <c r="B3814" t="s">
        <v>4699</v>
      </c>
      <c r="C3814">
        <v>-22.015998500000002</v>
      </c>
      <c r="D3814">
        <v>-47.889237684691636</v>
      </c>
    </row>
    <row r="3815" spans="1:4" x14ac:dyDescent="0.3">
      <c r="A3815">
        <v>3549003</v>
      </c>
      <c r="B3815" t="s">
        <v>2409</v>
      </c>
      <c r="C3815">
        <v>-20.358413817609105</v>
      </c>
      <c r="D3815">
        <v>-50.700097157287885</v>
      </c>
    </row>
    <row r="3816" spans="1:4" x14ac:dyDescent="0.3">
      <c r="A3816">
        <v>3549102</v>
      </c>
      <c r="B3816" t="s">
        <v>4700</v>
      </c>
      <c r="C3816">
        <v>-21.972011000000006</v>
      </c>
      <c r="D3816">
        <v>-46.79635078179556</v>
      </c>
    </row>
    <row r="3817" spans="1:4" x14ac:dyDescent="0.3">
      <c r="A3817">
        <v>3549201</v>
      </c>
      <c r="B3817" t="s">
        <v>4701</v>
      </c>
      <c r="C3817">
        <v>-20.3887717266302</v>
      </c>
      <c r="D3817">
        <v>-50.380721907748104</v>
      </c>
    </row>
    <row r="3818" spans="1:4" x14ac:dyDescent="0.3">
      <c r="A3818">
        <v>3549250</v>
      </c>
      <c r="B3818" t="s">
        <v>4702</v>
      </c>
      <c r="C3818">
        <v>-20.512615492076005</v>
      </c>
      <c r="D3818">
        <v>-50.351597516901712</v>
      </c>
    </row>
    <row r="3819" spans="1:4" x14ac:dyDescent="0.3">
      <c r="A3819">
        <v>3549300</v>
      </c>
      <c r="B3819" t="s">
        <v>4703</v>
      </c>
      <c r="C3819">
        <v>-21.268363999361551</v>
      </c>
      <c r="D3819">
        <v>-51.666665161173604</v>
      </c>
    </row>
    <row r="3820" spans="1:4" x14ac:dyDescent="0.3">
      <c r="A3820">
        <v>3549409</v>
      </c>
      <c r="B3820" t="s">
        <v>4704</v>
      </c>
      <c r="C3820">
        <v>-20.583165555000004</v>
      </c>
      <c r="D3820">
        <v>-47.863268070713261</v>
      </c>
    </row>
    <row r="3821" spans="1:4" x14ac:dyDescent="0.3">
      <c r="A3821">
        <v>3549508</v>
      </c>
      <c r="B3821" t="s">
        <v>4705</v>
      </c>
      <c r="C3821">
        <v>-20.594419531098705</v>
      </c>
      <c r="D3821">
        <v>-47.640989501499746</v>
      </c>
    </row>
    <row r="3822" spans="1:4" x14ac:dyDescent="0.3">
      <c r="A3822">
        <v>3549607</v>
      </c>
      <c r="B3822" t="s">
        <v>4706</v>
      </c>
      <c r="C3822">
        <v>-22.646489896629703</v>
      </c>
      <c r="D3822">
        <v>-44.578340961319348</v>
      </c>
    </row>
    <row r="3823" spans="1:4" x14ac:dyDescent="0.3">
      <c r="A3823">
        <v>3549706</v>
      </c>
      <c r="B3823" t="s">
        <v>4707</v>
      </c>
      <c r="C3823">
        <v>-21.596102500000004</v>
      </c>
      <c r="D3823">
        <v>-46.888265889528491</v>
      </c>
    </row>
    <row r="3824" spans="1:4" x14ac:dyDescent="0.3">
      <c r="A3824">
        <v>3549805</v>
      </c>
      <c r="B3824" t="s">
        <v>4708</v>
      </c>
      <c r="C3824">
        <v>-20.812636500000004</v>
      </c>
      <c r="D3824">
        <v>-49.381347685025794</v>
      </c>
    </row>
    <row r="3825" spans="1:4" x14ac:dyDescent="0.3">
      <c r="A3825">
        <v>3549904</v>
      </c>
      <c r="B3825" t="s">
        <v>4709</v>
      </c>
      <c r="C3825">
        <v>-23.184061500000002</v>
      </c>
      <c r="D3825">
        <v>-45.884175401459665</v>
      </c>
    </row>
    <row r="3826" spans="1:4" x14ac:dyDescent="0.3">
      <c r="A3826">
        <v>3549953</v>
      </c>
      <c r="B3826" t="s">
        <v>4710</v>
      </c>
      <c r="C3826">
        <v>-23.849085716050105</v>
      </c>
      <c r="D3826">
        <v>-46.941749717393989</v>
      </c>
    </row>
    <row r="3827" spans="1:4" x14ac:dyDescent="0.3">
      <c r="A3827">
        <v>3550001</v>
      </c>
      <c r="B3827" t="s">
        <v>4711</v>
      </c>
      <c r="C3827">
        <v>-23.221871510221003</v>
      </c>
      <c r="D3827">
        <v>-45.309544504809459</v>
      </c>
    </row>
    <row r="3828" spans="1:4" x14ac:dyDescent="0.3">
      <c r="A3828">
        <v>3550100</v>
      </c>
      <c r="B3828" t="s">
        <v>4712</v>
      </c>
      <c r="C3828">
        <v>-22.736459985000007</v>
      </c>
      <c r="D3828">
        <v>-48.568763281267941</v>
      </c>
    </row>
    <row r="3829" spans="1:4" x14ac:dyDescent="0.3">
      <c r="A3829">
        <v>3550209</v>
      </c>
      <c r="B3829" t="s">
        <v>4713</v>
      </c>
      <c r="C3829">
        <v>-23.879490000000004</v>
      </c>
      <c r="D3829">
        <v>-47.99558914635093</v>
      </c>
    </row>
    <row r="3830" spans="1:4" x14ac:dyDescent="0.3">
      <c r="A3830">
        <v>3550308</v>
      </c>
      <c r="B3830" t="s">
        <v>4714</v>
      </c>
      <c r="C3830">
        <v>-23.567386500000001</v>
      </c>
      <c r="D3830">
        <v>-46.570383182112749</v>
      </c>
    </row>
    <row r="3831" spans="1:4" x14ac:dyDescent="0.3">
      <c r="A3831">
        <v>3550407</v>
      </c>
      <c r="B3831" t="s">
        <v>2219</v>
      </c>
      <c r="C3831">
        <v>-22.548888000000002</v>
      </c>
      <c r="D3831">
        <v>-47.914032997113132</v>
      </c>
    </row>
    <row r="3832" spans="1:4" x14ac:dyDescent="0.3">
      <c r="A3832">
        <v>3550506</v>
      </c>
      <c r="B3832" t="s">
        <v>4715</v>
      </c>
      <c r="C3832">
        <v>-22.751256429245135</v>
      </c>
      <c r="D3832">
        <v>-49.741476162902714</v>
      </c>
    </row>
    <row r="3833" spans="1:4" x14ac:dyDescent="0.3">
      <c r="A3833">
        <v>3550605</v>
      </c>
      <c r="B3833" t="s">
        <v>4716</v>
      </c>
      <c r="C3833">
        <v>-23.530359000000004</v>
      </c>
      <c r="D3833">
        <v>-47.135423012747943</v>
      </c>
    </row>
    <row r="3834" spans="1:4" x14ac:dyDescent="0.3">
      <c r="A3834">
        <v>3550704</v>
      </c>
      <c r="B3834" t="s">
        <v>2702</v>
      </c>
      <c r="C3834">
        <v>-23.806687652148753</v>
      </c>
      <c r="D3834">
        <v>-45.402680140543957</v>
      </c>
    </row>
    <row r="3835" spans="1:4" x14ac:dyDescent="0.3">
      <c r="A3835">
        <v>3550803</v>
      </c>
      <c r="B3835" t="s">
        <v>4717</v>
      </c>
      <c r="C3835">
        <v>-21.708420791919607</v>
      </c>
      <c r="D3835">
        <v>-46.824127625791355</v>
      </c>
    </row>
    <row r="3836" spans="1:4" x14ac:dyDescent="0.3">
      <c r="A3836">
        <v>3550902</v>
      </c>
      <c r="B3836" t="s">
        <v>4718</v>
      </c>
      <c r="C3836">
        <v>-21.479723372164006</v>
      </c>
      <c r="D3836">
        <v>-47.553352539983386</v>
      </c>
    </row>
    <row r="3837" spans="1:4" x14ac:dyDescent="0.3">
      <c r="A3837">
        <v>3551009</v>
      </c>
      <c r="B3837" t="s">
        <v>2222</v>
      </c>
      <c r="C3837">
        <v>-23.967373000000006</v>
      </c>
      <c r="D3837">
        <v>-46.384490817317726</v>
      </c>
    </row>
    <row r="3838" spans="1:4" x14ac:dyDescent="0.3">
      <c r="A3838">
        <v>3551108</v>
      </c>
      <c r="B3838" t="s">
        <v>4719</v>
      </c>
      <c r="C3838">
        <v>-23.641506570768303</v>
      </c>
      <c r="D3838">
        <v>-47.827195985044703</v>
      </c>
    </row>
    <row r="3839" spans="1:4" x14ac:dyDescent="0.3">
      <c r="A3839">
        <v>3551207</v>
      </c>
      <c r="B3839" t="s">
        <v>4720</v>
      </c>
      <c r="C3839">
        <v>-23.274495925844203</v>
      </c>
      <c r="D3839">
        <v>-49.483128634266443</v>
      </c>
    </row>
    <row r="3840" spans="1:4" x14ac:dyDescent="0.3">
      <c r="A3840">
        <v>3551306</v>
      </c>
      <c r="B3840" t="s">
        <v>4721</v>
      </c>
      <c r="C3840">
        <v>-20.656880499376502</v>
      </c>
      <c r="D3840">
        <v>-49.920922497139259</v>
      </c>
    </row>
    <row r="3841" spans="1:4" x14ac:dyDescent="0.3">
      <c r="A3841">
        <v>3551405</v>
      </c>
      <c r="B3841" t="s">
        <v>4722</v>
      </c>
      <c r="C3841">
        <v>-21.310287665662354</v>
      </c>
      <c r="D3841">
        <v>-47.563249920263999</v>
      </c>
    </row>
    <row r="3842" spans="1:4" x14ac:dyDescent="0.3">
      <c r="A3842">
        <v>3551504</v>
      </c>
      <c r="B3842" t="s">
        <v>4723</v>
      </c>
      <c r="C3842">
        <v>-21.209477985000007</v>
      </c>
      <c r="D3842">
        <v>-47.597762096344553</v>
      </c>
    </row>
    <row r="3843" spans="1:4" x14ac:dyDescent="0.3">
      <c r="A3843">
        <v>3551603</v>
      </c>
      <c r="B3843" t="s">
        <v>4724</v>
      </c>
      <c r="C3843">
        <v>-22.612693521859551</v>
      </c>
      <c r="D3843">
        <v>-46.701791380712173</v>
      </c>
    </row>
    <row r="3844" spans="1:4" x14ac:dyDescent="0.3">
      <c r="A3844">
        <v>3551702</v>
      </c>
      <c r="B3844" t="s">
        <v>2433</v>
      </c>
      <c r="C3844">
        <v>-21.137021505000003</v>
      </c>
      <c r="D3844">
        <v>-47.991148431000028</v>
      </c>
    </row>
    <row r="3845" spans="1:4" x14ac:dyDescent="0.3">
      <c r="A3845">
        <v>3551801</v>
      </c>
      <c r="B3845" t="s">
        <v>4725</v>
      </c>
      <c r="C3845">
        <v>-24.388603782187904</v>
      </c>
      <c r="D3845">
        <v>-47.927216963472212</v>
      </c>
    </row>
    <row r="3846" spans="1:4" x14ac:dyDescent="0.3">
      <c r="A3846">
        <v>3551900</v>
      </c>
      <c r="B3846" t="s">
        <v>4726</v>
      </c>
      <c r="C3846">
        <v>-20.809385787763201</v>
      </c>
      <c r="D3846">
        <v>-48.801533979431397</v>
      </c>
    </row>
    <row r="3847" spans="1:4" x14ac:dyDescent="0.3">
      <c r="A3847">
        <v>3552007</v>
      </c>
      <c r="B3847" t="s">
        <v>4727</v>
      </c>
      <c r="C3847">
        <v>-22.66142434635125</v>
      </c>
      <c r="D3847">
        <v>-44.848996103159266</v>
      </c>
    </row>
    <row r="3848" spans="1:4" x14ac:dyDescent="0.3">
      <c r="A3848">
        <v>3552106</v>
      </c>
      <c r="B3848" t="s">
        <v>4728</v>
      </c>
      <c r="C3848">
        <v>-22.592029951899505</v>
      </c>
      <c r="D3848">
        <v>-46.529211591760863</v>
      </c>
    </row>
    <row r="3849" spans="1:4" x14ac:dyDescent="0.3">
      <c r="A3849">
        <v>3552205</v>
      </c>
      <c r="B3849" t="s">
        <v>4729</v>
      </c>
      <c r="C3849">
        <v>-23.499323</v>
      </c>
      <c r="D3849">
        <v>-47.457853253204043</v>
      </c>
    </row>
    <row r="3850" spans="1:4" x14ac:dyDescent="0.3">
      <c r="A3850">
        <v>3552304</v>
      </c>
      <c r="B3850" t="s">
        <v>4730</v>
      </c>
      <c r="C3850">
        <v>-20.692943499375605</v>
      </c>
      <c r="D3850">
        <v>-50.920526559032098</v>
      </c>
    </row>
    <row r="3851" spans="1:4" x14ac:dyDescent="0.3">
      <c r="A3851">
        <v>3552403</v>
      </c>
      <c r="B3851" t="s">
        <v>4731</v>
      </c>
      <c r="C3851">
        <v>-22.822145000000003</v>
      </c>
      <c r="D3851">
        <v>-47.265802732090094</v>
      </c>
    </row>
    <row r="3852" spans="1:4" x14ac:dyDescent="0.3">
      <c r="A3852">
        <v>3552502</v>
      </c>
      <c r="B3852" t="s">
        <v>4732</v>
      </c>
      <c r="C3852">
        <v>-23.536827500000005</v>
      </c>
      <c r="D3852">
        <v>-46.307810467288199</v>
      </c>
    </row>
    <row r="3853" spans="1:4" x14ac:dyDescent="0.3">
      <c r="A3853">
        <v>3552551</v>
      </c>
      <c r="B3853" t="s">
        <v>4733</v>
      </c>
      <c r="C3853">
        <v>-20.503344266962252</v>
      </c>
      <c r="D3853">
        <v>-51.028222586512868</v>
      </c>
    </row>
    <row r="3854" spans="1:4" x14ac:dyDescent="0.3">
      <c r="A3854">
        <v>3552601</v>
      </c>
      <c r="B3854" t="s">
        <v>4734</v>
      </c>
      <c r="C3854">
        <v>-20.957600676059251</v>
      </c>
      <c r="D3854">
        <v>-49.032621409186611</v>
      </c>
    </row>
    <row r="3855" spans="1:4" x14ac:dyDescent="0.3">
      <c r="A3855">
        <v>3552700</v>
      </c>
      <c r="B3855" t="s">
        <v>1165</v>
      </c>
      <c r="C3855">
        <v>-21.732514500000008</v>
      </c>
      <c r="D3855">
        <v>-48.68678761401565</v>
      </c>
    </row>
    <row r="3856" spans="1:4" x14ac:dyDescent="0.3">
      <c r="A3856">
        <v>3552809</v>
      </c>
      <c r="B3856" t="s">
        <v>4735</v>
      </c>
      <c r="C3856">
        <v>-23.623328500000003</v>
      </c>
      <c r="D3856">
        <v>-46.785780034210205</v>
      </c>
    </row>
    <row r="3857" spans="1:4" x14ac:dyDescent="0.3">
      <c r="A3857">
        <v>3552908</v>
      </c>
      <c r="B3857" t="s">
        <v>4736</v>
      </c>
      <c r="C3857">
        <v>-22.388266261606002</v>
      </c>
      <c r="D3857">
        <v>-51.284773424105047</v>
      </c>
    </row>
    <row r="3858" spans="1:4" x14ac:dyDescent="0.3">
      <c r="A3858">
        <v>3553005</v>
      </c>
      <c r="B3858" t="s">
        <v>4737</v>
      </c>
      <c r="C3858">
        <v>-23.449814118588002</v>
      </c>
      <c r="D3858">
        <v>-49.405771115567497</v>
      </c>
    </row>
    <row r="3859" spans="1:4" x14ac:dyDescent="0.3">
      <c r="A3859">
        <v>3553104</v>
      </c>
      <c r="B3859" t="s">
        <v>4738</v>
      </c>
      <c r="C3859">
        <v>-21.146736273607853</v>
      </c>
      <c r="D3859">
        <v>-48.511955222080744</v>
      </c>
    </row>
    <row r="3860" spans="1:4" x14ac:dyDescent="0.3">
      <c r="A3860">
        <v>3553203</v>
      </c>
      <c r="B3860" t="s">
        <v>4739</v>
      </c>
      <c r="C3860">
        <v>-21.129556288279101</v>
      </c>
      <c r="D3860">
        <v>-48.453935342282819</v>
      </c>
    </row>
    <row r="3861" spans="1:4" x14ac:dyDescent="0.3">
      <c r="A3861">
        <v>3553302</v>
      </c>
      <c r="B3861" t="s">
        <v>4740</v>
      </c>
      <c r="C3861">
        <v>-21.703033000000005</v>
      </c>
      <c r="D3861">
        <v>-47.271615513066408</v>
      </c>
    </row>
    <row r="3862" spans="1:4" x14ac:dyDescent="0.3">
      <c r="A3862">
        <v>3553401</v>
      </c>
      <c r="B3862" t="s">
        <v>4741</v>
      </c>
      <c r="C3862">
        <v>-20.625112136135055</v>
      </c>
      <c r="D3862">
        <v>-49.648820199371762</v>
      </c>
    </row>
    <row r="3863" spans="1:4" x14ac:dyDescent="0.3">
      <c r="A3863">
        <v>3553500</v>
      </c>
      <c r="B3863" t="s">
        <v>3955</v>
      </c>
      <c r="C3863">
        <v>-23.973148266790606</v>
      </c>
      <c r="D3863">
        <v>-47.505288235203587</v>
      </c>
    </row>
    <row r="3864" spans="1:4" x14ac:dyDescent="0.3">
      <c r="A3864">
        <v>3553609</v>
      </c>
      <c r="B3864" t="s">
        <v>4742</v>
      </c>
      <c r="C3864">
        <v>-21.47188540230535</v>
      </c>
      <c r="D3864">
        <v>-46.745515210683564</v>
      </c>
    </row>
    <row r="3865" spans="1:4" x14ac:dyDescent="0.3">
      <c r="A3865">
        <v>3553658</v>
      </c>
      <c r="B3865" t="s">
        <v>4743</v>
      </c>
      <c r="C3865">
        <v>-21.072608500000001</v>
      </c>
      <c r="D3865">
        <v>-48.408654918410541</v>
      </c>
    </row>
    <row r="3866" spans="1:4" x14ac:dyDescent="0.3">
      <c r="A3866">
        <v>3553708</v>
      </c>
      <c r="B3866" t="s">
        <v>4744</v>
      </c>
      <c r="C3866">
        <v>-21.410008000000005</v>
      </c>
      <c r="D3866">
        <v>-48.506742182853621</v>
      </c>
    </row>
    <row r="3867" spans="1:4" x14ac:dyDescent="0.3">
      <c r="A3867">
        <v>3553807</v>
      </c>
      <c r="B3867" t="s">
        <v>4745</v>
      </c>
      <c r="C3867">
        <v>-23.5320605077168</v>
      </c>
      <c r="D3867">
        <v>-49.244088538389882</v>
      </c>
    </row>
    <row r="3868" spans="1:4" x14ac:dyDescent="0.3">
      <c r="A3868">
        <v>3553856</v>
      </c>
      <c r="B3868" t="s">
        <v>4746</v>
      </c>
      <c r="C3868">
        <v>-23.919257149652857</v>
      </c>
      <c r="D3868">
        <v>-48.697328636961991</v>
      </c>
    </row>
    <row r="3869" spans="1:4" x14ac:dyDescent="0.3">
      <c r="A3869">
        <v>3553906</v>
      </c>
      <c r="B3869" t="s">
        <v>4747</v>
      </c>
      <c r="C3869">
        <v>-22.301668295471856</v>
      </c>
      <c r="D3869">
        <v>-51.559572575554753</v>
      </c>
    </row>
    <row r="3870" spans="1:4" x14ac:dyDescent="0.3">
      <c r="A3870">
        <v>3553955</v>
      </c>
      <c r="B3870" t="s">
        <v>4748</v>
      </c>
      <c r="C3870">
        <v>-22.744771194284205</v>
      </c>
      <c r="D3870">
        <v>-50.576565135086703</v>
      </c>
    </row>
    <row r="3871" spans="1:4" x14ac:dyDescent="0.3">
      <c r="A3871">
        <v>3554003</v>
      </c>
      <c r="B3871" t="s">
        <v>4749</v>
      </c>
      <c r="C3871">
        <v>-23.348576500000004</v>
      </c>
      <c r="D3871">
        <v>-47.849464033660901</v>
      </c>
    </row>
    <row r="3872" spans="1:4" x14ac:dyDescent="0.3">
      <c r="A3872">
        <v>3554102</v>
      </c>
      <c r="B3872" t="s">
        <v>4750</v>
      </c>
      <c r="C3872">
        <v>-23.026555500000004</v>
      </c>
      <c r="D3872">
        <v>-45.556608696687441</v>
      </c>
    </row>
    <row r="3873" spans="1:4" x14ac:dyDescent="0.3">
      <c r="A3873">
        <v>3554201</v>
      </c>
      <c r="B3873" t="s">
        <v>4751</v>
      </c>
      <c r="C3873">
        <v>-23.340591746250151</v>
      </c>
      <c r="D3873">
        <v>-49.377441961138608</v>
      </c>
    </row>
    <row r="3874" spans="1:4" x14ac:dyDescent="0.3">
      <c r="A3874">
        <v>3554300</v>
      </c>
      <c r="B3874" t="s">
        <v>3146</v>
      </c>
      <c r="C3874">
        <v>-22.531007000000002</v>
      </c>
      <c r="D3874">
        <v>-52.171194822163727</v>
      </c>
    </row>
    <row r="3875" spans="1:4" x14ac:dyDescent="0.3">
      <c r="A3875">
        <v>3554409</v>
      </c>
      <c r="B3875" t="s">
        <v>4752</v>
      </c>
      <c r="C3875">
        <v>-20.787841656654852</v>
      </c>
      <c r="D3875">
        <v>-48.341536137232502</v>
      </c>
    </row>
    <row r="3876" spans="1:4" x14ac:dyDescent="0.3">
      <c r="A3876">
        <v>3554508</v>
      </c>
      <c r="B3876" t="s">
        <v>4753</v>
      </c>
      <c r="C3876">
        <v>-23.097889485000003</v>
      </c>
      <c r="D3876">
        <v>-47.711472527996328</v>
      </c>
    </row>
    <row r="3877" spans="1:4" x14ac:dyDescent="0.3">
      <c r="A3877">
        <v>3554607</v>
      </c>
      <c r="B3877" t="s">
        <v>4754</v>
      </c>
      <c r="C3877">
        <v>-23.202363382960307</v>
      </c>
      <c r="D3877">
        <v>-49.603542894931422</v>
      </c>
    </row>
    <row r="3878" spans="1:4" x14ac:dyDescent="0.3">
      <c r="A3878">
        <v>3554656</v>
      </c>
      <c r="B3878" t="s">
        <v>4755</v>
      </c>
      <c r="C3878">
        <v>-23.243769527262103</v>
      </c>
      <c r="D3878">
        <v>-48.198238839887324</v>
      </c>
    </row>
    <row r="3879" spans="1:4" x14ac:dyDescent="0.3">
      <c r="A3879">
        <v>3554706</v>
      </c>
      <c r="B3879" t="s">
        <v>4756</v>
      </c>
      <c r="C3879">
        <v>-22.427493614698104</v>
      </c>
      <c r="D3879">
        <v>-48.172157585145634</v>
      </c>
    </row>
    <row r="3880" spans="1:4" x14ac:dyDescent="0.3">
      <c r="A3880">
        <v>3554755</v>
      </c>
      <c r="B3880" t="s">
        <v>4757</v>
      </c>
      <c r="C3880">
        <v>-22.038073647059949</v>
      </c>
      <c r="D3880">
        <v>-48.340183393753499</v>
      </c>
    </row>
    <row r="3881" spans="1:4" x14ac:dyDescent="0.3">
      <c r="A3881">
        <v>3554805</v>
      </c>
      <c r="B3881" t="s">
        <v>4758</v>
      </c>
      <c r="C3881">
        <v>-22.960415205393254</v>
      </c>
      <c r="D3881">
        <v>-45.550746882346836</v>
      </c>
    </row>
    <row r="3882" spans="1:4" x14ac:dyDescent="0.3">
      <c r="A3882">
        <v>3554904</v>
      </c>
      <c r="B3882" t="s">
        <v>4759</v>
      </c>
      <c r="C3882">
        <v>-20.228012803363956</v>
      </c>
      <c r="D3882">
        <v>-50.884882785455289</v>
      </c>
    </row>
    <row r="3883" spans="1:4" x14ac:dyDescent="0.3">
      <c r="A3883">
        <v>3554953</v>
      </c>
      <c r="B3883" t="s">
        <v>4760</v>
      </c>
      <c r="C3883">
        <v>-22.814756155163252</v>
      </c>
      <c r="D3883">
        <v>-46.697023859532528</v>
      </c>
    </row>
    <row r="3884" spans="1:4" x14ac:dyDescent="0.3">
      <c r="A3884">
        <v>3555000</v>
      </c>
      <c r="B3884" t="s">
        <v>4761</v>
      </c>
      <c r="C3884">
        <v>-21.934821510000003</v>
      </c>
      <c r="D3884">
        <v>-50.514006421722954</v>
      </c>
    </row>
    <row r="3885" spans="1:4" x14ac:dyDescent="0.3">
      <c r="A3885">
        <v>3555109</v>
      </c>
      <c r="B3885" t="s">
        <v>4762</v>
      </c>
      <c r="C3885">
        <v>-21.386395317688653</v>
      </c>
      <c r="D3885">
        <v>-51.576720575971144</v>
      </c>
    </row>
    <row r="3886" spans="1:4" x14ac:dyDescent="0.3">
      <c r="A3886">
        <v>3555208</v>
      </c>
      <c r="B3886" t="s">
        <v>4763</v>
      </c>
      <c r="C3886">
        <v>-20.950235089182453</v>
      </c>
      <c r="D3886">
        <v>-50.10944175051926</v>
      </c>
    </row>
    <row r="3887" spans="1:4" x14ac:dyDescent="0.3">
      <c r="A3887">
        <v>3555307</v>
      </c>
      <c r="B3887" t="s">
        <v>3972</v>
      </c>
      <c r="C3887">
        <v>-20.051268617318417</v>
      </c>
      <c r="D3887">
        <v>-50.477729431479297</v>
      </c>
    </row>
    <row r="3888" spans="1:4" x14ac:dyDescent="0.3">
      <c r="A3888">
        <v>3555356</v>
      </c>
      <c r="B3888" t="s">
        <v>4764</v>
      </c>
      <c r="C3888">
        <v>-21.162470999800203</v>
      </c>
      <c r="D3888">
        <v>-49.719672394223984</v>
      </c>
    </row>
    <row r="3889" spans="1:4" x14ac:dyDescent="0.3">
      <c r="A3889">
        <v>3555406</v>
      </c>
      <c r="B3889" t="s">
        <v>4765</v>
      </c>
      <c r="C3889">
        <v>-23.435964980516907</v>
      </c>
      <c r="D3889">
        <v>-45.072091475479915</v>
      </c>
    </row>
    <row r="3890" spans="1:4" x14ac:dyDescent="0.3">
      <c r="A3890">
        <v>3555505</v>
      </c>
      <c r="B3890" t="s">
        <v>4766</v>
      </c>
      <c r="C3890">
        <v>-22.523835450207056</v>
      </c>
      <c r="D3890">
        <v>-49.663271665553467</v>
      </c>
    </row>
    <row r="3891" spans="1:4" x14ac:dyDescent="0.3">
      <c r="A3891">
        <v>3555604</v>
      </c>
      <c r="B3891" t="s">
        <v>4767</v>
      </c>
      <c r="C3891">
        <v>-20.953346399265751</v>
      </c>
      <c r="D3891">
        <v>-49.177669534978428</v>
      </c>
    </row>
    <row r="3892" spans="1:4" x14ac:dyDescent="0.3">
      <c r="A3892">
        <v>3555703</v>
      </c>
      <c r="B3892" t="s">
        <v>4768</v>
      </c>
      <c r="C3892">
        <v>-20.887768999370802</v>
      </c>
      <c r="D3892">
        <v>-49.897393579108623</v>
      </c>
    </row>
    <row r="3893" spans="1:4" x14ac:dyDescent="0.3">
      <c r="A3893">
        <v>3555802</v>
      </c>
      <c r="B3893" t="s">
        <v>4769</v>
      </c>
      <c r="C3893">
        <v>-20.246264096670103</v>
      </c>
      <c r="D3893">
        <v>-50.641800154077856</v>
      </c>
    </row>
    <row r="3894" spans="1:4" x14ac:dyDescent="0.3">
      <c r="A3894">
        <v>3555901</v>
      </c>
      <c r="B3894" t="s">
        <v>4770</v>
      </c>
      <c r="C3894">
        <v>-21.786313652437702</v>
      </c>
      <c r="D3894">
        <v>-49.283201601357113</v>
      </c>
    </row>
    <row r="3895" spans="1:4" x14ac:dyDescent="0.3">
      <c r="A3895">
        <v>3556008</v>
      </c>
      <c r="B3895" t="s">
        <v>4771</v>
      </c>
      <c r="C3895">
        <v>-21.200418812734753</v>
      </c>
      <c r="D3895">
        <v>-49.290729849446706</v>
      </c>
    </row>
    <row r="3896" spans="1:4" x14ac:dyDescent="0.3">
      <c r="A3896">
        <v>3556107</v>
      </c>
      <c r="B3896" t="s">
        <v>4772</v>
      </c>
      <c r="C3896">
        <v>-20.423370291877653</v>
      </c>
      <c r="D3896">
        <v>-50.085868281705338</v>
      </c>
    </row>
    <row r="3897" spans="1:4" x14ac:dyDescent="0.3">
      <c r="A3897">
        <v>3556206</v>
      </c>
      <c r="B3897" t="s">
        <v>4773</v>
      </c>
      <c r="C3897">
        <v>-22.971244000000002</v>
      </c>
      <c r="D3897">
        <v>-46.996630027555213</v>
      </c>
    </row>
    <row r="3898" spans="1:4" x14ac:dyDescent="0.3">
      <c r="A3898">
        <v>3556305</v>
      </c>
      <c r="B3898" t="s">
        <v>4774</v>
      </c>
      <c r="C3898">
        <v>-21.225575282859502</v>
      </c>
      <c r="D3898">
        <v>-50.869308119039758</v>
      </c>
    </row>
    <row r="3899" spans="1:4" x14ac:dyDescent="0.3">
      <c r="A3899">
        <v>3556354</v>
      </c>
      <c r="B3899" t="s">
        <v>4775</v>
      </c>
      <c r="C3899">
        <v>-22.884880423820402</v>
      </c>
      <c r="D3899">
        <v>-46.411600233135466</v>
      </c>
    </row>
    <row r="3900" spans="1:4" x14ac:dyDescent="0.3">
      <c r="A3900">
        <v>3556404</v>
      </c>
      <c r="B3900" t="s">
        <v>4776</v>
      </c>
      <c r="C3900">
        <v>-21.835866000000003</v>
      </c>
      <c r="D3900">
        <v>-46.895608914752174</v>
      </c>
    </row>
    <row r="3901" spans="1:4" x14ac:dyDescent="0.3">
      <c r="A3901">
        <v>3556453</v>
      </c>
      <c r="B3901" t="s">
        <v>4777</v>
      </c>
      <c r="C3901">
        <v>-23.615302500000002</v>
      </c>
      <c r="D3901">
        <v>-47.019647784074024</v>
      </c>
    </row>
    <row r="3902" spans="1:4" x14ac:dyDescent="0.3">
      <c r="A3902">
        <v>3556503</v>
      </c>
      <c r="B3902" t="s">
        <v>4778</v>
      </c>
      <c r="C3902">
        <v>-23.214466500000004</v>
      </c>
      <c r="D3902">
        <v>-46.829890223917758</v>
      </c>
    </row>
    <row r="3903" spans="1:4" x14ac:dyDescent="0.3">
      <c r="A3903">
        <v>3556602</v>
      </c>
      <c r="B3903" t="s">
        <v>2244</v>
      </c>
      <c r="C3903">
        <v>-22.224748314841602</v>
      </c>
      <c r="D3903">
        <v>-49.821781654576142</v>
      </c>
    </row>
    <row r="3904" spans="1:4" x14ac:dyDescent="0.3">
      <c r="A3904">
        <v>3556701</v>
      </c>
      <c r="B3904" t="s">
        <v>4779</v>
      </c>
      <c r="C3904">
        <v>-23.030538324140796</v>
      </c>
      <c r="D3904">
        <v>-46.976476309079708</v>
      </c>
    </row>
    <row r="3905" spans="1:4" x14ac:dyDescent="0.3">
      <c r="A3905">
        <v>3556800</v>
      </c>
      <c r="B3905" t="s">
        <v>4780</v>
      </c>
      <c r="C3905">
        <v>-20.872314000000003</v>
      </c>
      <c r="D3905">
        <v>-48.296662879599765</v>
      </c>
    </row>
    <row r="3906" spans="1:4" x14ac:dyDescent="0.3">
      <c r="A3906">
        <v>3556909</v>
      </c>
      <c r="B3906" t="s">
        <v>4781</v>
      </c>
      <c r="C3906">
        <v>-21.167154084720458</v>
      </c>
      <c r="D3906">
        <v>-48.630171357210997</v>
      </c>
    </row>
    <row r="3907" spans="1:4" x14ac:dyDescent="0.3">
      <c r="A3907">
        <v>3556958</v>
      </c>
      <c r="B3907" t="s">
        <v>4782</v>
      </c>
      <c r="C3907">
        <v>-20.198738574456105</v>
      </c>
      <c r="D3907">
        <v>-50.480806970236308</v>
      </c>
    </row>
    <row r="3908" spans="1:4" x14ac:dyDescent="0.3">
      <c r="A3908">
        <v>3557006</v>
      </c>
      <c r="B3908" t="s">
        <v>4783</v>
      </c>
      <c r="C3908">
        <v>-23.5418712059999</v>
      </c>
      <c r="D3908">
        <v>-47.449738057982707</v>
      </c>
    </row>
    <row r="3909" spans="1:4" x14ac:dyDescent="0.3">
      <c r="A3909">
        <v>3557105</v>
      </c>
      <c r="B3909" t="s">
        <v>4784</v>
      </c>
      <c r="C3909">
        <v>-20.419470000000004</v>
      </c>
      <c r="D3909">
        <v>-49.974672015206657</v>
      </c>
    </row>
    <row r="3910" spans="1:4" x14ac:dyDescent="0.3">
      <c r="A3910">
        <v>3557154</v>
      </c>
      <c r="B3910" t="s">
        <v>4785</v>
      </c>
      <c r="C3910">
        <v>-21.050110434971803</v>
      </c>
      <c r="D3910">
        <v>-50.055739518479413</v>
      </c>
    </row>
    <row r="3911" spans="1:4" x14ac:dyDescent="0.3">
      <c r="A3911">
        <v>3557204</v>
      </c>
      <c r="B3911" t="s">
        <v>4786</v>
      </c>
      <c r="C3911">
        <v>-23.032005631921155</v>
      </c>
      <c r="D3911">
        <v>-49.713936148676602</v>
      </c>
    </row>
    <row r="3912" spans="1:4" x14ac:dyDescent="0.3">
      <c r="A3912">
        <v>3557303</v>
      </c>
      <c r="B3912" t="s">
        <v>4787</v>
      </c>
      <c r="C3912">
        <v>-22.274588913126454</v>
      </c>
      <c r="D3912">
        <v>-46.953602690417867</v>
      </c>
    </row>
    <row r="3913" spans="1:4" x14ac:dyDescent="0.3">
      <c r="A3913">
        <v>4100103</v>
      </c>
      <c r="B3913" t="s">
        <v>4788</v>
      </c>
      <c r="C3913">
        <v>-23.300494037122949</v>
      </c>
      <c r="D3913">
        <v>-50.312526582882036</v>
      </c>
    </row>
    <row r="3914" spans="1:4" x14ac:dyDescent="0.3">
      <c r="A3914">
        <v>4100202</v>
      </c>
      <c r="B3914" t="s">
        <v>4789</v>
      </c>
      <c r="C3914">
        <v>-24.661689705452858</v>
      </c>
      <c r="D3914">
        <v>-48.991754538425361</v>
      </c>
    </row>
    <row r="3915" spans="1:4" x14ac:dyDescent="0.3">
      <c r="A3915">
        <v>4100301</v>
      </c>
      <c r="B3915" t="s">
        <v>4790</v>
      </c>
      <c r="C3915">
        <v>-25.99061809059565</v>
      </c>
      <c r="D3915">
        <v>-49.338701884593107</v>
      </c>
    </row>
    <row r="3916" spans="1:4" x14ac:dyDescent="0.3">
      <c r="A3916">
        <v>4100400</v>
      </c>
      <c r="B3916" t="s">
        <v>4791</v>
      </c>
      <c r="C3916">
        <v>-25.313377602276301</v>
      </c>
      <c r="D3916">
        <v>-49.300319818403935</v>
      </c>
    </row>
    <row r="3917" spans="1:4" x14ac:dyDescent="0.3">
      <c r="A3917">
        <v>4100459</v>
      </c>
      <c r="B3917" t="s">
        <v>4792</v>
      </c>
      <c r="C3917">
        <v>-24.801000163495658</v>
      </c>
      <c r="D3917">
        <v>-52.709807446691556</v>
      </c>
    </row>
    <row r="3918" spans="1:4" x14ac:dyDescent="0.3">
      <c r="A3918">
        <v>4100509</v>
      </c>
      <c r="B3918" t="s">
        <v>4793</v>
      </c>
      <c r="C3918">
        <v>-23.870881405750701</v>
      </c>
      <c r="D3918">
        <v>-53.891973855911409</v>
      </c>
    </row>
    <row r="3919" spans="1:4" x14ac:dyDescent="0.3">
      <c r="A3919">
        <v>4100608</v>
      </c>
      <c r="B3919" t="s">
        <v>4794</v>
      </c>
      <c r="C3919">
        <v>-23.127120830648103</v>
      </c>
      <c r="D3919">
        <v>-52.321682444054545</v>
      </c>
    </row>
    <row r="3920" spans="1:4" x14ac:dyDescent="0.3">
      <c r="A3920">
        <v>4100707</v>
      </c>
      <c r="B3920" t="s">
        <v>4795</v>
      </c>
      <c r="C3920">
        <v>-24.019012556417305</v>
      </c>
      <c r="D3920">
        <v>-53.441249078868367</v>
      </c>
    </row>
    <row r="3921" spans="1:4" x14ac:dyDescent="0.3">
      <c r="A3921">
        <v>4100806</v>
      </c>
      <c r="B3921" t="s">
        <v>4796</v>
      </c>
      <c r="C3921">
        <v>-22.780378767394755</v>
      </c>
      <c r="D3921">
        <v>-51.229216330635523</v>
      </c>
    </row>
    <row r="3922" spans="1:4" x14ac:dyDescent="0.3">
      <c r="A3922">
        <v>4100905</v>
      </c>
      <c r="B3922" t="s">
        <v>4797</v>
      </c>
      <c r="C3922">
        <v>-23.097370288158952</v>
      </c>
      <c r="D3922">
        <v>-52.786787350645746</v>
      </c>
    </row>
    <row r="3923" spans="1:4" x14ac:dyDescent="0.3">
      <c r="A3923">
        <v>4101002</v>
      </c>
      <c r="B3923" t="s">
        <v>4798</v>
      </c>
      <c r="C3923">
        <v>-25.917068465282551</v>
      </c>
      <c r="D3923">
        <v>-53.473256744724573</v>
      </c>
    </row>
    <row r="3924" spans="1:4" x14ac:dyDescent="0.3">
      <c r="A3924">
        <v>4101051</v>
      </c>
      <c r="B3924" t="s">
        <v>4799</v>
      </c>
      <c r="C3924">
        <v>-24.647582458618604</v>
      </c>
      <c r="D3924">
        <v>-53.133319828671077</v>
      </c>
    </row>
    <row r="3925" spans="1:4" x14ac:dyDescent="0.3">
      <c r="A3925">
        <v>4101101</v>
      </c>
      <c r="B3925" t="s">
        <v>4800</v>
      </c>
      <c r="C3925">
        <v>-23.05175165465425</v>
      </c>
      <c r="D3925">
        <v>-50.22640759871522</v>
      </c>
    </row>
    <row r="3926" spans="1:4" x14ac:dyDescent="0.3">
      <c r="A3926">
        <v>4101150</v>
      </c>
      <c r="B3926" t="s">
        <v>4801</v>
      </c>
      <c r="C3926">
        <v>-23.192903865025155</v>
      </c>
      <c r="D3926">
        <v>-51.917364679843153</v>
      </c>
    </row>
    <row r="3927" spans="1:4" x14ac:dyDescent="0.3">
      <c r="A3927">
        <v>4101200</v>
      </c>
      <c r="B3927" t="s">
        <v>4802</v>
      </c>
      <c r="C3927">
        <v>-25.430166132323858</v>
      </c>
      <c r="D3927">
        <v>-48.712900061747753</v>
      </c>
    </row>
    <row r="3928" spans="1:4" x14ac:dyDescent="0.3">
      <c r="A3928">
        <v>4101309</v>
      </c>
      <c r="B3928" t="s">
        <v>4803</v>
      </c>
      <c r="C3928">
        <v>-25.986705780028554</v>
      </c>
      <c r="D3928">
        <v>-50.197947244003267</v>
      </c>
    </row>
    <row r="3929" spans="1:4" x14ac:dyDescent="0.3">
      <c r="A3929">
        <v>4101408</v>
      </c>
      <c r="B3929" t="s">
        <v>4804</v>
      </c>
      <c r="C3929">
        <v>-23.551592985000003</v>
      </c>
      <c r="D3929">
        <v>-51.459985142359201</v>
      </c>
    </row>
    <row r="3930" spans="1:4" x14ac:dyDescent="0.3">
      <c r="A3930">
        <v>4101507</v>
      </c>
      <c r="B3930" t="s">
        <v>4805</v>
      </c>
      <c r="C3930">
        <v>-23.413516531991753</v>
      </c>
      <c r="D3930">
        <v>-51.438279734667724</v>
      </c>
    </row>
    <row r="3931" spans="1:4" x14ac:dyDescent="0.3">
      <c r="A3931">
        <v>4101606</v>
      </c>
      <c r="B3931" t="s">
        <v>4806</v>
      </c>
      <c r="C3931">
        <v>-24.146569165205751</v>
      </c>
      <c r="D3931">
        <v>-49.824828501727218</v>
      </c>
    </row>
    <row r="3932" spans="1:4" x14ac:dyDescent="0.3">
      <c r="A3932">
        <v>4101655</v>
      </c>
      <c r="B3932" t="s">
        <v>3214</v>
      </c>
      <c r="C3932">
        <v>-24.308702386411372</v>
      </c>
      <c r="D3932">
        <v>-51.791317564277769</v>
      </c>
    </row>
    <row r="3933" spans="1:4" x14ac:dyDescent="0.3">
      <c r="A3933">
        <v>4101705</v>
      </c>
      <c r="B3933" t="s">
        <v>2259</v>
      </c>
      <c r="C3933">
        <v>-23.928200950581353</v>
      </c>
      <c r="D3933">
        <v>-52.499618103137351</v>
      </c>
    </row>
    <row r="3934" spans="1:4" x14ac:dyDescent="0.3">
      <c r="A3934">
        <v>4101804</v>
      </c>
      <c r="B3934" t="s">
        <v>4807</v>
      </c>
      <c r="C3934">
        <v>-25.591645000000003</v>
      </c>
      <c r="D3934">
        <v>-49.401939696708688</v>
      </c>
    </row>
    <row r="3935" spans="1:4" x14ac:dyDescent="0.3">
      <c r="A3935">
        <v>4101853</v>
      </c>
      <c r="B3935" t="s">
        <v>4808</v>
      </c>
      <c r="C3935">
        <v>-24.383288744790242</v>
      </c>
      <c r="D3935">
        <v>-51.587917838876699</v>
      </c>
    </row>
    <row r="3936" spans="1:4" x14ac:dyDescent="0.3">
      <c r="A3936">
        <v>4101903</v>
      </c>
      <c r="B3936" t="s">
        <v>4809</v>
      </c>
      <c r="C3936">
        <v>-23.372717905059954</v>
      </c>
      <c r="D3936">
        <v>-50.841623486314198</v>
      </c>
    </row>
    <row r="3937" spans="1:4" x14ac:dyDescent="0.3">
      <c r="A3937">
        <v>4102000</v>
      </c>
      <c r="B3937" t="s">
        <v>4810</v>
      </c>
      <c r="C3937">
        <v>-24.40853008491575</v>
      </c>
      <c r="D3937">
        <v>-53.521236927439183</v>
      </c>
    </row>
    <row r="3938" spans="1:4" x14ac:dyDescent="0.3">
      <c r="A3938">
        <v>4102109</v>
      </c>
      <c r="B3938" t="s">
        <v>4811</v>
      </c>
      <c r="C3938">
        <v>-23.236711965000001</v>
      </c>
      <c r="D3938">
        <v>-51.669679262536683</v>
      </c>
    </row>
    <row r="3939" spans="1:4" x14ac:dyDescent="0.3">
      <c r="A3939">
        <v>4102208</v>
      </c>
      <c r="B3939" t="s">
        <v>2618</v>
      </c>
      <c r="C3939">
        <v>-23.151587095539053</v>
      </c>
      <c r="D3939">
        <v>-52.055701136466915</v>
      </c>
    </row>
    <row r="3940" spans="1:4" x14ac:dyDescent="0.3">
      <c r="A3940">
        <v>4102307</v>
      </c>
      <c r="B3940" t="s">
        <v>4812</v>
      </c>
      <c r="C3940">
        <v>-25.578497807453505</v>
      </c>
      <c r="D3940">
        <v>-49.631755990406766</v>
      </c>
    </row>
    <row r="3941" spans="1:4" x14ac:dyDescent="0.3">
      <c r="A3941">
        <v>4102406</v>
      </c>
      <c r="B3941" t="s">
        <v>4813</v>
      </c>
      <c r="C3941">
        <v>-23.092480500000008</v>
      </c>
      <c r="D3941">
        <v>-50.371873022932391</v>
      </c>
    </row>
    <row r="3942" spans="1:4" x14ac:dyDescent="0.3">
      <c r="A3942">
        <v>4102505</v>
      </c>
      <c r="B3942" t="s">
        <v>4814</v>
      </c>
      <c r="C3942">
        <v>-24.027715465295309</v>
      </c>
      <c r="D3942">
        <v>-52.007116685428585</v>
      </c>
    </row>
    <row r="3943" spans="1:4" x14ac:dyDescent="0.3">
      <c r="A3943">
        <v>4102604</v>
      </c>
      <c r="B3943" t="s">
        <v>4815</v>
      </c>
      <c r="C3943">
        <v>-26.252602844209104</v>
      </c>
      <c r="D3943">
        <v>-53.635000265256842</v>
      </c>
    </row>
    <row r="3944" spans="1:4" x14ac:dyDescent="0.3">
      <c r="A3944">
        <v>4102703</v>
      </c>
      <c r="B3944" t="s">
        <v>4816</v>
      </c>
      <c r="C3944">
        <v>-23.120592728097556</v>
      </c>
      <c r="D3944">
        <v>-50.187736761633872</v>
      </c>
    </row>
    <row r="3945" spans="1:4" x14ac:dyDescent="0.3">
      <c r="A3945">
        <v>4102752</v>
      </c>
      <c r="B3945" t="s">
        <v>4817</v>
      </c>
      <c r="C3945">
        <v>-25.879493322250802</v>
      </c>
      <c r="D3945">
        <v>-53.666042628489571</v>
      </c>
    </row>
    <row r="3946" spans="1:4" x14ac:dyDescent="0.3">
      <c r="A3946">
        <v>4102802</v>
      </c>
      <c r="B3946" t="s">
        <v>4818</v>
      </c>
      <c r="C3946">
        <v>-22.99208753123327</v>
      </c>
      <c r="D3946">
        <v>-51.194145032894674</v>
      </c>
    </row>
    <row r="3947" spans="1:4" x14ac:dyDescent="0.3">
      <c r="A3947">
        <v>4102901</v>
      </c>
      <c r="B3947" t="s">
        <v>4819</v>
      </c>
      <c r="C3947">
        <v>-26.160794475840653</v>
      </c>
      <c r="D3947">
        <v>-51.556525257464891</v>
      </c>
    </row>
    <row r="3948" spans="1:4" x14ac:dyDescent="0.3">
      <c r="A3948">
        <v>4103008</v>
      </c>
      <c r="B3948" t="s">
        <v>3248</v>
      </c>
      <c r="C3948">
        <v>-24.239493159246155</v>
      </c>
      <c r="D3948">
        <v>-52.792777459296104</v>
      </c>
    </row>
    <row r="3949" spans="1:4" x14ac:dyDescent="0.3">
      <c r="A3949">
        <v>4103024</v>
      </c>
      <c r="B3949" t="s">
        <v>4820</v>
      </c>
      <c r="C3949">
        <v>-25.63587315939666</v>
      </c>
      <c r="D3949">
        <v>-53.217160074941582</v>
      </c>
    </row>
    <row r="3950" spans="1:4" x14ac:dyDescent="0.3">
      <c r="A3950">
        <v>4103040</v>
      </c>
      <c r="B3950" t="s">
        <v>4821</v>
      </c>
      <c r="C3950">
        <v>-24.87851758615275</v>
      </c>
      <c r="D3950">
        <v>-51.539373837031476</v>
      </c>
    </row>
    <row r="3951" spans="1:4" x14ac:dyDescent="0.3">
      <c r="A3951">
        <v>4103057</v>
      </c>
      <c r="B3951" t="s">
        <v>4822</v>
      </c>
      <c r="C3951">
        <v>-25.430404944323804</v>
      </c>
      <c r="D3951">
        <v>-53.411736489036954</v>
      </c>
    </row>
    <row r="3952" spans="1:4" x14ac:dyDescent="0.3">
      <c r="A3952">
        <v>4103107</v>
      </c>
      <c r="B3952" t="s">
        <v>4823</v>
      </c>
      <c r="C3952">
        <v>-25.214901583690253</v>
      </c>
      <c r="D3952">
        <v>-49.1057874827993</v>
      </c>
    </row>
    <row r="3953" spans="1:4" x14ac:dyDescent="0.3">
      <c r="A3953">
        <v>4103156</v>
      </c>
      <c r="B3953" t="s">
        <v>4824</v>
      </c>
      <c r="C3953">
        <v>-26.192874969265105</v>
      </c>
      <c r="D3953">
        <v>-53.599599969470184</v>
      </c>
    </row>
    <row r="3954" spans="1:4" x14ac:dyDescent="0.3">
      <c r="A3954">
        <v>4103206</v>
      </c>
      <c r="B3954" t="s">
        <v>2274</v>
      </c>
      <c r="C3954">
        <v>-23.707437018029953</v>
      </c>
      <c r="D3954">
        <v>-51.76446544467742</v>
      </c>
    </row>
    <row r="3955" spans="1:4" x14ac:dyDescent="0.3">
      <c r="A3955">
        <v>4103222</v>
      </c>
      <c r="B3955" t="s">
        <v>4825</v>
      </c>
      <c r="C3955">
        <v>-26.074537140289152</v>
      </c>
      <c r="D3955">
        <v>-52.831976272065781</v>
      </c>
    </row>
    <row r="3956" spans="1:4" x14ac:dyDescent="0.3">
      <c r="A3956">
        <v>4103305</v>
      </c>
      <c r="B3956" t="s">
        <v>4826</v>
      </c>
      <c r="C3956">
        <v>-23.937854194705906</v>
      </c>
      <c r="D3956">
        <v>-51.584409096929114</v>
      </c>
    </row>
    <row r="3957" spans="1:4" x14ac:dyDescent="0.3">
      <c r="A3957">
        <v>4103354</v>
      </c>
      <c r="B3957" t="s">
        <v>4827</v>
      </c>
      <c r="C3957">
        <v>-24.814894632632505</v>
      </c>
      <c r="D3957">
        <v>-53.121073664967206</v>
      </c>
    </row>
    <row r="3958" spans="1:4" x14ac:dyDescent="0.3">
      <c r="A3958">
        <v>4103370</v>
      </c>
      <c r="B3958" t="s">
        <v>4828</v>
      </c>
      <c r="C3958">
        <v>-24.193846281177404</v>
      </c>
      <c r="D3958">
        <v>-53.52404181355665</v>
      </c>
    </row>
    <row r="3959" spans="1:4" x14ac:dyDescent="0.3">
      <c r="A3959">
        <v>4103404</v>
      </c>
      <c r="B3959" t="s">
        <v>4829</v>
      </c>
      <c r="C3959">
        <v>-22.788235240971005</v>
      </c>
      <c r="D3959">
        <v>-51.715005508507623</v>
      </c>
    </row>
    <row r="3960" spans="1:4" x14ac:dyDescent="0.3">
      <c r="A3960">
        <v>4103453</v>
      </c>
      <c r="B3960" t="s">
        <v>4262</v>
      </c>
      <c r="C3960">
        <v>-24.615666976134257</v>
      </c>
      <c r="D3960">
        <v>-53.324916478430218</v>
      </c>
    </row>
    <row r="3961" spans="1:4" x14ac:dyDescent="0.3">
      <c r="A3961">
        <v>4103479</v>
      </c>
      <c r="B3961" t="s">
        <v>4830</v>
      </c>
      <c r="C3961">
        <v>-23.904704471239601</v>
      </c>
      <c r="D3961">
        <v>-53.511064854167167</v>
      </c>
    </row>
    <row r="3962" spans="1:4" x14ac:dyDescent="0.3">
      <c r="A3962">
        <v>4103503</v>
      </c>
      <c r="B3962" t="s">
        <v>4831</v>
      </c>
      <c r="C3962">
        <v>-23.66614388377041</v>
      </c>
      <c r="D3962">
        <v>-51.358085553085303</v>
      </c>
    </row>
    <row r="3963" spans="1:4" x14ac:dyDescent="0.3">
      <c r="A3963">
        <v>4103602</v>
      </c>
      <c r="B3963" t="s">
        <v>4832</v>
      </c>
      <c r="C3963">
        <v>-23.041266480000001</v>
      </c>
      <c r="D3963">
        <v>-50.077570722553546</v>
      </c>
    </row>
    <row r="3964" spans="1:4" x14ac:dyDescent="0.3">
      <c r="A3964">
        <v>4103701</v>
      </c>
      <c r="B3964" t="s">
        <v>4833</v>
      </c>
      <c r="C3964">
        <v>-23.281632000000009</v>
      </c>
      <c r="D3964">
        <v>-51.277728442331366</v>
      </c>
    </row>
    <row r="3965" spans="1:4" x14ac:dyDescent="0.3">
      <c r="A3965">
        <v>4103800</v>
      </c>
      <c r="B3965" t="s">
        <v>4834</v>
      </c>
      <c r="C3965">
        <v>-23.600611880211407</v>
      </c>
      <c r="D3965">
        <v>-51.581630613372091</v>
      </c>
    </row>
    <row r="3966" spans="1:4" x14ac:dyDescent="0.3">
      <c r="A3966">
        <v>4103909</v>
      </c>
      <c r="B3966" t="s">
        <v>4835</v>
      </c>
      <c r="C3966">
        <v>-24.594956582033454</v>
      </c>
      <c r="D3966">
        <v>-52.813564154600869</v>
      </c>
    </row>
    <row r="3967" spans="1:4" x14ac:dyDescent="0.3">
      <c r="A3967">
        <v>4103958</v>
      </c>
      <c r="B3967" t="s">
        <v>4836</v>
      </c>
      <c r="C3967">
        <v>-25.102578469803056</v>
      </c>
      <c r="D3967">
        <v>-51.814786532091588</v>
      </c>
    </row>
    <row r="3968" spans="1:4" x14ac:dyDescent="0.3">
      <c r="A3968">
        <v>4104006</v>
      </c>
      <c r="B3968" t="s">
        <v>4837</v>
      </c>
      <c r="C3968">
        <v>-25.303247505000009</v>
      </c>
      <c r="D3968">
        <v>-49.053465872357187</v>
      </c>
    </row>
    <row r="3969" spans="1:4" x14ac:dyDescent="0.3">
      <c r="A3969">
        <v>4104055</v>
      </c>
      <c r="B3969" t="s">
        <v>4838</v>
      </c>
      <c r="C3969">
        <v>-25.039634482789673</v>
      </c>
      <c r="D3969">
        <v>-52.996869603650239</v>
      </c>
    </row>
    <row r="3970" spans="1:4" x14ac:dyDescent="0.3">
      <c r="A3970">
        <v>4104105</v>
      </c>
      <c r="B3970" t="s">
        <v>4839</v>
      </c>
      <c r="C3970">
        <v>-25.981005657724257</v>
      </c>
      <c r="D3970">
        <v>-49.690376940235645</v>
      </c>
    </row>
    <row r="3971" spans="1:4" x14ac:dyDescent="0.3">
      <c r="A3971">
        <v>4104204</v>
      </c>
      <c r="B3971" t="s">
        <v>4840</v>
      </c>
      <c r="C3971">
        <v>-25.459490500000001</v>
      </c>
      <c r="D3971">
        <v>-49.528841450335605</v>
      </c>
    </row>
    <row r="3972" spans="1:4" x14ac:dyDescent="0.3">
      <c r="A3972">
        <v>4104253</v>
      </c>
      <c r="B3972" t="s">
        <v>4841</v>
      </c>
      <c r="C3972">
        <v>-25.367956500000005</v>
      </c>
      <c r="D3972">
        <v>-49.427664967989536</v>
      </c>
    </row>
    <row r="3973" spans="1:4" x14ac:dyDescent="0.3">
      <c r="A3973">
        <v>4104303</v>
      </c>
      <c r="B3973" t="s">
        <v>4842</v>
      </c>
      <c r="C3973">
        <v>-24.041223196719816</v>
      </c>
      <c r="D3973">
        <v>-52.381115085564687</v>
      </c>
    </row>
    <row r="3974" spans="1:4" x14ac:dyDescent="0.3">
      <c r="A3974">
        <v>4104402</v>
      </c>
      <c r="B3974" t="s">
        <v>4843</v>
      </c>
      <c r="C3974">
        <v>-24.564669119896056</v>
      </c>
      <c r="D3974">
        <v>-51.332580508390542</v>
      </c>
    </row>
    <row r="3975" spans="1:4" x14ac:dyDescent="0.3">
      <c r="A3975">
        <v>4104428</v>
      </c>
      <c r="B3975" t="s">
        <v>4844</v>
      </c>
      <c r="C3975">
        <v>-25.56793184584361</v>
      </c>
      <c r="D3975">
        <v>-52.055446404783247</v>
      </c>
    </row>
    <row r="3976" spans="1:4" x14ac:dyDescent="0.3">
      <c r="A3976">
        <v>4104451</v>
      </c>
      <c r="B3976" t="s">
        <v>3297</v>
      </c>
      <c r="C3976">
        <v>-25.374317386040754</v>
      </c>
      <c r="D3976">
        <v>-52.126687634942286</v>
      </c>
    </row>
    <row r="3977" spans="1:4" x14ac:dyDescent="0.3">
      <c r="A3977">
        <v>4104501</v>
      </c>
      <c r="B3977" t="s">
        <v>1218</v>
      </c>
      <c r="C3977">
        <v>-25.682977417434003</v>
      </c>
      <c r="D3977">
        <v>-53.800178695011496</v>
      </c>
    </row>
    <row r="3978" spans="1:4" x14ac:dyDescent="0.3">
      <c r="A3978">
        <v>4104600</v>
      </c>
      <c r="B3978" t="s">
        <v>4845</v>
      </c>
      <c r="C3978">
        <v>-25.479468484517351</v>
      </c>
      <c r="D3978">
        <v>-53.617211010761949</v>
      </c>
    </row>
    <row r="3979" spans="1:4" x14ac:dyDescent="0.3">
      <c r="A3979">
        <v>4104659</v>
      </c>
      <c r="B3979" t="s">
        <v>4846</v>
      </c>
      <c r="C3979">
        <v>-24.950872979957005</v>
      </c>
      <c r="D3979">
        <v>-50.113091511504123</v>
      </c>
    </row>
    <row r="3980" spans="1:4" x14ac:dyDescent="0.3">
      <c r="A3980">
        <v>4104709</v>
      </c>
      <c r="B3980" t="s">
        <v>4847</v>
      </c>
      <c r="C3980">
        <v>-23.427723925035156</v>
      </c>
      <c r="D3980">
        <v>-49.718723529886226</v>
      </c>
    </row>
    <row r="3981" spans="1:4" x14ac:dyDescent="0.3">
      <c r="A3981">
        <v>4104808</v>
      </c>
      <c r="B3981" t="s">
        <v>1946</v>
      </c>
      <c r="C3981">
        <v>-24.953797500000007</v>
      </c>
      <c r="D3981">
        <v>-53.459722181985647</v>
      </c>
    </row>
    <row r="3982" spans="1:4" x14ac:dyDescent="0.3">
      <c r="A3982">
        <v>4104907</v>
      </c>
      <c r="B3982" t="s">
        <v>4848</v>
      </c>
      <c r="C3982">
        <v>-24.795417500000003</v>
      </c>
      <c r="D3982">
        <v>-50.002811127761092</v>
      </c>
    </row>
    <row r="3983" spans="1:4" x14ac:dyDescent="0.3">
      <c r="A3983">
        <v>4105003</v>
      </c>
      <c r="B3983" t="s">
        <v>4849</v>
      </c>
      <c r="C3983">
        <v>-25.196493249460755</v>
      </c>
      <c r="D3983">
        <v>-53.153706366849548</v>
      </c>
    </row>
    <row r="3984" spans="1:4" x14ac:dyDescent="0.3">
      <c r="A3984">
        <v>4105102</v>
      </c>
      <c r="B3984" t="s">
        <v>4850</v>
      </c>
      <c r="C3984">
        <v>-22.814982350949354</v>
      </c>
      <c r="D3984">
        <v>-51.593529560015064</v>
      </c>
    </row>
    <row r="3985" spans="1:4" x14ac:dyDescent="0.3">
      <c r="A3985">
        <v>4105201</v>
      </c>
      <c r="B3985" t="s">
        <v>4851</v>
      </c>
      <c r="C3985">
        <v>-24.818947302785951</v>
      </c>
      <c r="D3985">
        <v>-49.260316825906436</v>
      </c>
    </row>
    <row r="3986" spans="1:4" x14ac:dyDescent="0.3">
      <c r="A3986">
        <v>4105300</v>
      </c>
      <c r="B3986" t="s">
        <v>4852</v>
      </c>
      <c r="C3986">
        <v>-25.149761209312409</v>
      </c>
      <c r="D3986">
        <v>-53.857269383067369</v>
      </c>
    </row>
    <row r="3987" spans="1:4" x14ac:dyDescent="0.3">
      <c r="A3987">
        <v>4105409</v>
      </c>
      <c r="B3987" t="s">
        <v>4853</v>
      </c>
      <c r="C3987">
        <v>-25.854683848765855</v>
      </c>
      <c r="D3987">
        <v>-52.533960207499199</v>
      </c>
    </row>
    <row r="3988" spans="1:4" x14ac:dyDescent="0.3">
      <c r="A3988">
        <v>4105508</v>
      </c>
      <c r="B3988" t="s">
        <v>4854</v>
      </c>
      <c r="C3988">
        <v>-23.653813152827507</v>
      </c>
      <c r="D3988">
        <v>-52.609150890556116</v>
      </c>
    </row>
    <row r="3989" spans="1:4" x14ac:dyDescent="0.3">
      <c r="A3989">
        <v>4105607</v>
      </c>
      <c r="B3989" t="s">
        <v>4855</v>
      </c>
      <c r="C3989">
        <v>-23.374197386554503</v>
      </c>
      <c r="D3989">
        <v>-52.940525149060996</v>
      </c>
    </row>
    <row r="3990" spans="1:4" x14ac:dyDescent="0.3">
      <c r="A3990">
        <v>4105706</v>
      </c>
      <c r="B3990" t="s">
        <v>4856</v>
      </c>
      <c r="C3990">
        <v>-26.405205293361451</v>
      </c>
      <c r="D3990">
        <v>-52.352986201218016</v>
      </c>
    </row>
    <row r="3991" spans="1:4" x14ac:dyDescent="0.3">
      <c r="A3991">
        <v>4105805</v>
      </c>
      <c r="B3991" t="s">
        <v>4857</v>
      </c>
      <c r="C3991">
        <v>-25.294340294536052</v>
      </c>
      <c r="D3991">
        <v>-49.227437977272707</v>
      </c>
    </row>
    <row r="3992" spans="1:4" x14ac:dyDescent="0.3">
      <c r="A3992">
        <v>4105904</v>
      </c>
      <c r="B3992" t="s">
        <v>4858</v>
      </c>
      <c r="C3992">
        <v>-22.837897530000003</v>
      </c>
      <c r="D3992">
        <v>-51.97441621213833</v>
      </c>
    </row>
    <row r="3993" spans="1:4" x14ac:dyDescent="0.3">
      <c r="A3993">
        <v>4106001</v>
      </c>
      <c r="B3993" t="s">
        <v>4859</v>
      </c>
      <c r="C3993">
        <v>-23.546902102216556</v>
      </c>
      <c r="D3993">
        <v>-50.554428047044702</v>
      </c>
    </row>
    <row r="3994" spans="1:4" x14ac:dyDescent="0.3">
      <c r="A3994">
        <v>4106100</v>
      </c>
      <c r="B3994" t="s">
        <v>4860</v>
      </c>
      <c r="C3994">
        <v>-23.621561714248656</v>
      </c>
      <c r="D3994">
        <v>-50.171773002410305</v>
      </c>
    </row>
    <row r="3995" spans="1:4" x14ac:dyDescent="0.3">
      <c r="A3995">
        <v>4106209</v>
      </c>
      <c r="B3995" t="s">
        <v>4861</v>
      </c>
      <c r="C3995">
        <v>-25.680766309590052</v>
      </c>
      <c r="D3995">
        <v>-49.531611869695631</v>
      </c>
    </row>
    <row r="3996" spans="1:4" x14ac:dyDescent="0.3">
      <c r="A3996">
        <v>4106308</v>
      </c>
      <c r="B3996" t="s">
        <v>4862</v>
      </c>
      <c r="C3996">
        <v>-24.799649515973158</v>
      </c>
      <c r="D3996">
        <v>-53.296527776996783</v>
      </c>
    </row>
    <row r="3997" spans="1:4" x14ac:dyDescent="0.3">
      <c r="A3997">
        <v>4106407</v>
      </c>
      <c r="B3997" t="s">
        <v>4863</v>
      </c>
      <c r="C3997">
        <v>-23.183257500000003</v>
      </c>
      <c r="D3997">
        <v>-50.651484478336506</v>
      </c>
    </row>
    <row r="3998" spans="1:4" x14ac:dyDescent="0.3">
      <c r="A3998">
        <v>4106456</v>
      </c>
      <c r="B3998" t="s">
        <v>4864</v>
      </c>
      <c r="C3998">
        <v>-26.226547768445606</v>
      </c>
      <c r="D3998">
        <v>-52.034538676173483</v>
      </c>
    </row>
    <row r="3999" spans="1:4" x14ac:dyDescent="0.3">
      <c r="A3999">
        <v>4106506</v>
      </c>
      <c r="B3999" t="s">
        <v>4865</v>
      </c>
      <c r="C3999">
        <v>-25.9781534980571</v>
      </c>
      <c r="D3999">
        <v>-52.567086635375972</v>
      </c>
    </row>
    <row r="4000" spans="1:4" x14ac:dyDescent="0.3">
      <c r="A4000">
        <v>4106555</v>
      </c>
      <c r="B4000" t="s">
        <v>4866</v>
      </c>
      <c r="C4000">
        <v>-24.097412385248955</v>
      </c>
      <c r="D4000">
        <v>-52.124185300379843</v>
      </c>
    </row>
    <row r="4001" spans="1:4" x14ac:dyDescent="0.3">
      <c r="A4001">
        <v>4106571</v>
      </c>
      <c r="B4001" t="s">
        <v>4867</v>
      </c>
      <c r="C4001">
        <v>-25.616569270286501</v>
      </c>
      <c r="D4001">
        <v>-53.126822663784182</v>
      </c>
    </row>
    <row r="4002" spans="1:4" x14ac:dyDescent="0.3">
      <c r="A4002">
        <v>4106605</v>
      </c>
      <c r="B4002" t="s">
        <v>4868</v>
      </c>
      <c r="C4002">
        <v>-23.776904860657055</v>
      </c>
      <c r="D4002">
        <v>-53.081821607622082</v>
      </c>
    </row>
    <row r="4003" spans="1:4" x14ac:dyDescent="0.3">
      <c r="A4003">
        <v>4106704</v>
      </c>
      <c r="B4003" t="s">
        <v>1093</v>
      </c>
      <c r="C4003">
        <v>-22.965175419540302</v>
      </c>
      <c r="D4003">
        <v>-52.163977669531022</v>
      </c>
    </row>
    <row r="4004" spans="1:4" x14ac:dyDescent="0.3">
      <c r="A4004">
        <v>4106803</v>
      </c>
      <c r="B4004" t="s">
        <v>4869</v>
      </c>
      <c r="C4004">
        <v>-26.017268878208306</v>
      </c>
      <c r="D4004">
        <v>-51.347709524611837</v>
      </c>
    </row>
    <row r="4005" spans="1:4" x14ac:dyDescent="0.3">
      <c r="A4005">
        <v>4106852</v>
      </c>
      <c r="B4005" t="s">
        <v>4870</v>
      </c>
      <c r="C4005">
        <v>-23.993327601892847</v>
      </c>
      <c r="D4005">
        <v>-51.444246648968594</v>
      </c>
    </row>
    <row r="4006" spans="1:4" x14ac:dyDescent="0.3">
      <c r="A4006">
        <v>4106902</v>
      </c>
      <c r="B4006" t="s">
        <v>4871</v>
      </c>
      <c r="C4006">
        <v>-25.432956000000004</v>
      </c>
      <c r="D4006">
        <v>-49.27184788507742</v>
      </c>
    </row>
    <row r="4007" spans="1:4" x14ac:dyDescent="0.3">
      <c r="A4007">
        <v>4107009</v>
      </c>
      <c r="B4007" t="s">
        <v>4872</v>
      </c>
      <c r="C4007">
        <v>-24.03582558928775</v>
      </c>
      <c r="D4007">
        <v>-50.459405524487686</v>
      </c>
    </row>
    <row r="4008" spans="1:4" x14ac:dyDescent="0.3">
      <c r="A4008">
        <v>4107108</v>
      </c>
      <c r="B4008" t="s">
        <v>4873</v>
      </c>
      <c r="C4008">
        <v>-22.657206150202203</v>
      </c>
      <c r="D4008">
        <v>-52.864111238707871</v>
      </c>
    </row>
    <row r="4009" spans="1:4" x14ac:dyDescent="0.3">
      <c r="A4009">
        <v>4107124</v>
      </c>
      <c r="B4009" t="s">
        <v>4874</v>
      </c>
      <c r="C4009">
        <v>-25.035191928310155</v>
      </c>
      <c r="D4009">
        <v>-52.688190761331775</v>
      </c>
    </row>
    <row r="4010" spans="1:4" x14ac:dyDescent="0.3">
      <c r="A4010">
        <v>4107157</v>
      </c>
      <c r="B4010" t="s">
        <v>4875</v>
      </c>
      <c r="C4010">
        <v>-24.942161855615904</v>
      </c>
      <c r="D4010">
        <v>-54.103626427688333</v>
      </c>
    </row>
    <row r="4011" spans="1:4" x14ac:dyDescent="0.3">
      <c r="A4011">
        <v>4107207</v>
      </c>
      <c r="B4011" t="s">
        <v>4876</v>
      </c>
      <c r="C4011">
        <v>-25.746010020000003</v>
      </c>
      <c r="D4011">
        <v>-53.054835992434846</v>
      </c>
    </row>
    <row r="4012" spans="1:4" x14ac:dyDescent="0.3">
      <c r="A4012">
        <v>4107256</v>
      </c>
      <c r="B4012" t="s">
        <v>4877</v>
      </c>
      <c r="C4012">
        <v>-23.381907216165654</v>
      </c>
      <c r="D4012">
        <v>-53.296448655229348</v>
      </c>
    </row>
    <row r="4013" spans="1:4" x14ac:dyDescent="0.3">
      <c r="A4013">
        <v>4107306</v>
      </c>
      <c r="B4013" t="s">
        <v>4878</v>
      </c>
      <c r="C4013">
        <v>-23.555901326984401</v>
      </c>
      <c r="D4013">
        <v>-52.222721497069408</v>
      </c>
    </row>
    <row r="4014" spans="1:4" x14ac:dyDescent="0.3">
      <c r="A4014">
        <v>4107405</v>
      </c>
      <c r="B4014" t="s">
        <v>4879</v>
      </c>
      <c r="C4014">
        <v>-25.940755982709252</v>
      </c>
      <c r="D4014">
        <v>-53.166185268212956</v>
      </c>
    </row>
    <row r="4015" spans="1:4" x14ac:dyDescent="0.3">
      <c r="A4015">
        <v>4107504</v>
      </c>
      <c r="B4015" t="s">
        <v>4880</v>
      </c>
      <c r="C4015">
        <v>-23.801144070370007</v>
      </c>
      <c r="D4015">
        <v>-52.260035154759123</v>
      </c>
    </row>
    <row r="4016" spans="1:4" x14ac:dyDescent="0.3">
      <c r="A4016">
        <v>4107520</v>
      </c>
      <c r="B4016" t="s">
        <v>4881</v>
      </c>
      <c r="C4016">
        <v>-23.724654764877304</v>
      </c>
      <c r="D4016">
        <v>-53.810495038993054</v>
      </c>
    </row>
    <row r="4017" spans="1:4" x14ac:dyDescent="0.3">
      <c r="A4017">
        <v>4107538</v>
      </c>
      <c r="B4017" t="s">
        <v>4882</v>
      </c>
      <c r="C4017">
        <v>-24.708142170197455</v>
      </c>
      <c r="D4017">
        <v>-54.244893671488413</v>
      </c>
    </row>
    <row r="4018" spans="1:4" x14ac:dyDescent="0.3">
      <c r="A4018">
        <v>4107546</v>
      </c>
      <c r="B4018" t="s">
        <v>4883</v>
      </c>
      <c r="C4018">
        <v>-25.426670061699301</v>
      </c>
      <c r="D4018">
        <v>-52.838213498690209</v>
      </c>
    </row>
    <row r="4019" spans="1:4" x14ac:dyDescent="0.3">
      <c r="A4019">
        <v>4107553</v>
      </c>
      <c r="B4019" t="s">
        <v>4884</v>
      </c>
      <c r="C4019">
        <v>-24.099094618679405</v>
      </c>
      <c r="D4019">
        <v>-52.626215180210252</v>
      </c>
    </row>
    <row r="4020" spans="1:4" x14ac:dyDescent="0.3">
      <c r="A4020">
        <v>4107603</v>
      </c>
      <c r="B4020" t="s">
        <v>4885</v>
      </c>
      <c r="C4020">
        <v>-24.003927072227057</v>
      </c>
      <c r="D4020">
        <v>-51.320105931783907</v>
      </c>
    </row>
    <row r="4021" spans="1:4" x14ac:dyDescent="0.3">
      <c r="A4021">
        <v>4107652</v>
      </c>
      <c r="B4021" t="s">
        <v>4886</v>
      </c>
      <c r="C4021">
        <v>-25.6414002186938</v>
      </c>
      <c r="D4021">
        <v>-49.323293194711908</v>
      </c>
    </row>
    <row r="4022" spans="1:4" x14ac:dyDescent="0.3">
      <c r="A4022">
        <v>4107702</v>
      </c>
      <c r="B4022" t="s">
        <v>4887</v>
      </c>
      <c r="C4022">
        <v>-23.920694706580253</v>
      </c>
      <c r="D4022">
        <v>-51.984464486960192</v>
      </c>
    </row>
    <row r="4023" spans="1:4" x14ac:dyDescent="0.3">
      <c r="A4023">
        <v>4107736</v>
      </c>
      <c r="B4023" t="s">
        <v>4888</v>
      </c>
      <c r="C4023">
        <v>-25.412242297954155</v>
      </c>
      <c r="D4023">
        <v>-50.547414254410945</v>
      </c>
    </row>
    <row r="4024" spans="1:4" x14ac:dyDescent="0.3">
      <c r="A4024">
        <v>4107751</v>
      </c>
      <c r="B4024" t="s">
        <v>4889</v>
      </c>
      <c r="C4024">
        <v>-23.843410761938202</v>
      </c>
      <c r="D4024">
        <v>-50.409201091171113</v>
      </c>
    </row>
    <row r="4025" spans="1:4" x14ac:dyDescent="0.3">
      <c r="A4025">
        <v>4107801</v>
      </c>
      <c r="B4025" t="s">
        <v>4890</v>
      </c>
      <c r="C4025">
        <v>-23.319845663585543</v>
      </c>
      <c r="D4025">
        <v>-52.302984372981527</v>
      </c>
    </row>
    <row r="4026" spans="1:4" x14ac:dyDescent="0.3">
      <c r="A4026">
        <v>4107850</v>
      </c>
      <c r="B4026" t="s">
        <v>4891</v>
      </c>
      <c r="C4026">
        <v>-26.255298845927555</v>
      </c>
      <c r="D4026">
        <v>-53.308597681888507</v>
      </c>
    </row>
    <row r="4027" spans="1:4" x14ac:dyDescent="0.3">
      <c r="A4027">
        <v>4107900</v>
      </c>
      <c r="B4027" t="s">
        <v>2505</v>
      </c>
      <c r="C4027">
        <v>-23.610267139459154</v>
      </c>
      <c r="D4027">
        <v>-52.083084851525342</v>
      </c>
    </row>
    <row r="4028" spans="1:4" x14ac:dyDescent="0.3">
      <c r="A4028">
        <v>4108007</v>
      </c>
      <c r="B4028" t="s">
        <v>4892</v>
      </c>
      <c r="C4028">
        <v>-22.859104304429209</v>
      </c>
      <c r="D4028">
        <v>-51.383822651828176</v>
      </c>
    </row>
    <row r="4029" spans="1:4" x14ac:dyDescent="0.3">
      <c r="A4029">
        <v>4108106</v>
      </c>
      <c r="B4029" t="s">
        <v>4893</v>
      </c>
      <c r="C4029">
        <v>-23.087801909743703</v>
      </c>
      <c r="D4029">
        <v>-51.955828090972197</v>
      </c>
    </row>
    <row r="4030" spans="1:4" x14ac:dyDescent="0.3">
      <c r="A4030">
        <v>4108205</v>
      </c>
      <c r="B4030" t="s">
        <v>4894</v>
      </c>
      <c r="C4030">
        <v>-24.294197213727255</v>
      </c>
      <c r="D4030">
        <v>-53.316161010739521</v>
      </c>
    </row>
    <row r="4031" spans="1:4" x14ac:dyDescent="0.3">
      <c r="A4031">
        <v>4108304</v>
      </c>
      <c r="B4031" t="s">
        <v>4895</v>
      </c>
      <c r="C4031">
        <v>-25.542493279529253</v>
      </c>
      <c r="D4031">
        <v>-54.58710248860465</v>
      </c>
    </row>
    <row r="4032" spans="1:4" x14ac:dyDescent="0.3">
      <c r="A4032">
        <v>4108320</v>
      </c>
      <c r="B4032" t="s">
        <v>4896</v>
      </c>
      <c r="C4032">
        <v>-24.067575404387057</v>
      </c>
      <c r="D4032">
        <v>-53.844015967151329</v>
      </c>
    </row>
    <row r="4033" spans="1:4" x14ac:dyDescent="0.3">
      <c r="A4033">
        <v>4108403</v>
      </c>
      <c r="B4033" t="s">
        <v>4897</v>
      </c>
      <c r="C4033">
        <v>-26.078450000000004</v>
      </c>
      <c r="D4033">
        <v>-53.056135721489404</v>
      </c>
    </row>
    <row r="4034" spans="1:4" x14ac:dyDescent="0.3">
      <c r="A4034">
        <v>4108452</v>
      </c>
      <c r="B4034" t="s">
        <v>4898</v>
      </c>
      <c r="C4034">
        <v>-25.733439620259606</v>
      </c>
      <c r="D4034">
        <v>-52.125627531831078</v>
      </c>
    </row>
    <row r="4035" spans="1:4" x14ac:dyDescent="0.3">
      <c r="A4035">
        <v>4108502</v>
      </c>
      <c r="B4035" t="s">
        <v>4899</v>
      </c>
      <c r="C4035">
        <v>-26.4258025265901</v>
      </c>
      <c r="D4035">
        <v>-51.316858923239472</v>
      </c>
    </row>
    <row r="4036" spans="1:4" x14ac:dyDescent="0.3">
      <c r="A4036">
        <v>4108551</v>
      </c>
      <c r="B4036" t="s">
        <v>4900</v>
      </c>
      <c r="C4036">
        <v>-24.192859448596302</v>
      </c>
      <c r="D4036">
        <v>-51.924368216321668</v>
      </c>
    </row>
    <row r="4037" spans="1:4" x14ac:dyDescent="0.3">
      <c r="A4037">
        <v>4108601</v>
      </c>
      <c r="B4037" t="s">
        <v>4901</v>
      </c>
      <c r="C4037">
        <v>-24.189188393861755</v>
      </c>
      <c r="D4037">
        <v>-53.027318913300697</v>
      </c>
    </row>
    <row r="4038" spans="1:4" x14ac:dyDescent="0.3">
      <c r="A4038">
        <v>4108650</v>
      </c>
      <c r="B4038" t="s">
        <v>4902</v>
      </c>
      <c r="C4038">
        <v>-25.201540311103148</v>
      </c>
      <c r="D4038">
        <v>-52.005587966165173</v>
      </c>
    </row>
    <row r="4039" spans="1:4" x14ac:dyDescent="0.3">
      <c r="A4039">
        <v>4108700</v>
      </c>
      <c r="B4039" t="s">
        <v>4903</v>
      </c>
      <c r="C4039">
        <v>-24.146194012214103</v>
      </c>
      <c r="D4039">
        <v>-51.508742399126163</v>
      </c>
    </row>
    <row r="4040" spans="1:4" x14ac:dyDescent="0.3">
      <c r="A4040">
        <v>4108809</v>
      </c>
      <c r="B4040" t="s">
        <v>4360</v>
      </c>
      <c r="C4040">
        <v>-24.085275480000007</v>
      </c>
      <c r="D4040">
        <v>-54.246757720389333</v>
      </c>
    </row>
    <row r="4041" spans="1:4" x14ac:dyDescent="0.3">
      <c r="A4041">
        <v>4108908</v>
      </c>
      <c r="B4041" t="s">
        <v>4904</v>
      </c>
      <c r="C4041">
        <v>-22.938243947703253</v>
      </c>
      <c r="D4041">
        <v>-52.691039616351212</v>
      </c>
    </row>
    <row r="4042" spans="1:4" x14ac:dyDescent="0.3">
      <c r="A4042">
        <v>4108957</v>
      </c>
      <c r="B4042" t="s">
        <v>4905</v>
      </c>
      <c r="C4042">
        <v>-25.189909453630253</v>
      </c>
      <c r="D4042">
        <v>-50.809875900667691</v>
      </c>
    </row>
    <row r="4043" spans="1:4" x14ac:dyDescent="0.3">
      <c r="A4043">
        <v>4109005</v>
      </c>
      <c r="B4043" t="s">
        <v>4906</v>
      </c>
      <c r="C4043">
        <v>-23.516640242441902</v>
      </c>
      <c r="D4043">
        <v>-50.042613743996441</v>
      </c>
    </row>
    <row r="4044" spans="1:4" x14ac:dyDescent="0.3">
      <c r="A4044">
        <v>4109104</v>
      </c>
      <c r="B4044" t="s">
        <v>4907</v>
      </c>
      <c r="C4044">
        <v>-23.342984345103702</v>
      </c>
      <c r="D4044">
        <v>-52.778243782883948</v>
      </c>
    </row>
    <row r="4045" spans="1:4" x14ac:dyDescent="0.3">
      <c r="A4045">
        <v>4109203</v>
      </c>
      <c r="B4045" t="s">
        <v>4365</v>
      </c>
      <c r="C4045">
        <v>-22.974429267290304</v>
      </c>
      <c r="D4045">
        <v>-51.650385370856121</v>
      </c>
    </row>
    <row r="4046" spans="1:4" x14ac:dyDescent="0.3">
      <c r="A4046">
        <v>4109302</v>
      </c>
      <c r="B4046" t="s">
        <v>4908</v>
      </c>
      <c r="C4046">
        <v>-25.098649916570103</v>
      </c>
      <c r="D4046">
        <v>-52.869632439612481</v>
      </c>
    </row>
    <row r="4047" spans="1:4" x14ac:dyDescent="0.3">
      <c r="A4047">
        <v>4109401</v>
      </c>
      <c r="B4047" t="s">
        <v>4909</v>
      </c>
      <c r="C4047">
        <v>-25.393591980000004</v>
      </c>
      <c r="D4047">
        <v>-51.463431077674635</v>
      </c>
    </row>
    <row r="4048" spans="1:4" x14ac:dyDescent="0.3">
      <c r="A4048">
        <v>4109500</v>
      </c>
      <c r="B4048" t="s">
        <v>4910</v>
      </c>
      <c r="C4048">
        <v>-25.300437474393206</v>
      </c>
      <c r="D4048">
        <v>-48.326048932616438</v>
      </c>
    </row>
    <row r="4049" spans="1:4" x14ac:dyDescent="0.3">
      <c r="A4049">
        <v>4109609</v>
      </c>
      <c r="B4049" t="s">
        <v>4911</v>
      </c>
      <c r="C4049">
        <v>-25.874241975</v>
      </c>
      <c r="D4049">
        <v>-48.575725960442405</v>
      </c>
    </row>
    <row r="4050" spans="1:4" x14ac:dyDescent="0.3">
      <c r="A4050">
        <v>4109658</v>
      </c>
      <c r="B4050" t="s">
        <v>4912</v>
      </c>
      <c r="C4050">
        <v>-26.142966207004402</v>
      </c>
      <c r="D4050">
        <v>-52.383029056190175</v>
      </c>
    </row>
    <row r="4051" spans="1:4" x14ac:dyDescent="0.3">
      <c r="A4051">
        <v>4109708</v>
      </c>
      <c r="B4051" t="s">
        <v>4913</v>
      </c>
      <c r="C4051">
        <v>-23.849821485000003</v>
      </c>
      <c r="D4051">
        <v>-50.190666273554932</v>
      </c>
    </row>
    <row r="4052" spans="1:4" x14ac:dyDescent="0.3">
      <c r="A4052">
        <v>4109757</v>
      </c>
      <c r="B4052" t="s">
        <v>4914</v>
      </c>
      <c r="C4052">
        <v>-25.112867071159602</v>
      </c>
      <c r="D4052">
        <v>-53.023121693367109</v>
      </c>
    </row>
    <row r="4053" spans="1:4" x14ac:dyDescent="0.3">
      <c r="A4053">
        <v>4109807</v>
      </c>
      <c r="B4053" t="s">
        <v>4915</v>
      </c>
      <c r="C4053">
        <v>-23.269331475000005</v>
      </c>
      <c r="D4053">
        <v>-51.05803367397008</v>
      </c>
    </row>
    <row r="4054" spans="1:4" x14ac:dyDescent="0.3">
      <c r="A4054">
        <v>4109906</v>
      </c>
      <c r="B4054" t="s">
        <v>4916</v>
      </c>
      <c r="C4054">
        <v>-23.396711428005251</v>
      </c>
      <c r="D4054">
        <v>-53.625570162295865</v>
      </c>
    </row>
    <row r="4055" spans="1:4" x14ac:dyDescent="0.3">
      <c r="A4055">
        <v>4110003</v>
      </c>
      <c r="B4055" t="s">
        <v>4917</v>
      </c>
      <c r="C4055">
        <v>-23.194780608668651</v>
      </c>
      <c r="D4055">
        <v>-51.824774204626287</v>
      </c>
    </row>
    <row r="4056" spans="1:4" x14ac:dyDescent="0.3">
      <c r="A4056">
        <v>4110052</v>
      </c>
      <c r="B4056" t="s">
        <v>1982</v>
      </c>
      <c r="C4056">
        <v>-24.711261844441758</v>
      </c>
      <c r="D4056">
        <v>-53.08600507537831</v>
      </c>
    </row>
    <row r="4057" spans="1:4" x14ac:dyDescent="0.3">
      <c r="A4057">
        <v>4110078</v>
      </c>
      <c r="B4057" t="s">
        <v>4918</v>
      </c>
      <c r="C4057">
        <v>-24.442797083724354</v>
      </c>
      <c r="D4057">
        <v>-50.749308993549839</v>
      </c>
    </row>
    <row r="4058" spans="1:4" x14ac:dyDescent="0.3">
      <c r="A4058">
        <v>4110102</v>
      </c>
      <c r="B4058" t="s">
        <v>4919</v>
      </c>
      <c r="C4058">
        <v>-25.230613038222053</v>
      </c>
      <c r="D4058">
        <v>-50.597472966531306</v>
      </c>
    </row>
    <row r="4059" spans="1:4" x14ac:dyDescent="0.3">
      <c r="A4059">
        <v>4110201</v>
      </c>
      <c r="B4059" t="s">
        <v>4920</v>
      </c>
      <c r="C4059">
        <v>-25.572162686987056</v>
      </c>
      <c r="D4059">
        <v>-51.074945298712223</v>
      </c>
    </row>
    <row r="4060" spans="1:4" x14ac:dyDescent="0.3">
      <c r="A4060">
        <v>4110300</v>
      </c>
      <c r="B4060" t="s">
        <v>2518</v>
      </c>
      <c r="C4060">
        <v>-22.749116125109552</v>
      </c>
      <c r="D4060">
        <v>-52.202343750334627</v>
      </c>
    </row>
    <row r="4061" spans="1:4" x14ac:dyDescent="0.3">
      <c r="A4061">
        <v>4110409</v>
      </c>
      <c r="B4061" t="s">
        <v>3515</v>
      </c>
      <c r="C4061">
        <v>-23.479710501169901</v>
      </c>
      <c r="D4061">
        <v>-52.701056908157618</v>
      </c>
    </row>
    <row r="4062" spans="1:4" x14ac:dyDescent="0.3">
      <c r="A4062">
        <v>4110508</v>
      </c>
      <c r="B4062" t="s">
        <v>4921</v>
      </c>
      <c r="C4062">
        <v>-25.013022828232153</v>
      </c>
      <c r="D4062">
        <v>-50.581240134390612</v>
      </c>
    </row>
    <row r="4063" spans="1:4" x14ac:dyDescent="0.3">
      <c r="A4063">
        <v>4110607</v>
      </c>
      <c r="B4063" t="s">
        <v>4922</v>
      </c>
      <c r="C4063">
        <v>-24.002580498538002</v>
      </c>
      <c r="D4063">
        <v>-53.718099171440251</v>
      </c>
    </row>
    <row r="4064" spans="1:4" x14ac:dyDescent="0.3">
      <c r="A4064">
        <v>4110656</v>
      </c>
      <c r="B4064" t="s">
        <v>4923</v>
      </c>
      <c r="C4064">
        <v>-24.429030415295657</v>
      </c>
      <c r="D4064">
        <v>-53.358110555242966</v>
      </c>
    </row>
    <row r="4065" spans="1:4" x14ac:dyDescent="0.3">
      <c r="A4065">
        <v>4110706</v>
      </c>
      <c r="B4065" t="s">
        <v>4924</v>
      </c>
      <c r="C4065">
        <v>-25.473736298927303</v>
      </c>
      <c r="D4065">
        <v>-50.658048122773799</v>
      </c>
    </row>
    <row r="4066" spans="1:4" x14ac:dyDescent="0.3">
      <c r="A4066">
        <v>4110805</v>
      </c>
      <c r="B4066" t="s">
        <v>4925</v>
      </c>
      <c r="C4066">
        <v>-24.421141559377155</v>
      </c>
      <c r="D4066">
        <v>-52.101576622284021</v>
      </c>
    </row>
    <row r="4067" spans="1:4" x14ac:dyDescent="0.3">
      <c r="A4067">
        <v>4110904</v>
      </c>
      <c r="B4067" t="s">
        <v>4926</v>
      </c>
      <c r="C4067">
        <v>-22.614782675701957</v>
      </c>
      <c r="D4067">
        <v>-51.969340448861708</v>
      </c>
    </row>
    <row r="4068" spans="1:4" x14ac:dyDescent="0.3">
      <c r="A4068">
        <v>4110953</v>
      </c>
      <c r="B4068" t="s">
        <v>4927</v>
      </c>
      <c r="C4068">
        <v>-25.138480650961927</v>
      </c>
      <c r="D4068">
        <v>-54.305000742336134</v>
      </c>
    </row>
    <row r="4069" spans="1:4" x14ac:dyDescent="0.3">
      <c r="A4069">
        <v>4111001</v>
      </c>
      <c r="B4069" t="s">
        <v>4928</v>
      </c>
      <c r="C4069">
        <v>-23.014768508875104</v>
      </c>
      <c r="D4069">
        <v>-50.409090466832275</v>
      </c>
    </row>
    <row r="4070" spans="1:4" x14ac:dyDescent="0.3">
      <c r="A4070">
        <v>4111100</v>
      </c>
      <c r="B4070" t="s">
        <v>2525</v>
      </c>
      <c r="C4070">
        <v>-23.6600985811132</v>
      </c>
      <c r="D4070">
        <v>-51.990004314256758</v>
      </c>
    </row>
    <row r="4071" spans="1:4" x14ac:dyDescent="0.3">
      <c r="A4071">
        <v>4111209</v>
      </c>
      <c r="B4071" t="s">
        <v>4929</v>
      </c>
      <c r="C4071">
        <v>-25.970878051642956</v>
      </c>
      <c r="D4071">
        <v>-52.813929604511159</v>
      </c>
    </row>
    <row r="4072" spans="1:4" x14ac:dyDescent="0.3">
      <c r="A4072">
        <v>4111258</v>
      </c>
      <c r="B4072" t="s">
        <v>4930</v>
      </c>
      <c r="C4072">
        <v>-25.214469525000002</v>
      </c>
      <c r="D4072">
        <v>-49.342864343673838</v>
      </c>
    </row>
    <row r="4073" spans="1:4" x14ac:dyDescent="0.3">
      <c r="A4073">
        <v>4111308</v>
      </c>
      <c r="B4073" t="s">
        <v>4931</v>
      </c>
      <c r="C4073">
        <v>-22.726876927741454</v>
      </c>
      <c r="D4073">
        <v>-52.885024810501704</v>
      </c>
    </row>
    <row r="4074" spans="1:4" x14ac:dyDescent="0.3">
      <c r="A4074">
        <v>4111407</v>
      </c>
      <c r="B4074" t="s">
        <v>4932</v>
      </c>
      <c r="C4074">
        <v>-25.008262582518004</v>
      </c>
      <c r="D4074">
        <v>-50.861425704126624</v>
      </c>
    </row>
    <row r="4075" spans="1:4" x14ac:dyDescent="0.3">
      <c r="A4075">
        <v>4111506</v>
      </c>
      <c r="B4075" t="s">
        <v>4933</v>
      </c>
      <c r="C4075">
        <v>-24.241948020000006</v>
      </c>
      <c r="D4075">
        <v>-51.674552046811712</v>
      </c>
    </row>
    <row r="4076" spans="1:4" x14ac:dyDescent="0.3">
      <c r="A4076">
        <v>4111555</v>
      </c>
      <c r="B4076" t="s">
        <v>4934</v>
      </c>
      <c r="C4076">
        <v>-23.409588873951304</v>
      </c>
      <c r="D4076">
        <v>-53.373879405788827</v>
      </c>
    </row>
    <row r="4077" spans="1:4" x14ac:dyDescent="0.3">
      <c r="A4077">
        <v>4111605</v>
      </c>
      <c r="B4077" t="s">
        <v>4935</v>
      </c>
      <c r="C4077">
        <v>-23.618274411252155</v>
      </c>
      <c r="D4077">
        <v>-52.21766927904185</v>
      </c>
    </row>
    <row r="4078" spans="1:4" x14ac:dyDescent="0.3">
      <c r="A4078">
        <v>4111704</v>
      </c>
      <c r="B4078" t="s">
        <v>4936</v>
      </c>
      <c r="C4078">
        <v>-23.73574060116778</v>
      </c>
      <c r="D4078">
        <v>-50.073452549861493</v>
      </c>
    </row>
    <row r="4079" spans="1:4" x14ac:dyDescent="0.3">
      <c r="A4079">
        <v>4111803</v>
      </c>
      <c r="B4079" t="s">
        <v>4937</v>
      </c>
      <c r="C4079">
        <v>-23.160116475000006</v>
      </c>
      <c r="D4079">
        <v>-49.978572534325586</v>
      </c>
    </row>
    <row r="4080" spans="1:4" x14ac:dyDescent="0.3">
      <c r="A4080">
        <v>4111902</v>
      </c>
      <c r="B4080" t="s">
        <v>4938</v>
      </c>
      <c r="C4080">
        <v>-23.117782756585903</v>
      </c>
      <c r="D4080">
        <v>-51.540616845357079</v>
      </c>
    </row>
    <row r="4081" spans="1:4" x14ac:dyDescent="0.3">
      <c r="A4081">
        <v>4112009</v>
      </c>
      <c r="B4081" t="s">
        <v>4939</v>
      </c>
      <c r="C4081">
        <v>-24.253056500000003</v>
      </c>
      <c r="D4081">
        <v>-49.712186301960799</v>
      </c>
    </row>
    <row r="4082" spans="1:4" x14ac:dyDescent="0.3">
      <c r="A4082">
        <v>4112108</v>
      </c>
      <c r="B4082" t="s">
        <v>4940</v>
      </c>
      <c r="C4082">
        <v>-23.601178916091104</v>
      </c>
      <c r="D4082">
        <v>-51.643395362198405</v>
      </c>
    </row>
    <row r="4083" spans="1:4" x14ac:dyDescent="0.3">
      <c r="A4083">
        <v>4112207</v>
      </c>
      <c r="B4083" t="s">
        <v>4941</v>
      </c>
      <c r="C4083">
        <v>-24.141449941791059</v>
      </c>
      <c r="D4083">
        <v>-52.782551780045978</v>
      </c>
    </row>
    <row r="4084" spans="1:4" x14ac:dyDescent="0.3">
      <c r="A4084">
        <v>4112306</v>
      </c>
      <c r="B4084" t="s">
        <v>4942</v>
      </c>
      <c r="C4084">
        <v>-23.807480526804355</v>
      </c>
      <c r="D4084">
        <v>-50.138595119417772</v>
      </c>
    </row>
    <row r="4085" spans="1:4" x14ac:dyDescent="0.3">
      <c r="A4085">
        <v>4112405</v>
      </c>
      <c r="B4085" t="s">
        <v>1141</v>
      </c>
      <c r="C4085">
        <v>-23.468587772557804</v>
      </c>
      <c r="D4085">
        <v>-52.55662767154643</v>
      </c>
    </row>
    <row r="4086" spans="1:4" x14ac:dyDescent="0.3">
      <c r="A4086">
        <v>4112504</v>
      </c>
      <c r="B4086" t="s">
        <v>4943</v>
      </c>
      <c r="C4086">
        <v>-24.181137445563206</v>
      </c>
      <c r="D4086">
        <v>-51.694335008394653</v>
      </c>
    </row>
    <row r="4087" spans="1:4" x14ac:dyDescent="0.3">
      <c r="A4087">
        <v>4112603</v>
      </c>
      <c r="B4087" t="s">
        <v>4944</v>
      </c>
      <c r="C4087">
        <v>-22.552631600182405</v>
      </c>
      <c r="D4087">
        <v>-52.03814096409085</v>
      </c>
    </row>
    <row r="4088" spans="1:4" x14ac:dyDescent="0.3">
      <c r="A4088">
        <v>4112702</v>
      </c>
      <c r="B4088" t="s">
        <v>4945</v>
      </c>
      <c r="C4088">
        <v>-23.257265121514951</v>
      </c>
      <c r="D4088">
        <v>-50.974054845133807</v>
      </c>
    </row>
    <row r="4089" spans="1:4" x14ac:dyDescent="0.3">
      <c r="A4089">
        <v>4112751</v>
      </c>
      <c r="B4089" t="s">
        <v>4946</v>
      </c>
      <c r="C4089">
        <v>-24.377248909727204</v>
      </c>
      <c r="D4089">
        <v>-53.388114880019081</v>
      </c>
    </row>
    <row r="4090" spans="1:4" x14ac:dyDescent="0.3">
      <c r="A4090">
        <v>4112801</v>
      </c>
      <c r="B4090" t="s">
        <v>4947</v>
      </c>
      <c r="C4090">
        <v>-23.500488524425705</v>
      </c>
      <c r="D4090">
        <v>-49.924456812840518</v>
      </c>
    </row>
    <row r="4091" spans="1:4" x14ac:dyDescent="0.3">
      <c r="A4091">
        <v>4112900</v>
      </c>
      <c r="B4091" t="s">
        <v>4948</v>
      </c>
      <c r="C4091">
        <v>-23.437909451052008</v>
      </c>
      <c r="D4091">
        <v>-50.249353565228432</v>
      </c>
    </row>
    <row r="4092" spans="1:4" x14ac:dyDescent="0.3">
      <c r="A4092">
        <v>4112959</v>
      </c>
      <c r="B4092" t="s">
        <v>4949</v>
      </c>
      <c r="C4092">
        <v>-24.416390649441205</v>
      </c>
      <c r="D4092">
        <v>-52.844486498262718</v>
      </c>
    </row>
    <row r="4093" spans="1:4" x14ac:dyDescent="0.3">
      <c r="A4093">
        <v>4113007</v>
      </c>
      <c r="B4093" t="s">
        <v>2990</v>
      </c>
      <c r="C4093">
        <v>-23.616326708786552</v>
      </c>
      <c r="D4093">
        <v>-52.473040804711189</v>
      </c>
    </row>
    <row r="4094" spans="1:4" x14ac:dyDescent="0.3">
      <c r="A4094">
        <v>4113106</v>
      </c>
      <c r="B4094" t="s">
        <v>4950</v>
      </c>
      <c r="C4094">
        <v>-23.823438879388153</v>
      </c>
      <c r="D4094">
        <v>-51.665141926704891</v>
      </c>
    </row>
    <row r="4095" spans="1:4" x14ac:dyDescent="0.3">
      <c r="A4095">
        <v>4113205</v>
      </c>
      <c r="B4095" t="s">
        <v>4951</v>
      </c>
      <c r="C4095">
        <v>-25.765102485000007</v>
      </c>
      <c r="D4095">
        <v>-49.718595808425114</v>
      </c>
    </row>
    <row r="4096" spans="1:4" x14ac:dyDescent="0.3">
      <c r="A4096">
        <v>4113254</v>
      </c>
      <c r="B4096" t="s">
        <v>3598</v>
      </c>
      <c r="C4096">
        <v>-24.888301583969156</v>
      </c>
      <c r="D4096">
        <v>-52.471666179083471</v>
      </c>
    </row>
    <row r="4097" spans="1:4" x14ac:dyDescent="0.3">
      <c r="A4097">
        <v>4113304</v>
      </c>
      <c r="B4097" t="s">
        <v>4952</v>
      </c>
      <c r="C4097">
        <v>-25.401681510166856</v>
      </c>
      <c r="D4097">
        <v>-52.408847423263715</v>
      </c>
    </row>
    <row r="4098" spans="1:4" x14ac:dyDescent="0.3">
      <c r="A4098">
        <v>4113403</v>
      </c>
      <c r="B4098" t="s">
        <v>4953</v>
      </c>
      <c r="C4098">
        <v>-23.07992249369175</v>
      </c>
      <c r="D4098">
        <v>-50.755124972907971</v>
      </c>
    </row>
    <row r="4099" spans="1:4" x14ac:dyDescent="0.3">
      <c r="A4099">
        <v>4113429</v>
      </c>
      <c r="B4099" t="s">
        <v>4954</v>
      </c>
      <c r="C4099">
        <v>-24.106766413317406</v>
      </c>
      <c r="D4099">
        <v>-51.6541506163069</v>
      </c>
    </row>
    <row r="4100" spans="1:4" x14ac:dyDescent="0.3">
      <c r="A4100">
        <v>4113452</v>
      </c>
      <c r="B4100" t="s">
        <v>4955</v>
      </c>
      <c r="C4100">
        <v>-25.255985125961708</v>
      </c>
      <c r="D4100">
        <v>-53.577125936279288</v>
      </c>
    </row>
    <row r="4101" spans="1:4" x14ac:dyDescent="0.3">
      <c r="A4101">
        <v>4113502</v>
      </c>
      <c r="B4101" t="s">
        <v>4956</v>
      </c>
      <c r="C4101">
        <v>-22.930228621853352</v>
      </c>
      <c r="D4101">
        <v>-53.134468959780065</v>
      </c>
    </row>
    <row r="4102" spans="1:4" x14ac:dyDescent="0.3">
      <c r="A4102">
        <v>4113601</v>
      </c>
      <c r="B4102" t="s">
        <v>4957</v>
      </c>
      <c r="C4102">
        <v>-23.004158076889052</v>
      </c>
      <c r="D4102">
        <v>-51.953749214227095</v>
      </c>
    </row>
    <row r="4103" spans="1:4" x14ac:dyDescent="0.3">
      <c r="A4103">
        <v>4113700</v>
      </c>
      <c r="B4103" t="s">
        <v>4958</v>
      </c>
      <c r="C4103">
        <v>-23.312156000000005</v>
      </c>
      <c r="D4103">
        <v>-51.162773423878093</v>
      </c>
    </row>
    <row r="4104" spans="1:4" x14ac:dyDescent="0.3">
      <c r="A4104">
        <v>4113734</v>
      </c>
      <c r="B4104" t="s">
        <v>4959</v>
      </c>
      <c r="C4104">
        <v>-24.280081412670153</v>
      </c>
      <c r="D4104">
        <v>-52.281905618338669</v>
      </c>
    </row>
    <row r="4105" spans="1:4" x14ac:dyDescent="0.3">
      <c r="A4105">
        <v>4113759</v>
      </c>
      <c r="B4105" t="s">
        <v>4960</v>
      </c>
      <c r="C4105">
        <v>-24.078046360676954</v>
      </c>
      <c r="D4105">
        <v>-51.744548386764926</v>
      </c>
    </row>
    <row r="4106" spans="1:4" x14ac:dyDescent="0.3">
      <c r="A4106">
        <v>4113809</v>
      </c>
      <c r="B4106" t="s">
        <v>4961</v>
      </c>
      <c r="C4106">
        <v>-22.751994522972605</v>
      </c>
      <c r="D4106">
        <v>-51.65687284023997</v>
      </c>
    </row>
    <row r="4107" spans="1:4" x14ac:dyDescent="0.3">
      <c r="A4107">
        <v>4113908</v>
      </c>
      <c r="B4107" t="s">
        <v>4962</v>
      </c>
      <c r="C4107">
        <v>-25.873788084527551</v>
      </c>
      <c r="D4107">
        <v>-50.827568622138358</v>
      </c>
    </row>
    <row r="4108" spans="1:4" x14ac:dyDescent="0.3">
      <c r="A4108">
        <v>4114005</v>
      </c>
      <c r="B4108" t="s">
        <v>4963</v>
      </c>
      <c r="C4108">
        <v>-24.321813080739556</v>
      </c>
      <c r="D4108">
        <v>-52.529094157547725</v>
      </c>
    </row>
    <row r="4109" spans="1:4" x14ac:dyDescent="0.3">
      <c r="A4109">
        <v>4114104</v>
      </c>
      <c r="B4109" t="s">
        <v>4964</v>
      </c>
      <c r="C4109">
        <v>-23.342789141822404</v>
      </c>
      <c r="D4109">
        <v>-52.094253060602576</v>
      </c>
    </row>
    <row r="4110" spans="1:4" x14ac:dyDescent="0.3">
      <c r="A4110">
        <v>4114203</v>
      </c>
      <c r="B4110" t="s">
        <v>4965</v>
      </c>
      <c r="C4110">
        <v>-23.517452000000006</v>
      </c>
      <c r="D4110">
        <v>-51.681252088428586</v>
      </c>
    </row>
    <row r="4111" spans="1:4" x14ac:dyDescent="0.3">
      <c r="A4111">
        <v>4114302</v>
      </c>
      <c r="B4111" t="s">
        <v>4966</v>
      </c>
      <c r="C4111">
        <v>-25.759620613093606</v>
      </c>
      <c r="D4111">
        <v>-49.322782597026368</v>
      </c>
    </row>
    <row r="4112" spans="1:4" x14ac:dyDescent="0.3">
      <c r="A4112">
        <v>4114351</v>
      </c>
      <c r="B4112" t="s">
        <v>4967</v>
      </c>
      <c r="C4112">
        <v>-26.143776872546404</v>
      </c>
      <c r="D4112">
        <v>-53.312582963054204</v>
      </c>
    </row>
    <row r="4113" spans="1:4" x14ac:dyDescent="0.3">
      <c r="A4113">
        <v>4114401</v>
      </c>
      <c r="B4113" t="s">
        <v>4968</v>
      </c>
      <c r="C4113">
        <v>-25.942981341552006</v>
      </c>
      <c r="D4113">
        <v>-52.17632582938969</v>
      </c>
    </row>
    <row r="4114" spans="1:4" x14ac:dyDescent="0.3">
      <c r="A4114">
        <v>4114500</v>
      </c>
      <c r="B4114" t="s">
        <v>4969</v>
      </c>
      <c r="C4114">
        <v>-24.521730877406853</v>
      </c>
      <c r="D4114">
        <v>-51.669078595070687</v>
      </c>
    </row>
    <row r="4115" spans="1:4" x14ac:dyDescent="0.3">
      <c r="A4115">
        <v>4114609</v>
      </c>
      <c r="B4115" t="s">
        <v>4970</v>
      </c>
      <c r="C4115">
        <v>-24.559254495000001</v>
      </c>
      <c r="D4115">
        <v>-54.060007816453101</v>
      </c>
    </row>
    <row r="4116" spans="1:4" x14ac:dyDescent="0.3">
      <c r="A4116">
        <v>4114708</v>
      </c>
      <c r="B4116" t="s">
        <v>4971</v>
      </c>
      <c r="C4116">
        <v>-23.617609656120607</v>
      </c>
      <c r="D4116">
        <v>-53.204819271189564</v>
      </c>
    </row>
    <row r="4117" spans="1:4" x14ac:dyDescent="0.3">
      <c r="A4117">
        <v>4114807</v>
      </c>
      <c r="B4117" t="s">
        <v>4972</v>
      </c>
      <c r="C4117">
        <v>-23.484758535000001</v>
      </c>
      <c r="D4117">
        <v>-51.798056913910365</v>
      </c>
    </row>
    <row r="4118" spans="1:4" x14ac:dyDescent="0.3">
      <c r="A4118">
        <v>4114906</v>
      </c>
      <c r="B4118" t="s">
        <v>4973</v>
      </c>
      <c r="C4118">
        <v>-23.745779092540349</v>
      </c>
      <c r="D4118">
        <v>-51.309290525713706</v>
      </c>
    </row>
    <row r="4119" spans="1:4" x14ac:dyDescent="0.3">
      <c r="A4119">
        <v>4115002</v>
      </c>
      <c r="B4119" t="s">
        <v>4974</v>
      </c>
      <c r="C4119">
        <v>-22.731825245130555</v>
      </c>
      <c r="D4119">
        <v>-53.037185884233423</v>
      </c>
    </row>
    <row r="4120" spans="1:4" x14ac:dyDescent="0.3">
      <c r="A4120">
        <v>4115101</v>
      </c>
      <c r="B4120" t="s">
        <v>4975</v>
      </c>
      <c r="C4120">
        <v>-24.003732629773708</v>
      </c>
      <c r="D4120">
        <v>-53.151525818894918</v>
      </c>
    </row>
    <row r="4121" spans="1:4" x14ac:dyDescent="0.3">
      <c r="A4121">
        <v>4115200</v>
      </c>
      <c r="B4121" t="s">
        <v>4976</v>
      </c>
      <c r="C4121">
        <v>-23.422280000000004</v>
      </c>
      <c r="D4121">
        <v>-51.939881870252066</v>
      </c>
    </row>
    <row r="4122" spans="1:4" x14ac:dyDescent="0.3">
      <c r="A4122">
        <v>4115309</v>
      </c>
      <c r="B4122" t="s">
        <v>4977</v>
      </c>
      <c r="C4122">
        <v>-26.355842742716799</v>
      </c>
      <c r="D4122">
        <v>-52.557748002064109</v>
      </c>
    </row>
    <row r="4123" spans="1:4" x14ac:dyDescent="0.3">
      <c r="A4123">
        <v>4115358</v>
      </c>
      <c r="B4123" t="s">
        <v>4978</v>
      </c>
      <c r="C4123">
        <v>-24.417208839252606</v>
      </c>
      <c r="D4123">
        <v>-53.833477782987799</v>
      </c>
    </row>
    <row r="4124" spans="1:4" x14ac:dyDescent="0.3">
      <c r="A4124">
        <v>4115408</v>
      </c>
      <c r="B4124" t="s">
        <v>4979</v>
      </c>
      <c r="C4124">
        <v>-26.148697192993247</v>
      </c>
      <c r="D4124">
        <v>-53.026183978257073</v>
      </c>
    </row>
    <row r="4125" spans="1:4" x14ac:dyDescent="0.3">
      <c r="A4125">
        <v>4115457</v>
      </c>
      <c r="B4125" t="s">
        <v>4980</v>
      </c>
      <c r="C4125">
        <v>-25.112212361330155</v>
      </c>
      <c r="D4125">
        <v>-52.256982952773477</v>
      </c>
    </row>
    <row r="4126" spans="1:4" x14ac:dyDescent="0.3">
      <c r="A4126">
        <v>4115507</v>
      </c>
      <c r="B4126" t="s">
        <v>4981</v>
      </c>
      <c r="C4126">
        <v>-23.706369037096753</v>
      </c>
      <c r="D4126">
        <v>-51.641080366465609</v>
      </c>
    </row>
    <row r="4127" spans="1:4" x14ac:dyDescent="0.3">
      <c r="A4127">
        <v>4115606</v>
      </c>
      <c r="B4127" t="s">
        <v>4982</v>
      </c>
      <c r="C4127">
        <v>-25.237921012853906</v>
      </c>
      <c r="D4127">
        <v>-53.974387341659238</v>
      </c>
    </row>
    <row r="4128" spans="1:4" x14ac:dyDescent="0.3">
      <c r="A4128">
        <v>4115705</v>
      </c>
      <c r="B4128" t="s">
        <v>4983</v>
      </c>
      <c r="C4128">
        <v>-25.816409702905155</v>
      </c>
      <c r="D4128">
        <v>-48.533771187765311</v>
      </c>
    </row>
    <row r="4129" spans="1:4" x14ac:dyDescent="0.3">
      <c r="A4129">
        <v>4115739</v>
      </c>
      <c r="B4129" t="s">
        <v>4984</v>
      </c>
      <c r="C4129">
        <v>-24.707317187882101</v>
      </c>
      <c r="D4129">
        <v>-52.146258579848968</v>
      </c>
    </row>
    <row r="4130" spans="1:4" x14ac:dyDescent="0.3">
      <c r="A4130">
        <v>4115754</v>
      </c>
      <c r="B4130" t="s">
        <v>4985</v>
      </c>
      <c r="C4130">
        <v>-23.901296443115502</v>
      </c>
      <c r="D4130">
        <v>-51.2264634713856</v>
      </c>
    </row>
    <row r="4131" spans="1:4" x14ac:dyDescent="0.3">
      <c r="A4131">
        <v>4115804</v>
      </c>
      <c r="B4131" t="s">
        <v>4986</v>
      </c>
      <c r="C4131">
        <v>-25.292497500000007</v>
      </c>
      <c r="D4131">
        <v>-54.091782126922148</v>
      </c>
    </row>
    <row r="4132" spans="1:4" x14ac:dyDescent="0.3">
      <c r="A4132">
        <v>4115853</v>
      </c>
      <c r="B4132" t="s">
        <v>4987</v>
      </c>
      <c r="C4132">
        <v>-24.448889764601152</v>
      </c>
      <c r="D4132">
        <v>-54.164435717167706</v>
      </c>
    </row>
    <row r="4133" spans="1:4" x14ac:dyDescent="0.3">
      <c r="A4133">
        <v>4115903</v>
      </c>
      <c r="B4133" t="s">
        <v>1585</v>
      </c>
      <c r="C4133">
        <v>-23.257407541838653</v>
      </c>
      <c r="D4133">
        <v>-52.776934928322397</v>
      </c>
    </row>
    <row r="4134" spans="1:4" x14ac:dyDescent="0.3">
      <c r="A4134">
        <v>4116000</v>
      </c>
      <c r="B4134" t="s">
        <v>4988</v>
      </c>
      <c r="C4134">
        <v>-22.966092576124403</v>
      </c>
      <c r="D4134">
        <v>-51.485707249076853</v>
      </c>
    </row>
    <row r="4135" spans="1:4" x14ac:dyDescent="0.3">
      <c r="A4135">
        <v>4116059</v>
      </c>
      <c r="B4135" t="s">
        <v>4989</v>
      </c>
      <c r="C4135">
        <v>-25.091159668056807</v>
      </c>
      <c r="D4135">
        <v>-54.24317532582635</v>
      </c>
    </row>
    <row r="4136" spans="1:4" x14ac:dyDescent="0.3">
      <c r="A4136">
        <v>4116109</v>
      </c>
      <c r="B4136" t="s">
        <v>4990</v>
      </c>
      <c r="C4136">
        <v>-24.044758236935404</v>
      </c>
      <c r="D4136">
        <v>-53.013446569663394</v>
      </c>
    </row>
    <row r="4137" spans="1:4" x14ac:dyDescent="0.3">
      <c r="A4137">
        <v>4116208</v>
      </c>
      <c r="B4137" t="s">
        <v>4991</v>
      </c>
      <c r="C4137">
        <v>-25.478481683382903</v>
      </c>
      <c r="D4137">
        <v>-48.831539196263897</v>
      </c>
    </row>
    <row r="4138" spans="1:4" x14ac:dyDescent="0.3">
      <c r="A4138">
        <v>4116307</v>
      </c>
      <c r="B4138" t="s">
        <v>4992</v>
      </c>
      <c r="C4138">
        <v>-23.145692803078003</v>
      </c>
      <c r="D4138">
        <v>-51.775757907573038</v>
      </c>
    </row>
    <row r="4139" spans="1:4" x14ac:dyDescent="0.3">
      <c r="A4139">
        <v>4116406</v>
      </c>
      <c r="B4139" t="s">
        <v>4993</v>
      </c>
      <c r="C4139">
        <v>-22.910562509297801</v>
      </c>
      <c r="D4139">
        <v>-51.795147524012222</v>
      </c>
    </row>
    <row r="4140" spans="1:4" x14ac:dyDescent="0.3">
      <c r="A4140">
        <v>4116505</v>
      </c>
      <c r="B4140" t="s">
        <v>4994</v>
      </c>
      <c r="C4140">
        <v>-23.177455529838902</v>
      </c>
      <c r="D4140">
        <v>-52.601922727339108</v>
      </c>
    </row>
    <row r="4141" spans="1:4" x14ac:dyDescent="0.3">
      <c r="A4141">
        <v>4116604</v>
      </c>
      <c r="B4141" t="s">
        <v>4995</v>
      </c>
      <c r="C4141">
        <v>-23.332686667454251</v>
      </c>
      <c r="D4141">
        <v>-50.714442846577569</v>
      </c>
    </row>
    <row r="4142" spans="1:4" x14ac:dyDescent="0.3">
      <c r="A4142">
        <v>4116703</v>
      </c>
      <c r="B4142" t="s">
        <v>4996</v>
      </c>
      <c r="C4142">
        <v>-24.528485328995853</v>
      </c>
      <c r="D4142">
        <v>-53.257525539617816</v>
      </c>
    </row>
    <row r="4143" spans="1:4" x14ac:dyDescent="0.3">
      <c r="A4143">
        <v>4116802</v>
      </c>
      <c r="B4143" t="s">
        <v>4997</v>
      </c>
      <c r="C4143">
        <v>-24.670778844996551</v>
      </c>
      <c r="D4143">
        <v>-52.570992160533045</v>
      </c>
    </row>
    <row r="4144" spans="1:4" x14ac:dyDescent="0.3">
      <c r="A4144">
        <v>4116901</v>
      </c>
      <c r="B4144" t="s">
        <v>4998</v>
      </c>
      <c r="C4144">
        <v>-23.184251392150205</v>
      </c>
      <c r="D4144">
        <v>-52.204866363350703</v>
      </c>
    </row>
    <row r="4145" spans="1:4" x14ac:dyDescent="0.3">
      <c r="A4145">
        <v>4116950</v>
      </c>
      <c r="B4145" t="s">
        <v>4999</v>
      </c>
      <c r="C4145">
        <v>-25.898779208335451</v>
      </c>
      <c r="D4145">
        <v>-53.26420731859924</v>
      </c>
    </row>
    <row r="4146" spans="1:4" x14ac:dyDescent="0.3">
      <c r="A4146">
        <v>4117008</v>
      </c>
      <c r="B4146" t="s">
        <v>3044</v>
      </c>
      <c r="C4146">
        <v>-23.432358570896504</v>
      </c>
      <c r="D4146">
        <v>-50.562314217556711</v>
      </c>
    </row>
    <row r="4147" spans="1:4" x14ac:dyDescent="0.3">
      <c r="A4147">
        <v>4117057</v>
      </c>
      <c r="B4147" t="s">
        <v>5000</v>
      </c>
      <c r="C4147">
        <v>-25.306745916558405</v>
      </c>
      <c r="D4147">
        <v>-52.539370451468905</v>
      </c>
    </row>
    <row r="4148" spans="1:4" x14ac:dyDescent="0.3">
      <c r="A4148">
        <v>4117107</v>
      </c>
      <c r="B4148" t="s">
        <v>5001</v>
      </c>
      <c r="C4148">
        <v>-22.763868604835658</v>
      </c>
      <c r="D4148">
        <v>-52.986312629876629</v>
      </c>
    </row>
    <row r="4149" spans="1:4" x14ac:dyDescent="0.3">
      <c r="A4149">
        <v>4117206</v>
      </c>
      <c r="B4149" t="s">
        <v>5002</v>
      </c>
      <c r="C4149">
        <v>-23.471100979101454</v>
      </c>
      <c r="D4149">
        <v>-53.091232951021887</v>
      </c>
    </row>
    <row r="4150" spans="1:4" x14ac:dyDescent="0.3">
      <c r="A4150">
        <v>4117214</v>
      </c>
      <c r="B4150" t="s">
        <v>5003</v>
      </c>
      <c r="C4150">
        <v>-23.585423854873106</v>
      </c>
      <c r="D4150">
        <v>-50.764147121966943</v>
      </c>
    </row>
    <row r="4151" spans="1:4" x14ac:dyDescent="0.3">
      <c r="A4151">
        <v>4117222</v>
      </c>
      <c r="B4151" t="s">
        <v>5004</v>
      </c>
      <c r="C4151">
        <v>-24.464764533313652</v>
      </c>
      <c r="D4151">
        <v>-53.955116084308017</v>
      </c>
    </row>
    <row r="4152" spans="1:4" x14ac:dyDescent="0.3">
      <c r="A4152">
        <v>4117255</v>
      </c>
      <c r="B4152" t="s">
        <v>5005</v>
      </c>
      <c r="C4152">
        <v>-25.631877090963957</v>
      </c>
      <c r="D4152">
        <v>-53.347957246211401</v>
      </c>
    </row>
    <row r="4153" spans="1:4" x14ac:dyDescent="0.3">
      <c r="A4153">
        <v>4117271</v>
      </c>
      <c r="B4153" t="s">
        <v>5006</v>
      </c>
      <c r="C4153">
        <v>-24.438325211153504</v>
      </c>
      <c r="D4153">
        <v>-51.950396110352678</v>
      </c>
    </row>
    <row r="4154" spans="1:4" x14ac:dyDescent="0.3">
      <c r="A4154">
        <v>4117297</v>
      </c>
      <c r="B4154" t="s">
        <v>5007</v>
      </c>
      <c r="C4154">
        <v>-23.765313769288504</v>
      </c>
      <c r="D4154">
        <v>-51.506959427964709</v>
      </c>
    </row>
    <row r="4155" spans="1:4" x14ac:dyDescent="0.3">
      <c r="A4155">
        <v>4117305</v>
      </c>
      <c r="B4155" t="s">
        <v>5008</v>
      </c>
      <c r="C4155">
        <v>-24.212010668896351</v>
      </c>
      <c r="D4155">
        <v>-50.926929538143057</v>
      </c>
    </row>
    <row r="4156" spans="1:4" x14ac:dyDescent="0.3">
      <c r="A4156">
        <v>4117404</v>
      </c>
      <c r="B4156" t="s">
        <v>5009</v>
      </c>
      <c r="C4156">
        <v>-23.404568221604951</v>
      </c>
      <c r="D4156">
        <v>-52.195038727665775</v>
      </c>
    </row>
    <row r="4157" spans="1:4" x14ac:dyDescent="0.3">
      <c r="A4157">
        <v>4117453</v>
      </c>
      <c r="B4157" t="s">
        <v>5010</v>
      </c>
      <c r="C4157">
        <v>-24.770794289847604</v>
      </c>
      <c r="D4157">
        <v>-53.899538084154074</v>
      </c>
    </row>
    <row r="4158" spans="1:4" x14ac:dyDescent="0.3">
      <c r="A4158">
        <v>4117503</v>
      </c>
      <c r="B4158" t="s">
        <v>5011</v>
      </c>
      <c r="C4158">
        <v>-23.457698757494303</v>
      </c>
      <c r="D4158">
        <v>-52.052411831566481</v>
      </c>
    </row>
    <row r="4159" spans="1:4" x14ac:dyDescent="0.3">
      <c r="A4159">
        <v>4117602</v>
      </c>
      <c r="B4159" t="s">
        <v>982</v>
      </c>
      <c r="C4159">
        <v>-26.481472515000007</v>
      </c>
      <c r="D4159">
        <v>-51.988773887712775</v>
      </c>
    </row>
    <row r="4160" spans="1:4" x14ac:dyDescent="0.3">
      <c r="A4160">
        <v>4117701</v>
      </c>
      <c r="B4160" t="s">
        <v>5012</v>
      </c>
      <c r="C4160">
        <v>-25.418567901466353</v>
      </c>
      <c r="D4160">
        <v>-50.003246820978923</v>
      </c>
    </row>
    <row r="4161" spans="1:4" x14ac:dyDescent="0.3">
      <c r="A4161">
        <v>4117800</v>
      </c>
      <c r="B4161" t="s">
        <v>4554</v>
      </c>
      <c r="C4161">
        <v>-24.882243677340206</v>
      </c>
      <c r="D4161">
        <v>-52.212997226723772</v>
      </c>
    </row>
    <row r="4162" spans="1:4" x14ac:dyDescent="0.3">
      <c r="A4162">
        <v>4117909</v>
      </c>
      <c r="B4162" t="s">
        <v>5013</v>
      </c>
      <c r="C4162">
        <v>-24.279409485000009</v>
      </c>
      <c r="D4162">
        <v>-53.838771723892947</v>
      </c>
    </row>
    <row r="4163" spans="1:4" x14ac:dyDescent="0.3">
      <c r="A4163">
        <v>4118006</v>
      </c>
      <c r="B4163" t="s">
        <v>5014</v>
      </c>
      <c r="C4163">
        <v>-23.287161166511353</v>
      </c>
      <c r="D4163">
        <v>-52.603543138362845</v>
      </c>
    </row>
    <row r="4164" spans="1:4" x14ac:dyDescent="0.3">
      <c r="A4164">
        <v>4118105</v>
      </c>
      <c r="B4164" t="s">
        <v>5015</v>
      </c>
      <c r="C4164">
        <v>-22.926810052074604</v>
      </c>
      <c r="D4164">
        <v>-52.155988728928044</v>
      </c>
    </row>
    <row r="4165" spans="1:4" x14ac:dyDescent="0.3">
      <c r="A4165">
        <v>4118204</v>
      </c>
      <c r="B4165" t="s">
        <v>5016</v>
      </c>
      <c r="C4165">
        <v>-25.506841500000004</v>
      </c>
      <c r="D4165">
        <v>-48.52473283665671</v>
      </c>
    </row>
    <row r="4166" spans="1:4" x14ac:dyDescent="0.3">
      <c r="A4166">
        <v>4118303</v>
      </c>
      <c r="B4166" t="s">
        <v>5017</v>
      </c>
      <c r="C4166">
        <v>-22.655621575035799</v>
      </c>
      <c r="D4166">
        <v>-52.080723721779165</v>
      </c>
    </row>
    <row r="4167" spans="1:4" x14ac:dyDescent="0.3">
      <c r="A4167">
        <v>4118402</v>
      </c>
      <c r="B4167" t="s">
        <v>5018</v>
      </c>
      <c r="C4167">
        <v>-23.081879475000008</v>
      </c>
      <c r="D4167">
        <v>-52.462401669956037</v>
      </c>
    </row>
    <row r="4168" spans="1:4" x14ac:dyDescent="0.3">
      <c r="A4168">
        <v>4118451</v>
      </c>
      <c r="B4168" t="s">
        <v>5019</v>
      </c>
      <c r="C4168">
        <v>-24.625644014492504</v>
      </c>
      <c r="D4168">
        <v>-54.231395741042022</v>
      </c>
    </row>
    <row r="4169" spans="1:4" x14ac:dyDescent="0.3">
      <c r="A4169">
        <v>4118501</v>
      </c>
      <c r="B4169" t="s">
        <v>5020</v>
      </c>
      <c r="C4169">
        <v>-26.229958515000007</v>
      </c>
      <c r="D4169">
        <v>-52.677361997672257</v>
      </c>
    </row>
    <row r="4170" spans="1:4" x14ac:dyDescent="0.3">
      <c r="A4170">
        <v>4118600</v>
      </c>
      <c r="B4170" t="s">
        <v>5021</v>
      </c>
      <c r="C4170">
        <v>-26.220102159660357</v>
      </c>
      <c r="D4170">
        <v>-50.934736336254886</v>
      </c>
    </row>
    <row r="4171" spans="1:4" x14ac:dyDescent="0.3">
      <c r="A4171">
        <v>4118709</v>
      </c>
      <c r="B4171" t="s">
        <v>5022</v>
      </c>
      <c r="C4171">
        <v>-26.045607577710108</v>
      </c>
      <c r="D4171">
        <v>-50.833196453716603</v>
      </c>
    </row>
    <row r="4172" spans="1:4" x14ac:dyDescent="0.3">
      <c r="A4172">
        <v>4118808</v>
      </c>
      <c r="B4172" t="s">
        <v>5023</v>
      </c>
      <c r="C4172">
        <v>-23.914126429847656</v>
      </c>
      <c r="D4172">
        <v>-52.347896154567351</v>
      </c>
    </row>
    <row r="4173" spans="1:4" x14ac:dyDescent="0.3">
      <c r="A4173">
        <v>4118857</v>
      </c>
      <c r="B4173" t="s">
        <v>5024</v>
      </c>
      <c r="C4173">
        <v>-23.894561745271254</v>
      </c>
      <c r="D4173">
        <v>-53.411500203797424</v>
      </c>
    </row>
    <row r="4174" spans="1:4" x14ac:dyDescent="0.3">
      <c r="A4174">
        <v>4118907</v>
      </c>
      <c r="B4174" t="s">
        <v>5025</v>
      </c>
      <c r="C4174">
        <v>-23.797478768689405</v>
      </c>
      <c r="D4174">
        <v>-53.673252130490233</v>
      </c>
    </row>
    <row r="4175" spans="1:4" x14ac:dyDescent="0.3">
      <c r="A4175">
        <v>4119004</v>
      </c>
      <c r="B4175" t="s">
        <v>5026</v>
      </c>
      <c r="C4175">
        <v>-25.828265676702003</v>
      </c>
      <c r="D4175">
        <v>-53.740108472607957</v>
      </c>
    </row>
    <row r="4176" spans="1:4" x14ac:dyDescent="0.3">
      <c r="A4176">
        <v>4119103</v>
      </c>
      <c r="B4176" t="s">
        <v>5027</v>
      </c>
      <c r="C4176">
        <v>-26.096956376553507</v>
      </c>
      <c r="D4176">
        <v>-49.42824374219952</v>
      </c>
    </row>
    <row r="4177" spans="1:4" x14ac:dyDescent="0.3">
      <c r="A4177">
        <v>4119152</v>
      </c>
      <c r="B4177" t="s">
        <v>5028</v>
      </c>
      <c r="C4177">
        <v>-25.442197887905508</v>
      </c>
      <c r="D4177">
        <v>-49.199197419609881</v>
      </c>
    </row>
    <row r="4178" spans="1:4" x14ac:dyDescent="0.3">
      <c r="A4178">
        <v>4119202</v>
      </c>
      <c r="B4178" t="s">
        <v>5029</v>
      </c>
      <c r="C4178">
        <v>-23.787354728869907</v>
      </c>
      <c r="D4178">
        <v>-50.062603063525323</v>
      </c>
    </row>
    <row r="4179" spans="1:4" x14ac:dyDescent="0.3">
      <c r="A4179">
        <v>4119251</v>
      </c>
      <c r="B4179" t="s">
        <v>5030</v>
      </c>
      <c r="C4179">
        <v>-26.032728554686159</v>
      </c>
      <c r="D4179">
        <v>-53.483090442217012</v>
      </c>
    </row>
    <row r="4180" spans="1:4" x14ac:dyDescent="0.3">
      <c r="A4180">
        <v>4119301</v>
      </c>
      <c r="B4180" t="s">
        <v>2755</v>
      </c>
      <c r="C4180">
        <v>-25.696295010000004</v>
      </c>
      <c r="D4180">
        <v>-51.648270191501759</v>
      </c>
    </row>
    <row r="4181" spans="1:4" x14ac:dyDescent="0.3">
      <c r="A4181">
        <v>4119400</v>
      </c>
      <c r="B4181" t="s">
        <v>5031</v>
      </c>
      <c r="C4181">
        <v>-24.532357500000007</v>
      </c>
      <c r="D4181">
        <v>-49.941330993583435</v>
      </c>
    </row>
    <row r="4182" spans="1:4" x14ac:dyDescent="0.3">
      <c r="A4182">
        <v>4119509</v>
      </c>
      <c r="B4182" t="s">
        <v>5032</v>
      </c>
      <c r="C4182">
        <v>-25.446550356454203</v>
      </c>
      <c r="D4182">
        <v>-49.065305613923073</v>
      </c>
    </row>
    <row r="4183" spans="1:4" x14ac:dyDescent="0.3">
      <c r="A4183">
        <v>4119608</v>
      </c>
      <c r="B4183" t="s">
        <v>5033</v>
      </c>
      <c r="C4183">
        <v>-24.75274775341445</v>
      </c>
      <c r="D4183">
        <v>-51.763154008392775</v>
      </c>
    </row>
    <row r="4184" spans="1:4" x14ac:dyDescent="0.3">
      <c r="A4184">
        <v>4119657</v>
      </c>
      <c r="B4184" t="s">
        <v>4598</v>
      </c>
      <c r="C4184">
        <v>-23.230303846354655</v>
      </c>
      <c r="D4184">
        <v>-51.585768056943699</v>
      </c>
    </row>
    <row r="4185" spans="1:4" x14ac:dyDescent="0.3">
      <c r="A4185">
        <v>4119707</v>
      </c>
      <c r="B4185" t="s">
        <v>5034</v>
      </c>
      <c r="C4185">
        <v>-23.018810188283553</v>
      </c>
      <c r="D4185">
        <v>-52.917840702641357</v>
      </c>
    </row>
    <row r="4186" spans="1:4" x14ac:dyDescent="0.3">
      <c r="A4186">
        <v>4119806</v>
      </c>
      <c r="B4186" t="s">
        <v>3075</v>
      </c>
      <c r="C4186">
        <v>-25.712101497761552</v>
      </c>
      <c r="D4186">
        <v>-53.770857430337998</v>
      </c>
    </row>
    <row r="4187" spans="1:4" x14ac:dyDescent="0.3">
      <c r="A4187">
        <v>4119905</v>
      </c>
      <c r="B4187" t="s">
        <v>5035</v>
      </c>
      <c r="C4187">
        <v>-25.092547000000003</v>
      </c>
      <c r="D4187">
        <v>-50.161442059294181</v>
      </c>
    </row>
    <row r="4188" spans="1:4" x14ac:dyDescent="0.3">
      <c r="A4188">
        <v>4119954</v>
      </c>
      <c r="B4188" t="s">
        <v>5036</v>
      </c>
      <c r="C4188">
        <v>-25.594151014877749</v>
      </c>
      <c r="D4188">
        <v>-48.448327030190065</v>
      </c>
    </row>
    <row r="4189" spans="1:4" x14ac:dyDescent="0.3">
      <c r="A4189">
        <v>4120002</v>
      </c>
      <c r="B4189" t="s">
        <v>5037</v>
      </c>
      <c r="C4189">
        <v>-22.756209496832152</v>
      </c>
      <c r="D4189">
        <v>-51.377598992753718</v>
      </c>
    </row>
    <row r="4190" spans="1:4" x14ac:dyDescent="0.3">
      <c r="A4190">
        <v>4120101</v>
      </c>
      <c r="B4190" t="s">
        <v>5038</v>
      </c>
      <c r="C4190">
        <v>-25.541572712072554</v>
      </c>
      <c r="D4190">
        <v>-49.889720865040701</v>
      </c>
    </row>
    <row r="4191" spans="1:4" x14ac:dyDescent="0.3">
      <c r="A4191">
        <v>4120150</v>
      </c>
      <c r="B4191" t="s">
        <v>5039</v>
      </c>
      <c r="C4191">
        <v>-25.545185638386954</v>
      </c>
      <c r="D4191">
        <v>-52.404786762712583</v>
      </c>
    </row>
    <row r="4192" spans="1:4" x14ac:dyDescent="0.3">
      <c r="A4192">
        <v>4120200</v>
      </c>
      <c r="B4192" t="s">
        <v>5040</v>
      </c>
      <c r="C4192">
        <v>-22.778351558647902</v>
      </c>
      <c r="D4192">
        <v>-53.267968111505098</v>
      </c>
    </row>
    <row r="4193" spans="1:4" x14ac:dyDescent="0.3">
      <c r="A4193">
        <v>4120309</v>
      </c>
      <c r="B4193" t="s">
        <v>5041</v>
      </c>
      <c r="C4193">
        <v>-26.163475204193858</v>
      </c>
      <c r="D4193">
        <v>-51.236694736377324</v>
      </c>
    </row>
    <row r="4194" spans="1:4" x14ac:dyDescent="0.3">
      <c r="A4194">
        <v>4120333</v>
      </c>
      <c r="B4194" t="s">
        <v>5042</v>
      </c>
      <c r="C4194">
        <v>-23.033914030272253</v>
      </c>
      <c r="D4194">
        <v>-51.443226143437428</v>
      </c>
    </row>
    <row r="4195" spans="1:4" x14ac:dyDescent="0.3">
      <c r="A4195">
        <v>4120358</v>
      </c>
      <c r="B4195" t="s">
        <v>5043</v>
      </c>
      <c r="C4195">
        <v>-26.015664288729454</v>
      </c>
      <c r="D4195">
        <v>-53.742622639592987</v>
      </c>
    </row>
    <row r="4196" spans="1:4" x14ac:dyDescent="0.3">
      <c r="A4196">
        <v>4120408</v>
      </c>
      <c r="B4196" t="s">
        <v>5044</v>
      </c>
      <c r="C4196">
        <v>-23.281549604730802</v>
      </c>
      <c r="D4196">
        <v>-52.157726252669036</v>
      </c>
    </row>
    <row r="4197" spans="1:4" x14ac:dyDescent="0.3">
      <c r="A4197">
        <v>4120507</v>
      </c>
      <c r="B4197" t="s">
        <v>5045</v>
      </c>
      <c r="C4197">
        <v>-22.852533255087256</v>
      </c>
      <c r="D4197">
        <v>-51.027751996978729</v>
      </c>
    </row>
    <row r="4198" spans="1:4" x14ac:dyDescent="0.3">
      <c r="A4198">
        <v>4120606</v>
      </c>
      <c r="B4198" t="s">
        <v>5046</v>
      </c>
      <c r="C4198">
        <v>-25.216020500000006</v>
      </c>
      <c r="D4198">
        <v>-50.983575090629024</v>
      </c>
    </row>
    <row r="4199" spans="1:4" x14ac:dyDescent="0.3">
      <c r="A4199">
        <v>4120655</v>
      </c>
      <c r="B4199" t="s">
        <v>5047</v>
      </c>
      <c r="C4199">
        <v>-24.279020917758459</v>
      </c>
      <c r="D4199">
        <v>-53.075288584861205</v>
      </c>
    </row>
    <row r="4200" spans="1:4" x14ac:dyDescent="0.3">
      <c r="A4200">
        <v>4120705</v>
      </c>
      <c r="B4200" t="s">
        <v>5048</v>
      </c>
      <c r="C4200">
        <v>-23.564160920832656</v>
      </c>
      <c r="D4200">
        <v>-49.915264161470539</v>
      </c>
    </row>
    <row r="4201" spans="1:4" x14ac:dyDescent="0.3">
      <c r="A4201">
        <v>4120804</v>
      </c>
      <c r="B4201" t="s">
        <v>5049</v>
      </c>
      <c r="C4201">
        <v>-25.373744847233304</v>
      </c>
      <c r="D4201">
        <v>-49.08518883482747</v>
      </c>
    </row>
    <row r="4202" spans="1:4" x14ac:dyDescent="0.3">
      <c r="A4202">
        <v>4120853</v>
      </c>
      <c r="B4202" t="s">
        <v>5050</v>
      </c>
      <c r="C4202">
        <v>-24.573208584791757</v>
      </c>
      <c r="D4202">
        <v>-53.972699127463656</v>
      </c>
    </row>
    <row r="4203" spans="1:4" x14ac:dyDescent="0.3">
      <c r="A4203">
        <v>4120903</v>
      </c>
      <c r="B4203" t="s">
        <v>5051</v>
      </c>
      <c r="C4203">
        <v>-25.456780850829354</v>
      </c>
      <c r="D4203">
        <v>-52.909832402312759</v>
      </c>
    </row>
    <row r="4204" spans="1:4" x14ac:dyDescent="0.3">
      <c r="A4204">
        <v>4121000</v>
      </c>
      <c r="B4204" t="s">
        <v>5052</v>
      </c>
      <c r="C4204">
        <v>-23.086528579346204</v>
      </c>
      <c r="D4204">
        <v>-53.487040706035295</v>
      </c>
    </row>
    <row r="4205" spans="1:4" x14ac:dyDescent="0.3">
      <c r="A4205">
        <v>4121109</v>
      </c>
      <c r="B4205" t="s">
        <v>5053</v>
      </c>
      <c r="C4205">
        <v>-23.843888426231505</v>
      </c>
      <c r="D4205">
        <v>-52.135128763640118</v>
      </c>
    </row>
    <row r="4206" spans="1:4" x14ac:dyDescent="0.3">
      <c r="A4206">
        <v>4121208</v>
      </c>
      <c r="B4206" t="s">
        <v>5054</v>
      </c>
      <c r="C4206">
        <v>-25.868308349279253</v>
      </c>
      <c r="D4206">
        <v>-49.496682986919815</v>
      </c>
    </row>
    <row r="4207" spans="1:4" x14ac:dyDescent="0.3">
      <c r="A4207">
        <v>4121257</v>
      </c>
      <c r="B4207" t="s">
        <v>5055</v>
      </c>
      <c r="C4207">
        <v>-25.118986523609856</v>
      </c>
      <c r="D4207">
        <v>-54.027237031787656</v>
      </c>
    </row>
    <row r="4208" spans="1:4" x14ac:dyDescent="0.3">
      <c r="A4208">
        <v>4121307</v>
      </c>
      <c r="B4208" t="s">
        <v>5056</v>
      </c>
      <c r="C4208">
        <v>-23.075714921033505</v>
      </c>
      <c r="D4208">
        <v>-50.916392162972357</v>
      </c>
    </row>
    <row r="4209" spans="1:4" x14ac:dyDescent="0.3">
      <c r="A4209">
        <v>4121356</v>
      </c>
      <c r="B4209" t="s">
        <v>5057</v>
      </c>
      <c r="C4209">
        <v>-24.3090100123643</v>
      </c>
      <c r="D4209">
        <v>-52.951125839834454</v>
      </c>
    </row>
    <row r="4210" spans="1:4" x14ac:dyDescent="0.3">
      <c r="A4210">
        <v>4121406</v>
      </c>
      <c r="B4210" t="s">
        <v>5058</v>
      </c>
      <c r="C4210">
        <v>-25.762579950614004</v>
      </c>
      <c r="D4210">
        <v>-53.532574359025027</v>
      </c>
    </row>
    <row r="4211" spans="1:4" x14ac:dyDescent="0.3">
      <c r="A4211">
        <v>4121505</v>
      </c>
      <c r="B4211" t="s">
        <v>5059</v>
      </c>
      <c r="C4211">
        <v>-25.626392755765604</v>
      </c>
      <c r="D4211">
        <v>-50.681254433318294</v>
      </c>
    </row>
    <row r="4212" spans="1:4" x14ac:dyDescent="0.3">
      <c r="A4212">
        <v>4121604</v>
      </c>
      <c r="B4212" t="s">
        <v>5060</v>
      </c>
      <c r="C4212">
        <v>-26.156220929542904</v>
      </c>
      <c r="D4212">
        <v>-52.972162011698821</v>
      </c>
    </row>
    <row r="4213" spans="1:4" x14ac:dyDescent="0.3">
      <c r="A4213">
        <v>4121703</v>
      </c>
      <c r="B4213" t="s">
        <v>5061</v>
      </c>
      <c r="C4213">
        <v>-24.651648000000002</v>
      </c>
      <c r="D4213">
        <v>-50.850595805430629</v>
      </c>
    </row>
    <row r="4214" spans="1:4" x14ac:dyDescent="0.3">
      <c r="A4214">
        <v>4121752</v>
      </c>
      <c r="B4214" t="s">
        <v>5062</v>
      </c>
      <c r="C4214">
        <v>-25.830958036047402</v>
      </c>
      <c r="D4214">
        <v>-52.028762463141668</v>
      </c>
    </row>
    <row r="4215" spans="1:4" x14ac:dyDescent="0.3">
      <c r="A4215">
        <v>4121802</v>
      </c>
      <c r="B4215" t="s">
        <v>5063</v>
      </c>
      <c r="C4215">
        <v>-23.196285462185806</v>
      </c>
      <c r="D4215">
        <v>-49.756350519083767</v>
      </c>
    </row>
    <row r="4216" spans="1:4" x14ac:dyDescent="0.3">
      <c r="A4216">
        <v>4121901</v>
      </c>
      <c r="B4216" t="s">
        <v>5064</v>
      </c>
      <c r="C4216">
        <v>-23.408257502283501</v>
      </c>
      <c r="D4216">
        <v>-50.358060952460832</v>
      </c>
    </row>
    <row r="4217" spans="1:4" x14ac:dyDescent="0.3">
      <c r="A4217">
        <v>4122008</v>
      </c>
      <c r="B4217" t="s">
        <v>5065</v>
      </c>
      <c r="C4217">
        <v>-25.716113177497753</v>
      </c>
      <c r="D4217">
        <v>-50.787172981970578</v>
      </c>
    </row>
    <row r="4218" spans="1:4" x14ac:dyDescent="0.3">
      <c r="A4218">
        <v>4122107</v>
      </c>
      <c r="B4218" t="s">
        <v>5066</v>
      </c>
      <c r="C4218">
        <v>-23.762098280282604</v>
      </c>
      <c r="D4218">
        <v>-51.41536478783506</v>
      </c>
    </row>
    <row r="4219" spans="1:4" x14ac:dyDescent="0.3">
      <c r="A4219">
        <v>4122156</v>
      </c>
      <c r="B4219" t="s">
        <v>5067</v>
      </c>
      <c r="C4219">
        <v>-25.486908809207701</v>
      </c>
      <c r="D4219">
        <v>-52.526889782959351</v>
      </c>
    </row>
    <row r="4220" spans="1:4" x14ac:dyDescent="0.3">
      <c r="A4220">
        <v>4122172</v>
      </c>
      <c r="B4220" t="s">
        <v>5068</v>
      </c>
      <c r="C4220">
        <v>-24.320277601294158</v>
      </c>
      <c r="D4220">
        <v>-51.312065588264808</v>
      </c>
    </row>
    <row r="4221" spans="1:4" x14ac:dyDescent="0.3">
      <c r="A4221">
        <v>4122206</v>
      </c>
      <c r="B4221" t="s">
        <v>5069</v>
      </c>
      <c r="C4221">
        <v>-25.190165351554054</v>
      </c>
      <c r="D4221">
        <v>-49.316713882768347</v>
      </c>
    </row>
    <row r="4222" spans="1:4" x14ac:dyDescent="0.3">
      <c r="A4222">
        <v>4122305</v>
      </c>
      <c r="B4222" t="s">
        <v>5070</v>
      </c>
      <c r="C4222">
        <v>-26.100407970000006</v>
      </c>
      <c r="D4222">
        <v>-49.797685376838167</v>
      </c>
    </row>
    <row r="4223" spans="1:4" x14ac:dyDescent="0.3">
      <c r="A4223">
        <v>4122404</v>
      </c>
      <c r="B4223" t="s">
        <v>5071</v>
      </c>
      <c r="C4223">
        <v>-23.313592485000004</v>
      </c>
      <c r="D4223">
        <v>-51.362780356362556</v>
      </c>
    </row>
    <row r="4224" spans="1:4" x14ac:dyDescent="0.3">
      <c r="A4224">
        <v>4122503</v>
      </c>
      <c r="B4224" t="s">
        <v>5072</v>
      </c>
      <c r="C4224">
        <v>-24.595107187996707</v>
      </c>
      <c r="D4224">
        <v>-52.276052550373677</v>
      </c>
    </row>
    <row r="4225" spans="1:4" x14ac:dyDescent="0.3">
      <c r="A4225">
        <v>4122602</v>
      </c>
      <c r="B4225" t="s">
        <v>5073</v>
      </c>
      <c r="C4225">
        <v>-23.412659979378301</v>
      </c>
      <c r="D4225">
        <v>-52.762492311890462</v>
      </c>
    </row>
    <row r="4226" spans="1:4" x14ac:dyDescent="0.3">
      <c r="A4226">
        <v>4122651</v>
      </c>
      <c r="B4226" t="s">
        <v>5074</v>
      </c>
      <c r="C4226">
        <v>-24.253552555905554</v>
      </c>
      <c r="D4226">
        <v>-51.249944825147743</v>
      </c>
    </row>
    <row r="4227" spans="1:4" x14ac:dyDescent="0.3">
      <c r="A4227">
        <v>4122701</v>
      </c>
      <c r="B4227" t="s">
        <v>5075</v>
      </c>
      <c r="C4227">
        <v>-23.318395621647351</v>
      </c>
      <c r="D4227">
        <v>-51.556702021874599</v>
      </c>
    </row>
    <row r="4228" spans="1:4" x14ac:dyDescent="0.3">
      <c r="A4228">
        <v>4122800</v>
      </c>
      <c r="B4228" t="s">
        <v>5076</v>
      </c>
      <c r="C4228">
        <v>-26.170460518651954</v>
      </c>
      <c r="D4228">
        <v>-53.362115422592389</v>
      </c>
    </row>
    <row r="4229" spans="1:4" x14ac:dyDescent="0.3">
      <c r="A4229">
        <v>4122909</v>
      </c>
      <c r="B4229" t="s">
        <v>5077</v>
      </c>
      <c r="C4229">
        <v>-23.605756738224152</v>
      </c>
      <c r="D4229">
        <v>-49.630750093362032</v>
      </c>
    </row>
    <row r="4230" spans="1:4" x14ac:dyDescent="0.3">
      <c r="A4230">
        <v>4123006</v>
      </c>
      <c r="B4230" t="s">
        <v>5078</v>
      </c>
      <c r="C4230">
        <v>-25.776765242930601</v>
      </c>
      <c r="D4230">
        <v>-53.314935101821042</v>
      </c>
    </row>
    <row r="4231" spans="1:4" x14ac:dyDescent="0.3">
      <c r="A4231">
        <v>4123105</v>
      </c>
      <c r="B4231" t="s">
        <v>5079</v>
      </c>
      <c r="C4231">
        <v>-23.268157318920554</v>
      </c>
      <c r="D4231">
        <v>-50.423458770380378</v>
      </c>
    </row>
    <row r="4232" spans="1:4" x14ac:dyDescent="0.3">
      <c r="A4232">
        <v>4123204</v>
      </c>
      <c r="B4232" t="s">
        <v>5080</v>
      </c>
      <c r="C4232">
        <v>-23.512895712093705</v>
      </c>
      <c r="D4232">
        <v>-50.782865143090334</v>
      </c>
    </row>
    <row r="4233" spans="1:4" x14ac:dyDescent="0.3">
      <c r="A4233">
        <v>4123303</v>
      </c>
      <c r="B4233" t="s">
        <v>5081</v>
      </c>
      <c r="C4233">
        <v>-22.95858160780185</v>
      </c>
      <c r="D4233">
        <v>-53.297306420495744</v>
      </c>
    </row>
    <row r="4234" spans="1:4" x14ac:dyDescent="0.3">
      <c r="A4234">
        <v>4123402</v>
      </c>
      <c r="B4234" t="s">
        <v>5082</v>
      </c>
      <c r="C4234">
        <v>-23.036114758178751</v>
      </c>
      <c r="D4234">
        <v>-51.806302053183124</v>
      </c>
    </row>
    <row r="4235" spans="1:4" x14ac:dyDescent="0.3">
      <c r="A4235">
        <v>4123501</v>
      </c>
      <c r="B4235" t="s">
        <v>1628</v>
      </c>
      <c r="C4235">
        <v>-24.857095830636709</v>
      </c>
      <c r="D4235">
        <v>-54.336453152283511</v>
      </c>
    </row>
    <row r="4236" spans="1:4" x14ac:dyDescent="0.3">
      <c r="A4236">
        <v>4123600</v>
      </c>
      <c r="B4236" t="s">
        <v>1629</v>
      </c>
      <c r="C4236">
        <v>-22.638706530637155</v>
      </c>
      <c r="D4236">
        <v>-51.902768382784032</v>
      </c>
    </row>
    <row r="4237" spans="1:4" x14ac:dyDescent="0.3">
      <c r="A4237">
        <v>4123709</v>
      </c>
      <c r="B4237" t="s">
        <v>5083</v>
      </c>
      <c r="C4237">
        <v>-23.001088809404003</v>
      </c>
      <c r="D4237">
        <v>-53.195947509371372</v>
      </c>
    </row>
    <row r="4238" spans="1:4" x14ac:dyDescent="0.3">
      <c r="A4238">
        <v>4123808</v>
      </c>
      <c r="B4238" t="s">
        <v>5084</v>
      </c>
      <c r="C4238">
        <v>-25.814381218421456</v>
      </c>
      <c r="D4238">
        <v>-53.483617535808087</v>
      </c>
    </row>
    <row r="4239" spans="1:4" x14ac:dyDescent="0.3">
      <c r="A4239">
        <v>4123824</v>
      </c>
      <c r="B4239" t="s">
        <v>4678</v>
      </c>
      <c r="C4239">
        <v>-25.4113199197696</v>
      </c>
      <c r="D4239">
        <v>-53.57114367260349</v>
      </c>
    </row>
    <row r="4240" spans="1:4" x14ac:dyDescent="0.3">
      <c r="A4240">
        <v>4123857</v>
      </c>
      <c r="B4240" t="s">
        <v>5085</v>
      </c>
      <c r="C4240">
        <v>-24.934183996882854</v>
      </c>
      <c r="D4240">
        <v>-51.867709795083641</v>
      </c>
    </row>
    <row r="4241" spans="1:4" x14ac:dyDescent="0.3">
      <c r="A4241">
        <v>4123907</v>
      </c>
      <c r="B4241" t="s">
        <v>5086</v>
      </c>
      <c r="C4241">
        <v>-23.146427439307658</v>
      </c>
      <c r="D4241">
        <v>-50.521071351202608</v>
      </c>
    </row>
    <row r="4242" spans="1:4" x14ac:dyDescent="0.3">
      <c r="A4242">
        <v>4123956</v>
      </c>
      <c r="B4242" t="s">
        <v>5087</v>
      </c>
      <c r="C4242">
        <v>-23.105423938767554</v>
      </c>
      <c r="D4242">
        <v>-53.111272873042331</v>
      </c>
    </row>
    <row r="4243" spans="1:4" x14ac:dyDescent="0.3">
      <c r="A4243">
        <v>4124004</v>
      </c>
      <c r="B4243" t="s">
        <v>5088</v>
      </c>
      <c r="C4243">
        <v>-23.753132585709906</v>
      </c>
      <c r="D4243">
        <v>-49.633196631517258</v>
      </c>
    </row>
    <row r="4244" spans="1:4" x14ac:dyDescent="0.3">
      <c r="A4244">
        <v>4124020</v>
      </c>
      <c r="B4244" t="s">
        <v>5089</v>
      </c>
      <c r="C4244">
        <v>-25.058721900954001</v>
      </c>
      <c r="D4244">
        <v>-53.627235731051137</v>
      </c>
    </row>
    <row r="4245" spans="1:4" x14ac:dyDescent="0.3">
      <c r="A4245">
        <v>4124053</v>
      </c>
      <c r="B4245" t="s">
        <v>5090</v>
      </c>
      <c r="C4245">
        <v>-25.442160513416603</v>
      </c>
      <c r="D4245">
        <v>-54.399518731127174</v>
      </c>
    </row>
    <row r="4246" spans="1:4" x14ac:dyDescent="0.3">
      <c r="A4246">
        <v>4124103</v>
      </c>
      <c r="B4246" t="s">
        <v>5091</v>
      </c>
      <c r="C4246">
        <v>-23.297048833037703</v>
      </c>
      <c r="D4246">
        <v>-50.077345902743758</v>
      </c>
    </row>
    <row r="4247" spans="1:4" x14ac:dyDescent="0.3">
      <c r="A4247">
        <v>4124202</v>
      </c>
      <c r="B4247" t="s">
        <v>5092</v>
      </c>
      <c r="C4247">
        <v>-22.733974769158102</v>
      </c>
      <c r="D4247">
        <v>-52.344657843754284</v>
      </c>
    </row>
    <row r="4248" spans="1:4" x14ac:dyDescent="0.3">
      <c r="A4248">
        <v>4124301</v>
      </c>
      <c r="B4248" t="s">
        <v>5093</v>
      </c>
      <c r="C4248">
        <v>-23.494719436776858</v>
      </c>
      <c r="D4248">
        <v>-50.646828162970785</v>
      </c>
    </row>
    <row r="4249" spans="1:4" x14ac:dyDescent="0.3">
      <c r="A4249">
        <v>4124400</v>
      </c>
      <c r="B4249" t="s">
        <v>5094</v>
      </c>
      <c r="C4249">
        <v>-26.074975478558454</v>
      </c>
      <c r="D4249">
        <v>-53.723083433862911</v>
      </c>
    </row>
    <row r="4250" spans="1:4" x14ac:dyDescent="0.3">
      <c r="A4250">
        <v>4124509</v>
      </c>
      <c r="B4250" t="s">
        <v>5095</v>
      </c>
      <c r="C4250">
        <v>-22.700068575621351</v>
      </c>
      <c r="D4250">
        <v>-51.795299901409905</v>
      </c>
    </row>
    <row r="4251" spans="1:4" x14ac:dyDescent="0.3">
      <c r="A4251">
        <v>4124608</v>
      </c>
      <c r="B4251" t="s">
        <v>5096</v>
      </c>
      <c r="C4251">
        <v>-23.308847451359902</v>
      </c>
      <c r="D4251">
        <v>-52.477114589370288</v>
      </c>
    </row>
    <row r="4252" spans="1:4" x14ac:dyDescent="0.3">
      <c r="A4252">
        <v>4124707</v>
      </c>
      <c r="B4252" t="s">
        <v>5097</v>
      </c>
      <c r="C4252">
        <v>-23.723403403633004</v>
      </c>
      <c r="D4252">
        <v>-50.738480427019589</v>
      </c>
    </row>
    <row r="4253" spans="1:4" x14ac:dyDescent="0.3">
      <c r="A4253">
        <v>4124806</v>
      </c>
      <c r="B4253" t="s">
        <v>2583</v>
      </c>
      <c r="C4253">
        <v>-25.824662936144403</v>
      </c>
      <c r="D4253">
        <v>-52.729473218813382</v>
      </c>
    </row>
    <row r="4254" spans="1:4" x14ac:dyDescent="0.3">
      <c r="A4254">
        <v>4124905</v>
      </c>
      <c r="B4254" t="s">
        <v>5098</v>
      </c>
      <c r="C4254">
        <v>-22.854404325796253</v>
      </c>
      <c r="D4254">
        <v>-52.339751042586563</v>
      </c>
    </row>
    <row r="4255" spans="1:4" x14ac:dyDescent="0.3">
      <c r="A4255">
        <v>4125001</v>
      </c>
      <c r="B4255" t="s">
        <v>5099</v>
      </c>
      <c r="C4255">
        <v>-23.993089481488354</v>
      </c>
      <c r="D4255">
        <v>-51.820279205193827</v>
      </c>
    </row>
    <row r="4256" spans="1:4" x14ac:dyDescent="0.3">
      <c r="A4256">
        <v>4125100</v>
      </c>
      <c r="B4256" t="s">
        <v>5100</v>
      </c>
      <c r="C4256">
        <v>-25.691875063924652</v>
      </c>
      <c r="D4256">
        <v>-50.308064061912312</v>
      </c>
    </row>
    <row r="4257" spans="1:4" x14ac:dyDescent="0.3">
      <c r="A4257">
        <v>4125209</v>
      </c>
      <c r="B4257" t="s">
        <v>5101</v>
      </c>
      <c r="C4257">
        <v>-25.714948099592007</v>
      </c>
      <c r="D4257">
        <v>-52.920103166141139</v>
      </c>
    </row>
    <row r="4258" spans="1:4" x14ac:dyDescent="0.3">
      <c r="A4258">
        <v>4125308</v>
      </c>
      <c r="B4258" t="s">
        <v>5102</v>
      </c>
      <c r="C4258">
        <v>-23.435457861410356</v>
      </c>
      <c r="D4258">
        <v>-52.294341962433563</v>
      </c>
    </row>
    <row r="4259" spans="1:4" x14ac:dyDescent="0.3">
      <c r="A4259">
        <v>4125357</v>
      </c>
      <c r="B4259" t="s">
        <v>5103</v>
      </c>
      <c r="C4259">
        <v>-23.758247965256604</v>
      </c>
      <c r="D4259">
        <v>-53.88333056209725</v>
      </c>
    </row>
    <row r="4260" spans="1:4" x14ac:dyDescent="0.3">
      <c r="A4260">
        <v>4125407</v>
      </c>
      <c r="B4260" t="s">
        <v>5104</v>
      </c>
      <c r="C4260">
        <v>-23.915465975535032</v>
      </c>
      <c r="D4260">
        <v>-49.651152291082489</v>
      </c>
    </row>
    <row r="4261" spans="1:4" x14ac:dyDescent="0.3">
      <c r="A4261">
        <v>4125456</v>
      </c>
      <c r="B4261" t="s">
        <v>5105</v>
      </c>
      <c r="C4261">
        <v>-24.834081867369104</v>
      </c>
      <c r="D4261">
        <v>-54.05991827904564</v>
      </c>
    </row>
    <row r="4262" spans="1:4" x14ac:dyDescent="0.3">
      <c r="A4262">
        <v>4125506</v>
      </c>
      <c r="B4262" t="s">
        <v>5106</v>
      </c>
      <c r="C4262">
        <v>-25.537702000000007</v>
      </c>
      <c r="D4262">
        <v>-49.200082465667322</v>
      </c>
    </row>
    <row r="4263" spans="1:4" x14ac:dyDescent="0.3">
      <c r="A4263">
        <v>4125555</v>
      </c>
      <c r="B4263" t="s">
        <v>5107</v>
      </c>
      <c r="C4263">
        <v>-23.396130264214055</v>
      </c>
      <c r="D4263">
        <v>-52.647019562417093</v>
      </c>
    </row>
    <row r="4264" spans="1:4" x14ac:dyDescent="0.3">
      <c r="A4264">
        <v>4125605</v>
      </c>
      <c r="B4264" t="s">
        <v>5108</v>
      </c>
      <c r="C4264">
        <v>-25.869599505000004</v>
      </c>
      <c r="D4264">
        <v>-50.390624254704626</v>
      </c>
    </row>
    <row r="4265" spans="1:4" x14ac:dyDescent="0.3">
      <c r="A4265">
        <v>4125704</v>
      </c>
      <c r="B4265" t="s">
        <v>5109</v>
      </c>
      <c r="C4265">
        <v>-25.348894267258203</v>
      </c>
      <c r="D4265">
        <v>-54.242120554006966</v>
      </c>
    </row>
    <row r="4266" spans="1:4" x14ac:dyDescent="0.3">
      <c r="A4266">
        <v>4125753</v>
      </c>
      <c r="B4266" t="s">
        <v>5110</v>
      </c>
      <c r="C4266">
        <v>-24.930930924855204</v>
      </c>
      <c r="D4266">
        <v>-53.859861678682584</v>
      </c>
    </row>
    <row r="4267" spans="1:4" x14ac:dyDescent="0.3">
      <c r="A4267">
        <v>4125803</v>
      </c>
      <c r="B4267" t="s">
        <v>5111</v>
      </c>
      <c r="C4267">
        <v>-23.8678134422696</v>
      </c>
      <c r="D4267">
        <v>-51.856962758288809</v>
      </c>
    </row>
    <row r="4268" spans="1:4" x14ac:dyDescent="0.3">
      <c r="A4268">
        <v>4125902</v>
      </c>
      <c r="B4268" t="s">
        <v>5112</v>
      </c>
      <c r="C4268">
        <v>-22.825129449225205</v>
      </c>
      <c r="D4268">
        <v>-53.222937140462847</v>
      </c>
    </row>
    <row r="4269" spans="1:4" x14ac:dyDescent="0.3">
      <c r="A4269">
        <v>4126009</v>
      </c>
      <c r="B4269" t="s">
        <v>5113</v>
      </c>
      <c r="C4269">
        <v>-23.460645861013351</v>
      </c>
      <c r="D4269">
        <v>-50.762400977117217</v>
      </c>
    </row>
    <row r="4270" spans="1:4" x14ac:dyDescent="0.3">
      <c r="A4270">
        <v>4126108</v>
      </c>
      <c r="B4270" t="s">
        <v>2221</v>
      </c>
      <c r="C4270">
        <v>-23.53551136179345</v>
      </c>
      <c r="D4270">
        <v>-52.592483667563357</v>
      </c>
    </row>
    <row r="4271" spans="1:4" x14ac:dyDescent="0.3">
      <c r="A4271">
        <v>4126207</v>
      </c>
      <c r="B4271" t="s">
        <v>5114</v>
      </c>
      <c r="C4271">
        <v>-23.907287461003456</v>
      </c>
      <c r="D4271">
        <v>-50.579646631054004</v>
      </c>
    </row>
    <row r="4272" spans="1:4" x14ac:dyDescent="0.3">
      <c r="A4272">
        <v>4126256</v>
      </c>
      <c r="B4272" t="s">
        <v>5115</v>
      </c>
      <c r="C4272">
        <v>-23.443172010000005</v>
      </c>
      <c r="D4272">
        <v>-51.873682036247061</v>
      </c>
    </row>
    <row r="4273" spans="1:4" x14ac:dyDescent="0.3">
      <c r="A4273">
        <v>4126272</v>
      </c>
      <c r="B4273" t="s">
        <v>5116</v>
      </c>
      <c r="C4273">
        <v>-25.693661164641306</v>
      </c>
      <c r="D4273">
        <v>-52.614339373975767</v>
      </c>
    </row>
    <row r="4274" spans="1:4" x14ac:dyDescent="0.3">
      <c r="A4274">
        <v>4126306</v>
      </c>
      <c r="B4274" t="s">
        <v>5117</v>
      </c>
      <c r="C4274">
        <v>-24.116810219429652</v>
      </c>
      <c r="D4274">
        <v>-49.473019294596149</v>
      </c>
    </row>
    <row r="4275" spans="1:4" x14ac:dyDescent="0.3">
      <c r="A4275">
        <v>4126355</v>
      </c>
      <c r="B4275" t="s">
        <v>5118</v>
      </c>
      <c r="C4275">
        <v>-25.379884182782504</v>
      </c>
      <c r="D4275">
        <v>-54.058376583974777</v>
      </c>
    </row>
    <row r="4276" spans="1:4" x14ac:dyDescent="0.3">
      <c r="A4276">
        <v>4126405</v>
      </c>
      <c r="B4276" t="s">
        <v>5119</v>
      </c>
      <c r="C4276">
        <v>-23.036937034939303</v>
      </c>
      <c r="D4276">
        <v>-50.81710229964505</v>
      </c>
    </row>
    <row r="4277" spans="1:4" x14ac:dyDescent="0.3">
      <c r="A4277">
        <v>4126504</v>
      </c>
      <c r="B4277" t="s">
        <v>5120</v>
      </c>
      <c r="C4277">
        <v>-23.058481975559001</v>
      </c>
      <c r="D4277">
        <v>-51.042243533455533</v>
      </c>
    </row>
    <row r="4278" spans="1:4" x14ac:dyDescent="0.3">
      <c r="A4278">
        <v>4126603</v>
      </c>
      <c r="B4278" t="s">
        <v>5121</v>
      </c>
      <c r="C4278">
        <v>-23.687708382775103</v>
      </c>
      <c r="D4278">
        <v>-49.83149697076847</v>
      </c>
    </row>
    <row r="4279" spans="1:4" x14ac:dyDescent="0.3">
      <c r="A4279">
        <v>4126652</v>
      </c>
      <c r="B4279" t="s">
        <v>5122</v>
      </c>
      <c r="C4279">
        <v>-25.699632244522505</v>
      </c>
      <c r="D4279">
        <v>-52.7165965203627</v>
      </c>
    </row>
    <row r="4280" spans="1:4" x14ac:dyDescent="0.3">
      <c r="A4280">
        <v>4126678</v>
      </c>
      <c r="B4280" t="s">
        <v>5123</v>
      </c>
      <c r="C4280">
        <v>-23.715177191555256</v>
      </c>
      <c r="D4280">
        <v>-51.098560200451089</v>
      </c>
    </row>
    <row r="4281" spans="1:4" x14ac:dyDescent="0.3">
      <c r="A4281">
        <v>4126702</v>
      </c>
      <c r="B4281" t="s">
        <v>5124</v>
      </c>
      <c r="C4281">
        <v>-23.201820653094355</v>
      </c>
      <c r="D4281">
        <v>-52.500629291757434</v>
      </c>
    </row>
    <row r="4282" spans="1:4" x14ac:dyDescent="0.3">
      <c r="A4282">
        <v>4126801</v>
      </c>
      <c r="B4282" t="s">
        <v>5125</v>
      </c>
      <c r="C4282">
        <v>-23.732479190930302</v>
      </c>
      <c r="D4282">
        <v>-52.864113183990057</v>
      </c>
    </row>
    <row r="4283" spans="1:4" x14ac:dyDescent="0.3">
      <c r="A4283">
        <v>4126900</v>
      </c>
      <c r="B4283" t="s">
        <v>3954</v>
      </c>
      <c r="C4283">
        <v>-23.31710886505655</v>
      </c>
      <c r="D4283">
        <v>-53.07532530673447</v>
      </c>
    </row>
    <row r="4284" spans="1:4" x14ac:dyDescent="0.3">
      <c r="A4284">
        <v>4127007</v>
      </c>
      <c r="B4284" t="s">
        <v>5126</v>
      </c>
      <c r="C4284">
        <v>-25.380049207708858</v>
      </c>
      <c r="D4284">
        <v>-50.465646982418555</v>
      </c>
    </row>
    <row r="4285" spans="1:4" x14ac:dyDescent="0.3">
      <c r="A4285">
        <v>4127106</v>
      </c>
      <c r="B4285" t="s">
        <v>5127</v>
      </c>
      <c r="C4285">
        <v>-24.328685970000009</v>
      </c>
      <c r="D4285">
        <v>-50.623122723131168</v>
      </c>
    </row>
    <row r="4286" spans="1:4" x14ac:dyDescent="0.3">
      <c r="A4286">
        <v>4127205</v>
      </c>
      <c r="B4286" t="s">
        <v>5128</v>
      </c>
      <c r="C4286">
        <v>-23.766833266598354</v>
      </c>
      <c r="D4286">
        <v>-52.462142158890614</v>
      </c>
    </row>
    <row r="4287" spans="1:4" x14ac:dyDescent="0.3">
      <c r="A4287">
        <v>4127304</v>
      </c>
      <c r="B4287" t="s">
        <v>5129</v>
      </c>
      <c r="C4287">
        <v>-22.724364969334403</v>
      </c>
      <c r="D4287">
        <v>-52.624670573577866</v>
      </c>
    </row>
    <row r="4288" spans="1:4" x14ac:dyDescent="0.3">
      <c r="A4288">
        <v>4127403</v>
      </c>
      <c r="B4288" t="s">
        <v>4752</v>
      </c>
      <c r="C4288">
        <v>-24.167483526059954</v>
      </c>
      <c r="D4288">
        <v>-54.098513635967073</v>
      </c>
    </row>
    <row r="4289" spans="1:4" x14ac:dyDescent="0.3">
      <c r="A4289">
        <v>4127502</v>
      </c>
      <c r="B4289" t="s">
        <v>5130</v>
      </c>
      <c r="C4289">
        <v>-24.513288067849455</v>
      </c>
      <c r="D4289">
        <v>-50.411470122832469</v>
      </c>
    </row>
    <row r="4290" spans="1:4" x14ac:dyDescent="0.3">
      <c r="A4290">
        <v>4127601</v>
      </c>
      <c r="B4290" t="s">
        <v>5131</v>
      </c>
      <c r="C4290">
        <v>-25.920180480175254</v>
      </c>
      <c r="D4290">
        <v>-49.18224394127644</v>
      </c>
    </row>
    <row r="4291" spans="1:4" x14ac:dyDescent="0.3">
      <c r="A4291">
        <v>4127700</v>
      </c>
      <c r="B4291" t="s">
        <v>3965</v>
      </c>
      <c r="C4291">
        <v>-24.732077000000004</v>
      </c>
      <c r="D4291">
        <v>-53.741411491156775</v>
      </c>
    </row>
    <row r="4292" spans="1:4" x14ac:dyDescent="0.3">
      <c r="A4292">
        <v>4127809</v>
      </c>
      <c r="B4292" t="s">
        <v>5132</v>
      </c>
      <c r="C4292">
        <v>-23.779044856394204</v>
      </c>
      <c r="D4292">
        <v>-49.955151541079523</v>
      </c>
    </row>
    <row r="4293" spans="1:4" x14ac:dyDescent="0.3">
      <c r="A4293">
        <v>4127858</v>
      </c>
      <c r="B4293" t="s">
        <v>5133</v>
      </c>
      <c r="C4293">
        <v>-25.419408319478269</v>
      </c>
      <c r="D4293">
        <v>-53.187498800545953</v>
      </c>
    </row>
    <row r="4294" spans="1:4" x14ac:dyDescent="0.3">
      <c r="A4294">
        <v>4127882</v>
      </c>
      <c r="B4294" t="s">
        <v>5134</v>
      </c>
      <c r="C4294">
        <v>-24.972381190118707</v>
      </c>
      <c r="D4294">
        <v>-49.086058799365162</v>
      </c>
    </row>
    <row r="4295" spans="1:4" x14ac:dyDescent="0.3">
      <c r="A4295">
        <v>4127908</v>
      </c>
      <c r="B4295" t="s">
        <v>5135</v>
      </c>
      <c r="C4295">
        <v>-23.864030629283803</v>
      </c>
      <c r="D4295">
        <v>-52.874567846723586</v>
      </c>
    </row>
    <row r="4296" spans="1:4" x14ac:dyDescent="0.3">
      <c r="A4296">
        <v>4127957</v>
      </c>
      <c r="B4296" t="s">
        <v>5136</v>
      </c>
      <c r="C4296">
        <v>-24.579813408875406</v>
      </c>
      <c r="D4296">
        <v>-53.514495314830292</v>
      </c>
    </row>
    <row r="4297" spans="1:4" x14ac:dyDescent="0.3">
      <c r="A4297">
        <v>4127965</v>
      </c>
      <c r="B4297" t="s">
        <v>5137</v>
      </c>
      <c r="C4297">
        <v>-25.040126803101455</v>
      </c>
      <c r="D4297">
        <v>-51.532764327337063</v>
      </c>
    </row>
    <row r="4298" spans="1:4" x14ac:dyDescent="0.3">
      <c r="A4298">
        <v>4128005</v>
      </c>
      <c r="B4298" t="s">
        <v>5138</v>
      </c>
      <c r="C4298">
        <v>-24.54103488499215</v>
      </c>
      <c r="D4298">
        <v>-52.994506015845552</v>
      </c>
    </row>
    <row r="4299" spans="1:4" x14ac:dyDescent="0.3">
      <c r="A4299">
        <v>4128104</v>
      </c>
      <c r="B4299" t="s">
        <v>5139</v>
      </c>
      <c r="C4299">
        <v>-23.763950000000005</v>
      </c>
      <c r="D4299">
        <v>-53.308459804795611</v>
      </c>
    </row>
    <row r="4300" spans="1:4" x14ac:dyDescent="0.3">
      <c r="A4300">
        <v>4128203</v>
      </c>
      <c r="B4300" t="s">
        <v>5140</v>
      </c>
      <c r="C4300">
        <v>-26.228434500000006</v>
      </c>
      <c r="D4300">
        <v>-51.090609522986689</v>
      </c>
    </row>
    <row r="4301" spans="1:4" x14ac:dyDescent="0.3">
      <c r="A4301">
        <v>4128302</v>
      </c>
      <c r="B4301" t="s">
        <v>5141</v>
      </c>
      <c r="C4301">
        <v>-23.086048657245708</v>
      </c>
      <c r="D4301">
        <v>-52.160010824034757</v>
      </c>
    </row>
    <row r="4302" spans="1:4" x14ac:dyDescent="0.3">
      <c r="A4302">
        <v>4128401</v>
      </c>
      <c r="B4302" t="s">
        <v>5142</v>
      </c>
      <c r="C4302">
        <v>-23.200159102526307</v>
      </c>
      <c r="D4302">
        <v>-50.797365180228724</v>
      </c>
    </row>
    <row r="4303" spans="1:4" x14ac:dyDescent="0.3">
      <c r="A4303">
        <v>4128500</v>
      </c>
      <c r="B4303" t="s">
        <v>4006</v>
      </c>
      <c r="C4303">
        <v>-23.870422852849703</v>
      </c>
      <c r="D4303">
        <v>-49.802984782369968</v>
      </c>
    </row>
    <row r="4304" spans="1:4" x14ac:dyDescent="0.3">
      <c r="A4304">
        <v>4128534</v>
      </c>
      <c r="B4304" t="s">
        <v>5143</v>
      </c>
      <c r="C4304">
        <v>-24.244165855963853</v>
      </c>
      <c r="D4304">
        <v>-50.247617223728824</v>
      </c>
    </row>
    <row r="4305" spans="1:4" x14ac:dyDescent="0.3">
      <c r="A4305">
        <v>4128559</v>
      </c>
      <c r="B4305" t="s">
        <v>5144</v>
      </c>
      <c r="C4305">
        <v>-25.063170189010858</v>
      </c>
      <c r="D4305">
        <v>-53.88003007062543</v>
      </c>
    </row>
    <row r="4306" spans="1:4" x14ac:dyDescent="0.3">
      <c r="A4306">
        <v>4128609</v>
      </c>
      <c r="B4306" t="s">
        <v>5145</v>
      </c>
      <c r="C4306">
        <v>-25.880631603554757</v>
      </c>
      <c r="D4306">
        <v>-52.908593079831192</v>
      </c>
    </row>
    <row r="4307" spans="1:4" x14ac:dyDescent="0.3">
      <c r="A4307">
        <v>4128625</v>
      </c>
      <c r="B4307" t="s">
        <v>1062</v>
      </c>
      <c r="C4307">
        <v>-23.508130737928756</v>
      </c>
      <c r="D4307">
        <v>-53.732893150769186</v>
      </c>
    </row>
    <row r="4308" spans="1:4" x14ac:dyDescent="0.3">
      <c r="A4308">
        <v>4128633</v>
      </c>
      <c r="B4308" t="s">
        <v>5146</v>
      </c>
      <c r="C4308">
        <v>-24.567836452241604</v>
      </c>
      <c r="D4308">
        <v>-49.41977179892973</v>
      </c>
    </row>
    <row r="4309" spans="1:4" x14ac:dyDescent="0.3">
      <c r="A4309">
        <v>4128658</v>
      </c>
      <c r="B4309" t="s">
        <v>5147</v>
      </c>
      <c r="C4309">
        <v>-25.378765985125202</v>
      </c>
      <c r="D4309">
        <v>-52.202543304736942</v>
      </c>
    </row>
    <row r="4310" spans="1:4" x14ac:dyDescent="0.3">
      <c r="A4310">
        <v>4128708</v>
      </c>
      <c r="B4310" t="s">
        <v>5148</v>
      </c>
      <c r="C4310">
        <v>-26.264344287366853</v>
      </c>
      <c r="D4310">
        <v>-52.77708144580275</v>
      </c>
    </row>
    <row r="4311" spans="1:4" x14ac:dyDescent="0.3">
      <c r="A4311">
        <v>4128807</v>
      </c>
      <c r="B4311" t="s">
        <v>5149</v>
      </c>
      <c r="C4311">
        <v>-23.738394396138908</v>
      </c>
      <c r="D4311">
        <v>-53.486940694552572</v>
      </c>
    </row>
    <row r="4312" spans="1:4" x14ac:dyDescent="0.3">
      <c r="A4312">
        <v>4200051</v>
      </c>
      <c r="B4312" t="s">
        <v>5150</v>
      </c>
      <c r="C4312">
        <v>-27.608987123336306</v>
      </c>
      <c r="D4312">
        <v>-51.025272211036715</v>
      </c>
    </row>
    <row r="4313" spans="1:4" x14ac:dyDescent="0.3">
      <c r="A4313">
        <v>4200101</v>
      </c>
      <c r="B4313" t="s">
        <v>5151</v>
      </c>
      <c r="C4313">
        <v>-26.563031022444552</v>
      </c>
      <c r="D4313">
        <v>-52.336482383323649</v>
      </c>
    </row>
    <row r="4314" spans="1:4" x14ac:dyDescent="0.3">
      <c r="A4314">
        <v>4200200</v>
      </c>
      <c r="B4314" t="s">
        <v>5152</v>
      </c>
      <c r="C4314">
        <v>-27.400516587998506</v>
      </c>
      <c r="D4314">
        <v>-49.825653387728401</v>
      </c>
    </row>
    <row r="4315" spans="1:4" x14ac:dyDescent="0.3">
      <c r="A4315">
        <v>4200309</v>
      </c>
      <c r="B4315" t="s">
        <v>5153</v>
      </c>
      <c r="C4315">
        <v>-27.269716107145406</v>
      </c>
      <c r="D4315">
        <v>-49.718368890755443</v>
      </c>
    </row>
    <row r="4316" spans="1:4" x14ac:dyDescent="0.3">
      <c r="A4316">
        <v>4200408</v>
      </c>
      <c r="B4316" t="s">
        <v>5154</v>
      </c>
      <c r="C4316">
        <v>-27.004091658860105</v>
      </c>
      <c r="D4316">
        <v>-51.559096555294602</v>
      </c>
    </row>
    <row r="4317" spans="1:4" x14ac:dyDescent="0.3">
      <c r="A4317">
        <v>4200507</v>
      </c>
      <c r="B4317" t="s">
        <v>5155</v>
      </c>
      <c r="C4317">
        <v>-27.076212912475707</v>
      </c>
      <c r="D4317">
        <v>-52.987251005685472</v>
      </c>
    </row>
    <row r="4318" spans="1:4" x14ac:dyDescent="0.3">
      <c r="A4318">
        <v>4200556</v>
      </c>
      <c r="B4318" t="s">
        <v>5156</v>
      </c>
      <c r="C4318">
        <v>-26.880227543024503</v>
      </c>
      <c r="D4318">
        <v>-52.859419449350497</v>
      </c>
    </row>
    <row r="4319" spans="1:4" x14ac:dyDescent="0.3">
      <c r="A4319">
        <v>4200606</v>
      </c>
      <c r="B4319" t="s">
        <v>5157</v>
      </c>
      <c r="C4319">
        <v>-27.706597191749754</v>
      </c>
      <c r="D4319">
        <v>-48.840538402827818</v>
      </c>
    </row>
    <row r="4320" spans="1:4" x14ac:dyDescent="0.3">
      <c r="A4320">
        <v>4200705</v>
      </c>
      <c r="B4320" t="s">
        <v>5158</v>
      </c>
      <c r="C4320">
        <v>-27.705396332037356</v>
      </c>
      <c r="D4320">
        <v>-49.343812301152795</v>
      </c>
    </row>
    <row r="4321" spans="1:4" x14ac:dyDescent="0.3">
      <c r="A4321">
        <v>4200754</v>
      </c>
      <c r="B4321" t="s">
        <v>5159</v>
      </c>
      <c r="C4321">
        <v>-27.431137875328609</v>
      </c>
      <c r="D4321">
        <v>-51.911036854059169</v>
      </c>
    </row>
    <row r="4322" spans="1:4" x14ac:dyDescent="0.3">
      <c r="A4322">
        <v>4200804</v>
      </c>
      <c r="B4322" t="s">
        <v>4013</v>
      </c>
      <c r="C4322">
        <v>-26.535680860657209</v>
      </c>
      <c r="D4322">
        <v>-53.333270177229039</v>
      </c>
    </row>
    <row r="4323" spans="1:4" x14ac:dyDescent="0.3">
      <c r="A4323">
        <v>4200903</v>
      </c>
      <c r="B4323" t="s">
        <v>5160</v>
      </c>
      <c r="C4323">
        <v>-27.582257352064001</v>
      </c>
      <c r="D4323">
        <v>-48.983476064225357</v>
      </c>
    </row>
    <row r="4324" spans="1:4" x14ac:dyDescent="0.3">
      <c r="A4324">
        <v>4201000</v>
      </c>
      <c r="B4324" t="s">
        <v>5161</v>
      </c>
      <c r="C4324">
        <v>-27.683777290055357</v>
      </c>
      <c r="D4324">
        <v>-51.131193871263307</v>
      </c>
    </row>
    <row r="4325" spans="1:4" x14ac:dyDescent="0.3">
      <c r="A4325">
        <v>4201109</v>
      </c>
      <c r="B4325" t="s">
        <v>5162</v>
      </c>
      <c r="C4325">
        <v>-27.909886897333053</v>
      </c>
      <c r="D4325">
        <v>-49.13159936621949</v>
      </c>
    </row>
    <row r="4326" spans="1:4" x14ac:dyDescent="0.3">
      <c r="A4326">
        <v>4201208</v>
      </c>
      <c r="B4326" t="s">
        <v>3204</v>
      </c>
      <c r="C4326">
        <v>-27.51337105163136</v>
      </c>
      <c r="D4326">
        <v>-48.764960026755261</v>
      </c>
    </row>
    <row r="4327" spans="1:4" x14ac:dyDescent="0.3">
      <c r="A4327">
        <v>4201257</v>
      </c>
      <c r="B4327" t="s">
        <v>5163</v>
      </c>
      <c r="C4327">
        <v>-27.041812598124952</v>
      </c>
      <c r="D4327">
        <v>-49.391637628752818</v>
      </c>
    </row>
    <row r="4328" spans="1:4" x14ac:dyDescent="0.3">
      <c r="A4328">
        <v>4201273</v>
      </c>
      <c r="B4328" t="s">
        <v>5164</v>
      </c>
      <c r="C4328">
        <v>-27.15740369594285</v>
      </c>
      <c r="D4328">
        <v>-52.148599260698226</v>
      </c>
    </row>
    <row r="4329" spans="1:4" x14ac:dyDescent="0.3">
      <c r="A4329">
        <v>4201307</v>
      </c>
      <c r="B4329" t="s">
        <v>5165</v>
      </c>
      <c r="C4329">
        <v>-26.37595155407411</v>
      </c>
      <c r="D4329">
        <v>-48.692707411929412</v>
      </c>
    </row>
    <row r="4330" spans="1:4" x14ac:dyDescent="0.3">
      <c r="A4330">
        <v>4201406</v>
      </c>
      <c r="B4330" t="s">
        <v>5166</v>
      </c>
      <c r="C4330">
        <v>-28.935752014200506</v>
      </c>
      <c r="D4330">
        <v>-49.480966523633036</v>
      </c>
    </row>
    <row r="4331" spans="1:4" x14ac:dyDescent="0.3">
      <c r="A4331">
        <v>4201505</v>
      </c>
      <c r="B4331" t="s">
        <v>5167</v>
      </c>
      <c r="C4331">
        <v>-28.258705467916805</v>
      </c>
      <c r="D4331">
        <v>-49.012911084773961</v>
      </c>
    </row>
    <row r="4332" spans="1:4" x14ac:dyDescent="0.3">
      <c r="A4332">
        <v>4201604</v>
      </c>
      <c r="B4332" t="s">
        <v>5168</v>
      </c>
      <c r="C4332">
        <v>-26.932564856680955</v>
      </c>
      <c r="D4332">
        <v>-51.33412392388054</v>
      </c>
    </row>
    <row r="4333" spans="1:4" x14ac:dyDescent="0.3">
      <c r="A4333">
        <v>4201653</v>
      </c>
      <c r="B4333" t="s">
        <v>5169</v>
      </c>
      <c r="C4333">
        <v>-27.073533558157408</v>
      </c>
      <c r="D4333">
        <v>-52.457788841162561</v>
      </c>
    </row>
    <row r="4334" spans="1:4" x14ac:dyDescent="0.3">
      <c r="A4334">
        <v>4201703</v>
      </c>
      <c r="B4334" t="s">
        <v>5170</v>
      </c>
      <c r="C4334">
        <v>-26.954775842493952</v>
      </c>
      <c r="D4334">
        <v>-49.386363427806309</v>
      </c>
    </row>
    <row r="4335" spans="1:4" x14ac:dyDescent="0.3">
      <c r="A4335">
        <v>4201802</v>
      </c>
      <c r="B4335" t="s">
        <v>5171</v>
      </c>
      <c r="C4335">
        <v>-27.420536001840606</v>
      </c>
      <c r="D4335">
        <v>-49.779456674142395</v>
      </c>
    </row>
    <row r="4336" spans="1:4" x14ac:dyDescent="0.3">
      <c r="A4336">
        <v>4201901</v>
      </c>
      <c r="B4336" t="s">
        <v>1925</v>
      </c>
      <c r="C4336">
        <v>-27.299029494610355</v>
      </c>
      <c r="D4336">
        <v>-49.643627907481779</v>
      </c>
    </row>
    <row r="4337" spans="1:4" x14ac:dyDescent="0.3">
      <c r="A4337">
        <v>4201950</v>
      </c>
      <c r="B4337" t="s">
        <v>5172</v>
      </c>
      <c r="C4337">
        <v>-28.980402454759254</v>
      </c>
      <c r="D4337">
        <v>-49.405702799136975</v>
      </c>
    </row>
    <row r="4338" spans="1:4" x14ac:dyDescent="0.3">
      <c r="A4338">
        <v>4202008</v>
      </c>
      <c r="B4338" t="s">
        <v>5173</v>
      </c>
      <c r="C4338">
        <v>-26.991818605254608</v>
      </c>
      <c r="D4338">
        <v>-48.634617477026531</v>
      </c>
    </row>
    <row r="4339" spans="1:4" x14ac:dyDescent="0.3">
      <c r="A4339">
        <v>4202057</v>
      </c>
      <c r="B4339" t="s">
        <v>5174</v>
      </c>
      <c r="C4339">
        <v>-26.456429567117652</v>
      </c>
      <c r="D4339">
        <v>-48.606645876007384</v>
      </c>
    </row>
    <row r="4340" spans="1:4" x14ac:dyDescent="0.3">
      <c r="A4340">
        <v>4202073</v>
      </c>
      <c r="B4340" t="s">
        <v>5175</v>
      </c>
      <c r="C4340">
        <v>-29.164521268534259</v>
      </c>
      <c r="D4340">
        <v>-49.590893782355117</v>
      </c>
    </row>
    <row r="4341" spans="1:4" x14ac:dyDescent="0.3">
      <c r="A4341">
        <v>4202081</v>
      </c>
      <c r="B4341" t="s">
        <v>5176</v>
      </c>
      <c r="C4341">
        <v>-26.768937901324353</v>
      </c>
      <c r="D4341">
        <v>-53.641049586589993</v>
      </c>
    </row>
    <row r="4342" spans="1:4" x14ac:dyDescent="0.3">
      <c r="A4342">
        <v>4202099</v>
      </c>
      <c r="B4342" t="s">
        <v>4224</v>
      </c>
      <c r="C4342">
        <v>-26.652293599856158</v>
      </c>
      <c r="D4342">
        <v>-53.441302540604461</v>
      </c>
    </row>
    <row r="4343" spans="1:4" x14ac:dyDescent="0.3">
      <c r="A4343">
        <v>4202107</v>
      </c>
      <c r="B4343" t="s">
        <v>5177</v>
      </c>
      <c r="C4343">
        <v>-26.634361408289305</v>
      </c>
      <c r="D4343">
        <v>-48.683864274324037</v>
      </c>
    </row>
    <row r="4344" spans="1:4" x14ac:dyDescent="0.3">
      <c r="A4344">
        <v>4202131</v>
      </c>
      <c r="B4344" t="s">
        <v>5178</v>
      </c>
      <c r="C4344">
        <v>-26.276228278337978</v>
      </c>
      <c r="D4344">
        <v>-50.464788238469779</v>
      </c>
    </row>
    <row r="4345" spans="1:4" x14ac:dyDescent="0.3">
      <c r="A4345">
        <v>4202156</v>
      </c>
      <c r="B4345" t="s">
        <v>2819</v>
      </c>
      <c r="C4345">
        <v>-26.844586347482753</v>
      </c>
      <c r="D4345">
        <v>-53.580977231480944</v>
      </c>
    </row>
    <row r="4346" spans="1:4" x14ac:dyDescent="0.3">
      <c r="A4346">
        <v>4202206</v>
      </c>
      <c r="B4346" t="s">
        <v>5179</v>
      </c>
      <c r="C4346">
        <v>-26.777507569001155</v>
      </c>
      <c r="D4346">
        <v>-49.364402749408903</v>
      </c>
    </row>
    <row r="4347" spans="1:4" x14ac:dyDescent="0.3">
      <c r="A4347">
        <v>4202305</v>
      </c>
      <c r="B4347" t="s">
        <v>5180</v>
      </c>
      <c r="C4347">
        <v>-27.494322743470008</v>
      </c>
      <c r="D4347">
        <v>-48.654488928950599</v>
      </c>
    </row>
    <row r="4348" spans="1:4" x14ac:dyDescent="0.3">
      <c r="A4348">
        <v>4202404</v>
      </c>
      <c r="B4348" t="s">
        <v>5181</v>
      </c>
      <c r="C4348">
        <v>-26.916107705306658</v>
      </c>
      <c r="D4348">
        <v>-49.05763088436116</v>
      </c>
    </row>
    <row r="4349" spans="1:4" x14ac:dyDescent="0.3">
      <c r="A4349">
        <v>4202438</v>
      </c>
      <c r="B4349" t="s">
        <v>5182</v>
      </c>
      <c r="C4349">
        <v>-27.743198306937707</v>
      </c>
      <c r="D4349">
        <v>-49.945897910806927</v>
      </c>
    </row>
    <row r="4350" spans="1:4" x14ac:dyDescent="0.3">
      <c r="A4350">
        <v>4202453</v>
      </c>
      <c r="B4350" t="s">
        <v>5183</v>
      </c>
      <c r="C4350">
        <v>-27.144254699332055</v>
      </c>
      <c r="D4350">
        <v>-48.521345134844815</v>
      </c>
    </row>
    <row r="4351" spans="1:4" x14ac:dyDescent="0.3">
      <c r="A4351">
        <v>4202503</v>
      </c>
      <c r="B4351" t="s">
        <v>5184</v>
      </c>
      <c r="C4351">
        <v>-28.337947190976454</v>
      </c>
      <c r="D4351">
        <v>-49.624977745338136</v>
      </c>
    </row>
    <row r="4352" spans="1:4" x14ac:dyDescent="0.3">
      <c r="A4352">
        <v>4202537</v>
      </c>
      <c r="B4352" t="s">
        <v>1713</v>
      </c>
      <c r="C4352">
        <v>-26.735923435578005</v>
      </c>
      <c r="D4352">
        <v>-52.393015959826158</v>
      </c>
    </row>
    <row r="4353" spans="1:4" x14ac:dyDescent="0.3">
      <c r="A4353">
        <v>4202578</v>
      </c>
      <c r="B4353" t="s">
        <v>5185</v>
      </c>
      <c r="C4353">
        <v>-26.691811554593702</v>
      </c>
      <c r="D4353">
        <v>-53.09535028023371</v>
      </c>
    </row>
    <row r="4354" spans="1:4" x14ac:dyDescent="0.3">
      <c r="A4354">
        <v>4202602</v>
      </c>
      <c r="B4354" t="s">
        <v>5186</v>
      </c>
      <c r="C4354">
        <v>-27.798671001426055</v>
      </c>
      <c r="D4354">
        <v>-49.489833766081247</v>
      </c>
    </row>
    <row r="4355" spans="1:4" x14ac:dyDescent="0.3">
      <c r="A4355">
        <v>4202701</v>
      </c>
      <c r="B4355" t="s">
        <v>5187</v>
      </c>
      <c r="C4355">
        <v>-27.202106861164808</v>
      </c>
      <c r="D4355">
        <v>-49.078484361927849</v>
      </c>
    </row>
    <row r="4356" spans="1:4" x14ac:dyDescent="0.3">
      <c r="A4356">
        <v>4202800</v>
      </c>
      <c r="B4356" t="s">
        <v>5188</v>
      </c>
      <c r="C4356">
        <v>-28.280038867343556</v>
      </c>
      <c r="D4356">
        <v>-49.164547708948646</v>
      </c>
    </row>
    <row r="4357" spans="1:4" x14ac:dyDescent="0.3">
      <c r="A4357">
        <v>4202859</v>
      </c>
      <c r="B4357" t="s">
        <v>5189</v>
      </c>
      <c r="C4357">
        <v>-27.364251345124806</v>
      </c>
      <c r="D4357">
        <v>-49.890907935951354</v>
      </c>
    </row>
    <row r="4358" spans="1:4" x14ac:dyDescent="0.3">
      <c r="A4358">
        <v>4202875</v>
      </c>
      <c r="B4358" t="s">
        <v>5190</v>
      </c>
      <c r="C4358">
        <v>-27.318362150823955</v>
      </c>
      <c r="D4358">
        <v>-50.835920771950654</v>
      </c>
    </row>
    <row r="4359" spans="1:4" x14ac:dyDescent="0.3">
      <c r="A4359">
        <v>4202909</v>
      </c>
      <c r="B4359" t="s">
        <v>5191</v>
      </c>
      <c r="C4359">
        <v>-27.098310226210653</v>
      </c>
      <c r="D4359">
        <v>-48.915163005515346</v>
      </c>
    </row>
    <row r="4360" spans="1:4" x14ac:dyDescent="0.3">
      <c r="A4360">
        <v>4203006</v>
      </c>
      <c r="B4360" t="s">
        <v>5192</v>
      </c>
      <c r="C4360">
        <v>-26.775347672718151</v>
      </c>
      <c r="D4360">
        <v>-51.01903475899806</v>
      </c>
    </row>
    <row r="4361" spans="1:4" x14ac:dyDescent="0.3">
      <c r="A4361">
        <v>4203105</v>
      </c>
      <c r="B4361" t="s">
        <v>5193</v>
      </c>
      <c r="C4361">
        <v>-27.073053932558004</v>
      </c>
      <c r="D4361">
        <v>-53.250527195583715</v>
      </c>
    </row>
    <row r="4362" spans="1:4" x14ac:dyDescent="0.3">
      <c r="A4362">
        <v>4203154</v>
      </c>
      <c r="B4362" t="s">
        <v>5194</v>
      </c>
      <c r="C4362">
        <v>-26.604677177073306</v>
      </c>
      <c r="D4362">
        <v>-51.096634904598119</v>
      </c>
    </row>
    <row r="4363" spans="1:4" x14ac:dyDescent="0.3">
      <c r="A4363">
        <v>4203204</v>
      </c>
      <c r="B4363" t="s">
        <v>5195</v>
      </c>
      <c r="C4363">
        <v>-27.026456499235657</v>
      </c>
      <c r="D4363">
        <v>-48.649995852100552</v>
      </c>
    </row>
    <row r="4364" spans="1:4" x14ac:dyDescent="0.3">
      <c r="A4364">
        <v>4203253</v>
      </c>
      <c r="B4364" t="s">
        <v>5196</v>
      </c>
      <c r="C4364">
        <v>-27.941685281814902</v>
      </c>
      <c r="D4364">
        <v>-50.51147929258638</v>
      </c>
    </row>
    <row r="4365" spans="1:4" x14ac:dyDescent="0.3">
      <c r="A4365">
        <v>4203303</v>
      </c>
      <c r="B4365" t="s">
        <v>2626</v>
      </c>
      <c r="C4365">
        <v>-26.190659282464456</v>
      </c>
      <c r="D4365">
        <v>-49.26334448205364</v>
      </c>
    </row>
    <row r="4366" spans="1:4" x14ac:dyDescent="0.3">
      <c r="A4366">
        <v>4203402</v>
      </c>
      <c r="B4366" t="s">
        <v>5197</v>
      </c>
      <c r="C4366">
        <v>-27.896657387266458</v>
      </c>
      <c r="D4366">
        <v>-50.761993751938526</v>
      </c>
    </row>
    <row r="4367" spans="1:4" x14ac:dyDescent="0.3">
      <c r="A4367">
        <v>4203501</v>
      </c>
      <c r="B4367" t="s">
        <v>5198</v>
      </c>
      <c r="C4367">
        <v>-26.394551141005554</v>
      </c>
      <c r="D4367">
        <v>-53.09015517033761</v>
      </c>
    </row>
    <row r="4368" spans="1:4" x14ac:dyDescent="0.3">
      <c r="A4368">
        <v>4203600</v>
      </c>
      <c r="B4368" t="s">
        <v>5199</v>
      </c>
      <c r="C4368">
        <v>-27.399052979228557</v>
      </c>
      <c r="D4368">
        <v>-51.223672993237884</v>
      </c>
    </row>
    <row r="4369" spans="1:4" x14ac:dyDescent="0.3">
      <c r="A4369">
        <v>4203709</v>
      </c>
      <c r="B4369" t="s">
        <v>5200</v>
      </c>
      <c r="C4369">
        <v>-27.272414794608608</v>
      </c>
      <c r="D4369">
        <v>-48.78927312767793</v>
      </c>
    </row>
    <row r="4370" spans="1:4" x14ac:dyDescent="0.3">
      <c r="A4370">
        <v>4203808</v>
      </c>
      <c r="B4370" t="s">
        <v>5201</v>
      </c>
      <c r="C4370">
        <v>-26.178807014252406</v>
      </c>
      <c r="D4370">
        <v>-50.397848711893268</v>
      </c>
    </row>
    <row r="4371" spans="1:4" x14ac:dyDescent="0.3">
      <c r="A4371">
        <v>4203907</v>
      </c>
      <c r="B4371" t="s">
        <v>5202</v>
      </c>
      <c r="C4371">
        <v>-27.344278464216057</v>
      </c>
      <c r="D4371">
        <v>-51.611362755175925</v>
      </c>
    </row>
    <row r="4372" spans="1:4" x14ac:dyDescent="0.3">
      <c r="A4372">
        <v>4203956</v>
      </c>
      <c r="B4372" t="s">
        <v>5203</v>
      </c>
      <c r="C4372">
        <v>-28.449045511825055</v>
      </c>
      <c r="D4372">
        <v>-48.960575068094073</v>
      </c>
    </row>
    <row r="4373" spans="1:4" x14ac:dyDescent="0.3">
      <c r="A4373">
        <v>4204004</v>
      </c>
      <c r="B4373" t="s">
        <v>4849</v>
      </c>
      <c r="C4373">
        <v>-27.072035221570907</v>
      </c>
      <c r="D4373">
        <v>-51.658948098577639</v>
      </c>
    </row>
    <row r="4374" spans="1:4" x14ac:dyDescent="0.3">
      <c r="A4374">
        <v>4204103</v>
      </c>
      <c r="B4374" t="s">
        <v>5204</v>
      </c>
      <c r="C4374">
        <v>-27.161281784863753</v>
      </c>
      <c r="D4374">
        <v>-52.880474892892209</v>
      </c>
    </row>
    <row r="4375" spans="1:4" x14ac:dyDescent="0.3">
      <c r="A4375">
        <v>4204152</v>
      </c>
      <c r="B4375" t="s">
        <v>5205</v>
      </c>
      <c r="C4375">
        <v>-27.63473860536995</v>
      </c>
      <c r="D4375">
        <v>-51.335993824764472</v>
      </c>
    </row>
    <row r="4376" spans="1:4" x14ac:dyDescent="0.3">
      <c r="A4376">
        <v>4204178</v>
      </c>
      <c r="B4376" t="s">
        <v>5206</v>
      </c>
      <c r="C4376">
        <v>-27.795828067738402</v>
      </c>
      <c r="D4376">
        <v>-50.870062264678779</v>
      </c>
    </row>
    <row r="4377" spans="1:4" x14ac:dyDescent="0.3">
      <c r="A4377">
        <v>4204194</v>
      </c>
      <c r="B4377" t="s">
        <v>5207</v>
      </c>
      <c r="C4377">
        <v>-27.585298251201053</v>
      </c>
      <c r="D4377">
        <v>-49.544325954890461</v>
      </c>
    </row>
    <row r="4378" spans="1:4" x14ac:dyDescent="0.3">
      <c r="A4378">
        <v>4204202</v>
      </c>
      <c r="B4378" t="s">
        <v>5208</v>
      </c>
      <c r="C4378">
        <v>-27.10683702153321</v>
      </c>
      <c r="D4378">
        <v>-52.617031113413759</v>
      </c>
    </row>
    <row r="4379" spans="1:4" x14ac:dyDescent="0.3">
      <c r="A4379">
        <v>4204251</v>
      </c>
      <c r="B4379" t="s">
        <v>5209</v>
      </c>
      <c r="C4379">
        <v>-28.603022865277353</v>
      </c>
      <c r="D4379">
        <v>-49.327128719903911</v>
      </c>
    </row>
    <row r="4380" spans="1:4" x14ac:dyDescent="0.3">
      <c r="A4380">
        <v>4204301</v>
      </c>
      <c r="B4380" t="s">
        <v>5210</v>
      </c>
      <c r="C4380">
        <v>-27.233658780053851</v>
      </c>
      <c r="D4380">
        <v>-52.023971069748342</v>
      </c>
    </row>
    <row r="4381" spans="1:4" x14ac:dyDescent="0.3">
      <c r="A4381">
        <v>4204350</v>
      </c>
      <c r="B4381" t="s">
        <v>5211</v>
      </c>
      <c r="C4381">
        <v>-26.985081292325152</v>
      </c>
      <c r="D4381">
        <v>-52.603251270819925</v>
      </c>
    </row>
    <row r="4382" spans="1:4" x14ac:dyDescent="0.3">
      <c r="A4382">
        <v>4204400</v>
      </c>
      <c r="B4382" t="s">
        <v>5212</v>
      </c>
      <c r="C4382">
        <v>-26.903251411811006</v>
      </c>
      <c r="D4382">
        <v>-52.709151456517311</v>
      </c>
    </row>
    <row r="4383" spans="1:4" x14ac:dyDescent="0.3">
      <c r="A4383">
        <v>4204459</v>
      </c>
      <c r="B4383" t="s">
        <v>5213</v>
      </c>
      <c r="C4383">
        <v>-26.511637595292303</v>
      </c>
      <c r="D4383">
        <v>-52.66969928881209</v>
      </c>
    </row>
    <row r="4384" spans="1:4" x14ac:dyDescent="0.3">
      <c r="A4384">
        <v>4204509</v>
      </c>
      <c r="B4384" t="s">
        <v>5214</v>
      </c>
      <c r="C4384">
        <v>-26.431966315810058</v>
      </c>
      <c r="D4384">
        <v>-49.226737000043649</v>
      </c>
    </row>
    <row r="4385" spans="1:4" x14ac:dyDescent="0.3">
      <c r="A4385">
        <v>4204558</v>
      </c>
      <c r="B4385" t="s">
        <v>5215</v>
      </c>
      <c r="C4385">
        <v>-27.584808344970906</v>
      </c>
      <c r="D4385">
        <v>-50.363760554614963</v>
      </c>
    </row>
    <row r="4386" spans="1:4" x14ac:dyDescent="0.3">
      <c r="A4386">
        <v>4204608</v>
      </c>
      <c r="B4386" t="s">
        <v>5216</v>
      </c>
      <c r="C4386">
        <v>-28.673572252674656</v>
      </c>
      <c r="D4386">
        <v>-49.36593955882217</v>
      </c>
    </row>
    <row r="4387" spans="1:4" x14ac:dyDescent="0.3">
      <c r="A4387">
        <v>4204707</v>
      </c>
      <c r="B4387" t="s">
        <v>5217</v>
      </c>
      <c r="C4387">
        <v>-26.891727082450554</v>
      </c>
      <c r="D4387">
        <v>-53.173845571966488</v>
      </c>
    </row>
    <row r="4388" spans="1:4" x14ac:dyDescent="0.3">
      <c r="A4388">
        <v>4204756</v>
      </c>
      <c r="B4388" t="s">
        <v>5218</v>
      </c>
      <c r="C4388">
        <v>-26.973139698327557</v>
      </c>
      <c r="D4388">
        <v>-53.093290492590405</v>
      </c>
    </row>
    <row r="4389" spans="1:4" x14ac:dyDescent="0.3">
      <c r="A4389">
        <v>4204806</v>
      </c>
      <c r="B4389" t="s">
        <v>5219</v>
      </c>
      <c r="C4389">
        <v>-27.282982506466251</v>
      </c>
      <c r="D4389">
        <v>-50.582601035262108</v>
      </c>
    </row>
    <row r="4390" spans="1:4" x14ac:dyDescent="0.3">
      <c r="A4390">
        <v>4204905</v>
      </c>
      <c r="B4390" t="s">
        <v>5220</v>
      </c>
      <c r="C4390">
        <v>-26.817870220991555</v>
      </c>
      <c r="D4390">
        <v>-53.504628870613907</v>
      </c>
    </row>
    <row r="4391" spans="1:4" x14ac:dyDescent="0.3">
      <c r="A4391">
        <v>4205001</v>
      </c>
      <c r="B4391" t="s">
        <v>5221</v>
      </c>
      <c r="C4391">
        <v>-26.266488533660304</v>
      </c>
      <c r="D4391">
        <v>-53.631395122827257</v>
      </c>
    </row>
    <row r="4392" spans="1:4" x14ac:dyDescent="0.3">
      <c r="A4392">
        <v>4205100</v>
      </c>
      <c r="B4392" t="s">
        <v>5222</v>
      </c>
      <c r="C4392">
        <v>-26.986300613737452</v>
      </c>
      <c r="D4392">
        <v>-49.716897745052385</v>
      </c>
    </row>
    <row r="4393" spans="1:4" x14ac:dyDescent="0.3">
      <c r="A4393">
        <v>4205159</v>
      </c>
      <c r="B4393" t="s">
        <v>5223</v>
      </c>
      <c r="C4393">
        <v>-26.720460955541434</v>
      </c>
      <c r="D4393">
        <v>-49.479293361933351</v>
      </c>
    </row>
    <row r="4394" spans="1:4" x14ac:dyDescent="0.3">
      <c r="A4394">
        <v>4205175</v>
      </c>
      <c r="B4394" t="s">
        <v>2899</v>
      </c>
      <c r="C4394">
        <v>-26.723621095291055</v>
      </c>
      <c r="D4394">
        <v>-52.562533967831008</v>
      </c>
    </row>
    <row r="4395" spans="1:4" x14ac:dyDescent="0.3">
      <c r="A4395">
        <v>4205191</v>
      </c>
      <c r="B4395" t="s">
        <v>5224</v>
      </c>
      <c r="C4395">
        <v>-28.985081792251055</v>
      </c>
      <c r="D4395">
        <v>-49.643404977548592</v>
      </c>
    </row>
    <row r="4396" spans="1:4" x14ac:dyDescent="0.3">
      <c r="A4396">
        <v>4205209</v>
      </c>
      <c r="B4396" t="s">
        <v>5225</v>
      </c>
      <c r="C4396">
        <v>-27.273895484638356</v>
      </c>
      <c r="D4396">
        <v>-51.443432904449878</v>
      </c>
    </row>
    <row r="4397" spans="1:4" x14ac:dyDescent="0.3">
      <c r="A4397">
        <v>4205308</v>
      </c>
      <c r="B4397" t="s">
        <v>5226</v>
      </c>
      <c r="C4397">
        <v>-26.859786721352052</v>
      </c>
      <c r="D4397">
        <v>-52.271415398708527</v>
      </c>
    </row>
    <row r="4398" spans="1:4" x14ac:dyDescent="0.3">
      <c r="A4398">
        <v>4205357</v>
      </c>
      <c r="B4398" t="s">
        <v>5227</v>
      </c>
      <c r="C4398">
        <v>-26.779432328760404</v>
      </c>
      <c r="D4398">
        <v>-53.344891435481543</v>
      </c>
    </row>
    <row r="4399" spans="1:4" x14ac:dyDescent="0.3">
      <c r="A4399">
        <v>4205407</v>
      </c>
      <c r="B4399" t="s">
        <v>5228</v>
      </c>
      <c r="C4399">
        <v>-27.587795548549956</v>
      </c>
      <c r="D4399">
        <v>-48.547637378193336</v>
      </c>
    </row>
    <row r="4400" spans="1:4" x14ac:dyDescent="0.3">
      <c r="A4400">
        <v>4205431</v>
      </c>
      <c r="B4400" t="s">
        <v>5229</v>
      </c>
      <c r="C4400">
        <v>-26.648523378253657</v>
      </c>
      <c r="D4400">
        <v>-52.793450025273856</v>
      </c>
    </row>
    <row r="4401" spans="1:4" x14ac:dyDescent="0.3">
      <c r="A4401">
        <v>4205456</v>
      </c>
      <c r="B4401" t="s">
        <v>5230</v>
      </c>
      <c r="C4401">
        <v>-28.742415350877856</v>
      </c>
      <c r="D4401">
        <v>-49.468861053361522</v>
      </c>
    </row>
    <row r="4402" spans="1:4" x14ac:dyDescent="0.3">
      <c r="A4402">
        <v>4205506</v>
      </c>
      <c r="B4402" t="s">
        <v>5231</v>
      </c>
      <c r="C4402">
        <v>-27.023446962706053</v>
      </c>
      <c r="D4402">
        <v>-50.925079235234612</v>
      </c>
    </row>
    <row r="4403" spans="1:4" x14ac:dyDescent="0.3">
      <c r="A4403">
        <v>4205555</v>
      </c>
      <c r="B4403" t="s">
        <v>5232</v>
      </c>
      <c r="C4403">
        <v>-27.174751499232354</v>
      </c>
      <c r="D4403">
        <v>-50.806408249116366</v>
      </c>
    </row>
    <row r="4404" spans="1:4" x14ac:dyDescent="0.3">
      <c r="A4404">
        <v>4205605</v>
      </c>
      <c r="B4404" t="s">
        <v>5233</v>
      </c>
      <c r="C4404">
        <v>-26.455476238380754</v>
      </c>
      <c r="D4404">
        <v>-52.682002075557975</v>
      </c>
    </row>
    <row r="4405" spans="1:4" x14ac:dyDescent="0.3">
      <c r="A4405">
        <v>4205704</v>
      </c>
      <c r="B4405" t="s">
        <v>5234</v>
      </c>
      <c r="C4405">
        <v>-28.020895934825951</v>
      </c>
      <c r="D4405">
        <v>-48.612556682853793</v>
      </c>
    </row>
    <row r="4406" spans="1:4" x14ac:dyDescent="0.3">
      <c r="A4406">
        <v>4205803</v>
      </c>
      <c r="B4406" t="s">
        <v>5235</v>
      </c>
      <c r="C4406">
        <v>-26.022075506116455</v>
      </c>
      <c r="D4406">
        <v>-48.84984185940808</v>
      </c>
    </row>
    <row r="4407" spans="1:4" x14ac:dyDescent="0.3">
      <c r="A4407">
        <v>4205902</v>
      </c>
      <c r="B4407" t="s">
        <v>5236</v>
      </c>
      <c r="C4407">
        <v>-26.918368514237752</v>
      </c>
      <c r="D4407">
        <v>-48.96770656812631</v>
      </c>
    </row>
    <row r="4408" spans="1:4" x14ac:dyDescent="0.3">
      <c r="A4408">
        <v>4206009</v>
      </c>
      <c r="B4408" t="s">
        <v>5237</v>
      </c>
      <c r="C4408">
        <v>-27.318645907505054</v>
      </c>
      <c r="D4408">
        <v>-48.578166564509537</v>
      </c>
    </row>
    <row r="4409" spans="1:4" x14ac:dyDescent="0.3">
      <c r="A4409">
        <v>4206108</v>
      </c>
      <c r="B4409" t="s">
        <v>5238</v>
      </c>
      <c r="C4409">
        <v>-28.183986526237305</v>
      </c>
      <c r="D4409">
        <v>-49.219996040517842</v>
      </c>
    </row>
    <row r="4410" spans="1:4" x14ac:dyDescent="0.3">
      <c r="A4410">
        <v>4206207</v>
      </c>
      <c r="B4410" t="s">
        <v>5239</v>
      </c>
      <c r="C4410">
        <v>-28.329130717842549</v>
      </c>
      <c r="D4410">
        <v>-49.039470258161863</v>
      </c>
    </row>
    <row r="4411" spans="1:4" x14ac:dyDescent="0.3">
      <c r="A4411">
        <v>4206306</v>
      </c>
      <c r="B4411" t="s">
        <v>5240</v>
      </c>
      <c r="C4411">
        <v>-27.060325239251203</v>
      </c>
      <c r="D4411">
        <v>-48.983560448022814</v>
      </c>
    </row>
    <row r="4412" spans="1:4" x14ac:dyDescent="0.3">
      <c r="A4412">
        <v>4206405</v>
      </c>
      <c r="B4412" t="s">
        <v>3485</v>
      </c>
      <c r="C4412">
        <v>-26.600347570755204</v>
      </c>
      <c r="D4412">
        <v>-53.522089718183778</v>
      </c>
    </row>
    <row r="4413" spans="1:4" x14ac:dyDescent="0.3">
      <c r="A4413">
        <v>4206504</v>
      </c>
      <c r="B4413" t="s">
        <v>5241</v>
      </c>
      <c r="C4413">
        <v>-26.474445128320056</v>
      </c>
      <c r="D4413">
        <v>-48.992104265949465</v>
      </c>
    </row>
    <row r="4414" spans="1:4" x14ac:dyDescent="0.3">
      <c r="A4414">
        <v>4206603</v>
      </c>
      <c r="B4414" t="s">
        <v>5242</v>
      </c>
      <c r="C4414">
        <v>-26.384920604031951</v>
      </c>
      <c r="D4414">
        <v>-53.525445108314067</v>
      </c>
    </row>
    <row r="4415" spans="1:4" x14ac:dyDescent="0.3">
      <c r="A4415">
        <v>4206652</v>
      </c>
      <c r="B4415" t="s">
        <v>5243</v>
      </c>
      <c r="C4415">
        <v>-27.136910865903602</v>
      </c>
      <c r="D4415">
        <v>-52.783840134267123</v>
      </c>
    </row>
    <row r="4416" spans="1:4" x14ac:dyDescent="0.3">
      <c r="A4416">
        <v>4206702</v>
      </c>
      <c r="B4416" t="s">
        <v>5244</v>
      </c>
      <c r="C4416">
        <v>-27.170303184707254</v>
      </c>
      <c r="D4416">
        <v>-51.496215310259906</v>
      </c>
    </row>
    <row r="4417" spans="1:4" x14ac:dyDescent="0.3">
      <c r="A4417">
        <v>4206751</v>
      </c>
      <c r="B4417" t="s">
        <v>5245</v>
      </c>
      <c r="C4417">
        <v>-27.180583476411307</v>
      </c>
      <c r="D4417">
        <v>-51.239427698280714</v>
      </c>
    </row>
    <row r="4418" spans="1:4" x14ac:dyDescent="0.3">
      <c r="A4418">
        <v>4206801</v>
      </c>
      <c r="B4418" t="s">
        <v>5246</v>
      </c>
      <c r="C4418">
        <v>-27.091549016055055</v>
      </c>
      <c r="D4418">
        <v>-51.368450261966068</v>
      </c>
    </row>
    <row r="4419" spans="1:4" x14ac:dyDescent="0.3">
      <c r="A4419">
        <v>4206900</v>
      </c>
      <c r="B4419" t="s">
        <v>5247</v>
      </c>
      <c r="C4419">
        <v>-27.053540884913808</v>
      </c>
      <c r="D4419">
        <v>-49.522027759225502</v>
      </c>
    </row>
    <row r="4420" spans="1:4" x14ac:dyDescent="0.3">
      <c r="A4420">
        <v>4207007</v>
      </c>
      <c r="B4420" t="s">
        <v>5248</v>
      </c>
      <c r="C4420">
        <v>-28.707084009204554</v>
      </c>
      <c r="D4420">
        <v>-49.300822578323128</v>
      </c>
    </row>
    <row r="4421" spans="1:4" x14ac:dyDescent="0.3">
      <c r="A4421">
        <v>4207106</v>
      </c>
      <c r="B4421" t="s">
        <v>5249</v>
      </c>
      <c r="C4421">
        <v>-26.904625183216702</v>
      </c>
      <c r="D4421">
        <v>-48.825014006389566</v>
      </c>
    </row>
    <row r="4422" spans="1:4" x14ac:dyDescent="0.3">
      <c r="A4422">
        <v>4207205</v>
      </c>
      <c r="B4422" t="s">
        <v>5250</v>
      </c>
      <c r="C4422">
        <v>-28.343849909525908</v>
      </c>
      <c r="D4422">
        <v>-48.814671719515189</v>
      </c>
    </row>
    <row r="4423" spans="1:4" x14ac:dyDescent="0.3">
      <c r="A4423">
        <v>4207304</v>
      </c>
      <c r="B4423" t="s">
        <v>5251</v>
      </c>
      <c r="C4423">
        <v>-28.239951114013103</v>
      </c>
      <c r="D4423">
        <v>-48.66928419692276</v>
      </c>
    </row>
    <row r="4424" spans="1:4" x14ac:dyDescent="0.3">
      <c r="A4424">
        <v>4207403</v>
      </c>
      <c r="B4424" t="s">
        <v>5252</v>
      </c>
      <c r="C4424">
        <v>-27.494604253636908</v>
      </c>
      <c r="D4424">
        <v>-49.427729344991761</v>
      </c>
    </row>
    <row r="4425" spans="1:4" x14ac:dyDescent="0.3">
      <c r="A4425">
        <v>4207502</v>
      </c>
      <c r="B4425" t="s">
        <v>5253</v>
      </c>
      <c r="C4425">
        <v>-26.906255999237956</v>
      </c>
      <c r="D4425">
        <v>-49.240140460014601</v>
      </c>
    </row>
    <row r="4426" spans="1:4" x14ac:dyDescent="0.3">
      <c r="A4426">
        <v>4207577</v>
      </c>
      <c r="B4426" t="s">
        <v>5254</v>
      </c>
      <c r="C4426">
        <v>-27.001078050786752</v>
      </c>
      <c r="D4426">
        <v>-51.240619097875808</v>
      </c>
    </row>
    <row r="4427" spans="1:4" x14ac:dyDescent="0.3">
      <c r="A4427">
        <v>4207601</v>
      </c>
      <c r="B4427" t="s">
        <v>2940</v>
      </c>
      <c r="C4427">
        <v>-27.409708848228508</v>
      </c>
      <c r="D4427">
        <v>-51.770853618911524</v>
      </c>
    </row>
    <row r="4428" spans="1:4" x14ac:dyDescent="0.3">
      <c r="A4428">
        <v>4207650</v>
      </c>
      <c r="B4428" t="s">
        <v>5255</v>
      </c>
      <c r="C4428">
        <v>-26.996016679344454</v>
      </c>
      <c r="D4428">
        <v>-53.539511884306869</v>
      </c>
    </row>
    <row r="4429" spans="1:4" x14ac:dyDescent="0.3">
      <c r="A4429">
        <v>4207684</v>
      </c>
      <c r="B4429" t="s">
        <v>5256</v>
      </c>
      <c r="C4429">
        <v>-26.63256009768175</v>
      </c>
      <c r="D4429">
        <v>-52.454296911798011</v>
      </c>
    </row>
    <row r="4430" spans="1:4" x14ac:dyDescent="0.3">
      <c r="A4430">
        <v>4207700</v>
      </c>
      <c r="B4430" t="s">
        <v>5257</v>
      </c>
      <c r="C4430">
        <v>-27.068326363772506</v>
      </c>
      <c r="D4430">
        <v>-52.140540866767182</v>
      </c>
    </row>
    <row r="4431" spans="1:4" x14ac:dyDescent="0.3">
      <c r="A4431">
        <v>4207759</v>
      </c>
      <c r="B4431" t="s">
        <v>5258</v>
      </c>
      <c r="C4431">
        <v>-26.824065031575657</v>
      </c>
      <c r="D4431">
        <v>-53.276057794040426</v>
      </c>
    </row>
    <row r="4432" spans="1:4" x14ac:dyDescent="0.3">
      <c r="A4432">
        <v>4207809</v>
      </c>
      <c r="B4432" t="s">
        <v>5259</v>
      </c>
      <c r="C4432">
        <v>-27.016186689115951</v>
      </c>
      <c r="D4432">
        <v>-51.904107924029418</v>
      </c>
    </row>
    <row r="4433" spans="1:4" x14ac:dyDescent="0.3">
      <c r="A4433">
        <v>4207858</v>
      </c>
      <c r="B4433" t="s">
        <v>4924</v>
      </c>
      <c r="C4433">
        <v>-26.657226944800005</v>
      </c>
      <c r="D4433">
        <v>-52.895011356307798</v>
      </c>
    </row>
    <row r="4434" spans="1:4" x14ac:dyDescent="0.3">
      <c r="A4434">
        <v>4207908</v>
      </c>
      <c r="B4434" t="s">
        <v>5260</v>
      </c>
      <c r="C4434">
        <v>-26.236612937102258</v>
      </c>
      <c r="D4434">
        <v>-50.803900049813095</v>
      </c>
    </row>
    <row r="4435" spans="1:4" x14ac:dyDescent="0.3">
      <c r="A4435">
        <v>4208005</v>
      </c>
      <c r="B4435" t="s">
        <v>5261</v>
      </c>
      <c r="C4435">
        <v>-27.281778717475909</v>
      </c>
      <c r="D4435">
        <v>-52.329182516327151</v>
      </c>
    </row>
    <row r="4436" spans="1:4" x14ac:dyDescent="0.3">
      <c r="A4436">
        <v>4208104</v>
      </c>
      <c r="B4436" t="s">
        <v>5262</v>
      </c>
      <c r="C4436">
        <v>-26.337126411218804</v>
      </c>
      <c r="D4436">
        <v>-49.908756202223088</v>
      </c>
    </row>
    <row r="4437" spans="1:4" x14ac:dyDescent="0.3">
      <c r="A4437">
        <v>4208203</v>
      </c>
      <c r="B4437" t="s">
        <v>5263</v>
      </c>
      <c r="C4437">
        <v>-26.907426239799456</v>
      </c>
      <c r="D4437">
        <v>-48.657023208348832</v>
      </c>
    </row>
    <row r="4438" spans="1:4" x14ac:dyDescent="0.3">
      <c r="A4438">
        <v>4208302</v>
      </c>
      <c r="B4438" t="s">
        <v>5264</v>
      </c>
      <c r="C4438">
        <v>-27.095937883685604</v>
      </c>
      <c r="D4438">
        <v>-48.617399386142274</v>
      </c>
    </row>
    <row r="4439" spans="1:4" x14ac:dyDescent="0.3">
      <c r="A4439">
        <v>4208401</v>
      </c>
      <c r="B4439" t="s">
        <v>1140</v>
      </c>
      <c r="C4439">
        <v>-27.175375089490405</v>
      </c>
      <c r="D4439">
        <v>-53.7148020649025</v>
      </c>
    </row>
    <row r="4440" spans="1:4" x14ac:dyDescent="0.3">
      <c r="A4440">
        <v>4208450</v>
      </c>
      <c r="B4440" t="s">
        <v>5265</v>
      </c>
      <c r="C4440">
        <v>-26.006047887014457</v>
      </c>
      <c r="D4440">
        <v>-48.604167607077557</v>
      </c>
    </row>
    <row r="4441" spans="1:4" x14ac:dyDescent="0.3">
      <c r="A4441">
        <v>4208500</v>
      </c>
      <c r="B4441" t="s">
        <v>5266</v>
      </c>
      <c r="C4441">
        <v>-27.414858490667452</v>
      </c>
      <c r="D4441">
        <v>-49.603414701132955</v>
      </c>
    </row>
    <row r="4442" spans="1:4" x14ac:dyDescent="0.3">
      <c r="A4442">
        <v>4208609</v>
      </c>
      <c r="B4442" t="s">
        <v>5267</v>
      </c>
      <c r="C4442">
        <v>-27.172853086874703</v>
      </c>
      <c r="D4442">
        <v>-51.743353839013295</v>
      </c>
    </row>
    <row r="4443" spans="1:4" x14ac:dyDescent="0.3">
      <c r="A4443">
        <v>4208708</v>
      </c>
      <c r="B4443" t="s">
        <v>5268</v>
      </c>
      <c r="C4443">
        <v>-29.001418613823457</v>
      </c>
      <c r="D4443">
        <v>-49.761768656405998</v>
      </c>
    </row>
    <row r="4444" spans="1:4" x14ac:dyDescent="0.3">
      <c r="A4444">
        <v>4208807</v>
      </c>
      <c r="B4444" t="s">
        <v>5269</v>
      </c>
      <c r="C4444">
        <v>-28.624963689219452</v>
      </c>
      <c r="D4444">
        <v>-49.049128986085236</v>
      </c>
    </row>
    <row r="4445" spans="1:4" x14ac:dyDescent="0.3">
      <c r="A4445">
        <v>4208906</v>
      </c>
      <c r="B4445" t="s">
        <v>5270</v>
      </c>
      <c r="C4445">
        <v>-26.490484349413506</v>
      </c>
      <c r="D4445">
        <v>-49.076298822802237</v>
      </c>
    </row>
    <row r="4446" spans="1:4" x14ac:dyDescent="0.3">
      <c r="A4446">
        <v>4208955</v>
      </c>
      <c r="B4446" t="s">
        <v>4443</v>
      </c>
      <c r="C4446">
        <v>-26.720569403503053</v>
      </c>
      <c r="D4446">
        <v>-52.858899256049405</v>
      </c>
    </row>
    <row r="4447" spans="1:4" x14ac:dyDescent="0.3">
      <c r="A4447">
        <v>4209003</v>
      </c>
      <c r="B4447" t="s">
        <v>5271</v>
      </c>
      <c r="C4447">
        <v>-27.173944529232802</v>
      </c>
      <c r="D4447">
        <v>-51.506689733337744</v>
      </c>
    </row>
    <row r="4448" spans="1:4" x14ac:dyDescent="0.3">
      <c r="A4448">
        <v>4209102</v>
      </c>
      <c r="B4448" t="s">
        <v>5272</v>
      </c>
      <c r="C4448">
        <v>-26.304517648654056</v>
      </c>
      <c r="D4448">
        <v>-48.84940914323797</v>
      </c>
    </row>
    <row r="4449" spans="1:4" x14ac:dyDescent="0.3">
      <c r="A4449">
        <v>4209151</v>
      </c>
      <c r="B4449" t="s">
        <v>5273</v>
      </c>
      <c r="C4449">
        <v>-26.954682616568761</v>
      </c>
      <c r="D4449">
        <v>-49.623806686487455</v>
      </c>
    </row>
    <row r="4450" spans="1:4" x14ac:dyDescent="0.3">
      <c r="A4450">
        <v>4209177</v>
      </c>
      <c r="B4450" t="s">
        <v>5274</v>
      </c>
      <c r="C4450">
        <v>-26.393702818028952</v>
      </c>
      <c r="D4450">
        <v>-52.734380540757904</v>
      </c>
    </row>
    <row r="4451" spans="1:4" x14ac:dyDescent="0.3">
      <c r="A4451">
        <v>4209201</v>
      </c>
      <c r="B4451" t="s">
        <v>5275</v>
      </c>
      <c r="C4451">
        <v>-27.264600091221851</v>
      </c>
      <c r="D4451">
        <v>-51.562866369079835</v>
      </c>
    </row>
    <row r="4452" spans="1:4" x14ac:dyDescent="0.3">
      <c r="A4452">
        <v>4209300</v>
      </c>
      <c r="B4452" t="s">
        <v>5276</v>
      </c>
      <c r="C4452">
        <v>-27.817259463113704</v>
      </c>
      <c r="D4452">
        <v>-50.330222424189508</v>
      </c>
    </row>
    <row r="4453" spans="1:4" x14ac:dyDescent="0.3">
      <c r="A4453">
        <v>4209409</v>
      </c>
      <c r="B4453" t="s">
        <v>5277</v>
      </c>
      <c r="C4453">
        <v>-28.483585953911952</v>
      </c>
      <c r="D4453">
        <v>-48.781388621799358</v>
      </c>
    </row>
    <row r="4454" spans="1:4" x14ac:dyDescent="0.3">
      <c r="A4454">
        <v>4209458</v>
      </c>
      <c r="B4454" t="s">
        <v>5278</v>
      </c>
      <c r="C4454">
        <v>-26.860942345611107</v>
      </c>
      <c r="D4454">
        <v>-52.566034849543193</v>
      </c>
    </row>
    <row r="4455" spans="1:4" x14ac:dyDescent="0.3">
      <c r="A4455">
        <v>4209508</v>
      </c>
      <c r="B4455" t="s">
        <v>5279</v>
      </c>
      <c r="C4455">
        <v>-27.212388101601849</v>
      </c>
      <c r="D4455">
        <v>-49.755263660979921</v>
      </c>
    </row>
    <row r="4456" spans="1:4" x14ac:dyDescent="0.3">
      <c r="A4456">
        <v>4209607</v>
      </c>
      <c r="B4456" t="s">
        <v>5280</v>
      </c>
      <c r="C4456">
        <v>-28.393585165262852</v>
      </c>
      <c r="D4456">
        <v>-49.394307267247434</v>
      </c>
    </row>
    <row r="4457" spans="1:4" x14ac:dyDescent="0.3">
      <c r="A4457">
        <v>4209706</v>
      </c>
      <c r="B4457" t="s">
        <v>5281</v>
      </c>
      <c r="C4457">
        <v>-26.929114011170004</v>
      </c>
      <c r="D4457">
        <v>-50.691827864448136</v>
      </c>
    </row>
    <row r="4458" spans="1:4" x14ac:dyDescent="0.3">
      <c r="A4458">
        <v>4209805</v>
      </c>
      <c r="B4458" t="s">
        <v>5282</v>
      </c>
      <c r="C4458">
        <v>-27.506389515656657</v>
      </c>
      <c r="D4458">
        <v>-49.289401498979935</v>
      </c>
    </row>
    <row r="4459" spans="1:4" x14ac:dyDescent="0.3">
      <c r="A4459">
        <v>4209854</v>
      </c>
      <c r="B4459" t="s">
        <v>5283</v>
      </c>
      <c r="C4459">
        <v>-27.047464481481654</v>
      </c>
      <c r="D4459">
        <v>-52.08092264419853</v>
      </c>
    </row>
    <row r="4460" spans="1:4" x14ac:dyDescent="0.3">
      <c r="A4460">
        <v>4209904</v>
      </c>
      <c r="B4460" t="s">
        <v>5284</v>
      </c>
      <c r="C4460">
        <v>-27.157486563725488</v>
      </c>
      <c r="D4460">
        <v>-49.544829354684218</v>
      </c>
    </row>
    <row r="4461" spans="1:4" x14ac:dyDescent="0.3">
      <c r="A4461">
        <v>4210001</v>
      </c>
      <c r="B4461" t="s">
        <v>5285</v>
      </c>
      <c r="C4461">
        <v>-26.721110786695505</v>
      </c>
      <c r="D4461">
        <v>-48.926046772299408</v>
      </c>
    </row>
    <row r="4462" spans="1:4" x14ac:dyDescent="0.3">
      <c r="A4462">
        <v>4210035</v>
      </c>
      <c r="B4462" t="s">
        <v>5286</v>
      </c>
      <c r="C4462">
        <v>-27.129896069211053</v>
      </c>
      <c r="D4462">
        <v>-51.467946043203312</v>
      </c>
    </row>
    <row r="4463" spans="1:4" x14ac:dyDescent="0.3">
      <c r="A4463">
        <v>4210050</v>
      </c>
      <c r="B4463" t="s">
        <v>5287</v>
      </c>
      <c r="C4463">
        <v>-26.855212388547901</v>
      </c>
      <c r="D4463">
        <v>-51.376121976956114</v>
      </c>
    </row>
    <row r="4464" spans="1:4" x14ac:dyDescent="0.3">
      <c r="A4464">
        <v>4210100</v>
      </c>
      <c r="B4464" t="s">
        <v>5288</v>
      </c>
      <c r="C4464">
        <v>-26.115228494253653</v>
      </c>
      <c r="D4464">
        <v>-49.801037528269212</v>
      </c>
    </row>
    <row r="4465" spans="1:4" x14ac:dyDescent="0.3">
      <c r="A4465">
        <v>4210209</v>
      </c>
      <c r="B4465" t="s">
        <v>5289</v>
      </c>
      <c r="C4465">
        <v>-27.418660413420554</v>
      </c>
      <c r="D4465">
        <v>-48.953353958887838</v>
      </c>
    </row>
    <row r="4466" spans="1:4" x14ac:dyDescent="0.3">
      <c r="A4466">
        <v>4210308</v>
      </c>
      <c r="B4466" t="s">
        <v>5290</v>
      </c>
      <c r="C4466">
        <v>-26.357526536006009</v>
      </c>
      <c r="D4466">
        <v>-50.332986843316839</v>
      </c>
    </row>
    <row r="4467" spans="1:4" x14ac:dyDescent="0.3">
      <c r="A4467">
        <v>4210407</v>
      </c>
      <c r="B4467" t="s">
        <v>5291</v>
      </c>
      <c r="C4467">
        <v>-28.850314606974557</v>
      </c>
      <c r="D4467">
        <v>-49.454376324593198</v>
      </c>
    </row>
    <row r="4468" spans="1:4" x14ac:dyDescent="0.3">
      <c r="A4468">
        <v>4210506</v>
      </c>
      <c r="B4468" t="s">
        <v>2660</v>
      </c>
      <c r="C4468">
        <v>-26.761623947261807</v>
      </c>
      <c r="D4468">
        <v>-53.17481881589498</v>
      </c>
    </row>
    <row r="4469" spans="1:4" x14ac:dyDescent="0.3">
      <c r="A4469">
        <v>4210555</v>
      </c>
      <c r="B4469" t="s">
        <v>5292</v>
      </c>
      <c r="C4469">
        <v>-26.800421908754405</v>
      </c>
      <c r="D4469">
        <v>-52.627135410055914</v>
      </c>
    </row>
    <row r="4470" spans="1:4" x14ac:dyDescent="0.3">
      <c r="A4470">
        <v>4210605</v>
      </c>
      <c r="B4470" t="s">
        <v>2356</v>
      </c>
      <c r="C4470">
        <v>-26.595458014667653</v>
      </c>
      <c r="D4470">
        <v>-48.988744662714304</v>
      </c>
    </row>
    <row r="4471" spans="1:4" x14ac:dyDescent="0.3">
      <c r="A4471">
        <v>4210704</v>
      </c>
      <c r="B4471" t="s">
        <v>5293</v>
      </c>
      <c r="C4471">
        <v>-26.474115435202457</v>
      </c>
      <c r="D4471">
        <v>-51.157451443610157</v>
      </c>
    </row>
    <row r="4472" spans="1:4" x14ac:dyDescent="0.3">
      <c r="A4472">
        <v>4210803</v>
      </c>
      <c r="B4472" t="s">
        <v>5294</v>
      </c>
      <c r="C4472">
        <v>-28.832445820860801</v>
      </c>
      <c r="D4472">
        <v>-49.62984936022486</v>
      </c>
    </row>
    <row r="4473" spans="1:4" x14ac:dyDescent="0.3">
      <c r="A4473">
        <v>4210852</v>
      </c>
      <c r="B4473" t="s">
        <v>5295</v>
      </c>
      <c r="C4473">
        <v>-27.201205083137509</v>
      </c>
      <c r="D4473">
        <v>-50.068563712375386</v>
      </c>
    </row>
    <row r="4474" spans="1:4" x14ac:dyDescent="0.3">
      <c r="A4474">
        <v>4210902</v>
      </c>
      <c r="B4474" t="s">
        <v>5296</v>
      </c>
      <c r="C4474">
        <v>-26.778042075696156</v>
      </c>
      <c r="D4474">
        <v>-53.053500799237916</v>
      </c>
    </row>
    <row r="4475" spans="1:4" x14ac:dyDescent="0.3">
      <c r="A4475">
        <v>4211009</v>
      </c>
      <c r="B4475" t="s">
        <v>5297</v>
      </c>
      <c r="C4475">
        <v>-27.103611694103307</v>
      </c>
      <c r="D4475">
        <v>-53.398684027918726</v>
      </c>
    </row>
    <row r="4476" spans="1:4" x14ac:dyDescent="0.3">
      <c r="A4476">
        <v>4211058</v>
      </c>
      <c r="B4476" t="s">
        <v>5298</v>
      </c>
      <c r="C4476">
        <v>-27.217678802078954</v>
      </c>
      <c r="D4476">
        <v>-50.974104678032504</v>
      </c>
    </row>
    <row r="4477" spans="1:4" x14ac:dyDescent="0.3">
      <c r="A4477">
        <v>4211108</v>
      </c>
      <c r="B4477" t="s">
        <v>4512</v>
      </c>
      <c r="C4477">
        <v>-26.456362472163203</v>
      </c>
      <c r="D4477">
        <v>-50.226271432884332</v>
      </c>
    </row>
    <row r="4478" spans="1:4" x14ac:dyDescent="0.3">
      <c r="A4478">
        <v>4211207</v>
      </c>
      <c r="B4478" t="s">
        <v>5299</v>
      </c>
      <c r="C4478">
        <v>-28.654787843039607</v>
      </c>
      <c r="D4478">
        <v>-49.213256508437674</v>
      </c>
    </row>
    <row r="4479" spans="1:4" x14ac:dyDescent="0.3">
      <c r="A4479">
        <v>4211256</v>
      </c>
      <c r="B4479" t="s">
        <v>5300</v>
      </c>
      <c r="C4479">
        <v>-28.799719536658607</v>
      </c>
      <c r="D4479">
        <v>-49.718799983841755</v>
      </c>
    </row>
    <row r="4480" spans="1:4" x14ac:dyDescent="0.3">
      <c r="A4480">
        <v>4211306</v>
      </c>
      <c r="B4480" t="s">
        <v>5301</v>
      </c>
      <c r="C4480">
        <v>-26.897439119271155</v>
      </c>
      <c r="D4480">
        <v>-48.649182902509139</v>
      </c>
    </row>
    <row r="4481" spans="1:4" x14ac:dyDescent="0.3">
      <c r="A4481">
        <v>4211405</v>
      </c>
      <c r="B4481" t="s">
        <v>5302</v>
      </c>
      <c r="C4481">
        <v>-26.901273398081855</v>
      </c>
      <c r="D4481">
        <v>-52.91128666543861</v>
      </c>
    </row>
    <row r="4482" spans="1:4" x14ac:dyDescent="0.3">
      <c r="A4482">
        <v>4211454</v>
      </c>
      <c r="B4482" t="s">
        <v>5303</v>
      </c>
      <c r="C4482">
        <v>-26.942889883636255</v>
      </c>
      <c r="D4482">
        <v>-52.811244054889976</v>
      </c>
    </row>
    <row r="4483" spans="1:4" x14ac:dyDescent="0.3">
      <c r="A4483">
        <v>4211504</v>
      </c>
      <c r="B4483" t="s">
        <v>5304</v>
      </c>
      <c r="C4483">
        <v>-27.287771166785554</v>
      </c>
      <c r="D4483">
        <v>-48.925795432934521</v>
      </c>
    </row>
    <row r="4484" spans="1:4" x14ac:dyDescent="0.3">
      <c r="A4484">
        <v>4211603</v>
      </c>
      <c r="B4484" t="s">
        <v>5305</v>
      </c>
      <c r="C4484">
        <v>-28.638232602300956</v>
      </c>
      <c r="D4484">
        <v>-49.503123581732169</v>
      </c>
    </row>
    <row r="4485" spans="1:4" x14ac:dyDescent="0.3">
      <c r="A4485">
        <v>4211652</v>
      </c>
      <c r="B4485" t="s">
        <v>3050</v>
      </c>
      <c r="C4485">
        <v>-26.446171990206757</v>
      </c>
      <c r="D4485">
        <v>-52.834033390485288</v>
      </c>
    </row>
    <row r="4486" spans="1:4" x14ac:dyDescent="0.3">
      <c r="A4486">
        <v>4211702</v>
      </c>
      <c r="B4486" t="s">
        <v>5306</v>
      </c>
      <c r="C4486">
        <v>-28.360468966285506</v>
      </c>
      <c r="D4486">
        <v>-49.291426291101715</v>
      </c>
    </row>
    <row r="4487" spans="1:4" x14ac:dyDescent="0.3">
      <c r="A4487">
        <v>4211751</v>
      </c>
      <c r="B4487" t="s">
        <v>5307</v>
      </c>
      <c r="C4487">
        <v>-27.503846175008253</v>
      </c>
      <c r="D4487">
        <v>-50.112314689129128</v>
      </c>
    </row>
    <row r="4488" spans="1:4" x14ac:dyDescent="0.3">
      <c r="A4488">
        <v>4211801</v>
      </c>
      <c r="B4488" t="s">
        <v>5308</v>
      </c>
      <c r="C4488">
        <v>-27.342488172435708</v>
      </c>
      <c r="D4488">
        <v>-51.620562178213966</v>
      </c>
    </row>
    <row r="4489" spans="1:4" x14ac:dyDescent="0.3">
      <c r="A4489">
        <v>4211850</v>
      </c>
      <c r="B4489" t="s">
        <v>4550</v>
      </c>
      <c r="C4489">
        <v>-26.695994419577854</v>
      </c>
      <c r="D4489">
        <v>-52.310019201442593</v>
      </c>
    </row>
    <row r="4490" spans="1:4" x14ac:dyDescent="0.3">
      <c r="A4490">
        <v>4211876</v>
      </c>
      <c r="B4490" t="s">
        <v>5309</v>
      </c>
      <c r="C4490">
        <v>-27.255157794113501</v>
      </c>
      <c r="D4490">
        <v>-52.501088749273528</v>
      </c>
    </row>
    <row r="4491" spans="1:4" x14ac:dyDescent="0.3">
      <c r="A4491">
        <v>4211892</v>
      </c>
      <c r="B4491" t="s">
        <v>5310</v>
      </c>
      <c r="C4491">
        <v>-27.914518185427752</v>
      </c>
      <c r="D4491">
        <v>-50.113009740979315</v>
      </c>
    </row>
    <row r="4492" spans="1:4" x14ac:dyDescent="0.3">
      <c r="A4492">
        <v>4211900</v>
      </c>
      <c r="B4492" t="s">
        <v>5311</v>
      </c>
      <c r="C4492">
        <v>-27.647043683690701</v>
      </c>
      <c r="D4492">
        <v>-48.670287918712241</v>
      </c>
    </row>
    <row r="4493" spans="1:4" x14ac:dyDescent="0.3">
      <c r="A4493">
        <v>4212007</v>
      </c>
      <c r="B4493" t="s">
        <v>5312</v>
      </c>
      <c r="C4493">
        <v>-26.346508133803454</v>
      </c>
      <c r="D4493">
        <v>-53.279977251209196</v>
      </c>
    </row>
    <row r="4494" spans="1:4" x14ac:dyDescent="0.3">
      <c r="A4494">
        <v>4212056</v>
      </c>
      <c r="B4494" t="s">
        <v>5012</v>
      </c>
      <c r="C4494">
        <v>-27.582262070452359</v>
      </c>
      <c r="D4494">
        <v>-50.159001405592711</v>
      </c>
    </row>
    <row r="4495" spans="1:4" x14ac:dyDescent="0.3">
      <c r="A4495">
        <v>4212106</v>
      </c>
      <c r="B4495" t="s">
        <v>5313</v>
      </c>
      <c r="C4495">
        <v>-27.070250549168104</v>
      </c>
      <c r="D4495">
        <v>-53.162267292894875</v>
      </c>
    </row>
    <row r="4496" spans="1:4" x14ac:dyDescent="0.3">
      <c r="A4496">
        <v>4212205</v>
      </c>
      <c r="B4496" t="s">
        <v>5314</v>
      </c>
      <c r="C4496">
        <v>-26.393983070776553</v>
      </c>
      <c r="D4496">
        <v>-50.163204197322372</v>
      </c>
    </row>
    <row r="4497" spans="1:4" x14ac:dyDescent="0.3">
      <c r="A4497">
        <v>4212239</v>
      </c>
      <c r="B4497" t="s">
        <v>4558</v>
      </c>
      <c r="C4497">
        <v>-26.615262970792852</v>
      </c>
      <c r="D4497">
        <v>-53.675314131676664</v>
      </c>
    </row>
    <row r="4498" spans="1:4" x14ac:dyDescent="0.3">
      <c r="A4498">
        <v>4212254</v>
      </c>
      <c r="B4498" t="s">
        <v>5315</v>
      </c>
      <c r="C4498">
        <v>-29.323459905104354</v>
      </c>
      <c r="D4498">
        <v>-49.725145272462029</v>
      </c>
    </row>
    <row r="4499" spans="1:4" x14ac:dyDescent="0.3">
      <c r="A4499">
        <v>4212270</v>
      </c>
      <c r="B4499" t="s">
        <v>5316</v>
      </c>
      <c r="C4499">
        <v>-26.780889147192056</v>
      </c>
      <c r="D4499">
        <v>-52.061723800426968</v>
      </c>
    </row>
    <row r="4500" spans="1:4" x14ac:dyDescent="0.3">
      <c r="A4500">
        <v>4212304</v>
      </c>
      <c r="B4500" t="s">
        <v>5317</v>
      </c>
      <c r="C4500">
        <v>-27.949816232586951</v>
      </c>
      <c r="D4500">
        <v>-48.681495413588713</v>
      </c>
    </row>
    <row r="4501" spans="1:4" x14ac:dyDescent="0.3">
      <c r="A4501">
        <v>4212403</v>
      </c>
      <c r="B4501" t="s">
        <v>5318</v>
      </c>
      <c r="C4501">
        <v>-28.437217649745708</v>
      </c>
      <c r="D4501">
        <v>-49.18648754735603</v>
      </c>
    </row>
    <row r="4502" spans="1:4" x14ac:dyDescent="0.3">
      <c r="A4502">
        <v>4212502</v>
      </c>
      <c r="B4502" t="s">
        <v>5319</v>
      </c>
      <c r="C4502">
        <v>-26.768861092743254</v>
      </c>
      <c r="D4502">
        <v>-48.647572911269826</v>
      </c>
    </row>
    <row r="4503" spans="1:4" x14ac:dyDescent="0.3">
      <c r="A4503">
        <v>4212601</v>
      </c>
      <c r="B4503" t="s">
        <v>5320</v>
      </c>
      <c r="C4503">
        <v>-27.377309281499805</v>
      </c>
      <c r="D4503">
        <v>-51.909814667051492</v>
      </c>
    </row>
    <row r="4504" spans="1:4" x14ac:dyDescent="0.3">
      <c r="A4504">
        <v>4212700</v>
      </c>
      <c r="B4504" t="s">
        <v>2562</v>
      </c>
      <c r="C4504">
        <v>-27.528126833000304</v>
      </c>
      <c r="D4504">
        <v>-49.694868623100746</v>
      </c>
    </row>
    <row r="4505" spans="1:4" x14ac:dyDescent="0.3">
      <c r="A4505">
        <v>4212809</v>
      </c>
      <c r="B4505" t="s">
        <v>5321</v>
      </c>
      <c r="C4505">
        <v>-26.769170538502856</v>
      </c>
      <c r="D4505">
        <v>-48.675051353998704</v>
      </c>
    </row>
    <row r="4506" spans="1:4" x14ac:dyDescent="0.3">
      <c r="A4506">
        <v>4212908</v>
      </c>
      <c r="B4506" t="s">
        <v>4586</v>
      </c>
      <c r="C4506">
        <v>-26.848814334220108</v>
      </c>
      <c r="D4506">
        <v>-52.982253245130806</v>
      </c>
    </row>
    <row r="4507" spans="1:4" x14ac:dyDescent="0.3">
      <c r="A4507">
        <v>4213005</v>
      </c>
      <c r="B4507" t="s">
        <v>5322</v>
      </c>
      <c r="C4507">
        <v>-27.045134616051055</v>
      </c>
      <c r="D4507">
        <v>-51.230536483527402</v>
      </c>
    </row>
    <row r="4508" spans="1:4" x14ac:dyDescent="0.3">
      <c r="A4508">
        <v>4213104</v>
      </c>
      <c r="B4508" t="s">
        <v>5323</v>
      </c>
      <c r="C4508">
        <v>-27.415953551717653</v>
      </c>
      <c r="D4508">
        <v>-51.758649827612771</v>
      </c>
    </row>
    <row r="4509" spans="1:4" x14ac:dyDescent="0.3">
      <c r="A4509">
        <v>4213153</v>
      </c>
      <c r="B4509" t="s">
        <v>5324</v>
      </c>
      <c r="C4509">
        <v>-27.069459776079306</v>
      </c>
      <c r="D4509">
        <v>-52.867352030787075</v>
      </c>
    </row>
    <row r="4510" spans="1:4" x14ac:dyDescent="0.3">
      <c r="A4510">
        <v>4213203</v>
      </c>
      <c r="B4510" t="s">
        <v>5325</v>
      </c>
      <c r="C4510">
        <v>-26.744826396501853</v>
      </c>
      <c r="D4510">
        <v>-49.174197527400196</v>
      </c>
    </row>
    <row r="4511" spans="1:4" x14ac:dyDescent="0.3">
      <c r="A4511">
        <v>4213302</v>
      </c>
      <c r="B4511" t="s">
        <v>5326</v>
      </c>
      <c r="C4511">
        <v>-27.467784072792252</v>
      </c>
      <c r="D4511">
        <v>-50.37710065082068</v>
      </c>
    </row>
    <row r="4512" spans="1:4" x14ac:dyDescent="0.3">
      <c r="A4512">
        <v>4213351</v>
      </c>
      <c r="B4512" t="s">
        <v>5327</v>
      </c>
      <c r="C4512">
        <v>-27.169029182898079</v>
      </c>
      <c r="D4512">
        <v>-50.465404267765706</v>
      </c>
    </row>
    <row r="4513" spans="1:4" x14ac:dyDescent="0.3">
      <c r="A4513">
        <v>4213401</v>
      </c>
      <c r="B4513" t="s">
        <v>5328</v>
      </c>
      <c r="C4513">
        <v>-26.874912827643058</v>
      </c>
      <c r="D4513">
        <v>-52.014537512532982</v>
      </c>
    </row>
    <row r="4514" spans="1:4" x14ac:dyDescent="0.3">
      <c r="A4514">
        <v>4213500</v>
      </c>
      <c r="B4514" t="s">
        <v>5329</v>
      </c>
      <c r="C4514">
        <v>-27.1494662097186</v>
      </c>
      <c r="D4514">
        <v>-48.602756739584301</v>
      </c>
    </row>
    <row r="4515" spans="1:4" x14ac:dyDescent="0.3">
      <c r="A4515">
        <v>4213609</v>
      </c>
      <c r="B4515" t="s">
        <v>5330</v>
      </c>
      <c r="C4515">
        <v>-26.230004898086055</v>
      </c>
      <c r="D4515">
        <v>-51.081604633596577</v>
      </c>
    </row>
    <row r="4516" spans="1:4" x14ac:dyDescent="0.3">
      <c r="A4516">
        <v>4213708</v>
      </c>
      <c r="B4516" t="s">
        <v>5331</v>
      </c>
      <c r="C4516">
        <v>-27.251086278210558</v>
      </c>
      <c r="D4516">
        <v>-49.955652135519394</v>
      </c>
    </row>
    <row r="4517" spans="1:4" x14ac:dyDescent="0.3">
      <c r="A4517">
        <v>4213807</v>
      </c>
      <c r="B4517" t="s">
        <v>4615</v>
      </c>
      <c r="C4517">
        <v>-29.195776363617455</v>
      </c>
      <c r="D4517">
        <v>-49.960591976335998</v>
      </c>
    </row>
    <row r="4518" spans="1:4" x14ac:dyDescent="0.3">
      <c r="A4518">
        <v>4213906</v>
      </c>
      <c r="B4518" t="s">
        <v>5332</v>
      </c>
      <c r="C4518">
        <v>-27.219942194614607</v>
      </c>
      <c r="D4518">
        <v>-51.811375538246445</v>
      </c>
    </row>
    <row r="4519" spans="1:4" x14ac:dyDescent="0.3">
      <c r="A4519">
        <v>4214003</v>
      </c>
      <c r="B4519" t="s">
        <v>5333</v>
      </c>
      <c r="C4519">
        <v>-27.041408241123307</v>
      </c>
      <c r="D4519">
        <v>-49.622086169137894</v>
      </c>
    </row>
    <row r="4520" spans="1:4" x14ac:dyDescent="0.3">
      <c r="A4520">
        <v>4214102</v>
      </c>
      <c r="B4520" t="s">
        <v>5334</v>
      </c>
      <c r="C4520">
        <v>-27.287329214108507</v>
      </c>
      <c r="D4520">
        <v>-49.403292771088665</v>
      </c>
    </row>
    <row r="4521" spans="1:4" x14ac:dyDescent="0.3">
      <c r="A4521">
        <v>4214151</v>
      </c>
      <c r="B4521" t="s">
        <v>5335</v>
      </c>
      <c r="C4521">
        <v>-26.444335206820604</v>
      </c>
      <c r="D4521">
        <v>-53.598105875642482</v>
      </c>
    </row>
    <row r="4522" spans="1:4" x14ac:dyDescent="0.3">
      <c r="A4522">
        <v>4214201</v>
      </c>
      <c r="B4522" t="s">
        <v>5336</v>
      </c>
      <c r="C4522">
        <v>-26.740055549814105</v>
      </c>
      <c r="D4522">
        <v>-52.727609570087523</v>
      </c>
    </row>
    <row r="4523" spans="1:4" x14ac:dyDescent="0.3">
      <c r="A4523">
        <v>4214300</v>
      </c>
      <c r="B4523" t="s">
        <v>5337</v>
      </c>
      <c r="C4523">
        <v>-27.677208864110057</v>
      </c>
      <c r="D4523">
        <v>-49.008432379963892</v>
      </c>
    </row>
    <row r="4524" spans="1:4" x14ac:dyDescent="0.3">
      <c r="A4524">
        <v>4214409</v>
      </c>
      <c r="B4524" t="s">
        <v>5338</v>
      </c>
      <c r="C4524">
        <v>-26.897067435905406</v>
      </c>
      <c r="D4524">
        <v>-51.076019943170785</v>
      </c>
    </row>
    <row r="4525" spans="1:4" x14ac:dyDescent="0.3">
      <c r="A4525">
        <v>4214508</v>
      </c>
      <c r="B4525" t="s">
        <v>5339</v>
      </c>
      <c r="C4525">
        <v>-26.942308431128556</v>
      </c>
      <c r="D4525">
        <v>-50.139588913039148</v>
      </c>
    </row>
    <row r="4526" spans="1:4" x14ac:dyDescent="0.3">
      <c r="A4526">
        <v>4214607</v>
      </c>
      <c r="B4526" t="s">
        <v>5340</v>
      </c>
      <c r="C4526">
        <v>-27.191166518010053</v>
      </c>
      <c r="D4526">
        <v>-49.802862216701129</v>
      </c>
    </row>
    <row r="4527" spans="1:4" x14ac:dyDescent="0.3">
      <c r="A4527">
        <v>4214706</v>
      </c>
      <c r="B4527" t="s">
        <v>5341</v>
      </c>
      <c r="C4527">
        <v>-26.749129816162558</v>
      </c>
      <c r="D4527">
        <v>-49.272379443568504</v>
      </c>
    </row>
    <row r="4528" spans="1:4" x14ac:dyDescent="0.3">
      <c r="A4528">
        <v>4214805</v>
      </c>
      <c r="B4528" t="s">
        <v>5342</v>
      </c>
      <c r="C4528">
        <v>-27.217903225438857</v>
      </c>
      <c r="D4528">
        <v>-49.643237529098343</v>
      </c>
    </row>
    <row r="4529" spans="1:4" x14ac:dyDescent="0.3">
      <c r="A4529">
        <v>4214904</v>
      </c>
      <c r="B4529" t="s">
        <v>5343</v>
      </c>
      <c r="C4529">
        <v>-28.132591388637852</v>
      </c>
      <c r="D4529">
        <v>-49.105093802571034</v>
      </c>
    </row>
    <row r="4530" spans="1:4" x14ac:dyDescent="0.3">
      <c r="A4530">
        <v>4215000</v>
      </c>
      <c r="B4530" t="s">
        <v>5344</v>
      </c>
      <c r="C4530">
        <v>-26.255325027927004</v>
      </c>
      <c r="D4530">
        <v>-49.51729507558565</v>
      </c>
    </row>
    <row r="4531" spans="1:4" x14ac:dyDescent="0.3">
      <c r="A4531">
        <v>4215059</v>
      </c>
      <c r="B4531" t="s">
        <v>5345</v>
      </c>
      <c r="C4531">
        <v>-27.863235479243006</v>
      </c>
      <c r="D4531">
        <v>-49.777591804269512</v>
      </c>
    </row>
    <row r="4532" spans="1:4" x14ac:dyDescent="0.3">
      <c r="A4532">
        <v>4215075</v>
      </c>
      <c r="B4532" t="s">
        <v>5346</v>
      </c>
      <c r="C4532">
        <v>-27.067594164579553</v>
      </c>
      <c r="D4532">
        <v>-53.325286211509905</v>
      </c>
    </row>
    <row r="4533" spans="1:4" x14ac:dyDescent="0.3">
      <c r="A4533">
        <v>4215109</v>
      </c>
      <c r="B4533" t="s">
        <v>5347</v>
      </c>
      <c r="C4533">
        <v>-26.943501668370757</v>
      </c>
      <c r="D4533">
        <v>-49.304707233463553</v>
      </c>
    </row>
    <row r="4534" spans="1:4" x14ac:dyDescent="0.3">
      <c r="A4534">
        <v>4215208</v>
      </c>
      <c r="B4534" t="s">
        <v>5348</v>
      </c>
      <c r="C4534">
        <v>-26.679463563118006</v>
      </c>
      <c r="D4534">
        <v>-53.32015840004599</v>
      </c>
    </row>
    <row r="4535" spans="1:4" x14ac:dyDescent="0.3">
      <c r="A4535">
        <v>4215307</v>
      </c>
      <c r="B4535" t="s">
        <v>5349</v>
      </c>
      <c r="C4535">
        <v>-26.975244333431455</v>
      </c>
      <c r="D4535">
        <v>-50.001730731096181</v>
      </c>
    </row>
    <row r="4536" spans="1:4" x14ac:dyDescent="0.3">
      <c r="A4536">
        <v>4215356</v>
      </c>
      <c r="B4536" t="s">
        <v>4660</v>
      </c>
      <c r="C4536">
        <v>-26.608558919573404</v>
      </c>
      <c r="D4536">
        <v>-53.058631248926005</v>
      </c>
    </row>
    <row r="4537" spans="1:4" x14ac:dyDescent="0.3">
      <c r="A4537">
        <v>4215406</v>
      </c>
      <c r="B4537" t="s">
        <v>5350</v>
      </c>
      <c r="C4537">
        <v>-26.903164607691657</v>
      </c>
      <c r="D4537">
        <v>-51.405208077956928</v>
      </c>
    </row>
    <row r="4538" spans="1:4" x14ac:dyDescent="0.3">
      <c r="A4538">
        <v>4215455</v>
      </c>
      <c r="B4538" t="s">
        <v>5351</v>
      </c>
      <c r="C4538">
        <v>-28.633222922912204</v>
      </c>
      <c r="D4538">
        <v>-49.134029864198666</v>
      </c>
    </row>
    <row r="4539" spans="1:4" x14ac:dyDescent="0.3">
      <c r="A4539">
        <v>4215505</v>
      </c>
      <c r="B4539" t="s">
        <v>2401</v>
      </c>
      <c r="C4539">
        <v>-26.956900744614103</v>
      </c>
      <c r="D4539">
        <v>-50.422901620340461</v>
      </c>
    </row>
    <row r="4540" spans="1:4" x14ac:dyDescent="0.3">
      <c r="A4540">
        <v>4215554</v>
      </c>
      <c r="B4540" t="s">
        <v>1628</v>
      </c>
      <c r="C4540">
        <v>-26.93984392364025</v>
      </c>
      <c r="D4540">
        <v>-53.619987873937916</v>
      </c>
    </row>
    <row r="4541" spans="1:4" x14ac:dyDescent="0.3">
      <c r="A4541">
        <v>4215604</v>
      </c>
      <c r="B4541" t="s">
        <v>2767</v>
      </c>
      <c r="C4541">
        <v>-28.035605572843206</v>
      </c>
      <c r="D4541">
        <v>-49.125091302939367</v>
      </c>
    </row>
    <row r="4542" spans="1:4" x14ac:dyDescent="0.3">
      <c r="A4542">
        <v>4215653</v>
      </c>
      <c r="B4542" t="s">
        <v>5352</v>
      </c>
      <c r="C4542">
        <v>-29.135288218564302</v>
      </c>
      <c r="D4542">
        <v>-49.717626373592402</v>
      </c>
    </row>
    <row r="4543" spans="1:4" x14ac:dyDescent="0.3">
      <c r="A4543">
        <v>4215679</v>
      </c>
      <c r="B4543" t="s">
        <v>2579</v>
      </c>
      <c r="C4543">
        <v>-26.780982353953057</v>
      </c>
      <c r="D4543">
        <v>-50.005529187144077</v>
      </c>
    </row>
    <row r="4544" spans="1:4" x14ac:dyDescent="0.3">
      <c r="A4544">
        <v>4215687</v>
      </c>
      <c r="B4544" t="s">
        <v>5353</v>
      </c>
      <c r="C4544">
        <v>-26.619775573866452</v>
      </c>
      <c r="D4544">
        <v>-53.19984696165686</v>
      </c>
    </row>
    <row r="4545" spans="1:4" x14ac:dyDescent="0.3">
      <c r="A4545">
        <v>4215695</v>
      </c>
      <c r="B4545" t="s">
        <v>5354</v>
      </c>
      <c r="C4545">
        <v>-26.634809090896557</v>
      </c>
      <c r="D4545">
        <v>-52.675949479346961</v>
      </c>
    </row>
    <row r="4546" spans="1:4" x14ac:dyDescent="0.3">
      <c r="A4546">
        <v>4215703</v>
      </c>
      <c r="B4546" t="s">
        <v>5355</v>
      </c>
      <c r="C4546">
        <v>-27.689747758461806</v>
      </c>
      <c r="D4546">
        <v>-48.780239921372143</v>
      </c>
    </row>
    <row r="4547" spans="1:4" x14ac:dyDescent="0.3">
      <c r="A4547">
        <v>4215752</v>
      </c>
      <c r="B4547" t="s">
        <v>5356</v>
      </c>
      <c r="C4547">
        <v>-26.473278246255756</v>
      </c>
      <c r="D4547">
        <v>-52.965538739737447</v>
      </c>
    </row>
    <row r="4548" spans="1:4" x14ac:dyDescent="0.3">
      <c r="A4548">
        <v>4215802</v>
      </c>
      <c r="B4548" t="s">
        <v>5357</v>
      </c>
      <c r="C4548">
        <v>-26.249485418539205</v>
      </c>
      <c r="D4548">
        <v>-49.386978895134533</v>
      </c>
    </row>
    <row r="4549" spans="1:4" x14ac:dyDescent="0.3">
      <c r="A4549">
        <v>4215901</v>
      </c>
      <c r="B4549" t="s">
        <v>5358</v>
      </c>
      <c r="C4549">
        <v>-27.896496698526057</v>
      </c>
      <c r="D4549">
        <v>-48.929311958596166</v>
      </c>
    </row>
    <row r="4550" spans="1:4" x14ac:dyDescent="0.3">
      <c r="A4550">
        <v>4216008</v>
      </c>
      <c r="B4550" t="s">
        <v>4699</v>
      </c>
      <c r="C4550">
        <v>-27.078635077896106</v>
      </c>
      <c r="D4550">
        <v>-53.01739427332101</v>
      </c>
    </row>
    <row r="4551" spans="1:4" x14ac:dyDescent="0.3">
      <c r="A4551">
        <v>4216057</v>
      </c>
      <c r="B4551" t="s">
        <v>5359</v>
      </c>
      <c r="C4551">
        <v>-27.28294667339885</v>
      </c>
      <c r="D4551">
        <v>-50.434628933085953</v>
      </c>
    </row>
    <row r="4552" spans="1:4" x14ac:dyDescent="0.3">
      <c r="A4552">
        <v>4216107</v>
      </c>
      <c r="B4552" t="s">
        <v>2408</v>
      </c>
      <c r="C4552">
        <v>-26.557830369518651</v>
      </c>
      <c r="D4552">
        <v>-52.537227468534297</v>
      </c>
    </row>
    <row r="4553" spans="1:4" x14ac:dyDescent="0.3">
      <c r="A4553">
        <v>4216206</v>
      </c>
      <c r="B4553" t="s">
        <v>5360</v>
      </c>
      <c r="C4553">
        <v>-26.244017884154008</v>
      </c>
      <c r="D4553">
        <v>-48.637570758174533</v>
      </c>
    </row>
    <row r="4554" spans="1:4" x14ac:dyDescent="0.3">
      <c r="A4554">
        <v>4216255</v>
      </c>
      <c r="B4554" t="s">
        <v>5361</v>
      </c>
      <c r="C4554">
        <v>-27.097482625441508</v>
      </c>
      <c r="D4554">
        <v>-53.595966679744315</v>
      </c>
    </row>
    <row r="4555" spans="1:4" x14ac:dyDescent="0.3">
      <c r="A4555">
        <v>4216305</v>
      </c>
      <c r="B4555" t="s">
        <v>1645</v>
      </c>
      <c r="C4555">
        <v>-27.295880556737906</v>
      </c>
      <c r="D4555">
        <v>-48.857004280246151</v>
      </c>
    </row>
    <row r="4556" spans="1:4" x14ac:dyDescent="0.3">
      <c r="A4556">
        <v>4216354</v>
      </c>
      <c r="B4556" t="s">
        <v>5362</v>
      </c>
      <c r="C4556">
        <v>-26.617454046311757</v>
      </c>
      <c r="D4556">
        <v>-48.767765386762584</v>
      </c>
    </row>
    <row r="4557" spans="1:4" x14ac:dyDescent="0.3">
      <c r="A4557">
        <v>4216404</v>
      </c>
      <c r="B4557" t="s">
        <v>5363</v>
      </c>
      <c r="C4557">
        <v>-29.223479791248359</v>
      </c>
      <c r="D4557">
        <v>-49.806571385692031</v>
      </c>
    </row>
    <row r="4558" spans="1:4" x14ac:dyDescent="0.3">
      <c r="A4558">
        <v>4216503</v>
      </c>
      <c r="B4558" t="s">
        <v>5364</v>
      </c>
      <c r="C4558">
        <v>-28.294712499211954</v>
      </c>
      <c r="D4558">
        <v>-49.936741760544237</v>
      </c>
    </row>
    <row r="4559" spans="1:4" x14ac:dyDescent="0.3">
      <c r="A4559">
        <v>4216602</v>
      </c>
      <c r="B4559" t="s">
        <v>5365</v>
      </c>
      <c r="C4559">
        <v>-27.590312077248701</v>
      </c>
      <c r="D4559">
        <v>-48.616022715866414</v>
      </c>
    </row>
    <row r="4560" spans="1:4" x14ac:dyDescent="0.3">
      <c r="A4560">
        <v>4216701</v>
      </c>
      <c r="B4560" t="s">
        <v>5366</v>
      </c>
      <c r="C4560">
        <v>-26.456060296849159</v>
      </c>
      <c r="D4560">
        <v>-53.500124106913113</v>
      </c>
    </row>
    <row r="4561" spans="1:4" x14ac:dyDescent="0.3">
      <c r="A4561">
        <v>4216800</v>
      </c>
      <c r="B4561" t="s">
        <v>5367</v>
      </c>
      <c r="C4561">
        <v>-27.668586518753358</v>
      </c>
      <c r="D4561">
        <v>-50.581386176330525</v>
      </c>
    </row>
    <row r="4562" spans="1:4" x14ac:dyDescent="0.3">
      <c r="A4562">
        <v>4216909</v>
      </c>
      <c r="B4562" t="s">
        <v>5368</v>
      </c>
      <c r="C4562">
        <v>-26.355190164550258</v>
      </c>
      <c r="D4562">
        <v>-52.851333666950161</v>
      </c>
    </row>
    <row r="4563" spans="1:4" x14ac:dyDescent="0.3">
      <c r="A4563">
        <v>4217006</v>
      </c>
      <c r="B4563" t="s">
        <v>5369</v>
      </c>
      <c r="C4563">
        <v>-28.326895525075756</v>
      </c>
      <c r="D4563">
        <v>-49.175684324719306</v>
      </c>
    </row>
    <row r="4564" spans="1:4" x14ac:dyDescent="0.3">
      <c r="A4564">
        <v>4217105</v>
      </c>
      <c r="B4564" t="s">
        <v>5370</v>
      </c>
      <c r="C4564">
        <v>-28.164495289609956</v>
      </c>
      <c r="D4564">
        <v>-48.977786248035649</v>
      </c>
    </row>
    <row r="4565" spans="1:4" x14ac:dyDescent="0.3">
      <c r="A4565">
        <v>4217154</v>
      </c>
      <c r="B4565" t="s">
        <v>5371</v>
      </c>
      <c r="C4565">
        <v>-26.694475145317007</v>
      </c>
      <c r="D4565">
        <v>-53.254556376680227</v>
      </c>
    </row>
    <row r="4566" spans="1:4" x14ac:dyDescent="0.3">
      <c r="A4566">
        <v>4217204</v>
      </c>
      <c r="B4566" t="s">
        <v>5372</v>
      </c>
      <c r="C4566">
        <v>-26.726427176660554</v>
      </c>
      <c r="D4566">
        <v>-53.51883940615609</v>
      </c>
    </row>
    <row r="4567" spans="1:4" x14ac:dyDescent="0.3">
      <c r="A4567">
        <v>4217253</v>
      </c>
      <c r="B4567" t="s">
        <v>5373</v>
      </c>
      <c r="C4567">
        <v>-27.56717009339015</v>
      </c>
      <c r="D4567">
        <v>-48.787669587307086</v>
      </c>
    </row>
    <row r="4568" spans="1:4" x14ac:dyDescent="0.3">
      <c r="A4568">
        <v>4217303</v>
      </c>
      <c r="B4568" t="s">
        <v>5374</v>
      </c>
      <c r="C4568">
        <v>-26.919756951044853</v>
      </c>
      <c r="D4568">
        <v>-52.995569727251123</v>
      </c>
    </row>
    <row r="4569" spans="1:4" x14ac:dyDescent="0.3">
      <c r="A4569">
        <v>4217402</v>
      </c>
      <c r="B4569" t="s">
        <v>5375</v>
      </c>
      <c r="C4569">
        <v>-26.420975912627053</v>
      </c>
      <c r="D4569">
        <v>-49.073259691514927</v>
      </c>
    </row>
    <row r="4570" spans="1:4" x14ac:dyDescent="0.3">
      <c r="A4570">
        <v>4217501</v>
      </c>
      <c r="B4570" t="s">
        <v>5376</v>
      </c>
      <c r="C4570">
        <v>-27.145697622874604</v>
      </c>
      <c r="D4570">
        <v>-52.302854827990515</v>
      </c>
    </row>
    <row r="4571" spans="1:4" x14ac:dyDescent="0.3">
      <c r="A4571">
        <v>4217550</v>
      </c>
      <c r="B4571" t="s">
        <v>5377</v>
      </c>
      <c r="C4571">
        <v>-26.724773374051203</v>
      </c>
      <c r="D4571">
        <v>-53.046276341545465</v>
      </c>
    </row>
    <row r="4572" spans="1:4" x14ac:dyDescent="0.3">
      <c r="A4572">
        <v>4217600</v>
      </c>
      <c r="B4572" t="s">
        <v>5378</v>
      </c>
      <c r="C4572">
        <v>-28.595102418234454</v>
      </c>
      <c r="D4572">
        <v>-49.420540933002961</v>
      </c>
    </row>
    <row r="4573" spans="1:4" x14ac:dyDescent="0.3">
      <c r="A4573">
        <v>4217709</v>
      </c>
      <c r="B4573" t="s">
        <v>5379</v>
      </c>
      <c r="C4573">
        <v>-29.10913275682605</v>
      </c>
      <c r="D4573">
        <v>-49.634210364134098</v>
      </c>
    </row>
    <row r="4574" spans="1:4" x14ac:dyDescent="0.3">
      <c r="A4574">
        <v>4217758</v>
      </c>
      <c r="B4574" t="s">
        <v>5380</v>
      </c>
      <c r="C4574">
        <v>-26.736936209706005</v>
      </c>
      <c r="D4574">
        <v>-52.964204795729934</v>
      </c>
    </row>
    <row r="4575" spans="1:4" x14ac:dyDescent="0.3">
      <c r="A4575">
        <v>4217808</v>
      </c>
      <c r="B4575" t="s">
        <v>5381</v>
      </c>
      <c r="C4575">
        <v>-27.117937300220355</v>
      </c>
      <c r="D4575">
        <v>-50.005096464272405</v>
      </c>
    </row>
    <row r="4576" spans="1:4" x14ac:dyDescent="0.3">
      <c r="A4576">
        <v>4217907</v>
      </c>
      <c r="B4576" t="s">
        <v>2233</v>
      </c>
      <c r="C4576">
        <v>-27.101011104227656</v>
      </c>
      <c r="D4576">
        <v>-51.245914375253996</v>
      </c>
    </row>
    <row r="4577" spans="1:4" x14ac:dyDescent="0.3">
      <c r="A4577">
        <v>4217956</v>
      </c>
      <c r="B4577" t="s">
        <v>5382</v>
      </c>
      <c r="C4577">
        <v>-26.689474837759406</v>
      </c>
      <c r="D4577">
        <v>-53.157541983914776</v>
      </c>
    </row>
    <row r="4578" spans="1:4" x14ac:dyDescent="0.3">
      <c r="A4578">
        <v>4218004</v>
      </c>
      <c r="B4578" t="s">
        <v>5383</v>
      </c>
      <c r="C4578">
        <v>-27.239453607210557</v>
      </c>
      <c r="D4578">
        <v>-48.632070563869597</v>
      </c>
    </row>
    <row r="4579" spans="1:4" x14ac:dyDescent="0.3">
      <c r="A4579">
        <v>4218103</v>
      </c>
      <c r="B4579" t="s">
        <v>5384</v>
      </c>
      <c r="C4579">
        <v>-28.832517493479454</v>
      </c>
      <c r="D4579">
        <v>-49.844117762794347</v>
      </c>
    </row>
    <row r="4580" spans="1:4" x14ac:dyDescent="0.3">
      <c r="A4580">
        <v>4218202</v>
      </c>
      <c r="B4580" t="s">
        <v>5385</v>
      </c>
      <c r="C4580">
        <v>-26.822902574987754</v>
      </c>
      <c r="D4580">
        <v>-49.277712289797151</v>
      </c>
    </row>
    <row r="4581" spans="1:4" x14ac:dyDescent="0.3">
      <c r="A4581">
        <v>4218251</v>
      </c>
      <c r="B4581" t="s">
        <v>5386</v>
      </c>
      <c r="C4581">
        <v>-26.617828491043849</v>
      </c>
      <c r="D4581">
        <v>-50.674674136489379</v>
      </c>
    </row>
    <row r="4582" spans="1:4" x14ac:dyDescent="0.3">
      <c r="A4582">
        <v>4218301</v>
      </c>
      <c r="B4582" t="s">
        <v>5387</v>
      </c>
      <c r="C4582">
        <v>-26.114096336760007</v>
      </c>
      <c r="D4582">
        <v>-50.305419367994794</v>
      </c>
    </row>
    <row r="4583" spans="1:4" x14ac:dyDescent="0.3">
      <c r="A4583">
        <v>4218350</v>
      </c>
      <c r="B4583" t="s">
        <v>5388</v>
      </c>
      <c r="C4583">
        <v>-28.518484857940805</v>
      </c>
      <c r="D4583">
        <v>-49.455933378851007</v>
      </c>
    </row>
    <row r="4584" spans="1:4" x14ac:dyDescent="0.3">
      <c r="A4584">
        <v>4218400</v>
      </c>
      <c r="B4584" t="s">
        <v>5389</v>
      </c>
      <c r="C4584">
        <v>-28.558140037514004</v>
      </c>
      <c r="D4584">
        <v>-49.144815307174738</v>
      </c>
    </row>
    <row r="4585" spans="1:4" x14ac:dyDescent="0.3">
      <c r="A4585">
        <v>4218509</v>
      </c>
      <c r="B4585" t="s">
        <v>5390</v>
      </c>
      <c r="C4585">
        <v>-26.998536305870605</v>
      </c>
      <c r="D4585">
        <v>-51.414674665089507</v>
      </c>
    </row>
    <row r="4586" spans="1:4" x14ac:dyDescent="0.3">
      <c r="A4586">
        <v>4218608</v>
      </c>
      <c r="B4586" t="s">
        <v>5391</v>
      </c>
      <c r="C4586">
        <v>-27.303019529090307</v>
      </c>
      <c r="D4586">
        <v>-49.792478234055977</v>
      </c>
    </row>
    <row r="4587" spans="1:4" x14ac:dyDescent="0.3">
      <c r="A4587">
        <v>4218707</v>
      </c>
      <c r="B4587" t="s">
        <v>5392</v>
      </c>
      <c r="C4587">
        <v>-28.480033947850107</v>
      </c>
      <c r="D4587">
        <v>-49.005268077024454</v>
      </c>
    </row>
    <row r="4588" spans="1:4" x14ac:dyDescent="0.3">
      <c r="A4588">
        <v>4218756</v>
      </c>
      <c r="B4588" t="s">
        <v>5393</v>
      </c>
      <c r="C4588">
        <v>-26.972223591489307</v>
      </c>
      <c r="D4588">
        <v>-53.641459736046997</v>
      </c>
    </row>
    <row r="4589" spans="1:4" x14ac:dyDescent="0.3">
      <c r="A4589">
        <v>4218806</v>
      </c>
      <c r="B4589" t="s">
        <v>5137</v>
      </c>
      <c r="C4589">
        <v>-28.924749217388204</v>
      </c>
      <c r="D4589">
        <v>-49.680865745115895</v>
      </c>
    </row>
    <row r="4590" spans="1:4" x14ac:dyDescent="0.3">
      <c r="A4590">
        <v>4218855</v>
      </c>
      <c r="B4590" t="s">
        <v>5394</v>
      </c>
      <c r="C4590">
        <v>-26.761737013747506</v>
      </c>
      <c r="D4590">
        <v>-52.8514964564325</v>
      </c>
    </row>
    <row r="4591" spans="1:4" x14ac:dyDescent="0.3">
      <c r="A4591">
        <v>4218905</v>
      </c>
      <c r="B4591" t="s">
        <v>5395</v>
      </c>
      <c r="C4591">
        <v>-28.004554912032859</v>
      </c>
      <c r="D4591">
        <v>-49.588205611104243</v>
      </c>
    </row>
    <row r="4592" spans="1:4" x14ac:dyDescent="0.3">
      <c r="A4592">
        <v>4218954</v>
      </c>
      <c r="B4592" t="s">
        <v>5396</v>
      </c>
      <c r="C4592">
        <v>-27.952685809815911</v>
      </c>
      <c r="D4592">
        <v>-49.87321124239881</v>
      </c>
    </row>
    <row r="4593" spans="1:4" x14ac:dyDescent="0.3">
      <c r="A4593">
        <v>4219002</v>
      </c>
      <c r="B4593" t="s">
        <v>5397</v>
      </c>
      <c r="C4593">
        <v>-28.519966203921108</v>
      </c>
      <c r="D4593">
        <v>-49.31910791856474</v>
      </c>
    </row>
    <row r="4594" spans="1:4" x14ac:dyDescent="0.3">
      <c r="A4594">
        <v>4219101</v>
      </c>
      <c r="B4594" t="s">
        <v>5398</v>
      </c>
      <c r="C4594">
        <v>-26.863983317370508</v>
      </c>
      <c r="D4594">
        <v>-52.154105650117991</v>
      </c>
    </row>
    <row r="4595" spans="1:4" x14ac:dyDescent="0.3">
      <c r="A4595">
        <v>4219150</v>
      </c>
      <c r="B4595" t="s">
        <v>4775</v>
      </c>
      <c r="C4595">
        <v>-27.489970100429606</v>
      </c>
      <c r="D4595">
        <v>-50.978150625654884</v>
      </c>
    </row>
    <row r="4596" spans="1:4" x14ac:dyDescent="0.3">
      <c r="A4596">
        <v>4219176</v>
      </c>
      <c r="B4596" t="s">
        <v>3986</v>
      </c>
      <c r="C4596">
        <v>-27.003241604509103</v>
      </c>
      <c r="D4596">
        <v>-51.744740181404602</v>
      </c>
    </row>
    <row r="4597" spans="1:4" x14ac:dyDescent="0.3">
      <c r="A4597">
        <v>4219200</v>
      </c>
      <c r="B4597" t="s">
        <v>5399</v>
      </c>
      <c r="C4597">
        <v>-27.395778698688055</v>
      </c>
      <c r="D4597">
        <v>-49.36821917261144</v>
      </c>
    </row>
    <row r="4598" spans="1:4" x14ac:dyDescent="0.3">
      <c r="A4598">
        <v>4219309</v>
      </c>
      <c r="B4598" t="s">
        <v>5400</v>
      </c>
      <c r="C4598">
        <v>-27.006129067969756</v>
      </c>
      <c r="D4598">
        <v>-51.15170528283258</v>
      </c>
    </row>
    <row r="4599" spans="1:4" x14ac:dyDescent="0.3">
      <c r="A4599">
        <v>4219358</v>
      </c>
      <c r="B4599" t="s">
        <v>5401</v>
      </c>
      <c r="C4599">
        <v>-26.881577618578106</v>
      </c>
      <c r="D4599">
        <v>-49.830751960968357</v>
      </c>
    </row>
    <row r="4600" spans="1:4" x14ac:dyDescent="0.3">
      <c r="A4600">
        <v>4219408</v>
      </c>
      <c r="B4600" t="s">
        <v>5402</v>
      </c>
      <c r="C4600">
        <v>-26.926742723395954</v>
      </c>
      <c r="D4600">
        <v>-49.804203375440132</v>
      </c>
    </row>
    <row r="4601" spans="1:4" x14ac:dyDescent="0.3">
      <c r="A4601">
        <v>4219507</v>
      </c>
      <c r="B4601" t="s">
        <v>5403</v>
      </c>
      <c r="C4601">
        <v>-26.874584499238555</v>
      </c>
      <c r="D4601">
        <v>-52.404667138975384</v>
      </c>
    </row>
    <row r="4602" spans="1:4" x14ac:dyDescent="0.3">
      <c r="A4602">
        <v>4219606</v>
      </c>
      <c r="B4602" t="s">
        <v>5404</v>
      </c>
      <c r="C4602">
        <v>-27.070250147074457</v>
      </c>
      <c r="D4602">
        <v>-52.34285050991371</v>
      </c>
    </row>
    <row r="4603" spans="1:4" x14ac:dyDescent="0.3">
      <c r="A4603">
        <v>4219705</v>
      </c>
      <c r="B4603" t="s">
        <v>5405</v>
      </c>
      <c r="C4603">
        <v>-26.963719499236852</v>
      </c>
      <c r="D4603">
        <v>-52.534932518303926</v>
      </c>
    </row>
    <row r="4604" spans="1:4" x14ac:dyDescent="0.3">
      <c r="A4604">
        <v>4219853</v>
      </c>
      <c r="B4604" t="s">
        <v>5406</v>
      </c>
      <c r="C4604">
        <v>-27.450251411681855</v>
      </c>
      <c r="D4604">
        <v>-51.549566306840802</v>
      </c>
    </row>
    <row r="4605" spans="1:4" x14ac:dyDescent="0.3">
      <c r="A4605">
        <v>4300034</v>
      </c>
      <c r="B4605" t="s">
        <v>5407</v>
      </c>
      <c r="C4605">
        <v>-31.864015304262104</v>
      </c>
      <c r="D4605">
        <v>-54.164731536363419</v>
      </c>
    </row>
    <row r="4606" spans="1:4" x14ac:dyDescent="0.3">
      <c r="A4606">
        <v>4300059</v>
      </c>
      <c r="B4606" t="s">
        <v>5408</v>
      </c>
      <c r="C4606">
        <v>-28.175054748511855</v>
      </c>
      <c r="D4606">
        <v>-52.034632789162281</v>
      </c>
    </row>
    <row r="4607" spans="1:4" x14ac:dyDescent="0.3">
      <c r="A4607">
        <v>4300109</v>
      </c>
      <c r="B4607" t="s">
        <v>5409</v>
      </c>
      <c r="C4607">
        <v>-29.645663363249604</v>
      </c>
      <c r="D4607">
        <v>-53.258691687715093</v>
      </c>
    </row>
    <row r="4608" spans="1:4" x14ac:dyDescent="0.3">
      <c r="A4608">
        <v>4300208</v>
      </c>
      <c r="B4608" t="s">
        <v>5410</v>
      </c>
      <c r="C4608">
        <v>-28.237729006689253</v>
      </c>
      <c r="D4608">
        <v>-53.772818889987263</v>
      </c>
    </row>
    <row r="4609" spans="1:4" x14ac:dyDescent="0.3">
      <c r="A4609">
        <v>4300307</v>
      </c>
      <c r="B4609" t="s">
        <v>5411</v>
      </c>
      <c r="C4609">
        <v>-27.661074457801654</v>
      </c>
      <c r="D4609">
        <v>-54.767096221740736</v>
      </c>
    </row>
    <row r="4610" spans="1:4" x14ac:dyDescent="0.3">
      <c r="A4610">
        <v>4300406</v>
      </c>
      <c r="B4610" t="s">
        <v>5412</v>
      </c>
      <c r="C4610">
        <v>-29.782043209124456</v>
      </c>
      <c r="D4610">
        <v>-55.79587014533309</v>
      </c>
    </row>
    <row r="4611" spans="1:4" x14ac:dyDescent="0.3">
      <c r="A4611">
        <v>4300455</v>
      </c>
      <c r="B4611" t="s">
        <v>5413</v>
      </c>
      <c r="C4611">
        <v>-27.837299956370309</v>
      </c>
      <c r="D4611">
        <v>-54.057366413138539</v>
      </c>
    </row>
    <row r="4612" spans="1:4" x14ac:dyDescent="0.3">
      <c r="A4612">
        <v>4300471</v>
      </c>
      <c r="B4612" t="s">
        <v>5414</v>
      </c>
      <c r="C4612">
        <v>-28.113726287037604</v>
      </c>
      <c r="D4612">
        <v>-52.913714549694426</v>
      </c>
    </row>
    <row r="4613" spans="1:4" x14ac:dyDescent="0.3">
      <c r="A4613">
        <v>4300505</v>
      </c>
      <c r="B4613" t="s">
        <v>5415</v>
      </c>
      <c r="C4613">
        <v>-27.248768756690104</v>
      </c>
      <c r="D4613">
        <v>-53.037366048551235</v>
      </c>
    </row>
    <row r="4614" spans="1:4" x14ac:dyDescent="0.3">
      <c r="A4614">
        <v>4300554</v>
      </c>
      <c r="B4614" t="s">
        <v>74</v>
      </c>
      <c r="C4614">
        <v>-28.77474553706908</v>
      </c>
      <c r="D4614">
        <v>-52.990755280689086</v>
      </c>
    </row>
    <row r="4615" spans="1:4" x14ac:dyDescent="0.3">
      <c r="A4615">
        <v>4300570</v>
      </c>
      <c r="B4615" t="s">
        <v>5416</v>
      </c>
      <c r="C4615">
        <v>-29.390139166844754</v>
      </c>
      <c r="D4615">
        <v>-51.315815667840759</v>
      </c>
    </row>
    <row r="4616" spans="1:4" x14ac:dyDescent="0.3">
      <c r="A4616">
        <v>4300604</v>
      </c>
      <c r="B4616" t="s">
        <v>1347</v>
      </c>
      <c r="C4616">
        <v>-29.997493064742304</v>
      </c>
      <c r="D4616">
        <v>-51.077729454200089</v>
      </c>
    </row>
    <row r="4617" spans="1:4" x14ac:dyDescent="0.3">
      <c r="A4617">
        <v>4300638</v>
      </c>
      <c r="B4617" t="s">
        <v>5417</v>
      </c>
      <c r="C4617">
        <v>-30.87514760116936</v>
      </c>
      <c r="D4617">
        <v>-52.251270396969829</v>
      </c>
    </row>
    <row r="4618" spans="1:4" x14ac:dyDescent="0.3">
      <c r="A4618">
        <v>4300646</v>
      </c>
      <c r="B4618" t="s">
        <v>5418</v>
      </c>
      <c r="C4618">
        <v>-27.356425473784853</v>
      </c>
      <c r="D4618">
        <v>-53.192177261996946</v>
      </c>
    </row>
    <row r="4619" spans="1:4" x14ac:dyDescent="0.3">
      <c r="A4619">
        <v>4300661</v>
      </c>
      <c r="B4619" t="s">
        <v>5419</v>
      </c>
      <c r="C4619">
        <v>-28.631977202881853</v>
      </c>
      <c r="D4619">
        <v>-51.573737971200913</v>
      </c>
    </row>
    <row r="4620" spans="1:4" x14ac:dyDescent="0.3">
      <c r="A4620">
        <v>4300703</v>
      </c>
      <c r="B4620" t="s">
        <v>5420</v>
      </c>
      <c r="C4620">
        <v>-28.970884363101479</v>
      </c>
      <c r="D4620">
        <v>-52.015823439407257</v>
      </c>
    </row>
    <row r="4621" spans="1:4" x14ac:dyDescent="0.3">
      <c r="A4621">
        <v>4300802</v>
      </c>
      <c r="B4621" t="s">
        <v>5421</v>
      </c>
      <c r="C4621">
        <v>-28.855437624629804</v>
      </c>
      <c r="D4621">
        <v>-51.283576924340885</v>
      </c>
    </row>
    <row r="4622" spans="1:4" x14ac:dyDescent="0.3">
      <c r="A4622">
        <v>4300851</v>
      </c>
      <c r="B4622" t="s">
        <v>5422</v>
      </c>
      <c r="C4622">
        <v>-30.909345550011857</v>
      </c>
      <c r="D4622">
        <v>-51.501318250596768</v>
      </c>
    </row>
    <row r="4623" spans="1:4" x14ac:dyDescent="0.3">
      <c r="A4623">
        <v>4300877</v>
      </c>
      <c r="B4623" t="s">
        <v>5423</v>
      </c>
      <c r="C4623">
        <v>-29.617243592930102</v>
      </c>
      <c r="D4623">
        <v>-50.925676614680803</v>
      </c>
    </row>
    <row r="4624" spans="1:4" x14ac:dyDescent="0.3">
      <c r="A4624">
        <v>4300901</v>
      </c>
      <c r="B4624" t="s">
        <v>5424</v>
      </c>
      <c r="C4624">
        <v>-27.394444128894854</v>
      </c>
      <c r="D4624">
        <v>-52.303831954788379</v>
      </c>
    </row>
    <row r="4625" spans="1:4" x14ac:dyDescent="0.3">
      <c r="A4625">
        <v>4301008</v>
      </c>
      <c r="B4625" t="s">
        <v>5425</v>
      </c>
      <c r="C4625">
        <v>-29.398890719136805</v>
      </c>
      <c r="D4625">
        <v>-51.947449491613881</v>
      </c>
    </row>
    <row r="4626" spans="1:4" x14ac:dyDescent="0.3">
      <c r="A4626">
        <v>4301057</v>
      </c>
      <c r="B4626" t="s">
        <v>5426</v>
      </c>
      <c r="C4626">
        <v>-29.592960743965509</v>
      </c>
      <c r="D4626">
        <v>-49.932957517978032</v>
      </c>
    </row>
    <row r="4627" spans="1:4" x14ac:dyDescent="0.3">
      <c r="A4627">
        <v>4301073</v>
      </c>
      <c r="B4627" t="s">
        <v>5427</v>
      </c>
      <c r="C4627">
        <v>-31.440643993069301</v>
      </c>
      <c r="D4627">
        <v>-52.433301504409563</v>
      </c>
    </row>
    <row r="4628" spans="1:4" x14ac:dyDescent="0.3">
      <c r="A4628">
        <v>4301107</v>
      </c>
      <c r="B4628" t="s">
        <v>5428</v>
      </c>
      <c r="C4628">
        <v>-30.090013114676552</v>
      </c>
      <c r="D4628">
        <v>-51.733806866457961</v>
      </c>
    </row>
    <row r="4629" spans="1:4" x14ac:dyDescent="0.3">
      <c r="A4629">
        <v>4301206</v>
      </c>
      <c r="B4629" t="s">
        <v>5429</v>
      </c>
      <c r="C4629">
        <v>-29.335859613303604</v>
      </c>
      <c r="D4629">
        <v>-53.086395567176453</v>
      </c>
    </row>
    <row r="4630" spans="1:4" x14ac:dyDescent="0.3">
      <c r="A4630">
        <v>4301305</v>
      </c>
      <c r="B4630" t="s">
        <v>5430</v>
      </c>
      <c r="C4630">
        <v>-32.236344125667152</v>
      </c>
      <c r="D4630">
        <v>-53.082248348218101</v>
      </c>
    </row>
    <row r="4631" spans="1:4" x14ac:dyDescent="0.3">
      <c r="A4631">
        <v>4301404</v>
      </c>
      <c r="B4631" t="s">
        <v>5431</v>
      </c>
      <c r="C4631">
        <v>-28.873049391639704</v>
      </c>
      <c r="D4631">
        <v>-52.179511939529327</v>
      </c>
    </row>
    <row r="4632" spans="1:4" x14ac:dyDescent="0.3">
      <c r="A4632">
        <v>4301503</v>
      </c>
      <c r="B4632" t="s">
        <v>5432</v>
      </c>
      <c r="C4632">
        <v>-28.513351989114202</v>
      </c>
      <c r="D4632">
        <v>-53.989470080722569</v>
      </c>
    </row>
    <row r="4633" spans="1:4" x14ac:dyDescent="0.3">
      <c r="A4633">
        <v>4301552</v>
      </c>
      <c r="B4633" t="s">
        <v>5433</v>
      </c>
      <c r="C4633">
        <v>-27.693786650391004</v>
      </c>
      <c r="D4633">
        <v>-52.054175669132903</v>
      </c>
    </row>
    <row r="4634" spans="1:4" x14ac:dyDescent="0.3">
      <c r="A4634">
        <v>4301602</v>
      </c>
      <c r="B4634" t="s">
        <v>5434</v>
      </c>
      <c r="C4634">
        <v>-31.330501841547456</v>
      </c>
      <c r="D4634">
        <v>-54.10708328517002</v>
      </c>
    </row>
    <row r="4635" spans="1:4" x14ac:dyDescent="0.3">
      <c r="A4635">
        <v>4301636</v>
      </c>
      <c r="B4635" t="s">
        <v>5435</v>
      </c>
      <c r="C4635">
        <v>-30.239750927033906</v>
      </c>
      <c r="D4635">
        <v>-50.236701076097077</v>
      </c>
    </row>
    <row r="4636" spans="1:4" x14ac:dyDescent="0.3">
      <c r="A4636">
        <v>4301651</v>
      </c>
      <c r="B4636" t="s">
        <v>5436</v>
      </c>
      <c r="C4636">
        <v>-29.380864067808254</v>
      </c>
      <c r="D4636">
        <v>-51.49753768089726</v>
      </c>
    </row>
    <row r="4637" spans="1:4" x14ac:dyDescent="0.3">
      <c r="A4637">
        <v>4301701</v>
      </c>
      <c r="B4637" t="s">
        <v>5437</v>
      </c>
      <c r="C4637">
        <v>-27.617092567143203</v>
      </c>
      <c r="D4637">
        <v>-52.377750325027527</v>
      </c>
    </row>
    <row r="4638" spans="1:4" x14ac:dyDescent="0.3">
      <c r="A4638">
        <v>4301750</v>
      </c>
      <c r="B4638" t="s">
        <v>5438</v>
      </c>
      <c r="C4638">
        <v>-30.390483854734512</v>
      </c>
      <c r="D4638">
        <v>-51.737669474838825</v>
      </c>
    </row>
    <row r="4639" spans="1:4" x14ac:dyDescent="0.3">
      <c r="A4639">
        <v>4301800</v>
      </c>
      <c r="B4639" t="s">
        <v>4815</v>
      </c>
      <c r="C4639">
        <v>-27.680229871389749</v>
      </c>
      <c r="D4639">
        <v>-51.460151458378462</v>
      </c>
    </row>
    <row r="4640" spans="1:4" x14ac:dyDescent="0.3">
      <c r="A4640">
        <v>4301859</v>
      </c>
      <c r="B4640" t="s">
        <v>5439</v>
      </c>
      <c r="C4640">
        <v>-27.188069961494207</v>
      </c>
      <c r="D4640">
        <v>-53.714412693305825</v>
      </c>
    </row>
    <row r="4641" spans="1:4" x14ac:dyDescent="0.3">
      <c r="A4641">
        <v>4301875</v>
      </c>
      <c r="B4641" t="s">
        <v>5440</v>
      </c>
      <c r="C4641">
        <v>-30.211075407921651</v>
      </c>
      <c r="D4641">
        <v>-57.557060324812248</v>
      </c>
    </row>
    <row r="4642" spans="1:4" x14ac:dyDescent="0.3">
      <c r="A4642">
        <v>4301909</v>
      </c>
      <c r="B4642" t="s">
        <v>5441</v>
      </c>
      <c r="C4642">
        <v>-30.292675499886808</v>
      </c>
      <c r="D4642">
        <v>-51.300873600611538</v>
      </c>
    </row>
    <row r="4643" spans="1:4" x14ac:dyDescent="0.3">
      <c r="A4643">
        <v>4301925</v>
      </c>
      <c r="B4643" t="s">
        <v>5442</v>
      </c>
      <c r="C4643">
        <v>-27.408757715452207</v>
      </c>
      <c r="D4643">
        <v>-52.414104946450131</v>
      </c>
    </row>
    <row r="4644" spans="1:4" x14ac:dyDescent="0.3">
      <c r="A4644">
        <v>4301958</v>
      </c>
      <c r="B4644" t="s">
        <v>5443</v>
      </c>
      <c r="C4644">
        <v>-27.923825845175259</v>
      </c>
      <c r="D4644">
        <v>-53.03629666960363</v>
      </c>
    </row>
    <row r="4645" spans="1:4" x14ac:dyDescent="0.3">
      <c r="A4645">
        <v>4302006</v>
      </c>
      <c r="B4645" t="s">
        <v>5444</v>
      </c>
      <c r="C4645">
        <v>-29.087704360738456</v>
      </c>
      <c r="D4645">
        <v>-52.587752124500028</v>
      </c>
    </row>
    <row r="4646" spans="1:4" x14ac:dyDescent="0.3">
      <c r="A4646">
        <v>4302055</v>
      </c>
      <c r="B4646" t="s">
        <v>5445</v>
      </c>
      <c r="C4646">
        <v>-27.508583562657552</v>
      </c>
      <c r="D4646">
        <v>-52.602225004721909</v>
      </c>
    </row>
    <row r="4647" spans="1:4" x14ac:dyDescent="0.3">
      <c r="A4647">
        <v>4302105</v>
      </c>
      <c r="B4647" t="s">
        <v>5446</v>
      </c>
      <c r="C4647">
        <v>-29.167401933191208</v>
      </c>
      <c r="D4647">
        <v>-51.515560306323948</v>
      </c>
    </row>
    <row r="4648" spans="1:4" x14ac:dyDescent="0.3">
      <c r="A4648">
        <v>4302154</v>
      </c>
      <c r="B4648" t="s">
        <v>5447</v>
      </c>
      <c r="C4648">
        <v>-27.666111035038401</v>
      </c>
      <c r="D4648">
        <v>-53.312756393758043</v>
      </c>
    </row>
    <row r="4649" spans="1:4" x14ac:dyDescent="0.3">
      <c r="A4649">
        <v>4302204</v>
      </c>
      <c r="B4649" t="s">
        <v>5448</v>
      </c>
      <c r="C4649">
        <v>-27.671566996782552</v>
      </c>
      <c r="D4649">
        <v>-54.109481255269756</v>
      </c>
    </row>
    <row r="4650" spans="1:4" x14ac:dyDescent="0.3">
      <c r="A4650">
        <v>4302220</v>
      </c>
      <c r="B4650" t="s">
        <v>5449</v>
      </c>
      <c r="C4650">
        <v>-28.577434475480505</v>
      </c>
      <c r="D4650">
        <v>-53.813734635114891</v>
      </c>
    </row>
    <row r="4651" spans="1:4" x14ac:dyDescent="0.3">
      <c r="A4651">
        <v>4302238</v>
      </c>
      <c r="B4651" t="s">
        <v>5450</v>
      </c>
      <c r="C4651">
        <v>-28.818488034018706</v>
      </c>
      <c r="D4651">
        <v>-53.388704960602894</v>
      </c>
    </row>
    <row r="4652" spans="1:4" x14ac:dyDescent="0.3">
      <c r="A4652">
        <v>4302253</v>
      </c>
      <c r="B4652" t="s">
        <v>5451</v>
      </c>
      <c r="C4652">
        <v>-29.350119371492355</v>
      </c>
      <c r="D4652">
        <v>-51.677271837137319</v>
      </c>
    </row>
    <row r="4653" spans="1:4" x14ac:dyDescent="0.3">
      <c r="A4653">
        <v>4302303</v>
      </c>
      <c r="B4653" t="s">
        <v>1713</v>
      </c>
      <c r="C4653">
        <v>-28.670577675642701</v>
      </c>
      <c r="D4653">
        <v>-50.433349269980162</v>
      </c>
    </row>
    <row r="4654" spans="1:4" x14ac:dyDescent="0.3">
      <c r="A4654">
        <v>4302352</v>
      </c>
      <c r="B4654" t="s">
        <v>5452</v>
      </c>
      <c r="C4654">
        <v>-29.494485114945658</v>
      </c>
      <c r="D4654">
        <v>-51.355519097396034</v>
      </c>
    </row>
    <row r="4655" spans="1:4" x14ac:dyDescent="0.3">
      <c r="A4655">
        <v>4302378</v>
      </c>
      <c r="B4655" t="s">
        <v>5453</v>
      </c>
      <c r="C4655">
        <v>-27.546774204155401</v>
      </c>
      <c r="D4655">
        <v>-53.866790885640185</v>
      </c>
    </row>
    <row r="4656" spans="1:4" x14ac:dyDescent="0.3">
      <c r="A4656">
        <v>4302402</v>
      </c>
      <c r="B4656" t="s">
        <v>5454</v>
      </c>
      <c r="C4656">
        <v>-29.607422619857303</v>
      </c>
      <c r="D4656">
        <v>-51.94384676595859</v>
      </c>
    </row>
    <row r="4657" spans="1:4" x14ac:dyDescent="0.3">
      <c r="A4657">
        <v>4302451</v>
      </c>
      <c r="B4657" t="s">
        <v>5455</v>
      </c>
      <c r="C4657">
        <v>-29.305157917908499</v>
      </c>
      <c r="D4657">
        <v>-52.428050264471821</v>
      </c>
    </row>
    <row r="4658" spans="1:4" x14ac:dyDescent="0.3">
      <c r="A4658">
        <v>4302501</v>
      </c>
      <c r="B4658" t="s">
        <v>5456</v>
      </c>
      <c r="C4658">
        <v>-28.730724330223907</v>
      </c>
      <c r="D4658">
        <v>-54.909810925254462</v>
      </c>
    </row>
    <row r="4659" spans="1:4" x14ac:dyDescent="0.3">
      <c r="A4659">
        <v>4302584</v>
      </c>
      <c r="B4659" t="s">
        <v>5457</v>
      </c>
      <c r="C4659">
        <v>-28.366289940194104</v>
      </c>
      <c r="D4659">
        <v>-53.772402138764093</v>
      </c>
    </row>
    <row r="4660" spans="1:4" x14ac:dyDescent="0.3">
      <c r="A4660">
        <v>4302600</v>
      </c>
      <c r="B4660" t="s">
        <v>5458</v>
      </c>
      <c r="C4660">
        <v>-27.619192507534706</v>
      </c>
      <c r="D4660">
        <v>-53.744329382075165</v>
      </c>
    </row>
    <row r="4661" spans="1:4" x14ac:dyDescent="0.3">
      <c r="A4661">
        <v>4302659</v>
      </c>
      <c r="B4661" t="s">
        <v>5459</v>
      </c>
      <c r="C4661">
        <v>-29.555527955557206</v>
      </c>
      <c r="D4661">
        <v>-51.588915971653442</v>
      </c>
    </row>
    <row r="4662" spans="1:4" x14ac:dyDescent="0.3">
      <c r="A4662">
        <v>4302709</v>
      </c>
      <c r="B4662" t="s">
        <v>5460</v>
      </c>
      <c r="C4662">
        <v>-30.116144012647251</v>
      </c>
      <c r="D4662">
        <v>-51.961482953215771</v>
      </c>
    </row>
    <row r="4663" spans="1:4" x14ac:dyDescent="0.3">
      <c r="A4663">
        <v>4302808</v>
      </c>
      <c r="B4663" t="s">
        <v>5461</v>
      </c>
      <c r="C4663">
        <v>-30.514743234080058</v>
      </c>
      <c r="D4663">
        <v>-53.487568920041419</v>
      </c>
    </row>
    <row r="4664" spans="1:4" x14ac:dyDescent="0.3">
      <c r="A4664">
        <v>4302907</v>
      </c>
      <c r="B4664" t="s">
        <v>5462</v>
      </c>
      <c r="C4664">
        <v>-29.880287660479507</v>
      </c>
      <c r="D4664">
        <v>-54.827727690336211</v>
      </c>
    </row>
    <row r="4665" spans="1:4" x14ac:dyDescent="0.3">
      <c r="A4665">
        <v>4303004</v>
      </c>
      <c r="B4665" t="s">
        <v>5463</v>
      </c>
      <c r="C4665">
        <v>-30.045819979727405</v>
      </c>
      <c r="D4665">
        <v>-52.893412558481998</v>
      </c>
    </row>
    <row r="4666" spans="1:4" x14ac:dyDescent="0.3">
      <c r="A4666">
        <v>4303103</v>
      </c>
      <c r="B4666" t="s">
        <v>1001</v>
      </c>
      <c r="C4666">
        <v>-29.950629444344703</v>
      </c>
      <c r="D4666">
        <v>-51.093676954262762</v>
      </c>
    </row>
    <row r="4667" spans="1:4" x14ac:dyDescent="0.3">
      <c r="A4667">
        <v>4303202</v>
      </c>
      <c r="B4667" t="s">
        <v>5464</v>
      </c>
      <c r="C4667">
        <v>-27.768232466016304</v>
      </c>
      <c r="D4667">
        <v>-51.664113449838169</v>
      </c>
    </row>
    <row r="4668" spans="1:4" x14ac:dyDescent="0.3">
      <c r="A4668">
        <v>4303301</v>
      </c>
      <c r="B4668" t="s">
        <v>5465</v>
      </c>
      <c r="C4668">
        <v>-28.291074819166756</v>
      </c>
      <c r="D4668">
        <v>-54.637886704208661</v>
      </c>
    </row>
    <row r="4669" spans="1:4" x14ac:dyDescent="0.3">
      <c r="A4669">
        <v>4303400</v>
      </c>
      <c r="B4669" t="s">
        <v>2288</v>
      </c>
      <c r="C4669">
        <v>-27.280940664626954</v>
      </c>
      <c r="D4669">
        <v>-53.431895485103993</v>
      </c>
    </row>
    <row r="4670" spans="1:4" x14ac:dyDescent="0.3">
      <c r="A4670">
        <v>4303509</v>
      </c>
      <c r="B4670" t="s">
        <v>5466</v>
      </c>
      <c r="C4670">
        <v>-30.850704389255853</v>
      </c>
      <c r="D4670">
        <v>-51.814600906221074</v>
      </c>
    </row>
    <row r="4671" spans="1:4" x14ac:dyDescent="0.3">
      <c r="A4671">
        <v>4303558</v>
      </c>
      <c r="B4671" t="s">
        <v>5467</v>
      </c>
      <c r="C4671">
        <v>-28.589237531547006</v>
      </c>
      <c r="D4671">
        <v>-52.203798973251416</v>
      </c>
    </row>
    <row r="4672" spans="1:4" x14ac:dyDescent="0.3">
      <c r="A4672">
        <v>4303608</v>
      </c>
      <c r="B4672" t="s">
        <v>5468</v>
      </c>
      <c r="C4672">
        <v>-29.048175273445551</v>
      </c>
      <c r="D4672">
        <v>-50.143765384253626</v>
      </c>
    </row>
    <row r="4673" spans="1:4" x14ac:dyDescent="0.3">
      <c r="A4673">
        <v>4303673</v>
      </c>
      <c r="B4673" t="s">
        <v>5469</v>
      </c>
      <c r="C4673">
        <v>-28.796512246898057</v>
      </c>
      <c r="D4673">
        <v>-51.095664004837353</v>
      </c>
    </row>
    <row r="4674" spans="1:4" x14ac:dyDescent="0.3">
      <c r="A4674">
        <v>4303707</v>
      </c>
      <c r="B4674" t="s">
        <v>5470</v>
      </c>
      <c r="C4674">
        <v>-27.991690028400257</v>
      </c>
      <c r="D4674">
        <v>-54.845328950828787</v>
      </c>
    </row>
    <row r="4675" spans="1:4" x14ac:dyDescent="0.3">
      <c r="A4675">
        <v>4303806</v>
      </c>
      <c r="B4675" t="s">
        <v>5471</v>
      </c>
      <c r="C4675">
        <v>-27.711601416101455</v>
      </c>
      <c r="D4675">
        <v>-52.633104477776335</v>
      </c>
    </row>
    <row r="4676" spans="1:4" x14ac:dyDescent="0.3">
      <c r="A4676">
        <v>4303905</v>
      </c>
      <c r="B4676" t="s">
        <v>5472</v>
      </c>
      <c r="C4676">
        <v>-29.675685097122809</v>
      </c>
      <c r="D4676">
        <v>-51.058869924278497</v>
      </c>
    </row>
    <row r="4677" spans="1:4" x14ac:dyDescent="0.3">
      <c r="A4677">
        <v>4304002</v>
      </c>
      <c r="B4677" t="s">
        <v>5473</v>
      </c>
      <c r="C4677">
        <v>-27.674492610217204</v>
      </c>
      <c r="D4677">
        <v>-53.802813868673745</v>
      </c>
    </row>
    <row r="4678" spans="1:4" x14ac:dyDescent="0.3">
      <c r="A4678">
        <v>4304101</v>
      </c>
      <c r="B4678" t="s">
        <v>5474</v>
      </c>
      <c r="C4678">
        <v>-28.892131767326507</v>
      </c>
      <c r="D4678">
        <v>-52.998914733228034</v>
      </c>
    </row>
    <row r="4679" spans="1:4" x14ac:dyDescent="0.3">
      <c r="A4679">
        <v>4304200</v>
      </c>
      <c r="B4679" t="s">
        <v>5475</v>
      </c>
      <c r="C4679">
        <v>-29.671285415964707</v>
      </c>
      <c r="D4679">
        <v>-52.789668438819184</v>
      </c>
    </row>
    <row r="4680" spans="1:4" x14ac:dyDescent="0.3">
      <c r="A4680">
        <v>4304309</v>
      </c>
      <c r="B4680" t="s">
        <v>5476</v>
      </c>
      <c r="C4680">
        <v>-27.951318068101049</v>
      </c>
      <c r="D4680">
        <v>-54.752834042894094</v>
      </c>
    </row>
    <row r="4681" spans="1:4" x14ac:dyDescent="0.3">
      <c r="A4681">
        <v>4304358</v>
      </c>
      <c r="B4681" t="s">
        <v>5477</v>
      </c>
      <c r="C4681">
        <v>-31.561009723553504</v>
      </c>
      <c r="D4681">
        <v>-53.677804642512683</v>
      </c>
    </row>
    <row r="4682" spans="1:4" x14ac:dyDescent="0.3">
      <c r="A4682">
        <v>4304408</v>
      </c>
      <c r="B4682" t="s">
        <v>5478</v>
      </c>
      <c r="C4682">
        <v>-29.357971850415055</v>
      </c>
      <c r="D4682">
        <v>-50.814867349363638</v>
      </c>
    </row>
    <row r="4683" spans="1:4" x14ac:dyDescent="0.3">
      <c r="A4683">
        <v>4304507</v>
      </c>
      <c r="B4683" t="s">
        <v>5479</v>
      </c>
      <c r="C4683">
        <v>-31.393859524316301</v>
      </c>
      <c r="D4683">
        <v>-52.676285832072352</v>
      </c>
    </row>
    <row r="4684" spans="1:4" x14ac:dyDescent="0.3">
      <c r="A4684">
        <v>4304606</v>
      </c>
      <c r="B4684" t="s">
        <v>5480</v>
      </c>
      <c r="C4684">
        <v>-29.918696706490604</v>
      </c>
      <c r="D4684">
        <v>-51.181029780687645</v>
      </c>
    </row>
    <row r="4685" spans="1:4" x14ac:dyDescent="0.3">
      <c r="A4685">
        <v>4304614</v>
      </c>
      <c r="B4685" t="s">
        <v>5481</v>
      </c>
      <c r="C4685">
        <v>-29.323525296299554</v>
      </c>
      <c r="D4685">
        <v>-52.232382617248518</v>
      </c>
    </row>
    <row r="4686" spans="1:4" x14ac:dyDescent="0.3">
      <c r="A4686">
        <v>4304622</v>
      </c>
      <c r="B4686" t="s">
        <v>5482</v>
      </c>
      <c r="C4686">
        <v>-28.125975294924757</v>
      </c>
      <c r="D4686">
        <v>-51.395158462703471</v>
      </c>
    </row>
    <row r="4687" spans="1:4" x14ac:dyDescent="0.3">
      <c r="A4687">
        <v>4304630</v>
      </c>
      <c r="B4687" t="s">
        <v>5483</v>
      </c>
      <c r="C4687">
        <v>-29.761466640119753</v>
      </c>
      <c r="D4687">
        <v>-50.020022444273209</v>
      </c>
    </row>
    <row r="4688" spans="1:4" x14ac:dyDescent="0.3">
      <c r="A4688">
        <v>4304655</v>
      </c>
      <c r="B4688" t="s">
        <v>5484</v>
      </c>
      <c r="C4688">
        <v>-28.931627519554201</v>
      </c>
      <c r="D4688">
        <v>-54.554698999990705</v>
      </c>
    </row>
    <row r="4689" spans="1:4" x14ac:dyDescent="0.3">
      <c r="A4689">
        <v>4304663</v>
      </c>
      <c r="B4689" t="s">
        <v>5485</v>
      </c>
      <c r="C4689">
        <v>-31.766838656648602</v>
      </c>
      <c r="D4689">
        <v>-52.487007572062737</v>
      </c>
    </row>
    <row r="4690" spans="1:4" x14ac:dyDescent="0.3">
      <c r="A4690">
        <v>4304671</v>
      </c>
      <c r="B4690" t="s">
        <v>5486</v>
      </c>
      <c r="C4690">
        <v>-30.149659662938152</v>
      </c>
      <c r="D4690">
        <v>-50.508807934093376</v>
      </c>
    </row>
    <row r="4691" spans="1:4" x14ac:dyDescent="0.3">
      <c r="A4691">
        <v>4304689</v>
      </c>
      <c r="B4691" t="s">
        <v>5487</v>
      </c>
      <c r="C4691">
        <v>-29.701944851983058</v>
      </c>
      <c r="D4691">
        <v>-51.321769345411369</v>
      </c>
    </row>
    <row r="4692" spans="1:4" x14ac:dyDescent="0.3">
      <c r="A4692">
        <v>4304697</v>
      </c>
      <c r="B4692" t="s">
        <v>5488</v>
      </c>
      <c r="C4692">
        <v>-29.269499608581754</v>
      </c>
      <c r="D4692">
        <v>-51.98596884563888</v>
      </c>
    </row>
    <row r="4693" spans="1:4" x14ac:dyDescent="0.3">
      <c r="A4693">
        <v>4304705</v>
      </c>
      <c r="B4693" t="s">
        <v>5489</v>
      </c>
      <c r="C4693">
        <v>-28.286510590894906</v>
      </c>
      <c r="D4693">
        <v>-52.791897388103791</v>
      </c>
    </row>
    <row r="4694" spans="1:4" x14ac:dyDescent="0.3">
      <c r="A4694">
        <v>4304713</v>
      </c>
      <c r="B4694" t="s">
        <v>5490</v>
      </c>
      <c r="C4694">
        <v>-29.778637456240407</v>
      </c>
      <c r="D4694">
        <v>-50.435756429569622</v>
      </c>
    </row>
    <row r="4695" spans="1:4" x14ac:dyDescent="0.3">
      <c r="A4695">
        <v>4304804</v>
      </c>
      <c r="B4695" t="s">
        <v>5491</v>
      </c>
      <c r="C4695">
        <v>-29.298296805873953</v>
      </c>
      <c r="D4695">
        <v>-51.503817629983644</v>
      </c>
    </row>
    <row r="4696" spans="1:4" x14ac:dyDescent="0.3">
      <c r="A4696">
        <v>4304853</v>
      </c>
      <c r="B4696" t="s">
        <v>5492</v>
      </c>
      <c r="C4696">
        <v>-27.714892075086354</v>
      </c>
      <c r="D4696">
        <v>-51.917576229865169</v>
      </c>
    </row>
    <row r="4697" spans="1:4" x14ac:dyDescent="0.3">
      <c r="A4697">
        <v>4304903</v>
      </c>
      <c r="B4697" t="s">
        <v>5493</v>
      </c>
      <c r="C4697">
        <v>-28.559874016842105</v>
      </c>
      <c r="D4697">
        <v>-51.983232657416352</v>
      </c>
    </row>
    <row r="4698" spans="1:4" x14ac:dyDescent="0.3">
      <c r="A4698">
        <v>4304952</v>
      </c>
      <c r="B4698" t="s">
        <v>5494</v>
      </c>
      <c r="C4698">
        <v>-28.273565470281106</v>
      </c>
      <c r="D4698">
        <v>-51.692682822330312</v>
      </c>
    </row>
    <row r="4699" spans="1:4" x14ac:dyDescent="0.3">
      <c r="A4699">
        <v>4305009</v>
      </c>
      <c r="B4699" t="s">
        <v>5495</v>
      </c>
      <c r="C4699">
        <v>-28.254234472461654</v>
      </c>
      <c r="D4699">
        <v>-54.012386847674406</v>
      </c>
    </row>
    <row r="4700" spans="1:4" x14ac:dyDescent="0.3">
      <c r="A4700">
        <v>4305108</v>
      </c>
      <c r="B4700" t="s">
        <v>5496</v>
      </c>
      <c r="C4700">
        <v>-29.166899011062103</v>
      </c>
      <c r="D4700">
        <v>-51.178860205883019</v>
      </c>
    </row>
    <row r="4701" spans="1:4" x14ac:dyDescent="0.3">
      <c r="A4701">
        <v>4305116</v>
      </c>
      <c r="B4701" t="s">
        <v>1373</v>
      </c>
      <c r="C4701">
        <v>-27.762847130393855</v>
      </c>
      <c r="D4701">
        <v>-52.002053845845694</v>
      </c>
    </row>
    <row r="4702" spans="1:4" x14ac:dyDescent="0.3">
      <c r="A4702">
        <v>4305124</v>
      </c>
      <c r="B4702" t="s">
        <v>5497</v>
      </c>
      <c r="C4702">
        <v>-31.852639126784009</v>
      </c>
      <c r="D4702">
        <v>-52.814802332280905</v>
      </c>
    </row>
    <row r="4703" spans="1:4" x14ac:dyDescent="0.3">
      <c r="A4703">
        <v>4305132</v>
      </c>
      <c r="B4703" t="s">
        <v>5498</v>
      </c>
      <c r="C4703">
        <v>-29.656287194921653</v>
      </c>
      <c r="D4703">
        <v>-52.94197780174391</v>
      </c>
    </row>
    <row r="4704" spans="1:4" x14ac:dyDescent="0.3">
      <c r="A4704">
        <v>4305157</v>
      </c>
      <c r="B4704" t="s">
        <v>5499</v>
      </c>
      <c r="C4704">
        <v>-27.607980134736852</v>
      </c>
      <c r="D4704">
        <v>-53.16591307647635</v>
      </c>
    </row>
    <row r="4705" spans="1:4" x14ac:dyDescent="0.3">
      <c r="A4705">
        <v>4305173</v>
      </c>
      <c r="B4705" t="s">
        <v>5500</v>
      </c>
      <c r="C4705">
        <v>-30.602028928950556</v>
      </c>
      <c r="D4705">
        <v>-51.753103265218691</v>
      </c>
    </row>
    <row r="4706" spans="1:4" x14ac:dyDescent="0.3">
      <c r="A4706">
        <v>4305207</v>
      </c>
      <c r="B4706" t="s">
        <v>5501</v>
      </c>
      <c r="C4706">
        <v>-28.1478408769518</v>
      </c>
      <c r="D4706">
        <v>-54.739997239855136</v>
      </c>
    </row>
    <row r="4707" spans="1:4" x14ac:dyDescent="0.3">
      <c r="A4707">
        <v>4305306</v>
      </c>
      <c r="B4707" t="s">
        <v>5502</v>
      </c>
      <c r="C4707">
        <v>-28.058450461239307</v>
      </c>
      <c r="D4707">
        <v>-53.067276904420602</v>
      </c>
    </row>
    <row r="4708" spans="1:4" x14ac:dyDescent="0.3">
      <c r="A4708">
        <v>4305355</v>
      </c>
      <c r="B4708" t="s">
        <v>5503</v>
      </c>
      <c r="C4708">
        <v>-29.956800363044554</v>
      </c>
      <c r="D4708">
        <v>-51.625006052184659</v>
      </c>
    </row>
    <row r="4709" spans="1:4" x14ac:dyDescent="0.3">
      <c r="A4709">
        <v>4305371</v>
      </c>
      <c r="B4709" t="s">
        <v>5504</v>
      </c>
      <c r="C4709">
        <v>-27.952831101069552</v>
      </c>
      <c r="D4709">
        <v>-52.029411953513502</v>
      </c>
    </row>
    <row r="4710" spans="1:4" x14ac:dyDescent="0.3">
      <c r="A4710">
        <v>4305405</v>
      </c>
      <c r="B4710" t="s">
        <v>5505</v>
      </c>
      <c r="C4710">
        <v>-27.917364754007757</v>
      </c>
      <c r="D4710">
        <v>-53.945749702382166</v>
      </c>
    </row>
    <row r="4711" spans="1:4" x14ac:dyDescent="0.3">
      <c r="A4711">
        <v>4305439</v>
      </c>
      <c r="B4711" t="s">
        <v>5506</v>
      </c>
      <c r="C4711">
        <v>-33.687566868729654</v>
      </c>
      <c r="D4711">
        <v>-53.462675141684343</v>
      </c>
    </row>
    <row r="4712" spans="1:4" x14ac:dyDescent="0.3">
      <c r="A4712">
        <v>4305447</v>
      </c>
      <c r="B4712" t="s">
        <v>5507</v>
      </c>
      <c r="C4712">
        <v>-30.757426711190906</v>
      </c>
      <c r="D4712">
        <v>-51.978542222628441</v>
      </c>
    </row>
    <row r="4713" spans="1:4" x14ac:dyDescent="0.3">
      <c r="A4713">
        <v>4305454</v>
      </c>
      <c r="B4713" t="s">
        <v>5508</v>
      </c>
      <c r="C4713">
        <v>-30.181169986162057</v>
      </c>
      <c r="D4713">
        <v>-50.209092333871908</v>
      </c>
    </row>
    <row r="4714" spans="1:4" x14ac:dyDescent="0.3">
      <c r="A4714">
        <v>4305504</v>
      </c>
      <c r="B4714" t="s">
        <v>5509</v>
      </c>
      <c r="C4714">
        <v>-28.344302543514608</v>
      </c>
      <c r="D4714">
        <v>-51.883031291955831</v>
      </c>
    </row>
    <row r="4715" spans="1:4" x14ac:dyDescent="0.3">
      <c r="A4715">
        <v>4305587</v>
      </c>
      <c r="B4715" t="s">
        <v>1528</v>
      </c>
      <c r="C4715">
        <v>-29.392536871608804</v>
      </c>
      <c r="D4715">
        <v>-51.868575546499791</v>
      </c>
    </row>
    <row r="4716" spans="1:4" x14ac:dyDescent="0.3">
      <c r="A4716">
        <v>4305603</v>
      </c>
      <c r="B4716" t="s">
        <v>4858</v>
      </c>
      <c r="C4716">
        <v>-28.522947759894354</v>
      </c>
      <c r="D4716">
        <v>-52.993176319463295</v>
      </c>
    </row>
    <row r="4717" spans="1:4" x14ac:dyDescent="0.3">
      <c r="A4717">
        <v>4305702</v>
      </c>
      <c r="B4717" t="s">
        <v>5510</v>
      </c>
      <c r="C4717">
        <v>-28.20529577529371</v>
      </c>
      <c r="D4717">
        <v>-53.488943330852884</v>
      </c>
    </row>
    <row r="4718" spans="1:4" x14ac:dyDescent="0.3">
      <c r="A4718">
        <v>4305801</v>
      </c>
      <c r="B4718" t="s">
        <v>5511</v>
      </c>
      <c r="C4718">
        <v>-27.730411086445002</v>
      </c>
      <c r="D4718">
        <v>-52.987738832113699</v>
      </c>
    </row>
    <row r="4719" spans="1:4" x14ac:dyDescent="0.3">
      <c r="A4719">
        <v>4305835</v>
      </c>
      <c r="B4719" t="s">
        <v>5512</v>
      </c>
      <c r="C4719">
        <v>-29.179256801256901</v>
      </c>
      <c r="D4719">
        <v>-52.094602559640336</v>
      </c>
    </row>
    <row r="4720" spans="1:4" x14ac:dyDescent="0.3">
      <c r="A4720">
        <v>4305850</v>
      </c>
      <c r="B4720" t="s">
        <v>5513</v>
      </c>
      <c r="C4720">
        <v>-28.117428320627955</v>
      </c>
      <c r="D4720">
        <v>-52.778800845550357</v>
      </c>
    </row>
    <row r="4721" spans="1:4" x14ac:dyDescent="0.3">
      <c r="A4721">
        <v>4305871</v>
      </c>
      <c r="B4721" t="s">
        <v>5514</v>
      </c>
      <c r="C4721">
        <v>-28.384540858676253</v>
      </c>
      <c r="D4721">
        <v>-54.07366243028882</v>
      </c>
    </row>
    <row r="4722" spans="1:4" x14ac:dyDescent="0.3">
      <c r="A4722">
        <v>4305900</v>
      </c>
      <c r="B4722" t="s">
        <v>5515</v>
      </c>
      <c r="C4722">
        <v>-27.717873019639054</v>
      </c>
      <c r="D4722">
        <v>-53.709128106501403</v>
      </c>
    </row>
    <row r="4723" spans="1:4" x14ac:dyDescent="0.3">
      <c r="A4723">
        <v>4305934</v>
      </c>
      <c r="B4723" t="s">
        <v>5516</v>
      </c>
      <c r="C4723">
        <v>-29.272710075417454</v>
      </c>
      <c r="D4723">
        <v>-51.684934596555166</v>
      </c>
    </row>
    <row r="4724" spans="1:4" x14ac:dyDescent="0.3">
      <c r="A4724">
        <v>4305959</v>
      </c>
      <c r="B4724" t="s">
        <v>5517</v>
      </c>
      <c r="C4724">
        <v>-28.998576427598156</v>
      </c>
      <c r="D4724">
        <v>-51.69643367740256</v>
      </c>
    </row>
    <row r="4725" spans="1:4" x14ac:dyDescent="0.3">
      <c r="A4725">
        <v>4305975</v>
      </c>
      <c r="B4725" t="s">
        <v>5518</v>
      </c>
      <c r="C4725">
        <v>-28.121341710779156</v>
      </c>
      <c r="D4725">
        <v>-52.300277829510264</v>
      </c>
    </row>
    <row r="4726" spans="1:4" x14ac:dyDescent="0.3">
      <c r="A4726">
        <v>4306007</v>
      </c>
      <c r="B4726" t="s">
        <v>5519</v>
      </c>
      <c r="C4726">
        <v>-27.498012269392703</v>
      </c>
      <c r="D4726">
        <v>-54.100034906165305</v>
      </c>
    </row>
    <row r="4727" spans="1:4" x14ac:dyDescent="0.3">
      <c r="A4727">
        <v>4306056</v>
      </c>
      <c r="B4727" t="s">
        <v>5520</v>
      </c>
      <c r="C4727">
        <v>-30.999345191822005</v>
      </c>
      <c r="D4727">
        <v>-52.049410401776356</v>
      </c>
    </row>
    <row r="4728" spans="1:4" x14ac:dyDescent="0.3">
      <c r="A4728">
        <v>4306072</v>
      </c>
      <c r="B4728" t="s">
        <v>5521</v>
      </c>
      <c r="C4728">
        <v>-27.453629567169408</v>
      </c>
      <c r="D4728">
        <v>-53.249184495257445</v>
      </c>
    </row>
    <row r="4729" spans="1:4" x14ac:dyDescent="0.3">
      <c r="A4729">
        <v>4306106</v>
      </c>
      <c r="B4729" t="s">
        <v>5522</v>
      </c>
      <c r="C4729">
        <v>-28.642446608489106</v>
      </c>
      <c r="D4729">
        <v>-53.605240762119642</v>
      </c>
    </row>
    <row r="4730" spans="1:4" x14ac:dyDescent="0.3">
      <c r="A4730">
        <v>4306130</v>
      </c>
      <c r="B4730" t="s">
        <v>5523</v>
      </c>
      <c r="C4730">
        <v>-27.664888108574253</v>
      </c>
      <c r="D4730">
        <v>-52.648142988227058</v>
      </c>
    </row>
    <row r="4731" spans="1:4" x14ac:dyDescent="0.3">
      <c r="A4731">
        <v>4306205</v>
      </c>
      <c r="B4731" t="s">
        <v>1093</v>
      </c>
      <c r="C4731">
        <v>-29.508290968701203</v>
      </c>
      <c r="D4731">
        <v>-51.991575885173425</v>
      </c>
    </row>
    <row r="4732" spans="1:4" x14ac:dyDescent="0.3">
      <c r="A4732">
        <v>4306304</v>
      </c>
      <c r="B4732" t="s">
        <v>5524</v>
      </c>
      <c r="C4732">
        <v>-28.384611534059903</v>
      </c>
      <c r="D4732">
        <v>-51.852249056523007</v>
      </c>
    </row>
    <row r="4733" spans="1:4" x14ac:dyDescent="0.3">
      <c r="A4733">
        <v>4306320</v>
      </c>
      <c r="B4733" t="s">
        <v>5525</v>
      </c>
      <c r="C4733">
        <v>-27.265390936297301</v>
      </c>
      <c r="D4733">
        <v>-53.865119460332515</v>
      </c>
    </row>
    <row r="4734" spans="1:4" x14ac:dyDescent="0.3">
      <c r="A4734">
        <v>4306353</v>
      </c>
      <c r="B4734" t="s">
        <v>5526</v>
      </c>
      <c r="C4734">
        <v>-28.226876443498504</v>
      </c>
      <c r="D4734">
        <v>-55.048208502039856</v>
      </c>
    </row>
    <row r="4735" spans="1:4" x14ac:dyDescent="0.3">
      <c r="A4735">
        <v>4306379</v>
      </c>
      <c r="B4735" t="s">
        <v>5527</v>
      </c>
      <c r="C4735">
        <v>-29.701963909753907</v>
      </c>
      <c r="D4735">
        <v>-54.213560384502131</v>
      </c>
    </row>
    <row r="4736" spans="1:4" x14ac:dyDescent="0.3">
      <c r="A4736">
        <v>4306403</v>
      </c>
      <c r="B4736" t="s">
        <v>5528</v>
      </c>
      <c r="C4736">
        <v>-29.584158778904708</v>
      </c>
      <c r="D4736">
        <v>-51.087619313020944</v>
      </c>
    </row>
    <row r="4737" spans="1:4" x14ac:dyDescent="0.3">
      <c r="A4737">
        <v>4306429</v>
      </c>
      <c r="B4737" t="s">
        <v>5529</v>
      </c>
      <c r="C4737">
        <v>-27.657536731448904</v>
      </c>
      <c r="D4737">
        <v>-53.53086462352293</v>
      </c>
    </row>
    <row r="4738" spans="1:4" x14ac:dyDescent="0.3">
      <c r="A4738">
        <v>4306452</v>
      </c>
      <c r="B4738" t="s">
        <v>5530</v>
      </c>
      <c r="C4738">
        <v>-28.975205386242457</v>
      </c>
      <c r="D4738">
        <v>-51.835102986864825</v>
      </c>
    </row>
    <row r="4739" spans="1:4" x14ac:dyDescent="0.3">
      <c r="A4739">
        <v>4306502</v>
      </c>
      <c r="B4739" t="s">
        <v>5531</v>
      </c>
      <c r="C4739">
        <v>-30.708598426315003</v>
      </c>
      <c r="D4739">
        <v>-52.103933579678007</v>
      </c>
    </row>
    <row r="4740" spans="1:4" x14ac:dyDescent="0.3">
      <c r="A4740">
        <v>4306551</v>
      </c>
      <c r="B4740" t="s">
        <v>5532</v>
      </c>
      <c r="C4740">
        <v>-29.370187079104401</v>
      </c>
      <c r="D4740">
        <v>-49.849549961729615</v>
      </c>
    </row>
    <row r="4741" spans="1:4" x14ac:dyDescent="0.3">
      <c r="A4741">
        <v>4306601</v>
      </c>
      <c r="B4741" t="s">
        <v>5533</v>
      </c>
      <c r="C4741">
        <v>-30.981267056751104</v>
      </c>
      <c r="D4741">
        <v>-54.67413018382365</v>
      </c>
    </row>
    <row r="4742" spans="1:4" x14ac:dyDescent="0.3">
      <c r="A4742">
        <v>4306700</v>
      </c>
      <c r="B4742" t="s">
        <v>5534</v>
      </c>
      <c r="C4742">
        <v>-29.624852491347255</v>
      </c>
      <c r="D4742">
        <v>-53.362333180785015</v>
      </c>
    </row>
    <row r="4743" spans="1:4" x14ac:dyDescent="0.3">
      <c r="A4743">
        <v>4306734</v>
      </c>
      <c r="B4743" t="s">
        <v>5535</v>
      </c>
      <c r="C4743">
        <v>-27.509212613712503</v>
      </c>
      <c r="D4743">
        <v>-54.358267990526791</v>
      </c>
    </row>
    <row r="4744" spans="1:4" x14ac:dyDescent="0.3">
      <c r="A4744">
        <v>4306759</v>
      </c>
      <c r="B4744" t="s">
        <v>5536</v>
      </c>
      <c r="C4744">
        <v>-29.099031060960254</v>
      </c>
      <c r="D4744">
        <v>-51.984904392116164</v>
      </c>
    </row>
    <row r="4745" spans="1:4" x14ac:dyDescent="0.3">
      <c r="A4745">
        <v>4306767</v>
      </c>
      <c r="B4745" t="s">
        <v>5537</v>
      </c>
      <c r="C4745">
        <v>-29.999292594586805</v>
      </c>
      <c r="D4745">
        <v>-51.310418926013021</v>
      </c>
    </row>
    <row r="4746" spans="1:4" x14ac:dyDescent="0.3">
      <c r="A4746">
        <v>4306809</v>
      </c>
      <c r="B4746" t="s">
        <v>5538</v>
      </c>
      <c r="C4746">
        <v>-29.2399172072227</v>
      </c>
      <c r="D4746">
        <v>-51.8730231343648</v>
      </c>
    </row>
    <row r="4747" spans="1:4" x14ac:dyDescent="0.3">
      <c r="A4747">
        <v>4306908</v>
      </c>
      <c r="B4747" t="s">
        <v>5539</v>
      </c>
      <c r="C4747">
        <v>-30.543657324769157</v>
      </c>
      <c r="D4747">
        <v>-52.522045389855798</v>
      </c>
    </row>
    <row r="4748" spans="1:4" x14ac:dyDescent="0.3">
      <c r="A4748">
        <v>4306924</v>
      </c>
      <c r="B4748" t="s">
        <v>5540</v>
      </c>
      <c r="C4748">
        <v>-27.708586519665101</v>
      </c>
      <c r="D4748">
        <v>-52.911920503024071</v>
      </c>
    </row>
    <row r="4749" spans="1:4" x14ac:dyDescent="0.3">
      <c r="A4749">
        <v>4306932</v>
      </c>
      <c r="B4749" t="s">
        <v>5541</v>
      </c>
      <c r="C4749">
        <v>-28.3627942778995</v>
      </c>
      <c r="D4749">
        <v>-54.27143185119467</v>
      </c>
    </row>
    <row r="4750" spans="1:4" x14ac:dyDescent="0.3">
      <c r="A4750">
        <v>4306957</v>
      </c>
      <c r="B4750" t="s">
        <v>5542</v>
      </c>
      <c r="C4750">
        <v>-27.528857931636303</v>
      </c>
      <c r="D4750">
        <v>-52.735067952125625</v>
      </c>
    </row>
    <row r="4751" spans="1:4" x14ac:dyDescent="0.3">
      <c r="A4751">
        <v>4306973</v>
      </c>
      <c r="B4751" t="s">
        <v>5543</v>
      </c>
      <c r="C4751">
        <v>-27.849195940860252</v>
      </c>
      <c r="D4751">
        <v>-52.299711402977138</v>
      </c>
    </row>
    <row r="4752" spans="1:4" x14ac:dyDescent="0.3">
      <c r="A4752">
        <v>4307005</v>
      </c>
      <c r="B4752" t="s">
        <v>5544</v>
      </c>
      <c r="C4752">
        <v>-27.633405810801008</v>
      </c>
      <c r="D4752">
        <v>-52.275876897887066</v>
      </c>
    </row>
    <row r="4753" spans="1:4" x14ac:dyDescent="0.3">
      <c r="A4753">
        <v>4307054</v>
      </c>
      <c r="B4753" t="s">
        <v>5545</v>
      </c>
      <c r="C4753">
        <v>-28.4971546905367</v>
      </c>
      <c r="D4753">
        <v>-52.572176208858686</v>
      </c>
    </row>
    <row r="4754" spans="1:4" x14ac:dyDescent="0.3">
      <c r="A4754">
        <v>4307104</v>
      </c>
      <c r="B4754" t="s">
        <v>5546</v>
      </c>
      <c r="C4754">
        <v>-32.026743551158461</v>
      </c>
      <c r="D4754">
        <v>-53.394337860891071</v>
      </c>
    </row>
    <row r="4755" spans="1:4" x14ac:dyDescent="0.3">
      <c r="A4755">
        <v>4307203</v>
      </c>
      <c r="B4755" t="s">
        <v>5547</v>
      </c>
      <c r="C4755">
        <v>-27.393336674507555</v>
      </c>
      <c r="D4755">
        <v>-52.570112052353217</v>
      </c>
    </row>
    <row r="4756" spans="1:4" x14ac:dyDescent="0.3">
      <c r="A4756">
        <v>4307302</v>
      </c>
      <c r="B4756" t="s">
        <v>5548</v>
      </c>
      <c r="C4756">
        <v>-27.549417126509454</v>
      </c>
      <c r="D4756">
        <v>-53.509573083661166</v>
      </c>
    </row>
    <row r="4757" spans="1:4" x14ac:dyDescent="0.3">
      <c r="A4757">
        <v>4307401</v>
      </c>
      <c r="B4757" t="s">
        <v>5549</v>
      </c>
      <c r="C4757">
        <v>-28.057276347984157</v>
      </c>
      <c r="D4757">
        <v>-51.188793662461386</v>
      </c>
    </row>
    <row r="4758" spans="1:4" x14ac:dyDescent="0.3">
      <c r="A4758">
        <v>4307450</v>
      </c>
      <c r="B4758" t="s">
        <v>5550</v>
      </c>
      <c r="C4758">
        <v>-27.359943608841203</v>
      </c>
      <c r="D4758">
        <v>-53.99276781511945</v>
      </c>
    </row>
    <row r="4759" spans="1:4" x14ac:dyDescent="0.3">
      <c r="A4759">
        <v>4307500</v>
      </c>
      <c r="B4759" t="s">
        <v>5551</v>
      </c>
      <c r="C4759">
        <v>-28.731445142544256</v>
      </c>
      <c r="D4759">
        <v>-52.841926970943952</v>
      </c>
    </row>
    <row r="4760" spans="1:4" x14ac:dyDescent="0.3">
      <c r="A4760">
        <v>4307559</v>
      </c>
      <c r="B4760" t="s">
        <v>5552</v>
      </c>
      <c r="C4760">
        <v>-27.909006341528752</v>
      </c>
      <c r="D4760">
        <v>-52.270485796656715</v>
      </c>
    </row>
    <row r="4761" spans="1:4" x14ac:dyDescent="0.3">
      <c r="A4761">
        <v>4307609</v>
      </c>
      <c r="B4761" t="s">
        <v>5553</v>
      </c>
      <c r="C4761">
        <v>-29.650147967601306</v>
      </c>
      <c r="D4761">
        <v>-51.174293924986067</v>
      </c>
    </row>
    <row r="4762" spans="1:4" x14ac:dyDescent="0.3">
      <c r="A4762">
        <v>4307708</v>
      </c>
      <c r="B4762" t="s">
        <v>5554</v>
      </c>
      <c r="C4762">
        <v>-29.852186295458051</v>
      </c>
      <c r="D4762">
        <v>-51.143837339431997</v>
      </c>
    </row>
    <row r="4763" spans="1:4" x14ac:dyDescent="0.3">
      <c r="A4763">
        <v>4307807</v>
      </c>
      <c r="B4763" t="s">
        <v>5555</v>
      </c>
      <c r="C4763">
        <v>-29.503471876822204</v>
      </c>
      <c r="D4763">
        <v>-51.970260294175461</v>
      </c>
    </row>
    <row r="4764" spans="1:4" x14ac:dyDescent="0.3">
      <c r="A4764">
        <v>4307815</v>
      </c>
      <c r="B4764" t="s">
        <v>5556</v>
      </c>
      <c r="C4764">
        <v>-29.17966136170126</v>
      </c>
      <c r="D4764">
        <v>-53.160293778686466</v>
      </c>
    </row>
    <row r="4765" spans="1:4" x14ac:dyDescent="0.3">
      <c r="A4765">
        <v>4307831</v>
      </c>
      <c r="B4765" t="s">
        <v>5557</v>
      </c>
      <c r="C4765">
        <v>-28.525059762610653</v>
      </c>
      <c r="D4765">
        <v>-54.148112618486202</v>
      </c>
    </row>
    <row r="4766" spans="1:4" x14ac:dyDescent="0.3">
      <c r="A4766">
        <v>4307864</v>
      </c>
      <c r="B4766" t="s">
        <v>5558</v>
      </c>
      <c r="C4766">
        <v>-28.882134312618106</v>
      </c>
      <c r="D4766">
        <v>-51.691448747733048</v>
      </c>
    </row>
    <row r="4767" spans="1:4" x14ac:dyDescent="0.3">
      <c r="A4767">
        <v>4307906</v>
      </c>
      <c r="B4767" t="s">
        <v>5559</v>
      </c>
      <c r="C4767">
        <v>-29.223679186835056</v>
      </c>
      <c r="D4767">
        <v>-51.348349573769831</v>
      </c>
    </row>
    <row r="4768" spans="1:4" x14ac:dyDescent="0.3">
      <c r="A4768">
        <v>4308003</v>
      </c>
      <c r="B4768" t="s">
        <v>5560</v>
      </c>
      <c r="C4768">
        <v>-29.574329539770655</v>
      </c>
      <c r="D4768">
        <v>-53.43906481970582</v>
      </c>
    </row>
    <row r="4769" spans="1:4" x14ac:dyDescent="0.3">
      <c r="A4769">
        <v>4308052</v>
      </c>
      <c r="B4769" t="s">
        <v>5561</v>
      </c>
      <c r="C4769">
        <v>-27.425415506908159</v>
      </c>
      <c r="D4769">
        <v>-52.670591242164733</v>
      </c>
    </row>
    <row r="4770" spans="1:4" x14ac:dyDescent="0.3">
      <c r="A4770">
        <v>4308078</v>
      </c>
      <c r="B4770" t="s">
        <v>5562</v>
      </c>
      <c r="C4770">
        <v>-29.588574529673554</v>
      </c>
      <c r="D4770">
        <v>-51.821183044640762</v>
      </c>
    </row>
    <row r="4771" spans="1:4" x14ac:dyDescent="0.3">
      <c r="A4771">
        <v>4308102</v>
      </c>
      <c r="B4771" t="s">
        <v>5563</v>
      </c>
      <c r="C4771">
        <v>-29.453970926152046</v>
      </c>
      <c r="D4771">
        <v>-51.310102135355699</v>
      </c>
    </row>
    <row r="4772" spans="1:4" x14ac:dyDescent="0.3">
      <c r="A4772">
        <v>4308201</v>
      </c>
      <c r="B4772" t="s">
        <v>5564</v>
      </c>
      <c r="C4772">
        <v>-29.031142143690303</v>
      </c>
      <c r="D4772">
        <v>-51.182220576935862</v>
      </c>
    </row>
    <row r="4773" spans="1:4" x14ac:dyDescent="0.3">
      <c r="A4773">
        <v>4308250</v>
      </c>
      <c r="B4773" t="s">
        <v>5565</v>
      </c>
      <c r="C4773">
        <v>-27.862509277899502</v>
      </c>
      <c r="D4773">
        <v>-52.085607099939111</v>
      </c>
    </row>
    <row r="4774" spans="1:4" x14ac:dyDescent="0.3">
      <c r="A4774">
        <v>4308300</v>
      </c>
      <c r="B4774" t="s">
        <v>5566</v>
      </c>
      <c r="C4774">
        <v>-28.982167789175357</v>
      </c>
      <c r="D4774">
        <v>-52.344953183775289</v>
      </c>
    </row>
    <row r="4775" spans="1:4" x14ac:dyDescent="0.3">
      <c r="A4775">
        <v>4308409</v>
      </c>
      <c r="B4775" t="s">
        <v>5567</v>
      </c>
      <c r="C4775">
        <v>-29.997633815420357</v>
      </c>
      <c r="D4775">
        <v>-53.50029441494447</v>
      </c>
    </row>
    <row r="4776" spans="1:4" x14ac:dyDescent="0.3">
      <c r="A4776">
        <v>4308433</v>
      </c>
      <c r="B4776" t="s">
        <v>5568</v>
      </c>
      <c r="C4776">
        <v>-29.380633784728651</v>
      </c>
      <c r="D4776">
        <v>-52.096917058527183</v>
      </c>
    </row>
    <row r="4777" spans="1:4" x14ac:dyDescent="0.3">
      <c r="A4777">
        <v>4308458</v>
      </c>
      <c r="B4777" t="s">
        <v>5569</v>
      </c>
      <c r="C4777">
        <v>-28.787882970994101</v>
      </c>
      <c r="D4777">
        <v>-53.23552326391178</v>
      </c>
    </row>
    <row r="4778" spans="1:4" x14ac:dyDescent="0.3">
      <c r="A4778">
        <v>4308508</v>
      </c>
      <c r="B4778" t="s">
        <v>5570</v>
      </c>
      <c r="C4778">
        <v>-27.358882412380954</v>
      </c>
      <c r="D4778">
        <v>-53.400776738851427</v>
      </c>
    </row>
    <row r="4779" spans="1:4" x14ac:dyDescent="0.3">
      <c r="A4779">
        <v>4308607</v>
      </c>
      <c r="B4779" t="s">
        <v>5571</v>
      </c>
      <c r="C4779">
        <v>-29.254549112824456</v>
      </c>
      <c r="D4779">
        <v>-51.52954845879966</v>
      </c>
    </row>
    <row r="4780" spans="1:4" x14ac:dyDescent="0.3">
      <c r="A4780">
        <v>4308656</v>
      </c>
      <c r="B4780" t="s">
        <v>5572</v>
      </c>
      <c r="C4780">
        <v>-28.18947679006866</v>
      </c>
      <c r="D4780">
        <v>-55.634071950104449</v>
      </c>
    </row>
    <row r="4781" spans="1:4" x14ac:dyDescent="0.3">
      <c r="A4781">
        <v>4308706</v>
      </c>
      <c r="B4781" t="s">
        <v>5573</v>
      </c>
      <c r="C4781">
        <v>-27.583857756261459</v>
      </c>
      <c r="D4781">
        <v>-52.100138460526487</v>
      </c>
    </row>
    <row r="4782" spans="1:4" x14ac:dyDescent="0.3">
      <c r="A4782">
        <v>4308805</v>
      </c>
      <c r="B4782" t="s">
        <v>5574</v>
      </c>
      <c r="C4782">
        <v>-29.902983741364</v>
      </c>
      <c r="D4782">
        <v>-51.763430685100268</v>
      </c>
    </row>
    <row r="4783" spans="1:4" x14ac:dyDescent="0.3">
      <c r="A4783">
        <v>4308854</v>
      </c>
      <c r="B4783" t="s">
        <v>5575</v>
      </c>
      <c r="C4783">
        <v>-28.433848467015757</v>
      </c>
      <c r="D4783">
        <v>-52.034523569936745</v>
      </c>
    </row>
    <row r="4784" spans="1:4" x14ac:dyDescent="0.3">
      <c r="A4784">
        <v>4308904</v>
      </c>
      <c r="B4784" t="s">
        <v>5576</v>
      </c>
      <c r="C4784">
        <v>-27.875911930525607</v>
      </c>
      <c r="D4784">
        <v>-52.24957412333098</v>
      </c>
    </row>
    <row r="4785" spans="1:4" x14ac:dyDescent="0.3">
      <c r="A4785">
        <v>4309001</v>
      </c>
      <c r="B4785" t="s">
        <v>5577</v>
      </c>
      <c r="C4785">
        <v>-28.029744372896754</v>
      </c>
      <c r="D4785">
        <v>-54.350840077683884</v>
      </c>
    </row>
    <row r="4786" spans="1:4" x14ac:dyDescent="0.3">
      <c r="A4786">
        <v>4309050</v>
      </c>
      <c r="B4786" t="s">
        <v>5578</v>
      </c>
      <c r="C4786">
        <v>-29.877133961280354</v>
      </c>
      <c r="D4786">
        <v>-50.786207431893814</v>
      </c>
    </row>
    <row r="4787" spans="1:4" x14ac:dyDescent="0.3">
      <c r="A4787">
        <v>4309100</v>
      </c>
      <c r="B4787" t="s">
        <v>5579</v>
      </c>
      <c r="C4787">
        <v>-29.379737518357654</v>
      </c>
      <c r="D4787">
        <v>-50.871945700281437</v>
      </c>
    </row>
    <row r="4788" spans="1:4" x14ac:dyDescent="0.3">
      <c r="A4788">
        <v>4309126</v>
      </c>
      <c r="B4788" t="s">
        <v>5580</v>
      </c>
      <c r="C4788">
        <v>-27.444385021407001</v>
      </c>
      <c r="D4788">
        <v>-52.918217983032065</v>
      </c>
    </row>
    <row r="4789" spans="1:4" x14ac:dyDescent="0.3">
      <c r="A4789">
        <v>4309159</v>
      </c>
      <c r="B4789" t="s">
        <v>5581</v>
      </c>
      <c r="C4789">
        <v>-29.269936217535506</v>
      </c>
      <c r="D4789">
        <v>-52.577837756966474</v>
      </c>
    </row>
    <row r="4790" spans="1:4" x14ac:dyDescent="0.3">
      <c r="A4790">
        <v>4309209</v>
      </c>
      <c r="B4790" t="s">
        <v>5582</v>
      </c>
      <c r="C4790">
        <v>-29.945518913336258</v>
      </c>
      <c r="D4790">
        <v>-50.99079297477406</v>
      </c>
    </row>
    <row r="4791" spans="1:4" x14ac:dyDescent="0.3">
      <c r="A4791">
        <v>4309258</v>
      </c>
      <c r="B4791" t="s">
        <v>5583</v>
      </c>
      <c r="C4791">
        <v>-28.540671531039109</v>
      </c>
      <c r="D4791">
        <v>-51.691047358074734</v>
      </c>
    </row>
    <row r="4792" spans="1:4" x14ac:dyDescent="0.3">
      <c r="A4792">
        <v>4309308</v>
      </c>
      <c r="B4792" t="s">
        <v>5584</v>
      </c>
      <c r="C4792">
        <v>-30.108601922373559</v>
      </c>
      <c r="D4792">
        <v>-51.31468366372475</v>
      </c>
    </row>
    <row r="4793" spans="1:4" x14ac:dyDescent="0.3">
      <c r="A4793">
        <v>4309407</v>
      </c>
      <c r="B4793" t="s">
        <v>5585</v>
      </c>
      <c r="C4793">
        <v>-28.849133640450503</v>
      </c>
      <c r="D4793">
        <v>-51.890650687492716</v>
      </c>
    </row>
    <row r="4794" spans="1:4" x14ac:dyDescent="0.3">
      <c r="A4794">
        <v>4309506</v>
      </c>
      <c r="B4794" t="s">
        <v>5586</v>
      </c>
      <c r="C4794">
        <v>-28.141779257345405</v>
      </c>
      <c r="D4794">
        <v>-54.560555929660943</v>
      </c>
    </row>
    <row r="4795" spans="1:4" x14ac:dyDescent="0.3">
      <c r="A4795">
        <v>4309555</v>
      </c>
      <c r="B4795" t="s">
        <v>5587</v>
      </c>
      <c r="C4795">
        <v>-29.549049086787356</v>
      </c>
      <c r="D4795">
        <v>-51.414039704657959</v>
      </c>
    </row>
    <row r="4796" spans="1:4" x14ac:dyDescent="0.3">
      <c r="A4796">
        <v>4309571</v>
      </c>
      <c r="B4796" t="s">
        <v>5588</v>
      </c>
      <c r="C4796">
        <v>-29.457043810903354</v>
      </c>
      <c r="D4796">
        <v>-52.650170595805498</v>
      </c>
    </row>
    <row r="4797" spans="1:4" x14ac:dyDescent="0.3">
      <c r="A4797">
        <v>4309605</v>
      </c>
      <c r="B4797" t="s">
        <v>5589</v>
      </c>
      <c r="C4797">
        <v>-27.630096913680578</v>
      </c>
      <c r="D4797">
        <v>-54.308791510895787</v>
      </c>
    </row>
    <row r="4798" spans="1:4" x14ac:dyDescent="0.3">
      <c r="A4798">
        <v>4309654</v>
      </c>
      <c r="B4798" t="s">
        <v>5590</v>
      </c>
      <c r="C4798">
        <v>-31.405098248387059</v>
      </c>
      <c r="D4798">
        <v>-53.867824794008676</v>
      </c>
    </row>
    <row r="4799" spans="1:4" x14ac:dyDescent="0.3">
      <c r="A4799">
        <v>4309704</v>
      </c>
      <c r="B4799" t="s">
        <v>1135</v>
      </c>
      <c r="C4799">
        <v>-27.561489816120705</v>
      </c>
      <c r="D4799">
        <v>-53.976505573700095</v>
      </c>
    </row>
    <row r="4800" spans="1:4" x14ac:dyDescent="0.3">
      <c r="A4800">
        <v>4309753</v>
      </c>
      <c r="B4800" t="s">
        <v>5591</v>
      </c>
      <c r="C4800">
        <v>-29.420744361083656</v>
      </c>
      <c r="D4800">
        <v>-53.133200012943718</v>
      </c>
    </row>
    <row r="4801" spans="1:4" x14ac:dyDescent="0.3">
      <c r="A4801">
        <v>4309803</v>
      </c>
      <c r="B4801" t="s">
        <v>5592</v>
      </c>
      <c r="C4801">
        <v>-28.048849521490506</v>
      </c>
      <c r="D4801">
        <v>-51.857252090220094</v>
      </c>
    </row>
    <row r="4802" spans="1:4" x14ac:dyDescent="0.3">
      <c r="A4802">
        <v>4309902</v>
      </c>
      <c r="B4802" t="s">
        <v>5593</v>
      </c>
      <c r="C4802">
        <v>-28.369226729447902</v>
      </c>
      <c r="D4802">
        <v>-51.635323989188315</v>
      </c>
    </row>
    <row r="4803" spans="1:4" x14ac:dyDescent="0.3">
      <c r="A4803">
        <v>4309951</v>
      </c>
      <c r="B4803" t="s">
        <v>5594</v>
      </c>
      <c r="C4803">
        <v>-28.615020415163258</v>
      </c>
      <c r="D4803">
        <v>-52.519385587848873</v>
      </c>
    </row>
    <row r="4804" spans="1:4" x14ac:dyDescent="0.3">
      <c r="A4804">
        <v>4310009</v>
      </c>
      <c r="B4804" t="s">
        <v>5595</v>
      </c>
      <c r="C4804">
        <v>-28.627607782438027</v>
      </c>
      <c r="D4804">
        <v>-53.088354019523287</v>
      </c>
    </row>
    <row r="4805" spans="1:4" x14ac:dyDescent="0.3">
      <c r="A4805">
        <v>4310108</v>
      </c>
      <c r="B4805" t="s">
        <v>5596</v>
      </c>
      <c r="C4805">
        <v>-29.572220455755303</v>
      </c>
      <c r="D4805">
        <v>-50.798710733321677</v>
      </c>
    </row>
    <row r="4806" spans="1:4" x14ac:dyDescent="0.3">
      <c r="A4806">
        <v>4310207</v>
      </c>
      <c r="B4806" t="s">
        <v>5597</v>
      </c>
      <c r="C4806">
        <v>-28.388536540984905</v>
      </c>
      <c r="D4806">
        <v>-53.918066835708018</v>
      </c>
    </row>
    <row r="4807" spans="1:4" x14ac:dyDescent="0.3">
      <c r="A4807">
        <v>4310306</v>
      </c>
      <c r="B4807" t="s">
        <v>5598</v>
      </c>
      <c r="C4807">
        <v>-28.929152731799608</v>
      </c>
      <c r="D4807">
        <v>-52.122157494637243</v>
      </c>
    </row>
    <row r="4808" spans="1:4" x14ac:dyDescent="0.3">
      <c r="A4808">
        <v>4310330</v>
      </c>
      <c r="B4808" t="s">
        <v>5599</v>
      </c>
      <c r="C4808">
        <v>-29.97477782067001</v>
      </c>
      <c r="D4808">
        <v>-50.130579940718121</v>
      </c>
    </row>
    <row r="4809" spans="1:4" x14ac:dyDescent="0.3">
      <c r="A4809">
        <v>4310363</v>
      </c>
      <c r="B4809" t="s">
        <v>5600</v>
      </c>
      <c r="C4809">
        <v>-29.352158119782807</v>
      </c>
      <c r="D4809">
        <v>-51.770190510074436</v>
      </c>
    </row>
    <row r="4810" spans="1:4" x14ac:dyDescent="0.3">
      <c r="A4810">
        <v>4310405</v>
      </c>
      <c r="B4810" t="s">
        <v>1983</v>
      </c>
      <c r="C4810">
        <v>-27.847331558066855</v>
      </c>
      <c r="D4810">
        <v>-54.188108334589622</v>
      </c>
    </row>
    <row r="4811" spans="1:4" x14ac:dyDescent="0.3">
      <c r="A4811">
        <v>4310413</v>
      </c>
      <c r="B4811" t="s">
        <v>5601</v>
      </c>
      <c r="C4811">
        <v>-27.880454458342854</v>
      </c>
      <c r="D4811">
        <v>-54.012545591407999</v>
      </c>
    </row>
    <row r="4812" spans="1:4" x14ac:dyDescent="0.3">
      <c r="A4812">
        <v>4310439</v>
      </c>
      <c r="B4812" t="s">
        <v>5602</v>
      </c>
      <c r="C4812">
        <v>-28.818328031830355</v>
      </c>
      <c r="D4812">
        <v>-51.279910192200113</v>
      </c>
    </row>
    <row r="4813" spans="1:4" x14ac:dyDescent="0.3">
      <c r="A4813">
        <v>4310462</v>
      </c>
      <c r="B4813" t="s">
        <v>5603</v>
      </c>
      <c r="C4813">
        <v>-27.935984284854353</v>
      </c>
      <c r="D4813">
        <v>-52.425060644144715</v>
      </c>
    </row>
    <row r="4814" spans="1:4" x14ac:dyDescent="0.3">
      <c r="A4814">
        <v>4310504</v>
      </c>
      <c r="B4814" t="s">
        <v>5604</v>
      </c>
      <c r="C4814">
        <v>-27.1922819750184</v>
      </c>
      <c r="D4814">
        <v>-53.264296018514919</v>
      </c>
    </row>
    <row r="4815" spans="1:4" x14ac:dyDescent="0.3">
      <c r="A4815">
        <v>4310538</v>
      </c>
      <c r="B4815" t="s">
        <v>5605</v>
      </c>
      <c r="C4815">
        <v>-29.602887954743853</v>
      </c>
      <c r="D4815">
        <v>-53.757849249004487</v>
      </c>
    </row>
    <row r="4816" spans="1:4" x14ac:dyDescent="0.3">
      <c r="A4816">
        <v>4310553</v>
      </c>
      <c r="B4816" t="s">
        <v>5606</v>
      </c>
      <c r="C4816">
        <v>-28.802205033086953</v>
      </c>
      <c r="D4816">
        <v>-55.232723264051636</v>
      </c>
    </row>
    <row r="4817" spans="1:4" x14ac:dyDescent="0.3">
      <c r="A4817">
        <v>4310579</v>
      </c>
      <c r="B4817" t="s">
        <v>5607</v>
      </c>
      <c r="C4817">
        <v>-28.780295702981054</v>
      </c>
      <c r="D4817">
        <v>-52.172366845203456</v>
      </c>
    </row>
    <row r="4818" spans="1:4" x14ac:dyDescent="0.3">
      <c r="A4818">
        <v>4310603</v>
      </c>
      <c r="B4818" t="s">
        <v>5608</v>
      </c>
      <c r="C4818">
        <v>-29.128636899060872</v>
      </c>
      <c r="D4818">
        <v>-56.557133497030364</v>
      </c>
    </row>
    <row r="4819" spans="1:4" x14ac:dyDescent="0.3">
      <c r="A4819">
        <v>4310652</v>
      </c>
      <c r="B4819" t="s">
        <v>5609</v>
      </c>
      <c r="C4819">
        <v>-29.500248495475603</v>
      </c>
      <c r="D4819">
        <v>-50.101782261394753</v>
      </c>
    </row>
    <row r="4820" spans="1:4" x14ac:dyDescent="0.3">
      <c r="A4820">
        <v>4310702</v>
      </c>
      <c r="B4820" t="s">
        <v>5610</v>
      </c>
      <c r="C4820">
        <v>-27.383291940055805</v>
      </c>
      <c r="D4820">
        <v>-52.452443254705493</v>
      </c>
    </row>
    <row r="4821" spans="1:4" x14ac:dyDescent="0.3">
      <c r="A4821">
        <v>4310751</v>
      </c>
      <c r="B4821" t="s">
        <v>5611</v>
      </c>
      <c r="C4821">
        <v>-29.5195344843337</v>
      </c>
      <c r="D4821">
        <v>-53.580885619439769</v>
      </c>
    </row>
    <row r="4822" spans="1:4" x14ac:dyDescent="0.3">
      <c r="A4822">
        <v>4310801</v>
      </c>
      <c r="B4822" t="s">
        <v>5612</v>
      </c>
      <c r="C4822">
        <v>-29.594156522862452</v>
      </c>
      <c r="D4822">
        <v>-51.15957419432992</v>
      </c>
    </row>
    <row r="4823" spans="1:4" x14ac:dyDescent="0.3">
      <c r="A4823">
        <v>4310850</v>
      </c>
      <c r="B4823" t="s">
        <v>5613</v>
      </c>
      <c r="C4823">
        <v>-27.631222386294002</v>
      </c>
      <c r="D4823">
        <v>-53.284389402047147</v>
      </c>
    </row>
    <row r="4824" spans="1:4" x14ac:dyDescent="0.3">
      <c r="A4824">
        <v>4310876</v>
      </c>
      <c r="B4824" t="s">
        <v>5614</v>
      </c>
      <c r="C4824">
        <v>-29.033816356111657</v>
      </c>
      <c r="D4824">
        <v>-53.056550658796944</v>
      </c>
    </row>
    <row r="4825" spans="1:4" x14ac:dyDescent="0.3">
      <c r="A4825">
        <v>4310900</v>
      </c>
      <c r="B4825" t="s">
        <v>3559</v>
      </c>
      <c r="C4825">
        <v>-27.728493633566654</v>
      </c>
      <c r="D4825">
        <v>-52.543172806430348</v>
      </c>
    </row>
    <row r="4826" spans="1:4" x14ac:dyDescent="0.3">
      <c r="A4826">
        <v>4311007</v>
      </c>
      <c r="B4826" t="s">
        <v>5615</v>
      </c>
      <c r="C4826">
        <v>-32.563568668514954</v>
      </c>
      <c r="D4826">
        <v>-53.377522915312881</v>
      </c>
    </row>
    <row r="4827" spans="1:4" x14ac:dyDescent="0.3">
      <c r="A4827">
        <v>4311106</v>
      </c>
      <c r="B4827" t="s">
        <v>5616</v>
      </c>
      <c r="C4827">
        <v>-29.497346731215405</v>
      </c>
      <c r="D4827">
        <v>-54.693846671329176</v>
      </c>
    </row>
    <row r="4828" spans="1:4" x14ac:dyDescent="0.3">
      <c r="A4828">
        <v>4311122</v>
      </c>
      <c r="B4828" t="s">
        <v>5617</v>
      </c>
      <c r="C4828">
        <v>-28.880567591349354</v>
      </c>
      <c r="D4828">
        <v>-50.358036722200168</v>
      </c>
    </row>
    <row r="4829" spans="1:4" x14ac:dyDescent="0.3">
      <c r="A4829">
        <v>4311130</v>
      </c>
      <c r="B4829" t="s">
        <v>5618</v>
      </c>
      <c r="C4829">
        <v>-29.290081096840503</v>
      </c>
      <c r="D4829">
        <v>-54.219935820282046</v>
      </c>
    </row>
    <row r="4830" spans="1:4" x14ac:dyDescent="0.3">
      <c r="A4830">
        <v>4311155</v>
      </c>
      <c r="B4830" t="s">
        <v>5619</v>
      </c>
      <c r="C4830">
        <v>-28.645623534628005</v>
      </c>
      <c r="D4830">
        <v>-54.115964897021051</v>
      </c>
    </row>
    <row r="4831" spans="1:4" x14ac:dyDescent="0.3">
      <c r="A4831">
        <v>4311205</v>
      </c>
      <c r="B4831" t="s">
        <v>5620</v>
      </c>
      <c r="C4831">
        <v>-29.226449119274758</v>
      </c>
      <c r="D4831">
        <v>-53.683099614611002</v>
      </c>
    </row>
    <row r="4832" spans="1:4" x14ac:dyDescent="0.3">
      <c r="A4832">
        <v>4311239</v>
      </c>
      <c r="B4832" t="s">
        <v>5621</v>
      </c>
      <c r="C4832">
        <v>-29.49413140044236</v>
      </c>
      <c r="D4832">
        <v>-53.016983180783512</v>
      </c>
    </row>
    <row r="4833" spans="1:4" x14ac:dyDescent="0.3">
      <c r="A4833">
        <v>4311254</v>
      </c>
      <c r="B4833" t="s">
        <v>5622</v>
      </c>
      <c r="C4833">
        <v>-29.224316401148904</v>
      </c>
      <c r="D4833">
        <v>-52.775028908259692</v>
      </c>
    </row>
    <row r="4834" spans="1:4" x14ac:dyDescent="0.3">
      <c r="A4834">
        <v>4311270</v>
      </c>
      <c r="B4834" t="s">
        <v>5623</v>
      </c>
      <c r="C4834">
        <v>-28.569468132747005</v>
      </c>
      <c r="D4834">
        <v>-52.857835242404512</v>
      </c>
    </row>
    <row r="4835" spans="1:4" x14ac:dyDescent="0.3">
      <c r="A4835">
        <v>4311304</v>
      </c>
      <c r="B4835" t="s">
        <v>5624</v>
      </c>
      <c r="C4835">
        <v>-28.208870246212356</v>
      </c>
      <c r="D4835">
        <v>-51.527228529144736</v>
      </c>
    </row>
    <row r="4836" spans="1:4" x14ac:dyDescent="0.3">
      <c r="A4836">
        <v>4311403</v>
      </c>
      <c r="B4836" t="s">
        <v>1404</v>
      </c>
      <c r="C4836">
        <v>-29.465454402471003</v>
      </c>
      <c r="D4836">
        <v>-51.967827700500123</v>
      </c>
    </row>
    <row r="4837" spans="1:4" x14ac:dyDescent="0.3">
      <c r="A4837">
        <v>4311429</v>
      </c>
      <c r="B4837" t="s">
        <v>5625</v>
      </c>
      <c r="C4837">
        <v>-27.690769408380255</v>
      </c>
      <c r="D4837">
        <v>-53.181387133759685</v>
      </c>
    </row>
    <row r="4838" spans="1:4" x14ac:dyDescent="0.3">
      <c r="A4838">
        <v>4311502</v>
      </c>
      <c r="B4838" t="s">
        <v>5626</v>
      </c>
      <c r="C4838">
        <v>-30.812009993039457</v>
      </c>
      <c r="D4838">
        <v>-53.898476655467618</v>
      </c>
    </row>
    <row r="4839" spans="1:4" x14ac:dyDescent="0.3">
      <c r="A4839">
        <v>4311601</v>
      </c>
      <c r="B4839" t="s">
        <v>5627</v>
      </c>
      <c r="C4839">
        <v>-27.596470163855606</v>
      </c>
      <c r="D4839">
        <v>-53.07486073721784</v>
      </c>
    </row>
    <row r="4840" spans="1:4" x14ac:dyDescent="0.3">
      <c r="A4840">
        <v>4311627</v>
      </c>
      <c r="B4840" t="s">
        <v>5628</v>
      </c>
      <c r="C4840">
        <v>-29.600803585793255</v>
      </c>
      <c r="D4840">
        <v>-51.208155321557669</v>
      </c>
    </row>
    <row r="4841" spans="1:4" x14ac:dyDescent="0.3">
      <c r="A4841">
        <v>4311643</v>
      </c>
      <c r="B4841" t="s">
        <v>5629</v>
      </c>
      <c r="C4841">
        <v>-29.462638602550605</v>
      </c>
      <c r="D4841">
        <v>-51.201902094768407</v>
      </c>
    </row>
    <row r="4842" spans="1:4" x14ac:dyDescent="0.3">
      <c r="A4842">
        <v>4311700</v>
      </c>
      <c r="B4842" t="s">
        <v>5630</v>
      </c>
      <c r="C4842">
        <v>-27.568139969908557</v>
      </c>
      <c r="D4842">
        <v>-51.667507360469195</v>
      </c>
    </row>
    <row r="4843" spans="1:4" x14ac:dyDescent="0.3">
      <c r="A4843">
        <v>4311718</v>
      </c>
      <c r="B4843" t="s">
        <v>5631</v>
      </c>
      <c r="C4843">
        <v>-29.146144199184157</v>
      </c>
      <c r="D4843">
        <v>-56.063613481735551</v>
      </c>
    </row>
    <row r="4844" spans="1:4" x14ac:dyDescent="0.3">
      <c r="A4844">
        <v>4311734</v>
      </c>
      <c r="B4844" t="s">
        <v>5632</v>
      </c>
      <c r="C4844">
        <v>-29.210649419724454</v>
      </c>
      <c r="D4844">
        <v>-49.936513552395617</v>
      </c>
    </row>
    <row r="4845" spans="1:4" x14ac:dyDescent="0.3">
      <c r="A4845">
        <v>4311759</v>
      </c>
      <c r="B4845" t="s">
        <v>5633</v>
      </c>
      <c r="C4845">
        <v>-29.580537182645354</v>
      </c>
      <c r="D4845">
        <v>-55.491662539452975</v>
      </c>
    </row>
    <row r="4846" spans="1:4" x14ac:dyDescent="0.3">
      <c r="A4846">
        <v>4311775</v>
      </c>
      <c r="B4846" t="s">
        <v>5634</v>
      </c>
      <c r="C4846">
        <v>-29.679137012896408</v>
      </c>
      <c r="D4846">
        <v>-50.203394812629298</v>
      </c>
    </row>
    <row r="4847" spans="1:4" x14ac:dyDescent="0.3">
      <c r="A4847">
        <v>4311791</v>
      </c>
      <c r="B4847" t="s">
        <v>5635</v>
      </c>
      <c r="C4847">
        <v>-29.555322967597956</v>
      </c>
      <c r="D4847">
        <v>-51.555566883264149</v>
      </c>
    </row>
    <row r="4848" spans="1:4" x14ac:dyDescent="0.3">
      <c r="A4848">
        <v>4311809</v>
      </c>
      <c r="B4848" t="s">
        <v>3020</v>
      </c>
      <c r="C4848">
        <v>-28.448453927276351</v>
      </c>
      <c r="D4848">
        <v>-52.196776934000106</v>
      </c>
    </row>
    <row r="4849" spans="1:4" x14ac:dyDescent="0.3">
      <c r="A4849">
        <v>4311908</v>
      </c>
      <c r="B4849" t="s">
        <v>5636</v>
      </c>
      <c r="C4849">
        <v>-27.461391212869508</v>
      </c>
      <c r="D4849">
        <v>-51.91331894372744</v>
      </c>
    </row>
    <row r="4850" spans="1:4" x14ac:dyDescent="0.3">
      <c r="A4850">
        <v>4311981</v>
      </c>
      <c r="B4850" t="s">
        <v>5637</v>
      </c>
      <c r="C4850">
        <v>-30.353622202338407</v>
      </c>
      <c r="D4850">
        <v>-51.587342991443293</v>
      </c>
    </row>
    <row r="4851" spans="1:4" x14ac:dyDescent="0.3">
      <c r="A4851">
        <v>4312005</v>
      </c>
      <c r="B4851" t="s">
        <v>5638</v>
      </c>
      <c r="C4851">
        <v>-27.352612788347454</v>
      </c>
      <c r="D4851">
        <v>-52.148891817328007</v>
      </c>
    </row>
    <row r="4852" spans="1:4" x14ac:dyDescent="0.3">
      <c r="A4852">
        <v>4312054</v>
      </c>
      <c r="B4852" t="s">
        <v>5639</v>
      </c>
      <c r="C4852">
        <v>-29.329137344053606</v>
      </c>
      <c r="D4852">
        <v>-52.09780442841523</v>
      </c>
    </row>
    <row r="4853" spans="1:4" x14ac:dyDescent="0.3">
      <c r="A4853">
        <v>4312104</v>
      </c>
      <c r="B4853" t="s">
        <v>5640</v>
      </c>
      <c r="C4853">
        <v>-29.569391775553555</v>
      </c>
      <c r="D4853">
        <v>-54.452435481935233</v>
      </c>
    </row>
    <row r="4854" spans="1:4" x14ac:dyDescent="0.3">
      <c r="A4854">
        <v>4312138</v>
      </c>
      <c r="B4854" t="s">
        <v>5641</v>
      </c>
      <c r="C4854">
        <v>-28.275761741248004</v>
      </c>
      <c r="D4854">
        <v>-52.197260881204251</v>
      </c>
    </row>
    <row r="4855" spans="1:4" x14ac:dyDescent="0.3">
      <c r="A4855">
        <v>4312153</v>
      </c>
      <c r="B4855" t="s">
        <v>5642</v>
      </c>
      <c r="C4855">
        <v>-29.524830337797752</v>
      </c>
      <c r="D4855">
        <v>-52.133029326332533</v>
      </c>
    </row>
    <row r="4856" spans="1:4" x14ac:dyDescent="0.3">
      <c r="A4856">
        <v>4312179</v>
      </c>
      <c r="B4856" t="s">
        <v>5643</v>
      </c>
      <c r="C4856">
        <v>-28.255815987012653</v>
      </c>
      <c r="D4856">
        <v>-54.61683687772679</v>
      </c>
    </row>
    <row r="4857" spans="1:4" x14ac:dyDescent="0.3">
      <c r="A4857">
        <v>4312203</v>
      </c>
      <c r="B4857" t="s">
        <v>5644</v>
      </c>
      <c r="C4857">
        <v>-27.634940651760854</v>
      </c>
      <c r="D4857">
        <v>-51.801718197005926</v>
      </c>
    </row>
    <row r="4858" spans="1:4" x14ac:dyDescent="0.3">
      <c r="A4858">
        <v>4312252</v>
      </c>
      <c r="B4858" t="s">
        <v>5645</v>
      </c>
      <c r="C4858">
        <v>-30.122439510724657</v>
      </c>
      <c r="D4858">
        <v>-52.051280198577189</v>
      </c>
    </row>
    <row r="4859" spans="1:4" x14ac:dyDescent="0.3">
      <c r="A4859">
        <v>4312302</v>
      </c>
      <c r="B4859" t="s">
        <v>5646</v>
      </c>
      <c r="C4859">
        <v>-27.496076423065908</v>
      </c>
      <c r="D4859">
        <v>-53.685994044768101</v>
      </c>
    </row>
    <row r="4860" spans="1:4" x14ac:dyDescent="0.3">
      <c r="A4860">
        <v>4312351</v>
      </c>
      <c r="B4860" t="s">
        <v>5647</v>
      </c>
      <c r="C4860">
        <v>-28.653207185055308</v>
      </c>
      <c r="D4860">
        <v>-52.076108191111899</v>
      </c>
    </row>
    <row r="4861" spans="1:4" x14ac:dyDescent="0.3">
      <c r="A4861">
        <v>4312377</v>
      </c>
      <c r="B4861" t="s">
        <v>5648</v>
      </c>
      <c r="C4861">
        <v>-28.685071775718651</v>
      </c>
      <c r="D4861">
        <v>-50.782833705111628</v>
      </c>
    </row>
    <row r="4862" spans="1:4" x14ac:dyDescent="0.3">
      <c r="A4862">
        <v>4312385</v>
      </c>
      <c r="B4862" t="s">
        <v>5649</v>
      </c>
      <c r="C4862">
        <v>-29.159941223129454</v>
      </c>
      <c r="D4862">
        <v>-51.631559245390314</v>
      </c>
    </row>
    <row r="4863" spans="1:4" x14ac:dyDescent="0.3">
      <c r="A4863">
        <v>4312401</v>
      </c>
      <c r="B4863" t="s">
        <v>5650</v>
      </c>
      <c r="C4863">
        <v>-29.688118609863803</v>
      </c>
      <c r="D4863">
        <v>-51.461299375681861</v>
      </c>
    </row>
    <row r="4864" spans="1:4" x14ac:dyDescent="0.3">
      <c r="A4864">
        <v>4312427</v>
      </c>
      <c r="B4864" t="s">
        <v>5651</v>
      </c>
      <c r="C4864">
        <v>-28.693351220219153</v>
      </c>
      <c r="D4864">
        <v>-52.692826315056521</v>
      </c>
    </row>
    <row r="4865" spans="1:4" x14ac:dyDescent="0.3">
      <c r="A4865">
        <v>4312443</v>
      </c>
      <c r="B4865" t="s">
        <v>5652</v>
      </c>
      <c r="C4865">
        <v>-29.362963630042408</v>
      </c>
      <c r="D4865">
        <v>-49.932762974333023</v>
      </c>
    </row>
    <row r="4866" spans="1:4" x14ac:dyDescent="0.3">
      <c r="A4866">
        <v>4312450</v>
      </c>
      <c r="B4866" t="s">
        <v>5653</v>
      </c>
      <c r="C4866">
        <v>-31.582203227446151</v>
      </c>
      <c r="D4866">
        <v>-52.657780201394445</v>
      </c>
    </row>
    <row r="4867" spans="1:4" x14ac:dyDescent="0.3">
      <c r="A4867">
        <v>4312476</v>
      </c>
      <c r="B4867" t="s">
        <v>5654</v>
      </c>
      <c r="C4867">
        <v>-29.539341658588153</v>
      </c>
      <c r="D4867">
        <v>-51.080088347807184</v>
      </c>
    </row>
    <row r="4868" spans="1:4" x14ac:dyDescent="0.3">
      <c r="A4868">
        <v>4312500</v>
      </c>
      <c r="B4868" t="s">
        <v>5655</v>
      </c>
      <c r="C4868">
        <v>-31.108225107407456</v>
      </c>
      <c r="D4868">
        <v>-50.919158851071657</v>
      </c>
    </row>
    <row r="4869" spans="1:4" x14ac:dyDescent="0.3">
      <c r="A4869">
        <v>4312609</v>
      </c>
      <c r="B4869" t="s">
        <v>5656</v>
      </c>
      <c r="C4869">
        <v>-29.165614814579602</v>
      </c>
      <c r="D4869">
        <v>-51.86605552605176</v>
      </c>
    </row>
    <row r="4870" spans="1:4" x14ac:dyDescent="0.3">
      <c r="A4870">
        <v>4312617</v>
      </c>
      <c r="B4870" t="s">
        <v>5657</v>
      </c>
      <c r="C4870">
        <v>-28.318912801480554</v>
      </c>
      <c r="D4870">
        <v>-51.18460234489573</v>
      </c>
    </row>
    <row r="4871" spans="1:4" x14ac:dyDescent="0.3">
      <c r="A4871">
        <v>4312625</v>
      </c>
      <c r="B4871" t="s">
        <v>5658</v>
      </c>
      <c r="C4871">
        <v>-28.330265356274253</v>
      </c>
      <c r="D4871">
        <v>-51.768701235333204</v>
      </c>
    </row>
    <row r="4872" spans="1:4" x14ac:dyDescent="0.3">
      <c r="A4872">
        <v>4312658</v>
      </c>
      <c r="B4872" t="s">
        <v>5659</v>
      </c>
      <c r="C4872">
        <v>-28.459906765875054</v>
      </c>
      <c r="D4872">
        <v>-52.819279492423433</v>
      </c>
    </row>
    <row r="4873" spans="1:4" x14ac:dyDescent="0.3">
      <c r="A4873">
        <v>4312674</v>
      </c>
      <c r="B4873" t="s">
        <v>5660</v>
      </c>
      <c r="C4873">
        <v>-28.536214813866454</v>
      </c>
      <c r="D4873">
        <v>-52.462400673190359</v>
      </c>
    </row>
    <row r="4874" spans="1:4" x14ac:dyDescent="0.3">
      <c r="A4874">
        <v>4312708</v>
      </c>
      <c r="B4874" t="s">
        <v>5661</v>
      </c>
      <c r="C4874">
        <v>-27.354664532484655</v>
      </c>
      <c r="D4874">
        <v>-52.776188567235934</v>
      </c>
    </row>
    <row r="4875" spans="1:4" x14ac:dyDescent="0.3">
      <c r="A4875">
        <v>4312757</v>
      </c>
      <c r="B4875" t="s">
        <v>5662</v>
      </c>
      <c r="C4875">
        <v>-28.676564432797807</v>
      </c>
      <c r="D4875">
        <v>-52.167133917291331</v>
      </c>
    </row>
    <row r="4876" spans="1:4" x14ac:dyDescent="0.3">
      <c r="A4876">
        <v>4312807</v>
      </c>
      <c r="B4876" t="s">
        <v>5663</v>
      </c>
      <c r="C4876">
        <v>-28.658176037072455</v>
      </c>
      <c r="D4876">
        <v>-51.742164633967263</v>
      </c>
    </row>
    <row r="4877" spans="1:4" x14ac:dyDescent="0.3">
      <c r="A4877">
        <v>4312906</v>
      </c>
      <c r="B4877" t="s">
        <v>5664</v>
      </c>
      <c r="C4877">
        <v>-28.723468641616805</v>
      </c>
      <c r="D4877">
        <v>-51.703231417395763</v>
      </c>
    </row>
    <row r="4878" spans="1:4" x14ac:dyDescent="0.3">
      <c r="A4878">
        <v>4312955</v>
      </c>
      <c r="B4878" t="s">
        <v>5665</v>
      </c>
      <c r="C4878">
        <v>-27.987967659123605</v>
      </c>
      <c r="D4878">
        <v>-52.981476843800806</v>
      </c>
    </row>
    <row r="4879" spans="1:4" x14ac:dyDescent="0.3">
      <c r="A4879">
        <v>4313003</v>
      </c>
      <c r="B4879" t="s">
        <v>5666</v>
      </c>
      <c r="C4879">
        <v>-29.216511432547655</v>
      </c>
      <c r="D4879">
        <v>-52.017983540611645</v>
      </c>
    </row>
    <row r="4880" spans="1:4" x14ac:dyDescent="0.3">
      <c r="A4880">
        <v>4313011</v>
      </c>
      <c r="B4880" t="s">
        <v>5667</v>
      </c>
      <c r="C4880">
        <v>-27.612098160947056</v>
      </c>
      <c r="D4880">
        <v>-54.104114239760847</v>
      </c>
    </row>
    <row r="4881" spans="1:4" x14ac:dyDescent="0.3">
      <c r="A4881">
        <v>4313037</v>
      </c>
      <c r="B4881" t="s">
        <v>5668</v>
      </c>
      <c r="C4881">
        <v>-29.404595708627554</v>
      </c>
      <c r="D4881">
        <v>-54.835872901854202</v>
      </c>
    </row>
    <row r="4882" spans="1:4" x14ac:dyDescent="0.3">
      <c r="A4882">
        <v>4313060</v>
      </c>
      <c r="B4882" t="s">
        <v>5669</v>
      </c>
      <c r="C4882">
        <v>-29.585747532970409</v>
      </c>
      <c r="D4882">
        <v>-50.903793430738375</v>
      </c>
    </row>
    <row r="4883" spans="1:4" x14ac:dyDescent="0.3">
      <c r="A4883">
        <v>4313086</v>
      </c>
      <c r="B4883" t="s">
        <v>5670</v>
      </c>
      <c r="C4883">
        <v>-29.030046445285503</v>
      </c>
      <c r="D4883">
        <v>-51.306824642212</v>
      </c>
    </row>
    <row r="4884" spans="1:4" x14ac:dyDescent="0.3">
      <c r="A4884">
        <v>4313102</v>
      </c>
      <c r="B4884" t="s">
        <v>5671</v>
      </c>
      <c r="C4884">
        <v>-29.473025737950607</v>
      </c>
      <c r="D4884">
        <v>-53.470635110882796</v>
      </c>
    </row>
    <row r="4885" spans="1:4" x14ac:dyDescent="0.3">
      <c r="A4885">
        <v>4313201</v>
      </c>
      <c r="B4885" t="s">
        <v>5672</v>
      </c>
      <c r="C4885">
        <v>-29.376208869435057</v>
      </c>
      <c r="D4885">
        <v>-51.106953923956105</v>
      </c>
    </row>
    <row r="4886" spans="1:4" x14ac:dyDescent="0.3">
      <c r="A4886">
        <v>4313300</v>
      </c>
      <c r="B4886" t="s">
        <v>5673</v>
      </c>
      <c r="C4886">
        <v>-28.783944713190152</v>
      </c>
      <c r="D4886">
        <v>-51.608995692017743</v>
      </c>
    </row>
    <row r="4887" spans="1:4" x14ac:dyDescent="0.3">
      <c r="A4887">
        <v>4313334</v>
      </c>
      <c r="B4887" t="s">
        <v>5674</v>
      </c>
      <c r="C4887">
        <v>-28.082644872405155</v>
      </c>
      <c r="D4887">
        <v>-53.706937337891588</v>
      </c>
    </row>
    <row r="4888" spans="1:4" x14ac:dyDescent="0.3">
      <c r="A4888">
        <v>4313359</v>
      </c>
      <c r="B4888" t="s">
        <v>5675</v>
      </c>
      <c r="C4888">
        <v>-28.984748912048353</v>
      </c>
      <c r="D4888">
        <v>-51.405157474965129</v>
      </c>
    </row>
    <row r="4889" spans="1:4" x14ac:dyDescent="0.3">
      <c r="A4889">
        <v>4313375</v>
      </c>
      <c r="B4889" t="s">
        <v>1840</v>
      </c>
      <c r="C4889">
        <v>-29.848615535624656</v>
      </c>
      <c r="D4889">
        <v>-51.275210689013321</v>
      </c>
    </row>
    <row r="4890" spans="1:4" x14ac:dyDescent="0.3">
      <c r="A4890">
        <v>4313391</v>
      </c>
      <c r="B4890" t="s">
        <v>5676</v>
      </c>
      <c r="C4890">
        <v>-29.736254605733201</v>
      </c>
      <c r="D4890">
        <v>-52.955086064131343</v>
      </c>
    </row>
    <row r="4891" spans="1:4" x14ac:dyDescent="0.3">
      <c r="A4891">
        <v>4313409</v>
      </c>
      <c r="B4891" t="s">
        <v>5677</v>
      </c>
      <c r="C4891">
        <v>-29.686326025177205</v>
      </c>
      <c r="D4891">
        <v>-51.128605277631863</v>
      </c>
    </row>
    <row r="4892" spans="1:4" x14ac:dyDescent="0.3">
      <c r="A4892">
        <v>4313425</v>
      </c>
      <c r="B4892" t="s">
        <v>5678</v>
      </c>
      <c r="C4892">
        <v>-27.578400650578153</v>
      </c>
      <c r="D4892">
        <v>-54.503384414530139</v>
      </c>
    </row>
    <row r="4893" spans="1:4" x14ac:dyDescent="0.3">
      <c r="A4893">
        <v>4313441</v>
      </c>
      <c r="B4893" t="s">
        <v>5679</v>
      </c>
      <c r="C4893">
        <v>-27.563558434475706</v>
      </c>
      <c r="D4893">
        <v>-53.185702589065556</v>
      </c>
    </row>
    <row r="4894" spans="1:4" x14ac:dyDescent="0.3">
      <c r="A4894">
        <v>4313466</v>
      </c>
      <c r="B4894" t="s">
        <v>5680</v>
      </c>
      <c r="C4894">
        <v>-27.748114692135609</v>
      </c>
      <c r="D4894">
        <v>-53.06410929947436</v>
      </c>
    </row>
    <row r="4895" spans="1:4" x14ac:dyDescent="0.3">
      <c r="A4895">
        <v>4313490</v>
      </c>
      <c r="B4895" t="s">
        <v>5681</v>
      </c>
      <c r="C4895">
        <v>-27.906788467025805</v>
      </c>
      <c r="D4895">
        <v>-53.113498851014448</v>
      </c>
    </row>
    <row r="4896" spans="1:4" x14ac:dyDescent="0.3">
      <c r="A4896">
        <v>4313508</v>
      </c>
      <c r="B4896" t="s">
        <v>5682</v>
      </c>
      <c r="C4896">
        <v>-29.892697077517351</v>
      </c>
      <c r="D4896">
        <v>-50.266797812615629</v>
      </c>
    </row>
    <row r="4897" spans="1:4" x14ac:dyDescent="0.3">
      <c r="A4897">
        <v>4313607</v>
      </c>
      <c r="B4897" t="s">
        <v>5683</v>
      </c>
      <c r="C4897">
        <v>-27.703308073932206</v>
      </c>
      <c r="D4897">
        <v>-51.761596640946138</v>
      </c>
    </row>
    <row r="4898" spans="1:4" x14ac:dyDescent="0.3">
      <c r="A4898">
        <v>4313656</v>
      </c>
      <c r="B4898" t="s">
        <v>5684</v>
      </c>
      <c r="C4898">
        <v>-30.260066645131907</v>
      </c>
      <c r="D4898">
        <v>-50.506051972261794</v>
      </c>
    </row>
    <row r="4899" spans="1:4" x14ac:dyDescent="0.3">
      <c r="A4899">
        <v>4313706</v>
      </c>
      <c r="B4899" t="s">
        <v>5685</v>
      </c>
      <c r="C4899">
        <v>-27.900620875431851</v>
      </c>
      <c r="D4899">
        <v>-53.314953910551367</v>
      </c>
    </row>
    <row r="4900" spans="1:4" x14ac:dyDescent="0.3">
      <c r="A4900">
        <v>4313805</v>
      </c>
      <c r="B4900" t="s">
        <v>5686</v>
      </c>
      <c r="C4900">
        <v>-27.356019913937754</v>
      </c>
      <c r="D4900">
        <v>-53.555546012988252</v>
      </c>
    </row>
    <row r="4901" spans="1:4" x14ac:dyDescent="0.3">
      <c r="A4901">
        <v>4313904</v>
      </c>
      <c r="B4901" t="s">
        <v>5687</v>
      </c>
      <c r="C4901">
        <v>-28.292730536924857</v>
      </c>
      <c r="D4901">
        <v>-53.500265167445249</v>
      </c>
    </row>
    <row r="4902" spans="1:4" x14ac:dyDescent="0.3">
      <c r="A4902">
        <v>4313953</v>
      </c>
      <c r="B4902" t="s">
        <v>5688</v>
      </c>
      <c r="C4902">
        <v>-30.194551527174951</v>
      </c>
      <c r="D4902">
        <v>-52.37390023530201</v>
      </c>
    </row>
    <row r="4903" spans="1:4" x14ac:dyDescent="0.3">
      <c r="A4903">
        <v>4314001</v>
      </c>
      <c r="B4903" t="s">
        <v>5689</v>
      </c>
      <c r="C4903">
        <v>-28.599620533732555</v>
      </c>
      <c r="D4903">
        <v>-51.78209604505669</v>
      </c>
    </row>
    <row r="4904" spans="1:4" x14ac:dyDescent="0.3">
      <c r="A4904">
        <v>4314027</v>
      </c>
      <c r="B4904" t="s">
        <v>5690</v>
      </c>
      <c r="C4904">
        <v>-29.731314240147807</v>
      </c>
      <c r="D4904">
        <v>-53.179100238954625</v>
      </c>
    </row>
    <row r="4905" spans="1:4" x14ac:dyDescent="0.3">
      <c r="A4905">
        <v>4314035</v>
      </c>
      <c r="B4905" t="s">
        <v>5691</v>
      </c>
      <c r="C4905">
        <v>-29.639389291408708</v>
      </c>
      <c r="D4905">
        <v>-51.398869658378807</v>
      </c>
    </row>
    <row r="4906" spans="1:4" x14ac:dyDescent="0.3">
      <c r="A4906">
        <v>4314050</v>
      </c>
      <c r="B4906" t="s">
        <v>5692</v>
      </c>
      <c r="C4906">
        <v>-29.631749277632153</v>
      </c>
      <c r="D4906">
        <v>-50.834865902327394</v>
      </c>
    </row>
    <row r="4907" spans="1:4" x14ac:dyDescent="0.3">
      <c r="A4907">
        <v>4314068</v>
      </c>
      <c r="B4907" t="s">
        <v>5693</v>
      </c>
      <c r="C4907">
        <v>-29.451665568898804</v>
      </c>
      <c r="D4907">
        <v>-52.963983235212794</v>
      </c>
    </row>
    <row r="4908" spans="1:4" x14ac:dyDescent="0.3">
      <c r="A4908">
        <v>4314076</v>
      </c>
      <c r="B4908" t="s">
        <v>5694</v>
      </c>
      <c r="C4908">
        <v>-29.745793549976963</v>
      </c>
      <c r="D4908">
        <v>-52.278758194322656</v>
      </c>
    </row>
    <row r="4909" spans="1:4" x14ac:dyDescent="0.3">
      <c r="A4909">
        <v>4314100</v>
      </c>
      <c r="B4909" t="s">
        <v>5695</v>
      </c>
      <c r="C4909">
        <v>-28.261767127904854</v>
      </c>
      <c r="D4909">
        <v>-52.407095092617155</v>
      </c>
    </row>
    <row r="4910" spans="1:4" x14ac:dyDescent="0.3">
      <c r="A4910">
        <v>4314134</v>
      </c>
      <c r="B4910" t="s">
        <v>5696</v>
      </c>
      <c r="C4910">
        <v>-27.704100282707959</v>
      </c>
      <c r="D4910">
        <v>-52.422435631104328</v>
      </c>
    </row>
    <row r="4911" spans="1:4" x14ac:dyDescent="0.3">
      <c r="A4911">
        <v>4314159</v>
      </c>
      <c r="B4911" t="s">
        <v>5697</v>
      </c>
      <c r="C4911">
        <v>-29.554856139936305</v>
      </c>
      <c r="D4911">
        <v>-51.730292967150454</v>
      </c>
    </row>
    <row r="4912" spans="1:4" x14ac:dyDescent="0.3">
      <c r="A4912">
        <v>4314175</v>
      </c>
      <c r="B4912" t="s">
        <v>5698</v>
      </c>
      <c r="C4912">
        <v>-31.733636939470955</v>
      </c>
      <c r="D4912">
        <v>-53.587170319639611</v>
      </c>
    </row>
    <row r="4913" spans="1:4" x14ac:dyDescent="0.3">
      <c r="A4913">
        <v>4314209</v>
      </c>
      <c r="B4913" t="s">
        <v>5699</v>
      </c>
      <c r="C4913">
        <v>-31.863828221811804</v>
      </c>
      <c r="D4913">
        <v>-52.82631173393262</v>
      </c>
    </row>
    <row r="4914" spans="1:4" x14ac:dyDescent="0.3">
      <c r="A4914">
        <v>4314308</v>
      </c>
      <c r="B4914" t="s">
        <v>5700</v>
      </c>
      <c r="C4914">
        <v>-28.42158606415834</v>
      </c>
      <c r="D4914">
        <v>-53.656542331773743</v>
      </c>
    </row>
    <row r="4915" spans="1:4" x14ac:dyDescent="0.3">
      <c r="A4915">
        <v>4314407</v>
      </c>
      <c r="B4915" t="s">
        <v>5701</v>
      </c>
      <c r="C4915">
        <v>-31.719597880829156</v>
      </c>
      <c r="D4915">
        <v>-52.344320062991535</v>
      </c>
    </row>
    <row r="4916" spans="1:4" x14ac:dyDescent="0.3">
      <c r="A4916">
        <v>4314423</v>
      </c>
      <c r="B4916" t="s">
        <v>5702</v>
      </c>
      <c r="C4916">
        <v>-29.454384443051904</v>
      </c>
      <c r="D4916">
        <v>-51.064049820261985</v>
      </c>
    </row>
    <row r="4917" spans="1:4" x14ac:dyDescent="0.3">
      <c r="A4917">
        <v>4314456</v>
      </c>
      <c r="B4917" t="s">
        <v>5703</v>
      </c>
      <c r="C4917">
        <v>-27.511674243457556</v>
      </c>
      <c r="D4917">
        <v>-53.214706178891511</v>
      </c>
    </row>
    <row r="4918" spans="1:4" x14ac:dyDescent="0.3">
      <c r="A4918">
        <v>4314464</v>
      </c>
      <c r="B4918" t="s">
        <v>5704</v>
      </c>
      <c r="C4918">
        <v>-27.876664586771156</v>
      </c>
      <c r="D4918">
        <v>-51.170102723733976</v>
      </c>
    </row>
    <row r="4919" spans="1:4" x14ac:dyDescent="0.3">
      <c r="A4919">
        <v>4314472</v>
      </c>
      <c r="B4919" t="s">
        <v>5705</v>
      </c>
      <c r="C4919">
        <v>-29.335360128916104</v>
      </c>
      <c r="D4919">
        <v>-53.338638337144772</v>
      </c>
    </row>
    <row r="4920" spans="1:4" x14ac:dyDescent="0.3">
      <c r="A4920">
        <v>4314498</v>
      </c>
      <c r="B4920" t="s">
        <v>5706</v>
      </c>
      <c r="C4920">
        <v>-27.209762789259653</v>
      </c>
      <c r="D4920">
        <v>-53.619560956929611</v>
      </c>
    </row>
    <row r="4921" spans="1:4" x14ac:dyDescent="0.3">
      <c r="A4921">
        <v>4314506</v>
      </c>
      <c r="B4921" t="s">
        <v>5707</v>
      </c>
      <c r="C4921">
        <v>-31.580592668694351</v>
      </c>
      <c r="D4921">
        <v>-53.384619968277363</v>
      </c>
    </row>
    <row r="4922" spans="1:4" x14ac:dyDescent="0.3">
      <c r="A4922">
        <v>4314555</v>
      </c>
      <c r="B4922" t="s">
        <v>5708</v>
      </c>
      <c r="C4922">
        <v>-28.0453158376278</v>
      </c>
      <c r="D4922">
        <v>-55.2003099472118</v>
      </c>
    </row>
    <row r="4923" spans="1:4" x14ac:dyDescent="0.3">
      <c r="A4923">
        <v>4314605</v>
      </c>
      <c r="B4923" t="s">
        <v>5709</v>
      </c>
      <c r="C4923">
        <v>-31.444112473353606</v>
      </c>
      <c r="D4923">
        <v>-53.104734453972149</v>
      </c>
    </row>
    <row r="4924" spans="1:4" x14ac:dyDescent="0.3">
      <c r="A4924">
        <v>4314704</v>
      </c>
      <c r="B4924" t="s">
        <v>3075</v>
      </c>
      <c r="C4924">
        <v>-27.331463875466156</v>
      </c>
      <c r="D4924">
        <v>-53.058880813139027</v>
      </c>
    </row>
    <row r="4925" spans="1:4" x14ac:dyDescent="0.3">
      <c r="A4925">
        <v>4314753</v>
      </c>
      <c r="B4925" t="s">
        <v>5710</v>
      </c>
      <c r="C4925">
        <v>-29.454546477830402</v>
      </c>
      <c r="D4925">
        <v>-51.67089027332301</v>
      </c>
    </row>
    <row r="4926" spans="1:4" x14ac:dyDescent="0.3">
      <c r="A4926">
        <v>4314779</v>
      </c>
      <c r="B4926" t="s">
        <v>5711</v>
      </c>
      <c r="C4926">
        <v>-28.061840839364308</v>
      </c>
      <c r="D4926">
        <v>-52.675399446616517</v>
      </c>
    </row>
    <row r="4927" spans="1:4" x14ac:dyDescent="0.3">
      <c r="A4927">
        <v>4314787</v>
      </c>
      <c r="B4927" t="s">
        <v>5712</v>
      </c>
      <c r="C4927">
        <v>-27.657039970073651</v>
      </c>
      <c r="D4927">
        <v>-52.490231921242696</v>
      </c>
    </row>
    <row r="4928" spans="1:4" x14ac:dyDescent="0.3">
      <c r="A4928">
        <v>4314803</v>
      </c>
      <c r="B4928" t="s">
        <v>5713</v>
      </c>
      <c r="C4928">
        <v>-29.696258601139654</v>
      </c>
      <c r="D4928">
        <v>-51.230149644245657</v>
      </c>
    </row>
    <row r="4929" spans="1:4" x14ac:dyDescent="0.3">
      <c r="A4929">
        <v>4314902</v>
      </c>
      <c r="B4929" t="s">
        <v>5714</v>
      </c>
      <c r="C4929">
        <v>-30.030036774766401</v>
      </c>
      <c r="D4929">
        <v>-51.228660463702333</v>
      </c>
    </row>
    <row r="4930" spans="1:4" x14ac:dyDescent="0.3">
      <c r="A4930">
        <v>4315008</v>
      </c>
      <c r="B4930" t="s">
        <v>5715</v>
      </c>
      <c r="C4930">
        <v>-27.851375115972605</v>
      </c>
      <c r="D4930">
        <v>-55.01156204525244</v>
      </c>
    </row>
    <row r="4931" spans="1:4" x14ac:dyDescent="0.3">
      <c r="A4931">
        <v>4315057</v>
      </c>
      <c r="B4931" t="s">
        <v>5716</v>
      </c>
      <c r="C4931">
        <v>-27.578635360057106</v>
      </c>
      <c r="D4931">
        <v>-54.671951891498018</v>
      </c>
    </row>
    <row r="4932" spans="1:4" x14ac:dyDescent="0.3">
      <c r="A4932">
        <v>4315073</v>
      </c>
      <c r="B4932" t="s">
        <v>5717</v>
      </c>
      <c r="C4932">
        <v>-27.734373919408455</v>
      </c>
      <c r="D4932">
        <v>-54.899031824044698</v>
      </c>
    </row>
    <row r="4933" spans="1:4" x14ac:dyDescent="0.3">
      <c r="A4933">
        <v>4315107</v>
      </c>
      <c r="B4933" t="s">
        <v>5718</v>
      </c>
      <c r="C4933">
        <v>-27.905689846934308</v>
      </c>
      <c r="D4933">
        <v>-55.139560262015991</v>
      </c>
    </row>
    <row r="4934" spans="1:4" x14ac:dyDescent="0.3">
      <c r="A4934">
        <v>4315131</v>
      </c>
      <c r="B4934" t="s">
        <v>5719</v>
      </c>
      <c r="C4934">
        <v>-29.169761252323511</v>
      </c>
      <c r="D4934">
        <v>-52.210869739506656</v>
      </c>
    </row>
    <row r="4935" spans="1:4" x14ac:dyDescent="0.3">
      <c r="A4935">
        <v>4315149</v>
      </c>
      <c r="B4935" t="s">
        <v>5720</v>
      </c>
      <c r="C4935">
        <v>-29.526127068180106</v>
      </c>
      <c r="D4935">
        <v>-51.181599695051652</v>
      </c>
    </row>
    <row r="4936" spans="1:4" x14ac:dyDescent="0.3">
      <c r="A4936">
        <v>4315156</v>
      </c>
      <c r="B4936" t="s">
        <v>5721</v>
      </c>
      <c r="C4936">
        <v>-29.240308678121053</v>
      </c>
      <c r="D4936">
        <v>-52.301716602948936</v>
      </c>
    </row>
    <row r="4937" spans="1:4" x14ac:dyDescent="0.3">
      <c r="A4937">
        <v>4315172</v>
      </c>
      <c r="B4937" t="s">
        <v>5722</v>
      </c>
      <c r="C4937">
        <v>-28.756712831185201</v>
      </c>
      <c r="D4937">
        <v>-51.473631697258277</v>
      </c>
    </row>
    <row r="4938" spans="1:4" x14ac:dyDescent="0.3">
      <c r="A4938">
        <v>4315206</v>
      </c>
      <c r="B4938" t="s">
        <v>5723</v>
      </c>
      <c r="C4938">
        <v>-28.998755654131052</v>
      </c>
      <c r="D4938">
        <v>-52.159910694708863</v>
      </c>
    </row>
    <row r="4939" spans="1:4" x14ac:dyDescent="0.3">
      <c r="A4939">
        <v>4315305</v>
      </c>
      <c r="B4939" t="s">
        <v>5724</v>
      </c>
      <c r="C4939">
        <v>-30.382867960881256</v>
      </c>
      <c r="D4939">
        <v>-56.453647040383643</v>
      </c>
    </row>
    <row r="4940" spans="1:4" x14ac:dyDescent="0.3">
      <c r="A4940">
        <v>4315313</v>
      </c>
      <c r="B4940" t="s">
        <v>5725</v>
      </c>
      <c r="C4940">
        <v>-27.821196688680104</v>
      </c>
      <c r="D4940">
        <v>-52.442768604506171</v>
      </c>
    </row>
    <row r="4941" spans="1:4" x14ac:dyDescent="0.3">
      <c r="A4941">
        <v>4315321</v>
      </c>
      <c r="B4941" t="s">
        <v>5726</v>
      </c>
      <c r="C4941">
        <v>-29.351921349972507</v>
      </c>
      <c r="D4941">
        <v>-54.071254722350773</v>
      </c>
    </row>
    <row r="4942" spans="1:4" x14ac:dyDescent="0.3">
      <c r="A4942">
        <v>4315354</v>
      </c>
      <c r="B4942" t="s">
        <v>5727</v>
      </c>
      <c r="C4942">
        <v>-28.742361349923275</v>
      </c>
      <c r="D4942">
        <v>-53.096722056781836</v>
      </c>
    </row>
    <row r="4943" spans="1:4" x14ac:dyDescent="0.3">
      <c r="A4943">
        <v>4315404</v>
      </c>
      <c r="B4943" t="s">
        <v>5728</v>
      </c>
      <c r="C4943">
        <v>-27.661539882669906</v>
      </c>
      <c r="D4943">
        <v>-53.641933693995348</v>
      </c>
    </row>
    <row r="4944" spans="1:4" x14ac:dyDescent="0.3">
      <c r="A4944">
        <v>4315453</v>
      </c>
      <c r="B4944" t="s">
        <v>5729</v>
      </c>
      <c r="C4944">
        <v>-29.112278666125604</v>
      </c>
      <c r="D4944">
        <v>-52.07294855429658</v>
      </c>
    </row>
    <row r="4945" spans="1:4" x14ac:dyDescent="0.3">
      <c r="A4945">
        <v>4315503</v>
      </c>
      <c r="B4945" t="s">
        <v>5730</v>
      </c>
      <c r="C4945">
        <v>-29.813948536698906</v>
      </c>
      <c r="D4945">
        <v>-53.37056857654742</v>
      </c>
    </row>
    <row r="4946" spans="1:4" x14ac:dyDescent="0.3">
      <c r="A4946">
        <v>4315552</v>
      </c>
      <c r="B4946" t="s">
        <v>5731</v>
      </c>
      <c r="C4946">
        <v>-27.298397595219804</v>
      </c>
      <c r="D4946">
        <v>-52.840057892829201</v>
      </c>
    </row>
    <row r="4947" spans="1:4" x14ac:dyDescent="0.3">
      <c r="A4947">
        <v>4315602</v>
      </c>
      <c r="B4947" t="s">
        <v>5732</v>
      </c>
      <c r="C4947">
        <v>-32.050445792652503</v>
      </c>
      <c r="D4947">
        <v>-52.086769699113468</v>
      </c>
    </row>
    <row r="4948" spans="1:4" x14ac:dyDescent="0.3">
      <c r="A4948">
        <v>4315701</v>
      </c>
      <c r="B4948" t="s">
        <v>5733</v>
      </c>
      <c r="C4948">
        <v>-29.985625878653256</v>
      </c>
      <c r="D4948">
        <v>-52.379018251236332</v>
      </c>
    </row>
    <row r="4949" spans="1:4" x14ac:dyDescent="0.3">
      <c r="A4949">
        <v>4315750</v>
      </c>
      <c r="B4949" t="s">
        <v>5734</v>
      </c>
      <c r="C4949">
        <v>-29.642286013791708</v>
      </c>
      <c r="D4949">
        <v>-50.473818113786287</v>
      </c>
    </row>
    <row r="4950" spans="1:4" x14ac:dyDescent="0.3">
      <c r="A4950">
        <v>4315800</v>
      </c>
      <c r="B4950" t="s">
        <v>5735</v>
      </c>
      <c r="C4950">
        <v>-29.285070073713356</v>
      </c>
      <c r="D4950">
        <v>-51.863891759921984</v>
      </c>
    </row>
    <row r="4951" spans="1:4" x14ac:dyDescent="0.3">
      <c r="A4951">
        <v>4315909</v>
      </c>
      <c r="B4951" t="s">
        <v>5736</v>
      </c>
      <c r="C4951">
        <v>-27.470403435462057</v>
      </c>
      <c r="D4951">
        <v>-53.1685306043438</v>
      </c>
    </row>
    <row r="4952" spans="1:4" x14ac:dyDescent="0.3">
      <c r="A4952">
        <v>4315958</v>
      </c>
      <c r="B4952" t="s">
        <v>5737</v>
      </c>
      <c r="C4952">
        <v>-28.256344217328003</v>
      </c>
      <c r="D4952">
        <v>-54.819426975410387</v>
      </c>
    </row>
    <row r="4953" spans="1:4" x14ac:dyDescent="0.3">
      <c r="A4953">
        <v>4316006</v>
      </c>
      <c r="B4953" t="s">
        <v>5738</v>
      </c>
      <c r="C4953">
        <v>-29.640762889996555</v>
      </c>
      <c r="D4953">
        <v>-50.57344233458825</v>
      </c>
    </row>
    <row r="4954" spans="1:4" x14ac:dyDescent="0.3">
      <c r="A4954">
        <v>4316105</v>
      </c>
      <c r="B4954" t="s">
        <v>5739</v>
      </c>
      <c r="C4954">
        <v>-27.781931352866753</v>
      </c>
      <c r="D4954">
        <v>-52.806533525569144</v>
      </c>
    </row>
    <row r="4955" spans="1:4" x14ac:dyDescent="0.3">
      <c r="A4955">
        <v>4316204</v>
      </c>
      <c r="B4955" t="s">
        <v>5740</v>
      </c>
      <c r="C4955">
        <v>-27.831815970369206</v>
      </c>
      <c r="D4955">
        <v>-52.906160156480389</v>
      </c>
    </row>
    <row r="4956" spans="1:4" x14ac:dyDescent="0.3">
      <c r="A4956">
        <v>4316303</v>
      </c>
      <c r="B4956" t="s">
        <v>5741</v>
      </c>
      <c r="C4956">
        <v>-28.135366986894958</v>
      </c>
      <c r="D4956">
        <v>-55.029186124345863</v>
      </c>
    </row>
    <row r="4957" spans="1:4" x14ac:dyDescent="0.3">
      <c r="A4957">
        <v>4316402</v>
      </c>
      <c r="B4957" t="s">
        <v>5742</v>
      </c>
      <c r="C4957">
        <v>-30.244033237809852</v>
      </c>
      <c r="D4957">
        <v>-54.945760855251926</v>
      </c>
    </row>
    <row r="4958" spans="1:4" x14ac:dyDescent="0.3">
      <c r="A4958">
        <v>4316428</v>
      </c>
      <c r="B4958" t="s">
        <v>5743</v>
      </c>
      <c r="C4958">
        <v>-27.706730990501555</v>
      </c>
      <c r="D4958">
        <v>-53.135651718031085</v>
      </c>
    </row>
    <row r="4959" spans="1:4" x14ac:dyDescent="0.3">
      <c r="A4959">
        <v>4316436</v>
      </c>
      <c r="B4959" t="s">
        <v>5744</v>
      </c>
      <c r="C4959">
        <v>-28.403286170686474</v>
      </c>
      <c r="D4959">
        <v>-53.094107201560675</v>
      </c>
    </row>
    <row r="4960" spans="1:4" x14ac:dyDescent="0.3">
      <c r="A4960">
        <v>4316451</v>
      </c>
      <c r="B4960" t="s">
        <v>5745</v>
      </c>
      <c r="C4960">
        <v>-29.088681247816915</v>
      </c>
      <c r="D4960">
        <v>-53.213309652406394</v>
      </c>
    </row>
    <row r="4961" spans="1:4" x14ac:dyDescent="0.3">
      <c r="A4961">
        <v>4316477</v>
      </c>
      <c r="B4961" t="s">
        <v>5746</v>
      </c>
      <c r="C4961">
        <v>-28.121697445134</v>
      </c>
      <c r="D4961">
        <v>-54.837742018812264</v>
      </c>
    </row>
    <row r="4962" spans="1:4" x14ac:dyDescent="0.3">
      <c r="A4962">
        <v>4316501</v>
      </c>
      <c r="B4962" t="s">
        <v>5747</v>
      </c>
      <c r="C4962">
        <v>-29.439732220880053</v>
      </c>
      <c r="D4962">
        <v>-51.509421459476535</v>
      </c>
    </row>
    <row r="4963" spans="1:4" x14ac:dyDescent="0.3">
      <c r="A4963">
        <v>4316600</v>
      </c>
      <c r="B4963" t="s">
        <v>5748</v>
      </c>
      <c r="C4963">
        <v>-27.9440065101962</v>
      </c>
      <c r="D4963">
        <v>-51.813501913945579</v>
      </c>
    </row>
    <row r="4964" spans="1:4" x14ac:dyDescent="0.3">
      <c r="A4964">
        <v>4316709</v>
      </c>
      <c r="B4964" t="s">
        <v>5749</v>
      </c>
      <c r="C4964">
        <v>-28.365166816746505</v>
      </c>
      <c r="D4964">
        <v>-53.250526707550385</v>
      </c>
    </row>
    <row r="4965" spans="1:4" x14ac:dyDescent="0.3">
      <c r="A4965">
        <v>4316733</v>
      </c>
      <c r="B4965" t="s">
        <v>5750</v>
      </c>
      <c r="C4965">
        <v>-28.164451104973104</v>
      </c>
      <c r="D4965">
        <v>-51.926671261095628</v>
      </c>
    </row>
    <row r="4966" spans="1:4" x14ac:dyDescent="0.3">
      <c r="A4966">
        <v>4316758</v>
      </c>
      <c r="B4966" t="s">
        <v>5751</v>
      </c>
      <c r="C4966">
        <v>-29.463596210918706</v>
      </c>
      <c r="D4966">
        <v>-52.080925823931565</v>
      </c>
    </row>
    <row r="4967" spans="1:4" x14ac:dyDescent="0.3">
      <c r="A4967">
        <v>4316808</v>
      </c>
      <c r="B4967" t="s">
        <v>5752</v>
      </c>
      <c r="C4967">
        <v>-29.719768433746555</v>
      </c>
      <c r="D4967">
        <v>-52.429928587370398</v>
      </c>
    </row>
    <row r="4968" spans="1:4" x14ac:dyDescent="0.3">
      <c r="A4968">
        <v>4316907</v>
      </c>
      <c r="B4968" t="s">
        <v>2184</v>
      </c>
      <c r="C4968">
        <v>-29.685581803545702</v>
      </c>
      <c r="D4968">
        <v>-53.808675394662885</v>
      </c>
    </row>
    <row r="4969" spans="1:4" x14ac:dyDescent="0.3">
      <c r="A4969">
        <v>4316956</v>
      </c>
      <c r="B4969" t="s">
        <v>5753</v>
      </c>
      <c r="C4969">
        <v>-29.503515538799903</v>
      </c>
      <c r="D4969">
        <v>-50.987255409364266</v>
      </c>
    </row>
    <row r="4970" spans="1:4" x14ac:dyDescent="0.3">
      <c r="A4970">
        <v>4316972</v>
      </c>
      <c r="B4970" t="s">
        <v>5754</v>
      </c>
      <c r="C4970">
        <v>-30.345103450910457</v>
      </c>
      <c r="D4970">
        <v>-54.090954670358613</v>
      </c>
    </row>
    <row r="4971" spans="1:4" x14ac:dyDescent="0.3">
      <c r="A4971">
        <v>4317004</v>
      </c>
      <c r="B4971" t="s">
        <v>5755</v>
      </c>
      <c r="C4971">
        <v>-30.874702573961606</v>
      </c>
      <c r="D4971">
        <v>-53.115874998699077</v>
      </c>
    </row>
    <row r="4972" spans="1:4" x14ac:dyDescent="0.3">
      <c r="A4972">
        <v>4317103</v>
      </c>
      <c r="B4972" t="s">
        <v>5756</v>
      </c>
      <c r="C4972">
        <v>-30.889384011212904</v>
      </c>
      <c r="D4972">
        <v>-55.534814267959725</v>
      </c>
    </row>
    <row r="4973" spans="1:4" x14ac:dyDescent="0.3">
      <c r="A4973">
        <v>4317202</v>
      </c>
      <c r="B4973" t="s">
        <v>5757</v>
      </c>
      <c r="C4973">
        <v>-27.866749798922999</v>
      </c>
      <c r="D4973">
        <v>-54.478224098760876</v>
      </c>
    </row>
    <row r="4974" spans="1:4" x14ac:dyDescent="0.3">
      <c r="A4974">
        <v>4317251</v>
      </c>
      <c r="B4974" t="s">
        <v>5758</v>
      </c>
      <c r="C4974">
        <v>-29.171634439872502</v>
      </c>
      <c r="D4974">
        <v>-51.734344242398933</v>
      </c>
    </row>
    <row r="4975" spans="1:4" x14ac:dyDescent="0.3">
      <c r="A4975">
        <v>4317301</v>
      </c>
      <c r="B4975" t="s">
        <v>5759</v>
      </c>
      <c r="C4975">
        <v>-33.519860030694751</v>
      </c>
      <c r="D4975">
        <v>-53.367006380733301</v>
      </c>
    </row>
    <row r="4976" spans="1:4" x14ac:dyDescent="0.3">
      <c r="A4976">
        <v>4317400</v>
      </c>
      <c r="B4976" t="s">
        <v>5760</v>
      </c>
      <c r="C4976">
        <v>-29.191460170894359</v>
      </c>
      <c r="D4976">
        <v>-54.869075853788608</v>
      </c>
    </row>
    <row r="4977" spans="1:4" x14ac:dyDescent="0.3">
      <c r="A4977">
        <v>4317509</v>
      </c>
      <c r="B4977" t="s">
        <v>5761</v>
      </c>
      <c r="C4977">
        <v>-28.301937873347352</v>
      </c>
      <c r="D4977">
        <v>-54.264142798426946</v>
      </c>
    </row>
    <row r="4978" spans="1:4" x14ac:dyDescent="0.3">
      <c r="A4978">
        <v>4317558</v>
      </c>
      <c r="B4978" t="s">
        <v>5762</v>
      </c>
      <c r="C4978">
        <v>-28.497445104529557</v>
      </c>
      <c r="D4978">
        <v>-52.02463305955937</v>
      </c>
    </row>
    <row r="4979" spans="1:4" x14ac:dyDescent="0.3">
      <c r="A4979">
        <v>4317608</v>
      </c>
      <c r="B4979" t="s">
        <v>5763</v>
      </c>
      <c r="C4979">
        <v>-29.832034016925103</v>
      </c>
      <c r="D4979">
        <v>-50.520985936677796</v>
      </c>
    </row>
    <row r="4980" spans="1:4" x14ac:dyDescent="0.3">
      <c r="A4980">
        <v>4317707</v>
      </c>
      <c r="B4980" t="s">
        <v>5764</v>
      </c>
      <c r="C4980">
        <v>-28.508096977591851</v>
      </c>
      <c r="D4980">
        <v>-55.22455664263439</v>
      </c>
    </row>
    <row r="4981" spans="1:4" x14ac:dyDescent="0.3">
      <c r="A4981">
        <v>4317756</v>
      </c>
      <c r="B4981" t="s">
        <v>5765</v>
      </c>
      <c r="C4981">
        <v>-28.395928906631056</v>
      </c>
      <c r="D4981">
        <v>-52.683725844432253</v>
      </c>
    </row>
    <row r="4982" spans="1:4" x14ac:dyDescent="0.3">
      <c r="A4982">
        <v>4317806</v>
      </c>
      <c r="B4982" t="s">
        <v>5766</v>
      </c>
      <c r="C4982">
        <v>-27.853490776403305</v>
      </c>
      <c r="D4982">
        <v>-53.778849598293228</v>
      </c>
    </row>
    <row r="4983" spans="1:4" x14ac:dyDescent="0.3">
      <c r="A4983">
        <v>4317905</v>
      </c>
      <c r="B4983" t="s">
        <v>5767</v>
      </c>
      <c r="C4983">
        <v>-27.819929734601054</v>
      </c>
      <c r="D4983">
        <v>-54.668747895290402</v>
      </c>
    </row>
    <row r="4984" spans="1:4" x14ac:dyDescent="0.3">
      <c r="A4984">
        <v>4317954</v>
      </c>
      <c r="B4984" t="s">
        <v>5768</v>
      </c>
      <c r="C4984">
        <v>-27.909369424614354</v>
      </c>
      <c r="D4984">
        <v>-51.64357217432557</v>
      </c>
    </row>
    <row r="4985" spans="1:4" x14ac:dyDescent="0.3">
      <c r="A4985">
        <v>4318002</v>
      </c>
      <c r="B4985" t="s">
        <v>5769</v>
      </c>
      <c r="C4985">
        <v>-28.662837526694659</v>
      </c>
      <c r="D4985">
        <v>-56.001029153618504</v>
      </c>
    </row>
    <row r="4986" spans="1:4" x14ac:dyDescent="0.3">
      <c r="A4986">
        <v>4318051</v>
      </c>
      <c r="B4986" t="s">
        <v>5770</v>
      </c>
      <c r="C4986">
        <v>-28.531763126799206</v>
      </c>
      <c r="D4986">
        <v>-51.893186714181176</v>
      </c>
    </row>
    <row r="4987" spans="1:4" x14ac:dyDescent="0.3">
      <c r="A4987">
        <v>4318101</v>
      </c>
      <c r="B4987" t="s">
        <v>5771</v>
      </c>
      <c r="C4987">
        <v>-29.55271590673825</v>
      </c>
      <c r="D4987">
        <v>-55.13238574024512</v>
      </c>
    </row>
    <row r="4988" spans="1:4" x14ac:dyDescent="0.3">
      <c r="A4988">
        <v>4318200</v>
      </c>
      <c r="B4988" t="s">
        <v>3870</v>
      </c>
      <c r="C4988">
        <v>-29.444098074799307</v>
      </c>
      <c r="D4988">
        <v>-50.582108107830443</v>
      </c>
    </row>
    <row r="4989" spans="1:4" x14ac:dyDescent="0.3">
      <c r="A4989">
        <v>4318309</v>
      </c>
      <c r="B4989" t="s">
        <v>3117</v>
      </c>
      <c r="C4989">
        <v>-30.336760054851453</v>
      </c>
      <c r="D4989">
        <v>-54.320477858107616</v>
      </c>
    </row>
    <row r="4990" spans="1:4" x14ac:dyDescent="0.3">
      <c r="A4990">
        <v>4318408</v>
      </c>
      <c r="B4990" t="s">
        <v>5772</v>
      </c>
      <c r="C4990">
        <v>-29.959438664804956</v>
      </c>
      <c r="D4990">
        <v>-51.728177503240424</v>
      </c>
    </row>
    <row r="4991" spans="1:4" x14ac:dyDescent="0.3">
      <c r="A4991">
        <v>4318424</v>
      </c>
      <c r="B4991" t="s">
        <v>5773</v>
      </c>
      <c r="C4991">
        <v>-27.826689965513552</v>
      </c>
      <c r="D4991">
        <v>-51.825838547592895</v>
      </c>
    </row>
    <row r="4992" spans="1:4" x14ac:dyDescent="0.3">
      <c r="A4992">
        <v>4318432</v>
      </c>
      <c r="B4992" t="s">
        <v>5774</v>
      </c>
      <c r="C4992">
        <v>-29.614676416364301</v>
      </c>
      <c r="D4992">
        <v>-53.446350434806199</v>
      </c>
    </row>
    <row r="4993" spans="1:4" x14ac:dyDescent="0.3">
      <c r="A4993">
        <v>4318440</v>
      </c>
      <c r="B4993" t="s">
        <v>5775</v>
      </c>
      <c r="C4993">
        <v>-28.498080971001453</v>
      </c>
      <c r="D4993">
        <v>-51.702968589339307</v>
      </c>
    </row>
    <row r="4994" spans="1:4" x14ac:dyDescent="0.3">
      <c r="A4994">
        <v>4318457</v>
      </c>
      <c r="B4994" t="s">
        <v>5776</v>
      </c>
      <c r="C4994">
        <v>-27.778183318051603</v>
      </c>
      <c r="D4994">
        <v>-53.118775269011117</v>
      </c>
    </row>
    <row r="4995" spans="1:4" x14ac:dyDescent="0.3">
      <c r="A4995">
        <v>4318465</v>
      </c>
      <c r="B4995" t="s">
        <v>5777</v>
      </c>
      <c r="C4995">
        <v>-29.041447021339852</v>
      </c>
      <c r="D4995">
        <v>-52.293016474121799</v>
      </c>
    </row>
    <row r="4996" spans="1:4" x14ac:dyDescent="0.3">
      <c r="A4996">
        <v>4318481</v>
      </c>
      <c r="B4996" t="s">
        <v>5778</v>
      </c>
      <c r="C4996">
        <v>-29.540048607318951</v>
      </c>
      <c r="D4996">
        <v>-51.249597557143794</v>
      </c>
    </row>
    <row r="4997" spans="1:4" x14ac:dyDescent="0.3">
      <c r="A4997">
        <v>4318499</v>
      </c>
      <c r="B4997" t="s">
        <v>5779</v>
      </c>
      <c r="C4997">
        <v>-27.722584567332003</v>
      </c>
      <c r="D4997">
        <v>-54.133550202739002</v>
      </c>
    </row>
    <row r="4998" spans="1:4" x14ac:dyDescent="0.3">
      <c r="A4998">
        <v>4318507</v>
      </c>
      <c r="B4998" t="s">
        <v>5780</v>
      </c>
      <c r="C4998">
        <v>-32.020609112738057</v>
      </c>
      <c r="D4998">
        <v>-52.034202271983816</v>
      </c>
    </row>
    <row r="4999" spans="1:4" x14ac:dyDescent="0.3">
      <c r="A4999">
        <v>4318606</v>
      </c>
      <c r="B4999" t="s">
        <v>5781</v>
      </c>
      <c r="C4999">
        <v>-27.771255406485004</v>
      </c>
      <c r="D4999">
        <v>-51.594767677991122</v>
      </c>
    </row>
    <row r="5000" spans="1:4" x14ac:dyDescent="0.3">
      <c r="A5000">
        <v>4318614</v>
      </c>
      <c r="B5000" t="s">
        <v>5782</v>
      </c>
      <c r="C5000">
        <v>-29.543469517815804</v>
      </c>
      <c r="D5000">
        <v>-51.486383830685341</v>
      </c>
    </row>
    <row r="5001" spans="1:4" x14ac:dyDescent="0.3">
      <c r="A5001">
        <v>4318622</v>
      </c>
      <c r="B5001" t="s">
        <v>5783</v>
      </c>
      <c r="C5001">
        <v>-28.749906432033811</v>
      </c>
      <c r="D5001">
        <v>-50.063612937632868</v>
      </c>
    </row>
    <row r="5002" spans="1:4" x14ac:dyDescent="0.3">
      <c r="A5002">
        <v>4318705</v>
      </c>
      <c r="B5002" t="s">
        <v>5784</v>
      </c>
      <c r="C5002">
        <v>-29.765866542385105</v>
      </c>
      <c r="D5002">
        <v>-51.146234561572179</v>
      </c>
    </row>
    <row r="5003" spans="1:4" x14ac:dyDescent="0.3">
      <c r="A5003">
        <v>4318804</v>
      </c>
      <c r="B5003" t="s">
        <v>5785</v>
      </c>
      <c r="C5003">
        <v>-31.364023721151156</v>
      </c>
      <c r="D5003">
        <v>-51.976915235762284</v>
      </c>
    </row>
    <row r="5004" spans="1:4" x14ac:dyDescent="0.3">
      <c r="A5004">
        <v>4318903</v>
      </c>
      <c r="B5004" t="s">
        <v>5786</v>
      </c>
      <c r="C5004">
        <v>-28.406646953009357</v>
      </c>
      <c r="D5004">
        <v>-54.959659549363913</v>
      </c>
    </row>
    <row r="5005" spans="1:4" x14ac:dyDescent="0.3">
      <c r="A5005">
        <v>4319000</v>
      </c>
      <c r="B5005" t="s">
        <v>5787</v>
      </c>
      <c r="C5005">
        <v>-28.969848639421201</v>
      </c>
      <c r="D5005">
        <v>-51.066706938263216</v>
      </c>
    </row>
    <row r="5006" spans="1:4" x14ac:dyDescent="0.3">
      <c r="A5006">
        <v>4319109</v>
      </c>
      <c r="B5006" t="s">
        <v>5370</v>
      </c>
      <c r="C5006">
        <v>-27.708928802128355</v>
      </c>
      <c r="D5006">
        <v>-53.966922723041783</v>
      </c>
    </row>
    <row r="5007" spans="1:4" x14ac:dyDescent="0.3">
      <c r="A5007">
        <v>4319125</v>
      </c>
      <c r="B5007" t="s">
        <v>5788</v>
      </c>
      <c r="C5007">
        <v>-29.534850568315555</v>
      </c>
      <c r="D5007">
        <v>-53.854225631864331</v>
      </c>
    </row>
    <row r="5008" spans="1:4" x14ac:dyDescent="0.3">
      <c r="A5008">
        <v>4319158</v>
      </c>
      <c r="B5008" t="s">
        <v>5789</v>
      </c>
      <c r="C5008">
        <v>-28.549537121513104</v>
      </c>
      <c r="D5008">
        <v>-54.561563093700123</v>
      </c>
    </row>
    <row r="5009" spans="1:4" x14ac:dyDescent="0.3">
      <c r="A5009">
        <v>4319208</v>
      </c>
      <c r="B5009" t="s">
        <v>5790</v>
      </c>
      <c r="C5009">
        <v>-28.182154693305602</v>
      </c>
      <c r="D5009">
        <v>-55.260100232027966</v>
      </c>
    </row>
    <row r="5010" spans="1:4" x14ac:dyDescent="0.3">
      <c r="A5010">
        <v>4319307</v>
      </c>
      <c r="B5010" t="s">
        <v>5791</v>
      </c>
      <c r="C5010">
        <v>-28.020484909962153</v>
      </c>
      <c r="D5010">
        <v>-54.934708342252421</v>
      </c>
    </row>
    <row r="5011" spans="1:4" x14ac:dyDescent="0.3">
      <c r="A5011">
        <v>4319356</v>
      </c>
      <c r="B5011" t="s">
        <v>5792</v>
      </c>
      <c r="C5011">
        <v>-29.421429842003452</v>
      </c>
      <c r="D5011">
        <v>-51.514326527240989</v>
      </c>
    </row>
    <row r="5012" spans="1:4" x14ac:dyDescent="0.3">
      <c r="A5012">
        <v>4319364</v>
      </c>
      <c r="B5012" t="s">
        <v>5793</v>
      </c>
      <c r="C5012">
        <v>-27.771308460748955</v>
      </c>
      <c r="D5012">
        <v>-53.24736897885257</v>
      </c>
    </row>
    <row r="5013" spans="1:4" x14ac:dyDescent="0.3">
      <c r="A5013">
        <v>4319372</v>
      </c>
      <c r="B5013" t="s">
        <v>5794</v>
      </c>
      <c r="C5013">
        <v>-28.124353901842117</v>
      </c>
      <c r="D5013">
        <v>-54.88825595344629</v>
      </c>
    </row>
    <row r="5014" spans="1:4" x14ac:dyDescent="0.3">
      <c r="A5014">
        <v>4319406</v>
      </c>
      <c r="B5014" t="s">
        <v>5795</v>
      </c>
      <c r="C5014">
        <v>-29.617530756194057</v>
      </c>
      <c r="D5014">
        <v>-54.179991287549477</v>
      </c>
    </row>
    <row r="5015" spans="1:4" x14ac:dyDescent="0.3">
      <c r="A5015">
        <v>4319505</v>
      </c>
      <c r="B5015" t="s">
        <v>5796</v>
      </c>
      <c r="C5015">
        <v>-29.592080330757849</v>
      </c>
      <c r="D5015">
        <v>-51.376664824245132</v>
      </c>
    </row>
    <row r="5016" spans="1:4" x14ac:dyDescent="0.3">
      <c r="A5016">
        <v>4319604</v>
      </c>
      <c r="B5016" t="s">
        <v>5797</v>
      </c>
      <c r="C5016">
        <v>-30.167411389713504</v>
      </c>
      <c r="D5016">
        <v>-53.569644125371838</v>
      </c>
    </row>
    <row r="5017" spans="1:4" x14ac:dyDescent="0.3">
      <c r="A5017">
        <v>4319703</v>
      </c>
      <c r="B5017" t="s">
        <v>5798</v>
      </c>
      <c r="C5017">
        <v>-27.554318331222753</v>
      </c>
      <c r="D5017">
        <v>-52.528478942221888</v>
      </c>
    </row>
    <row r="5018" spans="1:4" x14ac:dyDescent="0.3">
      <c r="A5018">
        <v>4319711</v>
      </c>
      <c r="B5018" t="s">
        <v>5799</v>
      </c>
      <c r="C5018">
        <v>-29.051227528125651</v>
      </c>
      <c r="D5018">
        <v>-51.769670539140975</v>
      </c>
    </row>
    <row r="5019" spans="1:4" x14ac:dyDescent="0.3">
      <c r="A5019">
        <v>4319737</v>
      </c>
      <c r="B5019" t="s">
        <v>5800</v>
      </c>
      <c r="C5019">
        <v>-27.787718169884052</v>
      </c>
      <c r="D5019">
        <v>-53.935526151343488</v>
      </c>
    </row>
    <row r="5020" spans="1:4" x14ac:dyDescent="0.3">
      <c r="A5020">
        <v>4319752</v>
      </c>
      <c r="B5020" t="s">
        <v>5801</v>
      </c>
      <c r="C5020">
        <v>-29.375809957172102</v>
      </c>
      <c r="D5020">
        <v>-51.368652756262541</v>
      </c>
    </row>
    <row r="5021" spans="1:4" x14ac:dyDescent="0.3">
      <c r="A5021">
        <v>4319802</v>
      </c>
      <c r="B5021" t="s">
        <v>5802</v>
      </c>
      <c r="C5021">
        <v>-29.692060834465906</v>
      </c>
      <c r="D5021">
        <v>-54.676002016209267</v>
      </c>
    </row>
    <row r="5022" spans="1:4" x14ac:dyDescent="0.3">
      <c r="A5022">
        <v>4319901</v>
      </c>
      <c r="B5022" t="s">
        <v>5803</v>
      </c>
      <c r="C5022">
        <v>-29.638554117614504</v>
      </c>
      <c r="D5022">
        <v>-51.003622987823803</v>
      </c>
    </row>
    <row r="5023" spans="1:4" x14ac:dyDescent="0.3">
      <c r="A5023">
        <v>4320008</v>
      </c>
      <c r="B5023" t="s">
        <v>5804</v>
      </c>
      <c r="C5023">
        <v>-29.824868032585407</v>
      </c>
      <c r="D5023">
        <v>-51.15187471552057</v>
      </c>
    </row>
    <row r="5024" spans="1:4" x14ac:dyDescent="0.3">
      <c r="A5024">
        <v>4320107</v>
      </c>
      <c r="B5024" t="s">
        <v>5115</v>
      </c>
      <c r="C5024">
        <v>-27.943595177904058</v>
      </c>
      <c r="D5024">
        <v>-52.925461059447109</v>
      </c>
    </row>
    <row r="5025" spans="1:4" x14ac:dyDescent="0.3">
      <c r="A5025">
        <v>4320206</v>
      </c>
      <c r="B5025" t="s">
        <v>5805</v>
      </c>
      <c r="C5025">
        <v>-27.480413816526209</v>
      </c>
      <c r="D5025">
        <v>-53.405467303527942</v>
      </c>
    </row>
    <row r="5026" spans="1:4" x14ac:dyDescent="0.3">
      <c r="A5026">
        <v>4320230</v>
      </c>
      <c r="B5026" t="s">
        <v>5806</v>
      </c>
      <c r="C5026">
        <v>-27.631162872479507</v>
      </c>
      <c r="D5026">
        <v>-53.955884723833798</v>
      </c>
    </row>
    <row r="5027" spans="1:4" x14ac:dyDescent="0.3">
      <c r="A5027">
        <v>4320263</v>
      </c>
      <c r="B5027" t="s">
        <v>5807</v>
      </c>
      <c r="C5027">
        <v>-29.342618427326855</v>
      </c>
      <c r="D5027">
        <v>-52.982073641215116</v>
      </c>
    </row>
    <row r="5028" spans="1:4" x14ac:dyDescent="0.3">
      <c r="A5028">
        <v>4320305</v>
      </c>
      <c r="B5028" t="s">
        <v>5808</v>
      </c>
      <c r="C5028">
        <v>-28.627433806630904</v>
      </c>
      <c r="D5028">
        <v>-52.956525273836228</v>
      </c>
    </row>
    <row r="5029" spans="1:4" x14ac:dyDescent="0.3">
      <c r="A5029">
        <v>4320321</v>
      </c>
      <c r="B5029" t="s">
        <v>5809</v>
      </c>
      <c r="C5029">
        <v>-28.027489501396651</v>
      </c>
      <c r="D5029">
        <v>-54.545403032518095</v>
      </c>
    </row>
    <row r="5030" spans="1:4" x14ac:dyDescent="0.3">
      <c r="A5030">
        <v>4320354</v>
      </c>
      <c r="B5030" t="s">
        <v>5810</v>
      </c>
      <c r="C5030">
        <v>-30.613302597045404</v>
      </c>
      <c r="D5030">
        <v>-51.577981774810382</v>
      </c>
    </row>
    <row r="5031" spans="1:4" x14ac:dyDescent="0.3">
      <c r="A5031">
        <v>4320404</v>
      </c>
      <c r="B5031" t="s">
        <v>5811</v>
      </c>
      <c r="C5031">
        <v>-28.710797071407157</v>
      </c>
      <c r="D5031">
        <v>-51.935708609940313</v>
      </c>
    </row>
    <row r="5032" spans="1:4" x14ac:dyDescent="0.3">
      <c r="A5032">
        <v>4320453</v>
      </c>
      <c r="B5032" t="s">
        <v>5812</v>
      </c>
      <c r="C5032">
        <v>-29.386760089877257</v>
      </c>
      <c r="D5032">
        <v>-52.267455830944968</v>
      </c>
    </row>
    <row r="5033" spans="1:4" x14ac:dyDescent="0.3">
      <c r="A5033">
        <v>4320503</v>
      </c>
      <c r="B5033" t="s">
        <v>5813</v>
      </c>
      <c r="C5033">
        <v>-27.980773554847456</v>
      </c>
      <c r="D5033">
        <v>-52.25973786114546</v>
      </c>
    </row>
    <row r="5034" spans="1:4" x14ac:dyDescent="0.3">
      <c r="A5034">
        <v>4320552</v>
      </c>
      <c r="B5034" t="s">
        <v>5814</v>
      </c>
      <c r="C5034">
        <v>-30.465427890332553</v>
      </c>
      <c r="D5034">
        <v>-51.60424991604291</v>
      </c>
    </row>
    <row r="5035" spans="1:4" x14ac:dyDescent="0.3">
      <c r="A5035">
        <v>4320578</v>
      </c>
      <c r="B5035" t="s">
        <v>5815</v>
      </c>
      <c r="C5035">
        <v>-28.130416323371051</v>
      </c>
      <c r="D5035">
        <v>-54.463686182315463</v>
      </c>
    </row>
    <row r="5036" spans="1:4" x14ac:dyDescent="0.3">
      <c r="A5036">
        <v>4320602</v>
      </c>
      <c r="B5036" t="s">
        <v>5816</v>
      </c>
      <c r="C5036">
        <v>-27.4327929836269</v>
      </c>
      <c r="D5036">
        <v>-52.12065629605403</v>
      </c>
    </row>
    <row r="5037" spans="1:4" x14ac:dyDescent="0.3">
      <c r="A5037">
        <v>4320651</v>
      </c>
      <c r="B5037" t="s">
        <v>5817</v>
      </c>
      <c r="C5037">
        <v>-29.645250058547404</v>
      </c>
      <c r="D5037">
        <v>-53.585237473611862</v>
      </c>
    </row>
    <row r="5038" spans="1:4" x14ac:dyDescent="0.3">
      <c r="A5038">
        <v>4320677</v>
      </c>
      <c r="B5038" t="s">
        <v>5818</v>
      </c>
      <c r="C5038">
        <v>-29.52906815701861</v>
      </c>
      <c r="D5038">
        <v>-52.521636308625339</v>
      </c>
    </row>
    <row r="5039" spans="1:4" x14ac:dyDescent="0.3">
      <c r="A5039">
        <v>4320701</v>
      </c>
      <c r="B5039" t="s">
        <v>3138</v>
      </c>
      <c r="C5039">
        <v>-29.414773134129355</v>
      </c>
      <c r="D5039">
        <v>-53.025167943616104</v>
      </c>
    </row>
    <row r="5040" spans="1:4" x14ac:dyDescent="0.3">
      <c r="A5040">
        <v>4320800</v>
      </c>
      <c r="B5040" t="s">
        <v>2436</v>
      </c>
      <c r="C5040">
        <v>-28.827737953669203</v>
      </c>
      <c r="D5040">
        <v>-52.509866171166223</v>
      </c>
    </row>
    <row r="5041" spans="1:4" x14ac:dyDescent="0.3">
      <c r="A5041">
        <v>4320859</v>
      </c>
      <c r="B5041" t="s">
        <v>5819</v>
      </c>
      <c r="C5041">
        <v>-29.687770624164852</v>
      </c>
      <c r="D5041">
        <v>-51.727475118508075</v>
      </c>
    </row>
    <row r="5042" spans="1:4" x14ac:dyDescent="0.3">
      <c r="A5042">
        <v>4320909</v>
      </c>
      <c r="B5042" t="s">
        <v>5125</v>
      </c>
      <c r="C5042">
        <v>-28.084171059705955</v>
      </c>
      <c r="D5042">
        <v>-52.022132527664091</v>
      </c>
    </row>
    <row r="5043" spans="1:4" x14ac:dyDescent="0.3">
      <c r="A5043">
        <v>4321006</v>
      </c>
      <c r="B5043" t="s">
        <v>5820</v>
      </c>
      <c r="C5043">
        <v>-28.624950191165453</v>
      </c>
      <c r="D5043">
        <v>-52.871467174076841</v>
      </c>
    </row>
    <row r="5044" spans="1:4" x14ac:dyDescent="0.3">
      <c r="A5044">
        <v>4321105</v>
      </c>
      <c r="B5044" t="s">
        <v>5821</v>
      </c>
      <c r="C5044">
        <v>-30.67317290384705</v>
      </c>
      <c r="D5044">
        <v>-51.39449870575865</v>
      </c>
    </row>
    <row r="5045" spans="1:4" x14ac:dyDescent="0.3">
      <c r="A5045">
        <v>4321204</v>
      </c>
      <c r="B5045" t="s">
        <v>5822</v>
      </c>
      <c r="C5045">
        <v>-29.650513104275806</v>
      </c>
      <c r="D5045">
        <v>-50.78116861925583</v>
      </c>
    </row>
    <row r="5046" spans="1:4" x14ac:dyDescent="0.3">
      <c r="A5046">
        <v>4321303</v>
      </c>
      <c r="B5046" t="s">
        <v>5823</v>
      </c>
      <c r="C5046">
        <v>-29.802800851673499</v>
      </c>
      <c r="D5046">
        <v>-51.862776484200225</v>
      </c>
    </row>
    <row r="5047" spans="1:4" x14ac:dyDescent="0.3">
      <c r="A5047">
        <v>4321329</v>
      </c>
      <c r="B5047" t="s">
        <v>5824</v>
      </c>
      <c r="C5047">
        <v>-27.398036050907855</v>
      </c>
      <c r="D5047">
        <v>-53.466951959614377</v>
      </c>
    </row>
    <row r="5048" spans="1:4" x14ac:dyDescent="0.3">
      <c r="A5048">
        <v>4321352</v>
      </c>
      <c r="B5048" t="s">
        <v>2442</v>
      </c>
      <c r="C5048">
        <v>-31.288702658316609</v>
      </c>
      <c r="D5048">
        <v>-51.088842981516173</v>
      </c>
    </row>
    <row r="5049" spans="1:4" x14ac:dyDescent="0.3">
      <c r="A5049">
        <v>4321402</v>
      </c>
      <c r="B5049" t="s">
        <v>5825</v>
      </c>
      <c r="C5049">
        <v>-27.372166919114452</v>
      </c>
      <c r="D5049">
        <v>-53.757269614898107</v>
      </c>
    </row>
    <row r="5050" spans="1:4" x14ac:dyDescent="0.3">
      <c r="A5050">
        <v>4321436</v>
      </c>
      <c r="B5050" t="s">
        <v>5826</v>
      </c>
      <c r="C5050">
        <v>-29.577548568045906</v>
      </c>
      <c r="D5050">
        <v>-50.067249145631799</v>
      </c>
    </row>
    <row r="5051" spans="1:4" x14ac:dyDescent="0.3">
      <c r="A5051">
        <v>4321451</v>
      </c>
      <c r="B5051" t="s">
        <v>5827</v>
      </c>
      <c r="C5051">
        <v>-29.488914436394452</v>
      </c>
      <c r="D5051">
        <v>-51.812816870599264</v>
      </c>
    </row>
    <row r="5052" spans="1:4" x14ac:dyDescent="0.3">
      <c r="A5052">
        <v>4321469</v>
      </c>
      <c r="B5052" t="s">
        <v>5828</v>
      </c>
      <c r="C5052">
        <v>-28.580496016554402</v>
      </c>
      <c r="D5052">
        <v>-52.593046116065992</v>
      </c>
    </row>
    <row r="5053" spans="1:4" x14ac:dyDescent="0.3">
      <c r="A5053">
        <v>4321477</v>
      </c>
      <c r="B5053" t="s">
        <v>5829</v>
      </c>
      <c r="C5053">
        <v>-27.396898884195004</v>
      </c>
      <c r="D5053">
        <v>-54.08539220504057</v>
      </c>
    </row>
    <row r="5054" spans="1:4" x14ac:dyDescent="0.3">
      <c r="A5054">
        <v>4321493</v>
      </c>
      <c r="B5054" t="s">
        <v>5830</v>
      </c>
      <c r="C5054">
        <v>-29.472141700754754</v>
      </c>
      <c r="D5054">
        <v>-54.228010996738249</v>
      </c>
    </row>
    <row r="5055" spans="1:4" x14ac:dyDescent="0.3">
      <c r="A5055">
        <v>4321501</v>
      </c>
      <c r="B5055" t="s">
        <v>5831</v>
      </c>
      <c r="C5055">
        <v>-29.335930614335606</v>
      </c>
      <c r="D5055">
        <v>-49.730404494503361</v>
      </c>
    </row>
    <row r="5056" spans="1:4" x14ac:dyDescent="0.3">
      <c r="A5056">
        <v>4321600</v>
      </c>
      <c r="B5056" t="s">
        <v>5832</v>
      </c>
      <c r="C5056">
        <v>-29.987301947182555</v>
      </c>
      <c r="D5056">
        <v>-50.130376500680306</v>
      </c>
    </row>
    <row r="5057" spans="1:4" x14ac:dyDescent="0.3">
      <c r="A5057">
        <v>4321626</v>
      </c>
      <c r="B5057" t="s">
        <v>5833</v>
      </c>
      <c r="C5057">
        <v>-29.299085809755354</v>
      </c>
      <c r="D5057">
        <v>-52.05777726813001</v>
      </c>
    </row>
    <row r="5058" spans="1:4" x14ac:dyDescent="0.3">
      <c r="A5058">
        <v>4321634</v>
      </c>
      <c r="B5058" t="s">
        <v>5834</v>
      </c>
      <c r="C5058">
        <v>-27.499516218387651</v>
      </c>
      <c r="D5058">
        <v>-52.149852074270044</v>
      </c>
    </row>
    <row r="5059" spans="1:4" x14ac:dyDescent="0.3">
      <c r="A5059">
        <v>4321667</v>
      </c>
      <c r="B5059" t="s">
        <v>5835</v>
      </c>
      <c r="C5059">
        <v>-29.445886590417008</v>
      </c>
      <c r="D5059">
        <v>-49.915639276195698</v>
      </c>
    </row>
    <row r="5060" spans="1:4" x14ac:dyDescent="0.3">
      <c r="A5060">
        <v>4321709</v>
      </c>
      <c r="B5060" t="s">
        <v>5836</v>
      </c>
      <c r="C5060">
        <v>-29.516660978989457</v>
      </c>
      <c r="D5060">
        <v>-50.783125835797058</v>
      </c>
    </row>
    <row r="5061" spans="1:4" x14ac:dyDescent="0.3">
      <c r="A5061">
        <v>4321808</v>
      </c>
      <c r="B5061" t="s">
        <v>5837</v>
      </c>
      <c r="C5061">
        <v>-27.779660218897504</v>
      </c>
      <c r="D5061">
        <v>-54.235302207546724</v>
      </c>
    </row>
    <row r="5062" spans="1:4" x14ac:dyDescent="0.3">
      <c r="A5062">
        <v>4321832</v>
      </c>
      <c r="B5062" t="s">
        <v>5838</v>
      </c>
      <c r="C5062">
        <v>-29.538110546290202</v>
      </c>
      <c r="D5062">
        <v>-50.064316480522756</v>
      </c>
    </row>
    <row r="5063" spans="1:4" x14ac:dyDescent="0.3">
      <c r="A5063">
        <v>4321857</v>
      </c>
      <c r="B5063" t="s">
        <v>5839</v>
      </c>
      <c r="C5063">
        <v>-27.617527449981353</v>
      </c>
      <c r="D5063">
        <v>-52.843714350148197</v>
      </c>
    </row>
    <row r="5064" spans="1:4" x14ac:dyDescent="0.3">
      <c r="A5064">
        <v>4321907</v>
      </c>
      <c r="B5064" t="s">
        <v>5840</v>
      </c>
      <c r="C5064">
        <v>-27.45615988384256</v>
      </c>
      <c r="D5064">
        <v>-53.929698958011095</v>
      </c>
    </row>
    <row r="5065" spans="1:4" x14ac:dyDescent="0.3">
      <c r="A5065">
        <v>4321956</v>
      </c>
      <c r="B5065" t="s">
        <v>5841</v>
      </c>
      <c r="C5065">
        <v>-27.517575934832053</v>
      </c>
      <c r="D5065">
        <v>-52.892231020965681</v>
      </c>
    </row>
    <row r="5066" spans="1:4" x14ac:dyDescent="0.3">
      <c r="A5066">
        <v>4322004</v>
      </c>
      <c r="B5066" t="s">
        <v>2445</v>
      </c>
      <c r="C5066">
        <v>-29.945204266044652</v>
      </c>
      <c r="D5066">
        <v>-51.715312835696103</v>
      </c>
    </row>
    <row r="5067" spans="1:4" x14ac:dyDescent="0.3">
      <c r="A5067">
        <v>4322103</v>
      </c>
      <c r="B5067" t="s">
        <v>5842</v>
      </c>
      <c r="C5067">
        <v>-27.650059933357806</v>
      </c>
      <c r="D5067">
        <v>-54.433128668834172</v>
      </c>
    </row>
    <row r="5068" spans="1:4" x14ac:dyDescent="0.3">
      <c r="A5068">
        <v>4322152</v>
      </c>
      <c r="B5068" t="s">
        <v>5843</v>
      </c>
      <c r="C5068">
        <v>-29.106439718846104</v>
      </c>
      <c r="D5068">
        <v>-52.95701310553364</v>
      </c>
    </row>
    <row r="5069" spans="1:4" x14ac:dyDescent="0.3">
      <c r="A5069">
        <v>4322186</v>
      </c>
      <c r="B5069" t="s">
        <v>5844</v>
      </c>
      <c r="C5069">
        <v>-27.925711465932302</v>
      </c>
      <c r="D5069">
        <v>-51.540539011684707</v>
      </c>
    </row>
    <row r="5070" spans="1:4" x14ac:dyDescent="0.3">
      <c r="A5070">
        <v>4322202</v>
      </c>
      <c r="B5070" t="s">
        <v>5845</v>
      </c>
      <c r="C5070">
        <v>-29.077479730048005</v>
      </c>
      <c r="D5070">
        <v>-53.840630055346367</v>
      </c>
    </row>
    <row r="5071" spans="1:4" x14ac:dyDescent="0.3">
      <c r="A5071">
        <v>4322251</v>
      </c>
      <c r="B5071" t="s">
        <v>5846</v>
      </c>
      <c r="C5071">
        <v>-29.487912814868604</v>
      </c>
      <c r="D5071">
        <v>-51.419825429735702</v>
      </c>
    </row>
    <row r="5072" spans="1:4" x14ac:dyDescent="0.3">
      <c r="A5072">
        <v>4322301</v>
      </c>
      <c r="B5072" t="s">
        <v>5847</v>
      </c>
      <c r="C5072">
        <v>-27.75408892729865</v>
      </c>
      <c r="D5072">
        <v>-54.478508075327341</v>
      </c>
    </row>
    <row r="5073" spans="1:4" x14ac:dyDescent="0.3">
      <c r="A5073">
        <v>4322327</v>
      </c>
      <c r="B5073" t="s">
        <v>5848</v>
      </c>
      <c r="C5073">
        <v>-31.412365857091554</v>
      </c>
      <c r="D5073">
        <v>-52.17141562100084</v>
      </c>
    </row>
    <row r="5074" spans="1:4" x14ac:dyDescent="0.3">
      <c r="A5074">
        <v>4322343</v>
      </c>
      <c r="B5074" t="s">
        <v>5849</v>
      </c>
      <c r="C5074">
        <v>-28.04356476573275</v>
      </c>
      <c r="D5074">
        <v>-54.684510776228137</v>
      </c>
    </row>
    <row r="5075" spans="1:4" x14ac:dyDescent="0.3">
      <c r="A5075">
        <v>4322350</v>
      </c>
      <c r="B5075" t="s">
        <v>5850</v>
      </c>
      <c r="C5075">
        <v>-28.779898567831655</v>
      </c>
      <c r="D5075">
        <v>-52.000416664253152</v>
      </c>
    </row>
    <row r="5076" spans="1:4" x14ac:dyDescent="0.3">
      <c r="A5076">
        <v>4322376</v>
      </c>
      <c r="B5076" t="s">
        <v>5851</v>
      </c>
      <c r="C5076">
        <v>-29.047485025584056</v>
      </c>
      <c r="D5076">
        <v>-55.150780518137864</v>
      </c>
    </row>
    <row r="5077" spans="1:4" x14ac:dyDescent="0.3">
      <c r="A5077">
        <v>4322400</v>
      </c>
      <c r="B5077" t="s">
        <v>5852</v>
      </c>
      <c r="C5077">
        <v>-29.759823172014407</v>
      </c>
      <c r="D5077">
        <v>-57.081824909022906</v>
      </c>
    </row>
    <row r="5078" spans="1:4" x14ac:dyDescent="0.3">
      <c r="A5078">
        <v>4322509</v>
      </c>
      <c r="B5078" t="s">
        <v>5853</v>
      </c>
      <c r="C5078">
        <v>-28.502354395186359</v>
      </c>
      <c r="D5078">
        <v>-50.936599164121127</v>
      </c>
    </row>
    <row r="5079" spans="1:4" x14ac:dyDescent="0.3">
      <c r="A5079">
        <v>4322525</v>
      </c>
      <c r="B5079" t="s">
        <v>5854</v>
      </c>
      <c r="C5079">
        <v>-29.782574939640956</v>
      </c>
      <c r="D5079">
        <v>-52.179722300928361</v>
      </c>
    </row>
    <row r="5080" spans="1:4" x14ac:dyDescent="0.3">
      <c r="A5080">
        <v>4322533</v>
      </c>
      <c r="B5080" t="s">
        <v>5855</v>
      </c>
      <c r="C5080">
        <v>-29.608827986548956</v>
      </c>
      <c r="D5080">
        <v>-52.681354500657399</v>
      </c>
    </row>
    <row r="5081" spans="1:4" x14ac:dyDescent="0.3">
      <c r="A5081">
        <v>4322541</v>
      </c>
      <c r="B5081" t="s">
        <v>5856</v>
      </c>
      <c r="C5081">
        <v>-29.392280617420756</v>
      </c>
      <c r="D5081">
        <v>-51.251196564826991</v>
      </c>
    </row>
    <row r="5082" spans="1:4" x14ac:dyDescent="0.3">
      <c r="A5082">
        <v>4322558</v>
      </c>
      <c r="B5082" t="s">
        <v>5857</v>
      </c>
      <c r="C5082">
        <v>-28.476222514975657</v>
      </c>
      <c r="D5082">
        <v>-51.8446581973908</v>
      </c>
    </row>
    <row r="5083" spans="1:4" x14ac:dyDescent="0.3">
      <c r="A5083">
        <v>4322608</v>
      </c>
      <c r="B5083" t="s">
        <v>5858</v>
      </c>
      <c r="C5083">
        <v>-29.611652892655552</v>
      </c>
      <c r="D5083">
        <v>-52.191880240489475</v>
      </c>
    </row>
    <row r="5084" spans="1:4" x14ac:dyDescent="0.3">
      <c r="A5084">
        <v>4322707</v>
      </c>
      <c r="B5084" t="s">
        <v>2244</v>
      </c>
      <c r="C5084">
        <v>-29.719857594034508</v>
      </c>
      <c r="D5084">
        <v>-52.50110340710409</v>
      </c>
    </row>
    <row r="5085" spans="1:4" x14ac:dyDescent="0.3">
      <c r="A5085">
        <v>4322806</v>
      </c>
      <c r="B5085" t="s">
        <v>5859</v>
      </c>
      <c r="C5085">
        <v>-28.933957336274453</v>
      </c>
      <c r="D5085">
        <v>-51.552286904464744</v>
      </c>
    </row>
    <row r="5086" spans="1:4" x14ac:dyDescent="0.3">
      <c r="A5086">
        <v>4322855</v>
      </c>
      <c r="B5086" t="s">
        <v>5860</v>
      </c>
      <c r="C5086">
        <v>-29.069894355790954</v>
      </c>
      <c r="D5086">
        <v>-51.859469950102117</v>
      </c>
    </row>
    <row r="5087" spans="1:4" x14ac:dyDescent="0.3">
      <c r="A5087">
        <v>4322905</v>
      </c>
      <c r="B5087" t="s">
        <v>5861</v>
      </c>
      <c r="C5087">
        <v>-27.570953060084104</v>
      </c>
      <c r="D5087">
        <v>-52.023798749651334</v>
      </c>
    </row>
    <row r="5088" spans="1:4" x14ac:dyDescent="0.3">
      <c r="A5088">
        <v>4323002</v>
      </c>
      <c r="B5088" t="s">
        <v>5862</v>
      </c>
      <c r="C5088">
        <v>-30.081896840939951</v>
      </c>
      <c r="D5088">
        <v>-51.024820489572996</v>
      </c>
    </row>
    <row r="5089" spans="1:4" x14ac:dyDescent="0.3">
      <c r="A5089">
        <v>4323101</v>
      </c>
      <c r="B5089" t="s">
        <v>5863</v>
      </c>
      <c r="C5089">
        <v>-27.168445044144654</v>
      </c>
      <c r="D5089">
        <v>-53.402129055409446</v>
      </c>
    </row>
    <row r="5090" spans="1:4" x14ac:dyDescent="0.3">
      <c r="A5090">
        <v>4323200</v>
      </c>
      <c r="B5090" t="s">
        <v>5864</v>
      </c>
      <c r="C5090">
        <v>-28.560184625148406</v>
      </c>
      <c r="D5090">
        <v>-52.747791788899917</v>
      </c>
    </row>
    <row r="5091" spans="1:4" x14ac:dyDescent="0.3">
      <c r="A5091">
        <v>4323309</v>
      </c>
      <c r="B5091" t="s">
        <v>5865</v>
      </c>
      <c r="C5091">
        <v>-28.863000130250455</v>
      </c>
      <c r="D5091">
        <v>-51.549589089178369</v>
      </c>
    </row>
    <row r="5092" spans="1:4" x14ac:dyDescent="0.3">
      <c r="A5092">
        <v>4323358</v>
      </c>
      <c r="B5092" t="s">
        <v>5866</v>
      </c>
      <c r="C5092">
        <v>-28.107405198760752</v>
      </c>
      <c r="D5092">
        <v>-52.146903357117765</v>
      </c>
    </row>
    <row r="5093" spans="1:4" x14ac:dyDescent="0.3">
      <c r="A5093">
        <v>4323408</v>
      </c>
      <c r="B5093" t="s">
        <v>5867</v>
      </c>
      <c r="C5093">
        <v>-28.533314234998503</v>
      </c>
      <c r="D5093">
        <v>-52.163537899070874</v>
      </c>
    </row>
    <row r="5094" spans="1:4" x14ac:dyDescent="0.3">
      <c r="A5094">
        <v>4323457</v>
      </c>
      <c r="B5094" t="s">
        <v>5868</v>
      </c>
      <c r="C5094">
        <v>-30.333958689168007</v>
      </c>
      <c r="D5094">
        <v>-53.879196483096983</v>
      </c>
    </row>
    <row r="5095" spans="1:4" x14ac:dyDescent="0.3">
      <c r="A5095">
        <v>4323507</v>
      </c>
      <c r="B5095" t="s">
        <v>5869</v>
      </c>
      <c r="C5095">
        <v>-27.370084170074456</v>
      </c>
      <c r="D5095">
        <v>-53.492410466124824</v>
      </c>
    </row>
    <row r="5096" spans="1:4" x14ac:dyDescent="0.3">
      <c r="A5096">
        <v>4323606</v>
      </c>
      <c r="B5096" t="s">
        <v>5870</v>
      </c>
      <c r="C5096">
        <v>-28.809472296911451</v>
      </c>
      <c r="D5096">
        <v>-51.786208402478884</v>
      </c>
    </row>
    <row r="5097" spans="1:4" x14ac:dyDescent="0.3">
      <c r="A5097">
        <v>4323705</v>
      </c>
      <c r="B5097" t="s">
        <v>5871</v>
      </c>
      <c r="C5097">
        <v>-27.289978375341352</v>
      </c>
      <c r="D5097">
        <v>-53.70131978163306</v>
      </c>
    </row>
    <row r="5098" spans="1:4" x14ac:dyDescent="0.3">
      <c r="A5098">
        <v>4323754</v>
      </c>
      <c r="B5098" t="s">
        <v>5872</v>
      </c>
      <c r="C5098">
        <v>-28.352387249251159</v>
      </c>
      <c r="D5098">
        <v>-54.499054887070358</v>
      </c>
    </row>
    <row r="5099" spans="1:4" x14ac:dyDescent="0.3">
      <c r="A5099">
        <v>4323770</v>
      </c>
      <c r="B5099" t="s">
        <v>5873</v>
      </c>
      <c r="C5099">
        <v>-29.423449549900951</v>
      </c>
      <c r="D5099">
        <v>-51.76615551374983</v>
      </c>
    </row>
    <row r="5100" spans="1:4" x14ac:dyDescent="0.3">
      <c r="A5100">
        <v>4323804</v>
      </c>
      <c r="B5100" t="s">
        <v>5874</v>
      </c>
      <c r="C5100">
        <v>-29.805378185410451</v>
      </c>
      <c r="D5100">
        <v>-50.039081423796738</v>
      </c>
    </row>
    <row r="5101" spans="1:4" x14ac:dyDescent="0.3">
      <c r="A5101">
        <v>5000203</v>
      </c>
      <c r="B5101" t="s">
        <v>5875</v>
      </c>
      <c r="C5101">
        <v>-20.44885076232455</v>
      </c>
      <c r="D5101">
        <v>-52.875117551453883</v>
      </c>
    </row>
    <row r="5102" spans="1:4" x14ac:dyDescent="0.3">
      <c r="A5102">
        <v>5000252</v>
      </c>
      <c r="B5102" t="s">
        <v>5876</v>
      </c>
      <c r="C5102">
        <v>-18.325033979362754</v>
      </c>
      <c r="D5102">
        <v>-53.708089626281293</v>
      </c>
    </row>
    <row r="5103" spans="1:4" x14ac:dyDescent="0.3">
      <c r="A5103">
        <v>5000609</v>
      </c>
      <c r="B5103" t="s">
        <v>5877</v>
      </c>
      <c r="C5103">
        <v>-23.100582238376351</v>
      </c>
      <c r="D5103">
        <v>-55.24382769262369</v>
      </c>
    </row>
    <row r="5104" spans="1:4" x14ac:dyDescent="0.3">
      <c r="A5104">
        <v>5000708</v>
      </c>
      <c r="B5104" t="s">
        <v>5878</v>
      </c>
      <c r="C5104">
        <v>-20.482360199575606</v>
      </c>
      <c r="D5104">
        <v>-55.804570599079163</v>
      </c>
    </row>
    <row r="5105" spans="1:4" x14ac:dyDescent="0.3">
      <c r="A5105">
        <v>5000807</v>
      </c>
      <c r="B5105" t="s">
        <v>5879</v>
      </c>
      <c r="C5105">
        <v>-22.182650267948702</v>
      </c>
      <c r="D5105">
        <v>-52.71816935868442</v>
      </c>
    </row>
    <row r="5106" spans="1:4" x14ac:dyDescent="0.3">
      <c r="A5106">
        <v>5000856</v>
      </c>
      <c r="B5106" t="s">
        <v>5880</v>
      </c>
      <c r="C5106">
        <v>-22.156062522433704</v>
      </c>
      <c r="D5106">
        <v>-53.769730480462705</v>
      </c>
    </row>
    <row r="5107" spans="1:4" x14ac:dyDescent="0.3">
      <c r="A5107">
        <v>5000906</v>
      </c>
      <c r="B5107" t="s">
        <v>5881</v>
      </c>
      <c r="C5107">
        <v>-22.194685390528701</v>
      </c>
      <c r="D5107">
        <v>-55.948081505386583</v>
      </c>
    </row>
    <row r="5108" spans="1:4" x14ac:dyDescent="0.3">
      <c r="A5108">
        <v>5001003</v>
      </c>
      <c r="B5108" t="s">
        <v>5882</v>
      </c>
      <c r="C5108">
        <v>-20.085021514995553</v>
      </c>
      <c r="D5108">
        <v>-51.097637623736752</v>
      </c>
    </row>
    <row r="5109" spans="1:4" x14ac:dyDescent="0.3">
      <c r="A5109">
        <v>5001102</v>
      </c>
      <c r="B5109" t="s">
        <v>5883</v>
      </c>
      <c r="C5109">
        <v>-20.474654346916203</v>
      </c>
      <c r="D5109">
        <v>-55.790616090226749</v>
      </c>
    </row>
    <row r="5110" spans="1:4" x14ac:dyDescent="0.3">
      <c r="A5110">
        <v>5001243</v>
      </c>
      <c r="B5110" t="s">
        <v>5884</v>
      </c>
      <c r="C5110">
        <v>-22.947881329085604</v>
      </c>
      <c r="D5110">
        <v>-55.630761446862543</v>
      </c>
    </row>
    <row r="5111" spans="1:4" x14ac:dyDescent="0.3">
      <c r="A5111">
        <v>5001508</v>
      </c>
      <c r="B5111" t="s">
        <v>4813</v>
      </c>
      <c r="C5111">
        <v>-19.920920303094505</v>
      </c>
      <c r="D5111">
        <v>-54.36319389428408</v>
      </c>
    </row>
    <row r="5112" spans="1:4" x14ac:dyDescent="0.3">
      <c r="A5112">
        <v>5001904</v>
      </c>
      <c r="B5112" t="s">
        <v>5885</v>
      </c>
      <c r="C5112">
        <v>-21.715288435775005</v>
      </c>
      <c r="D5112">
        <v>-52.425436602033081</v>
      </c>
    </row>
    <row r="5113" spans="1:4" x14ac:dyDescent="0.3">
      <c r="A5113">
        <v>5002001</v>
      </c>
      <c r="B5113" t="s">
        <v>5886</v>
      </c>
      <c r="C5113">
        <v>-22.295879966590704</v>
      </c>
      <c r="D5113">
        <v>-53.274806991107106</v>
      </c>
    </row>
    <row r="5114" spans="1:4" x14ac:dyDescent="0.3">
      <c r="A5114">
        <v>5002100</v>
      </c>
      <c r="B5114" t="s">
        <v>5887</v>
      </c>
      <c r="C5114">
        <v>-22.1159761784366</v>
      </c>
      <c r="D5114">
        <v>-56.531314567784193</v>
      </c>
    </row>
    <row r="5115" spans="1:4" x14ac:dyDescent="0.3">
      <c r="A5115">
        <v>5002159</v>
      </c>
      <c r="B5115" t="s">
        <v>5888</v>
      </c>
      <c r="C5115">
        <v>-20.554842698146604</v>
      </c>
      <c r="D5115">
        <v>-56.673567300008131</v>
      </c>
    </row>
    <row r="5116" spans="1:4" x14ac:dyDescent="0.3">
      <c r="A5116">
        <v>5002209</v>
      </c>
      <c r="B5116" t="s">
        <v>1207</v>
      </c>
      <c r="C5116">
        <v>-21.124341284449553</v>
      </c>
      <c r="D5116">
        <v>-56.492858618573067</v>
      </c>
    </row>
    <row r="5117" spans="1:4" x14ac:dyDescent="0.3">
      <c r="A5117">
        <v>5002308</v>
      </c>
      <c r="B5117" t="s">
        <v>5889</v>
      </c>
      <c r="C5117">
        <v>-21.247118143962904</v>
      </c>
      <c r="D5117">
        <v>-52.036296794852177</v>
      </c>
    </row>
    <row r="5118" spans="1:4" x14ac:dyDescent="0.3">
      <c r="A5118">
        <v>5002407</v>
      </c>
      <c r="B5118" t="s">
        <v>5890</v>
      </c>
      <c r="C5118">
        <v>-22.636582219398303</v>
      </c>
      <c r="D5118">
        <v>-54.826970101358327</v>
      </c>
    </row>
    <row r="5119" spans="1:4" x14ac:dyDescent="0.3">
      <c r="A5119">
        <v>5002605</v>
      </c>
      <c r="B5119" t="s">
        <v>5891</v>
      </c>
      <c r="C5119">
        <v>-19.535259798748204</v>
      </c>
      <c r="D5119">
        <v>-54.043309486428001</v>
      </c>
    </row>
    <row r="5120" spans="1:4" x14ac:dyDescent="0.3">
      <c r="A5120">
        <v>5002704</v>
      </c>
      <c r="B5120" t="s">
        <v>2627</v>
      </c>
      <c r="C5120">
        <v>-20.458029987863902</v>
      </c>
      <c r="D5120">
        <v>-54.615743566458839</v>
      </c>
    </row>
    <row r="5121" spans="1:4" x14ac:dyDescent="0.3">
      <c r="A5121">
        <v>5002803</v>
      </c>
      <c r="B5121" t="s">
        <v>1734</v>
      </c>
      <c r="C5121">
        <v>-22.012738289194758</v>
      </c>
      <c r="D5121">
        <v>-57.025938764352318</v>
      </c>
    </row>
    <row r="5122" spans="1:4" x14ac:dyDescent="0.3">
      <c r="A5122">
        <v>5002902</v>
      </c>
      <c r="B5122" t="s">
        <v>5892</v>
      </c>
      <c r="C5122">
        <v>-19.109407370756902</v>
      </c>
      <c r="D5122">
        <v>-51.731576888403929</v>
      </c>
    </row>
    <row r="5123" spans="1:4" x14ac:dyDescent="0.3">
      <c r="A5123">
        <v>5002951</v>
      </c>
      <c r="B5123" t="s">
        <v>5893</v>
      </c>
      <c r="C5123">
        <v>-18.797773122036201</v>
      </c>
      <c r="D5123">
        <v>-52.626355706998687</v>
      </c>
    </row>
    <row r="5124" spans="1:4" x14ac:dyDescent="0.3">
      <c r="A5124">
        <v>5003108</v>
      </c>
      <c r="B5124" t="s">
        <v>5894</v>
      </c>
      <c r="C5124">
        <v>-19.831218017235152</v>
      </c>
      <c r="D5124">
        <v>-54.830006000977853</v>
      </c>
    </row>
    <row r="5125" spans="1:4" x14ac:dyDescent="0.3">
      <c r="A5125">
        <v>5003157</v>
      </c>
      <c r="B5125" t="s">
        <v>5895</v>
      </c>
      <c r="C5125">
        <v>-23.276444560785759</v>
      </c>
      <c r="D5125">
        <v>-55.541327690264474</v>
      </c>
    </row>
    <row r="5126" spans="1:4" x14ac:dyDescent="0.3">
      <c r="A5126">
        <v>5003207</v>
      </c>
      <c r="B5126" t="s">
        <v>5896</v>
      </c>
      <c r="C5126">
        <v>-19.006374654645803</v>
      </c>
      <c r="D5126">
        <v>-57.648985457340132</v>
      </c>
    </row>
    <row r="5127" spans="1:4" x14ac:dyDescent="0.3">
      <c r="A5127">
        <v>5003256</v>
      </c>
      <c r="B5127" t="s">
        <v>5897</v>
      </c>
      <c r="C5127">
        <v>-18.543548388410503</v>
      </c>
      <c r="D5127">
        <v>-53.133046904874142</v>
      </c>
    </row>
    <row r="5128" spans="1:4" x14ac:dyDescent="0.3">
      <c r="A5128">
        <v>5003306</v>
      </c>
      <c r="B5128" t="s">
        <v>5898</v>
      </c>
      <c r="C5128">
        <v>-18.508410538646654</v>
      </c>
      <c r="D5128">
        <v>-54.758055950193267</v>
      </c>
    </row>
    <row r="5129" spans="1:4" x14ac:dyDescent="0.3">
      <c r="A5129">
        <v>5003454</v>
      </c>
      <c r="B5129" t="s">
        <v>5899</v>
      </c>
      <c r="C5129">
        <v>-22.272949142266704</v>
      </c>
      <c r="D5129">
        <v>-54.161183242862677</v>
      </c>
    </row>
    <row r="5130" spans="1:4" x14ac:dyDescent="0.3">
      <c r="A5130">
        <v>5003488</v>
      </c>
      <c r="B5130" t="s">
        <v>5900</v>
      </c>
      <c r="C5130">
        <v>-20.692312058239303</v>
      </c>
      <c r="D5130">
        <v>-55.281914486328986</v>
      </c>
    </row>
    <row r="5131" spans="1:4" x14ac:dyDescent="0.3">
      <c r="A5131">
        <v>5003504</v>
      </c>
      <c r="B5131" t="s">
        <v>4877</v>
      </c>
      <c r="C5131">
        <v>-22.045530282042602</v>
      </c>
      <c r="D5131">
        <v>-54.607930668631447</v>
      </c>
    </row>
    <row r="5132" spans="1:4" x14ac:dyDescent="0.3">
      <c r="A5132">
        <v>5003702</v>
      </c>
      <c r="B5132" t="s">
        <v>5901</v>
      </c>
      <c r="C5132">
        <v>-22.227235536898849</v>
      </c>
      <c r="D5132">
        <v>-54.811289122892603</v>
      </c>
    </row>
    <row r="5133" spans="1:4" x14ac:dyDescent="0.3">
      <c r="A5133">
        <v>5003751</v>
      </c>
      <c r="B5133" t="s">
        <v>4325</v>
      </c>
      <c r="C5133">
        <v>-23.77405392007535</v>
      </c>
      <c r="D5133">
        <v>-54.2800282489385</v>
      </c>
    </row>
    <row r="5134" spans="1:4" x14ac:dyDescent="0.3">
      <c r="A5134">
        <v>5003801</v>
      </c>
      <c r="B5134" t="s">
        <v>5902</v>
      </c>
      <c r="C5134">
        <v>-22.375423211058898</v>
      </c>
      <c r="D5134">
        <v>-54.516375990241144</v>
      </c>
    </row>
    <row r="5135" spans="1:4" x14ac:dyDescent="0.3">
      <c r="A5135">
        <v>5003900</v>
      </c>
      <c r="B5135" t="s">
        <v>5903</v>
      </c>
      <c r="C5135">
        <v>-18.675448070767555</v>
      </c>
      <c r="D5135">
        <v>-53.642573323891774</v>
      </c>
    </row>
    <row r="5136" spans="1:4" x14ac:dyDescent="0.3">
      <c r="A5136">
        <v>5004007</v>
      </c>
      <c r="B5136" t="s">
        <v>5904</v>
      </c>
      <c r="C5136">
        <v>-22.414424530998602</v>
      </c>
      <c r="D5136">
        <v>-54.234628789857865</v>
      </c>
    </row>
    <row r="5137" spans="1:4" x14ac:dyDescent="0.3">
      <c r="A5137">
        <v>5004106</v>
      </c>
      <c r="B5137" t="s">
        <v>5905</v>
      </c>
      <c r="C5137">
        <v>-21.45245914224526</v>
      </c>
      <c r="D5137">
        <v>-56.108152502245233</v>
      </c>
    </row>
    <row r="5138" spans="1:4" x14ac:dyDescent="0.3">
      <c r="A5138">
        <v>5004304</v>
      </c>
      <c r="B5138" t="s">
        <v>5906</v>
      </c>
      <c r="C5138">
        <v>-23.661901564507751</v>
      </c>
      <c r="D5138">
        <v>-54.558601086649816</v>
      </c>
    </row>
    <row r="5139" spans="1:4" x14ac:dyDescent="0.3">
      <c r="A5139">
        <v>5004403</v>
      </c>
      <c r="B5139" t="s">
        <v>5907</v>
      </c>
      <c r="C5139">
        <v>-19.725457973959003</v>
      </c>
      <c r="D5139">
        <v>-51.92767902234656</v>
      </c>
    </row>
    <row r="5140" spans="1:4" x14ac:dyDescent="0.3">
      <c r="A5140">
        <v>5004502</v>
      </c>
      <c r="B5140" t="s">
        <v>5908</v>
      </c>
      <c r="C5140">
        <v>-22.082447560164503</v>
      </c>
      <c r="D5140">
        <v>-54.795658737265299</v>
      </c>
    </row>
    <row r="5141" spans="1:4" x14ac:dyDescent="0.3">
      <c r="A5141">
        <v>5004601</v>
      </c>
      <c r="B5141" t="s">
        <v>5909</v>
      </c>
      <c r="C5141">
        <v>-23.490663262346406</v>
      </c>
      <c r="D5141">
        <v>-54.188198302743366</v>
      </c>
    </row>
    <row r="5142" spans="1:4" x14ac:dyDescent="0.3">
      <c r="A5142">
        <v>5004700</v>
      </c>
      <c r="B5142" t="s">
        <v>5910</v>
      </c>
      <c r="C5142">
        <v>-22.301603562708458</v>
      </c>
      <c r="D5142">
        <v>-53.826970147060258</v>
      </c>
    </row>
    <row r="5143" spans="1:4" x14ac:dyDescent="0.3">
      <c r="A5143">
        <v>5004809</v>
      </c>
      <c r="B5143" t="s">
        <v>5911</v>
      </c>
      <c r="C5143">
        <v>-23.894066951461703</v>
      </c>
      <c r="D5143">
        <v>-54.403484742865409</v>
      </c>
    </row>
    <row r="5144" spans="1:4" x14ac:dyDescent="0.3">
      <c r="A5144">
        <v>5004908</v>
      </c>
      <c r="B5144" t="s">
        <v>5912</v>
      </c>
      <c r="C5144">
        <v>-20.103740391705003</v>
      </c>
      <c r="D5144">
        <v>-54.440683953938489</v>
      </c>
    </row>
    <row r="5145" spans="1:4" x14ac:dyDescent="0.3">
      <c r="A5145">
        <v>5005004</v>
      </c>
      <c r="B5145" t="s">
        <v>1999</v>
      </c>
      <c r="C5145">
        <v>-21.479603145756602</v>
      </c>
      <c r="D5145">
        <v>-56.145844584411904</v>
      </c>
    </row>
    <row r="5146" spans="1:4" x14ac:dyDescent="0.3">
      <c r="A5146">
        <v>5005103</v>
      </c>
      <c r="B5146" t="s">
        <v>5913</v>
      </c>
      <c r="C5146">
        <v>-22.481687030527706</v>
      </c>
      <c r="D5146">
        <v>-54.308054375642868</v>
      </c>
    </row>
    <row r="5147" spans="1:4" x14ac:dyDescent="0.3">
      <c r="A5147">
        <v>5005152</v>
      </c>
      <c r="B5147" t="s">
        <v>5914</v>
      </c>
      <c r="C5147">
        <v>-22.862471834392451</v>
      </c>
      <c r="D5147">
        <v>-54.601322831257072</v>
      </c>
    </row>
    <row r="5148" spans="1:4" x14ac:dyDescent="0.3">
      <c r="A5148">
        <v>5005202</v>
      </c>
      <c r="B5148" t="s">
        <v>5915</v>
      </c>
      <c r="C5148">
        <v>-19.001775668023303</v>
      </c>
      <c r="D5148">
        <v>-57.602400195527466</v>
      </c>
    </row>
    <row r="5149" spans="1:4" x14ac:dyDescent="0.3">
      <c r="A5149">
        <v>5005251</v>
      </c>
      <c r="B5149" t="s">
        <v>5916</v>
      </c>
      <c r="C5149">
        <v>-22.550581514512551</v>
      </c>
      <c r="D5149">
        <v>-55.150107734473664</v>
      </c>
    </row>
    <row r="5150" spans="1:4" x14ac:dyDescent="0.3">
      <c r="A5150">
        <v>5005400</v>
      </c>
      <c r="B5150" t="s">
        <v>5917</v>
      </c>
      <c r="C5150">
        <v>-21.623610383816402</v>
      </c>
      <c r="D5150">
        <v>-55.157139568995618</v>
      </c>
    </row>
    <row r="5151" spans="1:4" x14ac:dyDescent="0.3">
      <c r="A5151">
        <v>5005608</v>
      </c>
      <c r="B5151" t="s">
        <v>5918</v>
      </c>
      <c r="C5151">
        <v>-20.239333499043454</v>
      </c>
      <c r="D5151">
        <v>-56.390198286134066</v>
      </c>
    </row>
    <row r="5152" spans="1:4" x14ac:dyDescent="0.3">
      <c r="A5152">
        <v>5005681</v>
      </c>
      <c r="B5152" t="s">
        <v>3036</v>
      </c>
      <c r="C5152">
        <v>-23.935273618185903</v>
      </c>
      <c r="D5152">
        <v>-54.281661423776583</v>
      </c>
    </row>
    <row r="5153" spans="1:4" x14ac:dyDescent="0.3">
      <c r="A5153">
        <v>5005707</v>
      </c>
      <c r="B5153" t="s">
        <v>5919</v>
      </c>
      <c r="C5153">
        <v>-23.059999482499936</v>
      </c>
      <c r="D5153">
        <v>-54.198836170118092</v>
      </c>
    </row>
    <row r="5154" spans="1:4" x14ac:dyDescent="0.3">
      <c r="A5154">
        <v>5005806</v>
      </c>
      <c r="B5154" t="s">
        <v>5920</v>
      </c>
      <c r="C5154">
        <v>-21.158152313499052</v>
      </c>
      <c r="D5154">
        <v>-55.833889921413501</v>
      </c>
    </row>
    <row r="5155" spans="1:4" x14ac:dyDescent="0.3">
      <c r="A5155">
        <v>5006002</v>
      </c>
      <c r="B5155" t="s">
        <v>5921</v>
      </c>
      <c r="C5155">
        <v>-21.466634252514751</v>
      </c>
      <c r="D5155">
        <v>-54.382803600082504</v>
      </c>
    </row>
    <row r="5156" spans="1:4" x14ac:dyDescent="0.3">
      <c r="A5156">
        <v>5006200</v>
      </c>
      <c r="B5156" t="s">
        <v>5922</v>
      </c>
      <c r="C5156">
        <v>-22.248759312753354</v>
      </c>
      <c r="D5156">
        <v>-53.351573814868807</v>
      </c>
    </row>
    <row r="5157" spans="1:4" x14ac:dyDescent="0.3">
      <c r="A5157">
        <v>5006259</v>
      </c>
      <c r="B5157" t="s">
        <v>5923</v>
      </c>
      <c r="C5157">
        <v>-22.654953105581153</v>
      </c>
      <c r="D5157">
        <v>-53.860886557042498</v>
      </c>
    </row>
    <row r="5158" spans="1:4" x14ac:dyDescent="0.3">
      <c r="A5158">
        <v>5006309</v>
      </c>
      <c r="B5158" t="s">
        <v>5924</v>
      </c>
      <c r="C5158">
        <v>-19.677371733200605</v>
      </c>
      <c r="D5158">
        <v>-51.188707708369805</v>
      </c>
    </row>
    <row r="5159" spans="1:4" x14ac:dyDescent="0.3">
      <c r="A5159">
        <v>5006358</v>
      </c>
      <c r="B5159" t="s">
        <v>5925</v>
      </c>
      <c r="C5159">
        <v>-23.896869661480103</v>
      </c>
      <c r="D5159">
        <v>-55.433030457390117</v>
      </c>
    </row>
    <row r="5160" spans="1:4" x14ac:dyDescent="0.3">
      <c r="A5160">
        <v>5006408</v>
      </c>
      <c r="B5160" t="s">
        <v>5926</v>
      </c>
      <c r="C5160">
        <v>-18.101856234250651</v>
      </c>
      <c r="D5160">
        <v>-54.552445829166061</v>
      </c>
    </row>
    <row r="5161" spans="1:4" x14ac:dyDescent="0.3">
      <c r="A5161">
        <v>5006606</v>
      </c>
      <c r="B5161" t="s">
        <v>5927</v>
      </c>
      <c r="C5161">
        <v>-22.486187078760256</v>
      </c>
      <c r="D5161">
        <v>-55.710850177863747</v>
      </c>
    </row>
    <row r="5162" spans="1:4" x14ac:dyDescent="0.3">
      <c r="A5162">
        <v>5006903</v>
      </c>
      <c r="B5162" t="s">
        <v>5928</v>
      </c>
      <c r="C5162">
        <v>-21.707324558832003</v>
      </c>
      <c r="D5162">
        <v>-57.888482302260734</v>
      </c>
    </row>
    <row r="5163" spans="1:4" x14ac:dyDescent="0.3">
      <c r="A5163">
        <v>5007109</v>
      </c>
      <c r="B5163" t="s">
        <v>5929</v>
      </c>
      <c r="C5163">
        <v>-20.443675525586109</v>
      </c>
      <c r="D5163">
        <v>-53.761677624322004</v>
      </c>
    </row>
    <row r="5164" spans="1:4" x14ac:dyDescent="0.3">
      <c r="A5164">
        <v>5007208</v>
      </c>
      <c r="B5164" t="s">
        <v>5930</v>
      </c>
      <c r="C5164">
        <v>-21.801195257573202</v>
      </c>
      <c r="D5164">
        <v>-54.542242222468857</v>
      </c>
    </row>
    <row r="5165" spans="1:4" x14ac:dyDescent="0.3">
      <c r="A5165">
        <v>5007307</v>
      </c>
      <c r="B5165" t="s">
        <v>5070</v>
      </c>
      <c r="C5165">
        <v>-19.447429107340451</v>
      </c>
      <c r="D5165">
        <v>-54.987502324298163</v>
      </c>
    </row>
    <row r="5166" spans="1:4" x14ac:dyDescent="0.3">
      <c r="A5166">
        <v>5007406</v>
      </c>
      <c r="B5166" t="s">
        <v>5931</v>
      </c>
      <c r="C5166">
        <v>-18.916586440256101</v>
      </c>
      <c r="D5166">
        <v>-54.842253690112479</v>
      </c>
    </row>
    <row r="5167" spans="1:4" x14ac:dyDescent="0.3">
      <c r="A5167">
        <v>5007505</v>
      </c>
      <c r="B5167" t="s">
        <v>5932</v>
      </c>
      <c r="C5167">
        <v>-19.961859606541854</v>
      </c>
      <c r="D5167">
        <v>-54.892771930644436</v>
      </c>
    </row>
    <row r="5168" spans="1:4" x14ac:dyDescent="0.3">
      <c r="A5168">
        <v>5007554</v>
      </c>
      <c r="B5168" t="s">
        <v>5933</v>
      </c>
      <c r="C5168">
        <v>-21.30537694248655</v>
      </c>
      <c r="D5168">
        <v>-52.828071432573971</v>
      </c>
    </row>
    <row r="5169" spans="1:4" x14ac:dyDescent="0.3">
      <c r="A5169">
        <v>5007695</v>
      </c>
      <c r="B5169" t="s">
        <v>5934</v>
      </c>
      <c r="C5169">
        <v>-19.395521370157805</v>
      </c>
      <c r="D5169">
        <v>-54.56456909376007</v>
      </c>
    </row>
    <row r="5170" spans="1:4" x14ac:dyDescent="0.3">
      <c r="A5170">
        <v>5007703</v>
      </c>
      <c r="B5170" t="s">
        <v>5935</v>
      </c>
      <c r="C5170">
        <v>-23.983513254971253</v>
      </c>
      <c r="D5170">
        <v>-55.053315089063354</v>
      </c>
    </row>
    <row r="5171" spans="1:4" x14ac:dyDescent="0.3">
      <c r="A5171">
        <v>5007802</v>
      </c>
      <c r="B5171" t="s">
        <v>5936</v>
      </c>
      <c r="C5171">
        <v>-20.366742585330705</v>
      </c>
      <c r="D5171">
        <v>-51.418936905761399</v>
      </c>
    </row>
    <row r="5172" spans="1:4" x14ac:dyDescent="0.3">
      <c r="A5172">
        <v>5007901</v>
      </c>
      <c r="B5172" t="s">
        <v>5937</v>
      </c>
      <c r="C5172">
        <v>-20.931054459536501</v>
      </c>
      <c r="D5172">
        <v>-54.966030136506411</v>
      </c>
    </row>
    <row r="5173" spans="1:4" x14ac:dyDescent="0.3">
      <c r="A5173">
        <v>5007935</v>
      </c>
      <c r="B5173" t="s">
        <v>5938</v>
      </c>
      <c r="C5173">
        <v>-17.581355234453202</v>
      </c>
      <c r="D5173">
        <v>-54.754906217954186</v>
      </c>
    </row>
    <row r="5174" spans="1:4" x14ac:dyDescent="0.3">
      <c r="A5174">
        <v>5007950</v>
      </c>
      <c r="B5174" t="s">
        <v>5939</v>
      </c>
      <c r="C5174">
        <v>-23.634742022015704</v>
      </c>
      <c r="D5174">
        <v>-55.020320518296302</v>
      </c>
    </row>
    <row r="5175" spans="1:4" x14ac:dyDescent="0.3">
      <c r="A5175">
        <v>5007976</v>
      </c>
      <c r="B5175" t="s">
        <v>5940</v>
      </c>
      <c r="C5175">
        <v>-22.489987056525653</v>
      </c>
      <c r="D5175">
        <v>-53.351918741939599</v>
      </c>
    </row>
    <row r="5176" spans="1:4" x14ac:dyDescent="0.3">
      <c r="A5176">
        <v>5008008</v>
      </c>
      <c r="B5176" t="s">
        <v>5941</v>
      </c>
      <c r="C5176">
        <v>-20.442307680035352</v>
      </c>
      <c r="D5176">
        <v>-54.865556630648904</v>
      </c>
    </row>
    <row r="5177" spans="1:4" x14ac:dyDescent="0.3">
      <c r="A5177">
        <v>5008305</v>
      </c>
      <c r="B5177" t="s">
        <v>5942</v>
      </c>
      <c r="C5177">
        <v>-20.788679161391403</v>
      </c>
      <c r="D5177">
        <v>-51.710000628794234</v>
      </c>
    </row>
    <row r="5178" spans="1:4" x14ac:dyDescent="0.3">
      <c r="A5178">
        <v>5008404</v>
      </c>
      <c r="B5178" t="s">
        <v>5943</v>
      </c>
      <c r="C5178">
        <v>-22.401787557344853</v>
      </c>
      <c r="D5178">
        <v>-54.442124776842114</v>
      </c>
    </row>
    <row r="5179" spans="1:4" x14ac:dyDescent="0.3">
      <c r="A5179">
        <v>5100102</v>
      </c>
      <c r="B5179" t="s">
        <v>5944</v>
      </c>
      <c r="C5179">
        <v>-15.197889980333903</v>
      </c>
      <c r="D5179">
        <v>-56.371552566709767</v>
      </c>
    </row>
    <row r="5180" spans="1:4" x14ac:dyDescent="0.3">
      <c r="A5180">
        <v>5100201</v>
      </c>
      <c r="B5180" t="s">
        <v>3178</v>
      </c>
      <c r="C5180">
        <v>-14.049086800343453</v>
      </c>
      <c r="D5180">
        <v>-52.15891529860378</v>
      </c>
    </row>
    <row r="5181" spans="1:4" x14ac:dyDescent="0.3">
      <c r="A5181">
        <v>5100250</v>
      </c>
      <c r="B5181" t="s">
        <v>5945</v>
      </c>
      <c r="C5181">
        <v>-9.8717225966195112</v>
      </c>
      <c r="D5181">
        <v>-56.091610440473772</v>
      </c>
    </row>
    <row r="5182" spans="1:4" x14ac:dyDescent="0.3">
      <c r="A5182">
        <v>5100300</v>
      </c>
      <c r="B5182" t="s">
        <v>5946</v>
      </c>
      <c r="C5182">
        <v>-17.315589940396354</v>
      </c>
      <c r="D5182">
        <v>-53.220260329984264</v>
      </c>
    </row>
    <row r="5183" spans="1:4" x14ac:dyDescent="0.3">
      <c r="A5183">
        <v>5100359</v>
      </c>
      <c r="B5183" t="s">
        <v>5947</v>
      </c>
      <c r="C5183">
        <v>-11.676745157856102</v>
      </c>
      <c r="D5183">
        <v>-51.379322073755198</v>
      </c>
    </row>
    <row r="5184" spans="1:4" x14ac:dyDescent="0.3">
      <c r="A5184">
        <v>5100409</v>
      </c>
      <c r="B5184" t="s">
        <v>5948</v>
      </c>
      <c r="C5184">
        <v>-16.946722176039653</v>
      </c>
      <c r="D5184">
        <v>-53.52845411962425</v>
      </c>
    </row>
    <row r="5185" spans="1:4" x14ac:dyDescent="0.3">
      <c r="A5185">
        <v>5100508</v>
      </c>
      <c r="B5185" t="s">
        <v>5949</v>
      </c>
      <c r="C5185">
        <v>-14.514711810331054</v>
      </c>
      <c r="D5185">
        <v>-56.494441662575539</v>
      </c>
    </row>
    <row r="5186" spans="1:4" x14ac:dyDescent="0.3">
      <c r="A5186">
        <v>5100607</v>
      </c>
      <c r="B5186" t="s">
        <v>5950</v>
      </c>
      <c r="C5186">
        <v>-17.834743650721801</v>
      </c>
      <c r="D5186">
        <v>-53.281993122274109</v>
      </c>
    </row>
    <row r="5187" spans="1:4" x14ac:dyDescent="0.3">
      <c r="A5187">
        <v>5100805</v>
      </c>
      <c r="B5187" t="s">
        <v>5951</v>
      </c>
      <c r="C5187">
        <v>-9.5654951687245706</v>
      </c>
      <c r="D5187">
        <v>-57.395402241225518</v>
      </c>
    </row>
    <row r="5188" spans="1:4" x14ac:dyDescent="0.3">
      <c r="A5188">
        <v>5101001</v>
      </c>
      <c r="B5188" t="s">
        <v>5952</v>
      </c>
      <c r="C5188">
        <v>-15.731243495713604</v>
      </c>
      <c r="D5188">
        <v>-51.833621651334703</v>
      </c>
    </row>
    <row r="5189" spans="1:4" x14ac:dyDescent="0.3">
      <c r="A5189">
        <v>5101209</v>
      </c>
      <c r="B5189" t="s">
        <v>5953</v>
      </c>
      <c r="C5189">
        <v>-16.857545537891102</v>
      </c>
      <c r="D5189">
        <v>-53.035619883859958</v>
      </c>
    </row>
    <row r="5190" spans="1:4" x14ac:dyDescent="0.3">
      <c r="A5190">
        <v>5101258</v>
      </c>
      <c r="B5190" t="s">
        <v>5954</v>
      </c>
      <c r="C5190">
        <v>-15.468144269668453</v>
      </c>
      <c r="D5190">
        <v>-58.348367151868267</v>
      </c>
    </row>
    <row r="5191" spans="1:4" x14ac:dyDescent="0.3">
      <c r="A5191">
        <v>5101308</v>
      </c>
      <c r="B5191" t="s">
        <v>5955</v>
      </c>
      <c r="C5191">
        <v>-14.455521665975754</v>
      </c>
      <c r="D5191">
        <v>-56.844489239547187</v>
      </c>
    </row>
    <row r="5192" spans="1:4" x14ac:dyDescent="0.3">
      <c r="A5192">
        <v>5101407</v>
      </c>
      <c r="B5192" t="s">
        <v>5956</v>
      </c>
      <c r="C5192">
        <v>-10.172523695482651</v>
      </c>
      <c r="D5192">
        <v>-59.448616379161912</v>
      </c>
    </row>
    <row r="5193" spans="1:4" x14ac:dyDescent="0.3">
      <c r="A5193">
        <v>5101605</v>
      </c>
      <c r="B5193" t="s">
        <v>5957</v>
      </c>
      <c r="C5193">
        <v>-16.195099447643305</v>
      </c>
      <c r="D5193">
        <v>-55.967121133684586</v>
      </c>
    </row>
    <row r="5194" spans="1:4" x14ac:dyDescent="0.3">
      <c r="A5194">
        <v>5101704</v>
      </c>
      <c r="B5194" t="s">
        <v>5958</v>
      </c>
      <c r="C5194">
        <v>-15.066257940343409</v>
      </c>
      <c r="D5194">
        <v>-57.186408686842825</v>
      </c>
    </row>
    <row r="5195" spans="1:4" x14ac:dyDescent="0.3">
      <c r="A5195">
        <v>5101803</v>
      </c>
      <c r="B5195" t="s">
        <v>5959</v>
      </c>
      <c r="C5195">
        <v>-15.888711451695317</v>
      </c>
      <c r="D5195">
        <v>-52.260329756772109</v>
      </c>
    </row>
    <row r="5196" spans="1:4" x14ac:dyDescent="0.3">
      <c r="A5196">
        <v>5101852</v>
      </c>
      <c r="B5196" t="s">
        <v>5960</v>
      </c>
      <c r="C5196">
        <v>-12.173598343653152</v>
      </c>
      <c r="D5196">
        <v>-51.503639231862721</v>
      </c>
    </row>
    <row r="5197" spans="1:4" x14ac:dyDescent="0.3">
      <c r="A5197">
        <v>5101902</v>
      </c>
      <c r="B5197" t="s">
        <v>5961</v>
      </c>
      <c r="C5197">
        <v>-12.124938139880303</v>
      </c>
      <c r="D5197">
        <v>-58.002673627787196</v>
      </c>
    </row>
    <row r="5198" spans="1:4" x14ac:dyDescent="0.3">
      <c r="A5198">
        <v>5102504</v>
      </c>
      <c r="B5198" t="s">
        <v>5962</v>
      </c>
      <c r="C5198">
        <v>-16.074095630363654</v>
      </c>
      <c r="D5198">
        <v>-57.67476230721806</v>
      </c>
    </row>
    <row r="5199" spans="1:4" x14ac:dyDescent="0.3">
      <c r="A5199">
        <v>5102603</v>
      </c>
      <c r="B5199" t="s">
        <v>5963</v>
      </c>
      <c r="C5199">
        <v>-14.539617429941552</v>
      </c>
      <c r="D5199">
        <v>-52.797494750579212</v>
      </c>
    </row>
    <row r="5200" spans="1:4" x14ac:dyDescent="0.3">
      <c r="A5200">
        <v>5102637</v>
      </c>
      <c r="B5200" t="s">
        <v>5964</v>
      </c>
      <c r="C5200">
        <v>-13.654733173202303</v>
      </c>
      <c r="D5200">
        <v>-57.888546478837164</v>
      </c>
    </row>
    <row r="5201" spans="1:4" x14ac:dyDescent="0.3">
      <c r="A5201">
        <v>5102678</v>
      </c>
      <c r="B5201" t="s">
        <v>5965</v>
      </c>
      <c r="C5201">
        <v>-15.553704270314903</v>
      </c>
      <c r="D5201">
        <v>-55.171655414895667</v>
      </c>
    </row>
    <row r="5202" spans="1:4" x14ac:dyDescent="0.3">
      <c r="A5202">
        <v>5102686</v>
      </c>
      <c r="B5202" t="s">
        <v>5966</v>
      </c>
      <c r="C5202">
        <v>-13.719923045640453</v>
      </c>
      <c r="D5202">
        <v>-59.263408520586225</v>
      </c>
    </row>
    <row r="5203" spans="1:4" x14ac:dyDescent="0.3">
      <c r="A5203">
        <v>5102694</v>
      </c>
      <c r="B5203" t="s">
        <v>5967</v>
      </c>
      <c r="C5203">
        <v>-11.046186921831053</v>
      </c>
      <c r="D5203">
        <v>-51.837758006752829</v>
      </c>
    </row>
    <row r="5204" spans="1:4" x14ac:dyDescent="0.3">
      <c r="A5204">
        <v>5102702</v>
      </c>
      <c r="B5204" t="s">
        <v>2851</v>
      </c>
      <c r="C5204">
        <v>-13.559229509583004</v>
      </c>
      <c r="D5204">
        <v>-52.27345686347752</v>
      </c>
    </row>
    <row r="5205" spans="1:4" x14ac:dyDescent="0.3">
      <c r="A5205">
        <v>5102793</v>
      </c>
      <c r="B5205" t="s">
        <v>5968</v>
      </c>
      <c r="C5205">
        <v>-9.9666657925558511</v>
      </c>
      <c r="D5205">
        <v>-55.821614777994121</v>
      </c>
    </row>
    <row r="5206" spans="1:4" x14ac:dyDescent="0.3">
      <c r="A5206">
        <v>5102850</v>
      </c>
      <c r="B5206" t="s">
        <v>5969</v>
      </c>
      <c r="C5206">
        <v>-11.134107857592101</v>
      </c>
      <c r="D5206">
        <v>-58.613409263696084</v>
      </c>
    </row>
    <row r="5207" spans="1:4" x14ac:dyDescent="0.3">
      <c r="A5207">
        <v>5103007</v>
      </c>
      <c r="B5207" t="s">
        <v>5970</v>
      </c>
      <c r="C5207">
        <v>-15.460569678908451</v>
      </c>
      <c r="D5207">
        <v>-55.745004517892063</v>
      </c>
    </row>
    <row r="5208" spans="1:4" x14ac:dyDescent="0.3">
      <c r="A5208">
        <v>5103056</v>
      </c>
      <c r="B5208" t="s">
        <v>5971</v>
      </c>
      <c r="C5208">
        <v>-11.505310737648653</v>
      </c>
      <c r="D5208">
        <v>-54.874182447768789</v>
      </c>
    </row>
    <row r="5209" spans="1:4" x14ac:dyDescent="0.3">
      <c r="A5209">
        <v>5103106</v>
      </c>
      <c r="B5209" t="s">
        <v>5972</v>
      </c>
      <c r="C5209">
        <v>-14.390365539180801</v>
      </c>
      <c r="D5209">
        <v>-51.011243641008356</v>
      </c>
    </row>
    <row r="5210" spans="1:4" x14ac:dyDescent="0.3">
      <c r="A5210">
        <v>5103205</v>
      </c>
      <c r="B5210" t="s">
        <v>5973</v>
      </c>
      <c r="C5210">
        <v>-10.804089779009152</v>
      </c>
      <c r="D5210">
        <v>-55.464230541960127</v>
      </c>
    </row>
    <row r="5211" spans="1:4" x14ac:dyDescent="0.3">
      <c r="A5211">
        <v>5103254</v>
      </c>
      <c r="B5211" t="s">
        <v>5974</v>
      </c>
      <c r="C5211">
        <v>-9.4579038467120764</v>
      </c>
      <c r="D5211">
        <v>-59.218948674079115</v>
      </c>
    </row>
    <row r="5212" spans="1:4" x14ac:dyDescent="0.3">
      <c r="A5212">
        <v>5103304</v>
      </c>
      <c r="B5212" t="s">
        <v>5975</v>
      </c>
      <c r="C5212">
        <v>-13.660559916982852</v>
      </c>
      <c r="D5212">
        <v>-59.790430994422074</v>
      </c>
    </row>
    <row r="5213" spans="1:4" x14ac:dyDescent="0.3">
      <c r="A5213">
        <v>5103353</v>
      </c>
      <c r="B5213" t="s">
        <v>5976</v>
      </c>
      <c r="C5213">
        <v>-10.640730577037651</v>
      </c>
      <c r="D5213">
        <v>-51.57103361786146</v>
      </c>
    </row>
    <row r="5214" spans="1:4" x14ac:dyDescent="0.3">
      <c r="A5214">
        <v>5103361</v>
      </c>
      <c r="B5214" t="s">
        <v>5977</v>
      </c>
      <c r="C5214">
        <v>-14.536272814975851</v>
      </c>
      <c r="D5214">
        <v>-59.545074207299074</v>
      </c>
    </row>
    <row r="5215" spans="1:4" x14ac:dyDescent="0.3">
      <c r="A5215">
        <v>5103379</v>
      </c>
      <c r="B5215" t="s">
        <v>5978</v>
      </c>
      <c r="C5215">
        <v>-9.8862538715296111</v>
      </c>
      <c r="D5215">
        <v>-58.606894971081715</v>
      </c>
    </row>
    <row r="5216" spans="1:4" x14ac:dyDescent="0.3">
      <c r="A5216">
        <v>5103403</v>
      </c>
      <c r="B5216" t="s">
        <v>5979</v>
      </c>
      <c r="C5216">
        <v>-15.569989013120601</v>
      </c>
      <c r="D5216">
        <v>-56.073252038191143</v>
      </c>
    </row>
    <row r="5217" spans="1:4" x14ac:dyDescent="0.3">
      <c r="A5217">
        <v>5103437</v>
      </c>
      <c r="B5217" t="s">
        <v>5980</v>
      </c>
      <c r="C5217">
        <v>-15.609306170856703</v>
      </c>
      <c r="D5217">
        <v>-57.917114978664372</v>
      </c>
    </row>
    <row r="5218" spans="1:4" x14ac:dyDescent="0.3">
      <c r="A5218">
        <v>5103452</v>
      </c>
      <c r="B5218" t="s">
        <v>5981</v>
      </c>
      <c r="C5218">
        <v>-14.733815918331803</v>
      </c>
      <c r="D5218">
        <v>-57.053777272832349</v>
      </c>
    </row>
    <row r="5219" spans="1:4" x14ac:dyDescent="0.3">
      <c r="A5219">
        <v>5103502</v>
      </c>
      <c r="B5219" t="s">
        <v>5982</v>
      </c>
      <c r="C5219">
        <v>-14.401322962164901</v>
      </c>
      <c r="D5219">
        <v>-56.433566081511977</v>
      </c>
    </row>
    <row r="5220" spans="1:4" x14ac:dyDescent="0.3">
      <c r="A5220">
        <v>5103601</v>
      </c>
      <c r="B5220" t="s">
        <v>5983</v>
      </c>
      <c r="C5220">
        <v>-15.807455150789702</v>
      </c>
      <c r="D5220">
        <v>-54.917480782569164</v>
      </c>
    </row>
    <row r="5221" spans="1:4" x14ac:dyDescent="0.3">
      <c r="A5221">
        <v>5103700</v>
      </c>
      <c r="B5221" t="s">
        <v>5984</v>
      </c>
      <c r="C5221">
        <v>-12.383247028174004</v>
      </c>
      <c r="D5221">
        <v>-54.933904066425491</v>
      </c>
    </row>
    <row r="5222" spans="1:4" x14ac:dyDescent="0.3">
      <c r="A5222">
        <v>5103809</v>
      </c>
      <c r="B5222" t="s">
        <v>5985</v>
      </c>
      <c r="C5222">
        <v>-15.446135114631904</v>
      </c>
      <c r="D5222">
        <v>-58.737824548863216</v>
      </c>
    </row>
    <row r="5223" spans="1:4" x14ac:dyDescent="0.3">
      <c r="A5223">
        <v>5103858</v>
      </c>
      <c r="B5223" t="s">
        <v>5986</v>
      </c>
      <c r="C5223">
        <v>-13.188043189509701</v>
      </c>
      <c r="D5223">
        <v>-53.261518671947549</v>
      </c>
    </row>
    <row r="5224" spans="1:4" x14ac:dyDescent="0.3">
      <c r="A5224">
        <v>5103908</v>
      </c>
      <c r="B5224" t="s">
        <v>4899</v>
      </c>
      <c r="C5224">
        <v>-15.707041794613303</v>
      </c>
      <c r="D5224">
        <v>-52.759309833966846</v>
      </c>
    </row>
    <row r="5225" spans="1:4" x14ac:dyDescent="0.3">
      <c r="A5225">
        <v>5103957</v>
      </c>
      <c r="B5225" t="s">
        <v>5987</v>
      </c>
      <c r="C5225">
        <v>-15.767962309548301</v>
      </c>
      <c r="D5225">
        <v>-58.31448558872399</v>
      </c>
    </row>
    <row r="5226" spans="1:4" x14ac:dyDescent="0.3">
      <c r="A5226">
        <v>5104104</v>
      </c>
      <c r="B5226" t="s">
        <v>5988</v>
      </c>
      <c r="C5226">
        <v>-9.954073233642605</v>
      </c>
      <c r="D5226">
        <v>-54.916057311272176</v>
      </c>
    </row>
    <row r="5227" spans="1:4" x14ac:dyDescent="0.3">
      <c r="A5227">
        <v>5104203</v>
      </c>
      <c r="B5227" t="s">
        <v>5989</v>
      </c>
      <c r="C5227">
        <v>-16.348389268066551</v>
      </c>
      <c r="D5227">
        <v>-53.760964029419526</v>
      </c>
    </row>
    <row r="5228" spans="1:4" x14ac:dyDescent="0.3">
      <c r="A5228">
        <v>5104500</v>
      </c>
      <c r="B5228" t="s">
        <v>5990</v>
      </c>
      <c r="C5228">
        <v>-15.497514229556103</v>
      </c>
      <c r="D5228">
        <v>-58.573992386023249</v>
      </c>
    </row>
    <row r="5229" spans="1:4" x14ac:dyDescent="0.3">
      <c r="A5229">
        <v>5104526</v>
      </c>
      <c r="B5229" t="s">
        <v>5991</v>
      </c>
      <c r="C5229">
        <v>-12.236842000175852</v>
      </c>
      <c r="D5229">
        <v>-56.159793135550309</v>
      </c>
    </row>
    <row r="5230" spans="1:4" x14ac:dyDescent="0.3">
      <c r="A5230">
        <v>5104542</v>
      </c>
      <c r="B5230" t="s">
        <v>5992</v>
      </c>
      <c r="C5230">
        <v>-12.234768715866602</v>
      </c>
      <c r="D5230">
        <v>-56.649343613083879</v>
      </c>
    </row>
    <row r="5231" spans="1:4" x14ac:dyDescent="0.3">
      <c r="A5231">
        <v>5104559</v>
      </c>
      <c r="B5231" t="s">
        <v>5993</v>
      </c>
      <c r="C5231">
        <v>-11.007711898731852</v>
      </c>
      <c r="D5231">
        <v>-55.246689334860122</v>
      </c>
    </row>
    <row r="5232" spans="1:4" x14ac:dyDescent="0.3">
      <c r="A5232">
        <v>5104609</v>
      </c>
      <c r="B5232" t="s">
        <v>5994</v>
      </c>
      <c r="C5232">
        <v>-17.206825055365652</v>
      </c>
      <c r="D5232">
        <v>-54.144300896000416</v>
      </c>
    </row>
    <row r="5233" spans="1:4" x14ac:dyDescent="0.3">
      <c r="A5233">
        <v>5104807</v>
      </c>
      <c r="B5233" t="s">
        <v>5995</v>
      </c>
      <c r="C5233">
        <v>-15.964838184149352</v>
      </c>
      <c r="D5233">
        <v>-54.964188175190138</v>
      </c>
    </row>
    <row r="5234" spans="1:4" x14ac:dyDescent="0.3">
      <c r="A5234">
        <v>5104906</v>
      </c>
      <c r="B5234" t="s">
        <v>5996</v>
      </c>
      <c r="C5234">
        <v>-15.239687225593203</v>
      </c>
      <c r="D5234">
        <v>-56.490194562613951</v>
      </c>
    </row>
    <row r="5235" spans="1:4" x14ac:dyDescent="0.3">
      <c r="A5235">
        <v>5105002</v>
      </c>
      <c r="B5235" t="s">
        <v>5997</v>
      </c>
      <c r="C5235">
        <v>-15.341896381514502</v>
      </c>
      <c r="D5235">
        <v>-58.879838397363052</v>
      </c>
    </row>
    <row r="5236" spans="1:4" x14ac:dyDescent="0.3">
      <c r="A5236">
        <v>5105101</v>
      </c>
      <c r="B5236" t="s">
        <v>5998</v>
      </c>
      <c r="C5236">
        <v>-11.250359978485204</v>
      </c>
      <c r="D5236">
        <v>-57.513123218331167</v>
      </c>
    </row>
    <row r="5237" spans="1:4" x14ac:dyDescent="0.3">
      <c r="A5237">
        <v>5105150</v>
      </c>
      <c r="B5237" t="s">
        <v>5999</v>
      </c>
      <c r="C5237">
        <v>-11.422018032268115</v>
      </c>
      <c r="D5237">
        <v>-58.762217151769548</v>
      </c>
    </row>
    <row r="5238" spans="1:4" x14ac:dyDescent="0.3">
      <c r="A5238">
        <v>5105176</v>
      </c>
      <c r="B5238" t="s">
        <v>6000</v>
      </c>
      <c r="C5238">
        <v>-10.329112779866753</v>
      </c>
      <c r="D5238">
        <v>-58.496309174033399</v>
      </c>
    </row>
    <row r="5239" spans="1:4" x14ac:dyDescent="0.3">
      <c r="A5239">
        <v>5105200</v>
      </c>
      <c r="B5239" t="s">
        <v>6001</v>
      </c>
      <c r="C5239">
        <v>-16.044685189108836</v>
      </c>
      <c r="D5239">
        <v>-54.888760942950412</v>
      </c>
    </row>
    <row r="5240" spans="1:4" x14ac:dyDescent="0.3">
      <c r="A5240">
        <v>5105234</v>
      </c>
      <c r="B5240" t="s">
        <v>6002</v>
      </c>
      <c r="C5240">
        <v>-15.315501240044052</v>
      </c>
      <c r="D5240">
        <v>-58.005825178606408</v>
      </c>
    </row>
    <row r="5241" spans="1:4" x14ac:dyDescent="0.3">
      <c r="A5241">
        <v>5105259</v>
      </c>
      <c r="B5241" t="s">
        <v>6003</v>
      </c>
      <c r="C5241">
        <v>-13.070464950899904</v>
      </c>
      <c r="D5241">
        <v>-55.921770709111676</v>
      </c>
    </row>
    <row r="5242" spans="1:4" x14ac:dyDescent="0.3">
      <c r="A5242">
        <v>5105309</v>
      </c>
      <c r="B5242" t="s">
        <v>6004</v>
      </c>
      <c r="C5242">
        <v>-11.228097099831201</v>
      </c>
      <c r="D5242">
        <v>-50.663201583169375</v>
      </c>
    </row>
    <row r="5243" spans="1:4" x14ac:dyDescent="0.3">
      <c r="A5243">
        <v>5105507</v>
      </c>
      <c r="B5243" t="s">
        <v>6005</v>
      </c>
      <c r="C5243">
        <v>-15.009324478780552</v>
      </c>
      <c r="D5243">
        <v>-59.952558199478077</v>
      </c>
    </row>
    <row r="5244" spans="1:4" x14ac:dyDescent="0.3">
      <c r="A5244">
        <v>5105580</v>
      </c>
      <c r="B5244" t="s">
        <v>6006</v>
      </c>
      <c r="C5244">
        <v>-11.080591411281651</v>
      </c>
      <c r="D5244">
        <v>-54.519306232190516</v>
      </c>
    </row>
    <row r="5245" spans="1:4" x14ac:dyDescent="0.3">
      <c r="A5245">
        <v>5105606</v>
      </c>
      <c r="B5245" t="s">
        <v>6007</v>
      </c>
      <c r="C5245">
        <v>-10.172107466203203</v>
      </c>
      <c r="D5245">
        <v>-54.93180572014581</v>
      </c>
    </row>
    <row r="5246" spans="1:4" x14ac:dyDescent="0.3">
      <c r="A5246">
        <v>5105622</v>
      </c>
      <c r="B5246" t="s">
        <v>6008</v>
      </c>
      <c r="C5246">
        <v>-15.674070781088052</v>
      </c>
      <c r="D5246">
        <v>-58.097903568991171</v>
      </c>
    </row>
    <row r="5247" spans="1:4" x14ac:dyDescent="0.3">
      <c r="A5247">
        <v>5105903</v>
      </c>
      <c r="B5247" t="s">
        <v>6009</v>
      </c>
      <c r="C5247">
        <v>-14.724500273370301</v>
      </c>
      <c r="D5247">
        <v>-56.334084830598847</v>
      </c>
    </row>
    <row r="5248" spans="1:4" x14ac:dyDescent="0.3">
      <c r="A5248">
        <v>5106000</v>
      </c>
      <c r="B5248" t="s">
        <v>6010</v>
      </c>
      <c r="C5248">
        <v>-14.453724556765302</v>
      </c>
      <c r="D5248">
        <v>-56.80206897515157</v>
      </c>
    </row>
    <row r="5249" spans="1:4" x14ac:dyDescent="0.3">
      <c r="A5249">
        <v>5106109</v>
      </c>
      <c r="B5249" t="s">
        <v>6011</v>
      </c>
      <c r="C5249">
        <v>-15.789676206668204</v>
      </c>
      <c r="D5249">
        <v>-56.345258555178184</v>
      </c>
    </row>
    <row r="5250" spans="1:4" x14ac:dyDescent="0.3">
      <c r="A5250">
        <v>5106158</v>
      </c>
      <c r="B5250" t="s">
        <v>6012</v>
      </c>
      <c r="C5250">
        <v>-9.8429528203058165</v>
      </c>
      <c r="D5250">
        <v>-57.818475798533051</v>
      </c>
    </row>
    <row r="5251" spans="1:4" x14ac:dyDescent="0.3">
      <c r="A5251">
        <v>5106174</v>
      </c>
      <c r="B5251" t="s">
        <v>6013</v>
      </c>
      <c r="C5251">
        <v>-13.987867273442603</v>
      </c>
      <c r="D5251">
        <v>-51.797434217511743</v>
      </c>
    </row>
    <row r="5252" spans="1:4" x14ac:dyDescent="0.3">
      <c r="A5252">
        <v>5106182</v>
      </c>
      <c r="B5252" t="s">
        <v>6014</v>
      </c>
      <c r="C5252">
        <v>-14.469788994004201</v>
      </c>
      <c r="D5252">
        <v>-59.590330502794515</v>
      </c>
    </row>
    <row r="5253" spans="1:4" x14ac:dyDescent="0.3">
      <c r="A5253">
        <v>5106190</v>
      </c>
      <c r="B5253" t="s">
        <v>6015</v>
      </c>
      <c r="C5253">
        <v>-10.850999975911153</v>
      </c>
      <c r="D5253">
        <v>-55.183685741121195</v>
      </c>
    </row>
    <row r="5254" spans="1:4" x14ac:dyDescent="0.3">
      <c r="A5254">
        <v>5106208</v>
      </c>
      <c r="B5254" t="s">
        <v>6016</v>
      </c>
      <c r="C5254">
        <v>-14.925464456005001</v>
      </c>
      <c r="D5254">
        <v>-54.971908869126054</v>
      </c>
    </row>
    <row r="5255" spans="1:4" x14ac:dyDescent="0.3">
      <c r="A5255">
        <v>5106216</v>
      </c>
      <c r="B5255" t="s">
        <v>6017</v>
      </c>
      <c r="C5255">
        <v>-10.631104229019204</v>
      </c>
      <c r="D5255">
        <v>-55.714877306043761</v>
      </c>
    </row>
    <row r="5256" spans="1:4" x14ac:dyDescent="0.3">
      <c r="A5256">
        <v>5106224</v>
      </c>
      <c r="B5256" t="s">
        <v>6018</v>
      </c>
      <c r="C5256">
        <v>-13.832725692724004</v>
      </c>
      <c r="D5256">
        <v>-56.110005248097764</v>
      </c>
    </row>
    <row r="5257" spans="1:4" x14ac:dyDescent="0.3">
      <c r="A5257">
        <v>5106232</v>
      </c>
      <c r="B5257" t="s">
        <v>5002</v>
      </c>
      <c r="C5257">
        <v>-14.779414241865254</v>
      </c>
      <c r="D5257">
        <v>-57.28292396195836</v>
      </c>
    </row>
    <row r="5258" spans="1:4" x14ac:dyDescent="0.3">
      <c r="A5258">
        <v>5106240</v>
      </c>
      <c r="B5258" t="s">
        <v>6019</v>
      </c>
      <c r="C5258">
        <v>-13.033827715955551</v>
      </c>
      <c r="D5258">
        <v>-55.273213318983998</v>
      </c>
    </row>
    <row r="5259" spans="1:4" x14ac:dyDescent="0.3">
      <c r="A5259">
        <v>5106257</v>
      </c>
      <c r="B5259" t="s">
        <v>6020</v>
      </c>
      <c r="C5259">
        <v>-14.669179516314003</v>
      </c>
      <c r="D5259">
        <v>-52.361192672619474</v>
      </c>
    </row>
    <row r="5260" spans="1:4" x14ac:dyDescent="0.3">
      <c r="A5260">
        <v>5106265</v>
      </c>
      <c r="B5260" t="s">
        <v>6021</v>
      </c>
      <c r="C5260">
        <v>-9.9771091944931261</v>
      </c>
      <c r="D5260">
        <v>-55.172018931552422</v>
      </c>
    </row>
    <row r="5261" spans="1:4" x14ac:dyDescent="0.3">
      <c r="A5261">
        <v>5106273</v>
      </c>
      <c r="B5261" t="s">
        <v>6022</v>
      </c>
      <c r="C5261">
        <v>-11.387634779361102</v>
      </c>
      <c r="D5261">
        <v>-57.317475113823669</v>
      </c>
    </row>
    <row r="5262" spans="1:4" x14ac:dyDescent="0.3">
      <c r="A5262">
        <v>5106281</v>
      </c>
      <c r="B5262" t="s">
        <v>6023</v>
      </c>
      <c r="C5262">
        <v>-14.886565262715102</v>
      </c>
      <c r="D5262">
        <v>-53.016115512901763</v>
      </c>
    </row>
    <row r="5263" spans="1:4" x14ac:dyDescent="0.3">
      <c r="A5263">
        <v>5106299</v>
      </c>
      <c r="B5263" t="s">
        <v>6024</v>
      </c>
      <c r="C5263">
        <v>-9.6696554985260565</v>
      </c>
      <c r="D5263">
        <v>-56.478899720188814</v>
      </c>
    </row>
    <row r="5264" spans="1:4" x14ac:dyDescent="0.3">
      <c r="A5264">
        <v>5106307</v>
      </c>
      <c r="B5264" t="s">
        <v>6025</v>
      </c>
      <c r="C5264">
        <v>-14.427698480098858</v>
      </c>
      <c r="D5264">
        <v>-54.054091991906546</v>
      </c>
    </row>
    <row r="5265" spans="1:4" x14ac:dyDescent="0.3">
      <c r="A5265">
        <v>5106315</v>
      </c>
      <c r="B5265" t="s">
        <v>1822</v>
      </c>
      <c r="C5265">
        <v>-12.294693483242304</v>
      </c>
      <c r="D5265">
        <v>-50.969172645205163</v>
      </c>
    </row>
    <row r="5266" spans="1:4" x14ac:dyDescent="0.3">
      <c r="A5266">
        <v>5106372</v>
      </c>
      <c r="B5266" t="s">
        <v>2187</v>
      </c>
      <c r="C5266">
        <v>-16.622210415882552</v>
      </c>
      <c r="D5266">
        <v>-54.471395638210147</v>
      </c>
    </row>
    <row r="5267" spans="1:4" x14ac:dyDescent="0.3">
      <c r="A5267">
        <v>5106422</v>
      </c>
      <c r="B5267" t="s">
        <v>6026</v>
      </c>
      <c r="C5267">
        <v>-10.244842082771353</v>
      </c>
      <c r="D5267">
        <v>-54.992297401368766</v>
      </c>
    </row>
    <row r="5268" spans="1:4" x14ac:dyDescent="0.3">
      <c r="A5268">
        <v>5106455</v>
      </c>
      <c r="B5268" t="s">
        <v>6027</v>
      </c>
      <c r="C5268">
        <v>-14.660705939490303</v>
      </c>
      <c r="D5268">
        <v>-54.783495752278711</v>
      </c>
    </row>
    <row r="5269" spans="1:4" x14ac:dyDescent="0.3">
      <c r="A5269">
        <v>5106505</v>
      </c>
      <c r="B5269" t="s">
        <v>6028</v>
      </c>
      <c r="C5269">
        <v>-16.259509466966701</v>
      </c>
      <c r="D5269">
        <v>-56.626509352734999</v>
      </c>
    </row>
    <row r="5270" spans="1:4" x14ac:dyDescent="0.3">
      <c r="A5270">
        <v>5106653</v>
      </c>
      <c r="B5270" t="s">
        <v>6029</v>
      </c>
      <c r="C5270">
        <v>-15.902471343839251</v>
      </c>
      <c r="D5270">
        <v>-52.258511111935448</v>
      </c>
    </row>
    <row r="5271" spans="1:4" x14ac:dyDescent="0.3">
      <c r="A5271">
        <v>5106703</v>
      </c>
      <c r="B5271" t="s">
        <v>6030</v>
      </c>
      <c r="C5271">
        <v>-16.767648010988953</v>
      </c>
      <c r="D5271">
        <v>-52.835775728192417</v>
      </c>
    </row>
    <row r="5272" spans="1:4" x14ac:dyDescent="0.3">
      <c r="A5272">
        <v>5106752</v>
      </c>
      <c r="B5272" t="s">
        <v>6031</v>
      </c>
      <c r="C5272">
        <v>-15.229727571109953</v>
      </c>
      <c r="D5272">
        <v>-59.338001844365699</v>
      </c>
    </row>
    <row r="5273" spans="1:4" x14ac:dyDescent="0.3">
      <c r="A5273">
        <v>5106778</v>
      </c>
      <c r="B5273" t="s">
        <v>6032</v>
      </c>
      <c r="C5273">
        <v>-10.877548476915303</v>
      </c>
      <c r="D5273">
        <v>-51.630879823940759</v>
      </c>
    </row>
    <row r="5274" spans="1:4" x14ac:dyDescent="0.3">
      <c r="A5274">
        <v>5106802</v>
      </c>
      <c r="B5274" t="s">
        <v>6033</v>
      </c>
      <c r="C5274">
        <v>-11.533840029457602</v>
      </c>
      <c r="D5274">
        <v>-57.408353838005056</v>
      </c>
    </row>
    <row r="5275" spans="1:4" x14ac:dyDescent="0.3">
      <c r="A5275">
        <v>5106828</v>
      </c>
      <c r="B5275" t="s">
        <v>6034</v>
      </c>
      <c r="C5275">
        <v>-15.857634861917754</v>
      </c>
      <c r="D5275">
        <v>-58.469298742252064</v>
      </c>
    </row>
    <row r="5276" spans="1:4" x14ac:dyDescent="0.3">
      <c r="A5276">
        <v>5106851</v>
      </c>
      <c r="B5276" t="s">
        <v>6035</v>
      </c>
      <c r="C5276">
        <v>-15.331336306004253</v>
      </c>
      <c r="D5276">
        <v>-57.201357299911074</v>
      </c>
    </row>
    <row r="5277" spans="1:4" x14ac:dyDescent="0.3">
      <c r="A5277">
        <v>5107008</v>
      </c>
      <c r="B5277" t="s">
        <v>6036</v>
      </c>
      <c r="C5277">
        <v>-15.818135556980952</v>
      </c>
      <c r="D5277">
        <v>-54.400732655953831</v>
      </c>
    </row>
    <row r="5278" spans="1:4" x14ac:dyDescent="0.3">
      <c r="A5278">
        <v>5107040</v>
      </c>
      <c r="B5278" t="s">
        <v>6037</v>
      </c>
      <c r="C5278">
        <v>-15.552293593114062</v>
      </c>
      <c r="D5278">
        <v>-54.300053259122677</v>
      </c>
    </row>
    <row r="5279" spans="1:4" x14ac:dyDescent="0.3">
      <c r="A5279">
        <v>5107065</v>
      </c>
      <c r="B5279" t="s">
        <v>6038</v>
      </c>
      <c r="C5279">
        <v>-12.592299626304401</v>
      </c>
      <c r="D5279">
        <v>-52.209891915594156</v>
      </c>
    </row>
    <row r="5280" spans="1:4" x14ac:dyDescent="0.3">
      <c r="A5280">
        <v>5107107</v>
      </c>
      <c r="B5280" t="s">
        <v>6039</v>
      </c>
      <c r="C5280">
        <v>-15.627105736672302</v>
      </c>
      <c r="D5280">
        <v>-58.17650593737298</v>
      </c>
    </row>
    <row r="5281" spans="1:4" x14ac:dyDescent="0.3">
      <c r="A5281">
        <v>5107156</v>
      </c>
      <c r="B5281" t="s">
        <v>6040</v>
      </c>
      <c r="C5281">
        <v>-15.122409531185653</v>
      </c>
      <c r="D5281">
        <v>-58.385364529951602</v>
      </c>
    </row>
    <row r="5282" spans="1:4" x14ac:dyDescent="0.3">
      <c r="A5282">
        <v>5107180</v>
      </c>
      <c r="B5282" t="s">
        <v>6041</v>
      </c>
      <c r="C5282">
        <v>-12.932048563490699</v>
      </c>
      <c r="D5282">
        <v>-51.83336334510134</v>
      </c>
    </row>
    <row r="5283" spans="1:4" x14ac:dyDescent="0.3">
      <c r="A5283">
        <v>5107198</v>
      </c>
      <c r="B5283" t="s">
        <v>6042</v>
      </c>
      <c r="C5283">
        <v>-16.486525913679955</v>
      </c>
      <c r="D5283">
        <v>-52.695441728262622</v>
      </c>
    </row>
    <row r="5284" spans="1:4" x14ac:dyDescent="0.3">
      <c r="A5284">
        <v>5107206</v>
      </c>
      <c r="B5284" t="s">
        <v>1102</v>
      </c>
      <c r="C5284">
        <v>-15.235682810143553</v>
      </c>
      <c r="D5284">
        <v>-58.117939347991616</v>
      </c>
    </row>
    <row r="5285" spans="1:4" x14ac:dyDescent="0.3">
      <c r="A5285">
        <v>5107248</v>
      </c>
      <c r="B5285" t="s">
        <v>6043</v>
      </c>
      <c r="C5285">
        <v>-11.9696855569233</v>
      </c>
      <c r="D5285">
        <v>-55.282222706505316</v>
      </c>
    </row>
    <row r="5286" spans="1:4" x14ac:dyDescent="0.3">
      <c r="A5286">
        <v>5107263</v>
      </c>
      <c r="B5286" t="s">
        <v>6044</v>
      </c>
      <c r="C5286">
        <v>-14.490776819697754</v>
      </c>
      <c r="D5286">
        <v>-57.000503637470864</v>
      </c>
    </row>
    <row r="5287" spans="1:4" x14ac:dyDescent="0.3">
      <c r="A5287">
        <v>5107297</v>
      </c>
      <c r="B5287" t="s">
        <v>6045</v>
      </c>
      <c r="C5287">
        <v>-16.466330308787352</v>
      </c>
      <c r="D5287">
        <v>-54.256246368338147</v>
      </c>
    </row>
    <row r="5288" spans="1:4" x14ac:dyDescent="0.3">
      <c r="A5288">
        <v>5107305</v>
      </c>
      <c r="B5288" t="s">
        <v>6046</v>
      </c>
      <c r="C5288">
        <v>-13.45206833741055</v>
      </c>
      <c r="D5288">
        <v>-56.721583760684851</v>
      </c>
    </row>
    <row r="5289" spans="1:4" x14ac:dyDescent="0.3">
      <c r="A5289">
        <v>5107354</v>
      </c>
      <c r="B5289" t="s">
        <v>6047</v>
      </c>
      <c r="C5289">
        <v>-10.800264163032551</v>
      </c>
      <c r="D5289">
        <v>-52.739793639872623</v>
      </c>
    </row>
    <row r="5290" spans="1:4" x14ac:dyDescent="0.3">
      <c r="A5290">
        <v>5107404</v>
      </c>
      <c r="B5290" t="s">
        <v>6048</v>
      </c>
      <c r="C5290">
        <v>-16.002708520526003</v>
      </c>
      <c r="D5290">
        <v>-54.918993183066668</v>
      </c>
    </row>
    <row r="5291" spans="1:4" x14ac:dyDescent="0.3">
      <c r="A5291">
        <v>5107578</v>
      </c>
      <c r="B5291" t="s">
        <v>6049</v>
      </c>
      <c r="C5291">
        <v>-10.844301974010202</v>
      </c>
      <c r="D5291">
        <v>-61.45967817199471</v>
      </c>
    </row>
    <row r="5292" spans="1:4" x14ac:dyDescent="0.3">
      <c r="A5292">
        <v>5107602</v>
      </c>
      <c r="B5292" t="s">
        <v>6050</v>
      </c>
      <c r="C5292">
        <v>-16.470162873499849</v>
      </c>
      <c r="D5292">
        <v>-54.633587040178377</v>
      </c>
    </row>
    <row r="5293" spans="1:4" x14ac:dyDescent="0.3">
      <c r="A5293">
        <v>5107701</v>
      </c>
      <c r="B5293" t="s">
        <v>6051</v>
      </c>
      <c r="C5293">
        <v>-14.826427571477202</v>
      </c>
      <c r="D5293">
        <v>-56.428293205405375</v>
      </c>
    </row>
    <row r="5294" spans="1:4" x14ac:dyDescent="0.3">
      <c r="A5294">
        <v>5107743</v>
      </c>
      <c r="B5294" t="s">
        <v>6052</v>
      </c>
      <c r="C5294">
        <v>-10.152449503633301</v>
      </c>
      <c r="D5294">
        <v>-52.398615965570215</v>
      </c>
    </row>
    <row r="5295" spans="1:4" x14ac:dyDescent="0.3">
      <c r="A5295">
        <v>5107750</v>
      </c>
      <c r="B5295" t="s">
        <v>6053</v>
      </c>
      <c r="C5295">
        <v>-15.135824574768749</v>
      </c>
      <c r="D5295">
        <v>-58.126751807016475</v>
      </c>
    </row>
    <row r="5296" spans="1:4" x14ac:dyDescent="0.3">
      <c r="A5296">
        <v>5107768</v>
      </c>
      <c r="B5296" t="s">
        <v>6054</v>
      </c>
      <c r="C5296">
        <v>-13.816189731956403</v>
      </c>
      <c r="D5296">
        <v>-55.277692881417941</v>
      </c>
    </row>
    <row r="5297" spans="1:4" x14ac:dyDescent="0.3">
      <c r="A5297">
        <v>5107776</v>
      </c>
      <c r="B5297" t="s">
        <v>2579</v>
      </c>
      <c r="C5297">
        <v>-10.466111619578252</v>
      </c>
      <c r="D5297">
        <v>-50.506266437902944</v>
      </c>
    </row>
    <row r="5298" spans="1:4" x14ac:dyDescent="0.3">
      <c r="A5298">
        <v>5107792</v>
      </c>
      <c r="B5298" t="s">
        <v>6055</v>
      </c>
      <c r="C5298">
        <v>-14.800813396551701</v>
      </c>
      <c r="D5298">
        <v>-53.611723852172162</v>
      </c>
    </row>
    <row r="5299" spans="1:4" x14ac:dyDescent="0.3">
      <c r="A5299">
        <v>5107800</v>
      </c>
      <c r="B5299" t="s">
        <v>6056</v>
      </c>
      <c r="C5299">
        <v>-15.86917904395745</v>
      </c>
      <c r="D5299">
        <v>-56.094162200756536</v>
      </c>
    </row>
    <row r="5300" spans="1:4" x14ac:dyDescent="0.3">
      <c r="A5300">
        <v>5107859</v>
      </c>
      <c r="B5300" t="s">
        <v>6057</v>
      </c>
      <c r="C5300">
        <v>-11.616082325938651</v>
      </c>
      <c r="D5300">
        <v>-50.661986369934382</v>
      </c>
    </row>
    <row r="5301" spans="1:4" x14ac:dyDescent="0.3">
      <c r="A5301">
        <v>5107875</v>
      </c>
      <c r="B5301" t="s">
        <v>6058</v>
      </c>
      <c r="C5301">
        <v>-13.538195353471052</v>
      </c>
      <c r="D5301">
        <v>-58.812138014175474</v>
      </c>
    </row>
    <row r="5302" spans="1:4" x14ac:dyDescent="0.3">
      <c r="A5302">
        <v>5107883</v>
      </c>
      <c r="B5302" t="s">
        <v>6059</v>
      </c>
      <c r="C5302">
        <v>-12.089271838885967</v>
      </c>
      <c r="D5302">
        <v>-51.399593407753891</v>
      </c>
    </row>
    <row r="5303" spans="1:4" x14ac:dyDescent="0.3">
      <c r="A5303">
        <v>5107909</v>
      </c>
      <c r="B5303" t="s">
        <v>6060</v>
      </c>
      <c r="C5303">
        <v>-11.858005308077601</v>
      </c>
      <c r="D5303">
        <v>-55.500922002386751</v>
      </c>
    </row>
    <row r="5304" spans="1:4" x14ac:dyDescent="0.3">
      <c r="A5304">
        <v>5107925</v>
      </c>
      <c r="B5304" t="s">
        <v>6061</v>
      </c>
      <c r="C5304">
        <v>-12.55177670784548</v>
      </c>
      <c r="D5304">
        <v>-55.725913675091292</v>
      </c>
    </row>
    <row r="5305" spans="1:4" x14ac:dyDescent="0.3">
      <c r="A5305">
        <v>5107941</v>
      </c>
      <c r="B5305" t="s">
        <v>6062</v>
      </c>
      <c r="C5305">
        <v>-11.307507957038252</v>
      </c>
      <c r="D5305">
        <v>-56.824833796270539</v>
      </c>
    </row>
    <row r="5306" spans="1:4" x14ac:dyDescent="0.3">
      <c r="A5306">
        <v>5107958</v>
      </c>
      <c r="B5306" t="s">
        <v>6063</v>
      </c>
      <c r="C5306">
        <v>-14.623784750468003</v>
      </c>
      <c r="D5306">
        <v>-57.491299153060268</v>
      </c>
    </row>
    <row r="5307" spans="1:4" x14ac:dyDescent="0.3">
      <c r="A5307">
        <v>5108006</v>
      </c>
      <c r="B5307" t="s">
        <v>6064</v>
      </c>
      <c r="C5307">
        <v>-12.732068631315652</v>
      </c>
      <c r="D5307">
        <v>-56.519485896473498</v>
      </c>
    </row>
    <row r="5308" spans="1:4" x14ac:dyDescent="0.3">
      <c r="A5308">
        <v>5108055</v>
      </c>
      <c r="B5308" t="s">
        <v>6065</v>
      </c>
      <c r="C5308">
        <v>-10.597128093149566</v>
      </c>
      <c r="D5308">
        <v>-55.115951488616489</v>
      </c>
    </row>
    <row r="5309" spans="1:4" x14ac:dyDescent="0.3">
      <c r="A5309">
        <v>5108105</v>
      </c>
      <c r="B5309" t="s">
        <v>6066</v>
      </c>
      <c r="C5309">
        <v>-16.075237401222385</v>
      </c>
      <c r="D5309">
        <v>-53.555843962029769</v>
      </c>
    </row>
    <row r="5310" spans="1:4" x14ac:dyDescent="0.3">
      <c r="A5310">
        <v>5108204</v>
      </c>
      <c r="B5310" t="s">
        <v>6067</v>
      </c>
      <c r="C5310">
        <v>-16.197526363935754</v>
      </c>
      <c r="D5310">
        <v>-52.558838635340905</v>
      </c>
    </row>
    <row r="5311" spans="1:4" x14ac:dyDescent="0.3">
      <c r="A5311">
        <v>5108303</v>
      </c>
      <c r="B5311" t="s">
        <v>6068</v>
      </c>
      <c r="C5311">
        <v>-11.5355107507237</v>
      </c>
      <c r="D5311">
        <v>-54.374844410585155</v>
      </c>
    </row>
    <row r="5312" spans="1:4" x14ac:dyDescent="0.3">
      <c r="A5312">
        <v>5108352</v>
      </c>
      <c r="B5312" t="s">
        <v>6069</v>
      </c>
      <c r="C5312">
        <v>-15.295897841830202</v>
      </c>
      <c r="D5312">
        <v>-59.064571157227029</v>
      </c>
    </row>
    <row r="5313" spans="1:4" x14ac:dyDescent="0.3">
      <c r="A5313">
        <v>5108402</v>
      </c>
      <c r="B5313" t="s">
        <v>1902</v>
      </c>
      <c r="C5313">
        <v>-15.658064824088502</v>
      </c>
      <c r="D5313">
        <v>-56.14466374018658</v>
      </c>
    </row>
    <row r="5314" spans="1:4" x14ac:dyDescent="0.3">
      <c r="A5314">
        <v>5108501</v>
      </c>
      <c r="B5314" t="s">
        <v>6070</v>
      </c>
      <c r="C5314">
        <v>-12.284048863176652</v>
      </c>
      <c r="D5314">
        <v>-55.300918574859992</v>
      </c>
    </row>
    <row r="5315" spans="1:4" x14ac:dyDescent="0.3">
      <c r="A5315">
        <v>5108600</v>
      </c>
      <c r="B5315" t="s">
        <v>6071</v>
      </c>
      <c r="C5315">
        <v>-10.013352181868852</v>
      </c>
      <c r="D5315">
        <v>-51.116822579004442</v>
      </c>
    </row>
    <row r="5316" spans="1:4" x14ac:dyDescent="0.3">
      <c r="A5316">
        <v>5108808</v>
      </c>
      <c r="B5316" t="s">
        <v>6072</v>
      </c>
      <c r="C5316">
        <v>-10.3088464293765</v>
      </c>
      <c r="D5316">
        <v>-55.403070138965852</v>
      </c>
    </row>
    <row r="5317" spans="1:4" x14ac:dyDescent="0.3">
      <c r="A5317">
        <v>5108857</v>
      </c>
      <c r="B5317" t="s">
        <v>6073</v>
      </c>
      <c r="C5317">
        <v>-14.362451271736552</v>
      </c>
      <c r="D5317">
        <v>-56.973176785896086</v>
      </c>
    </row>
    <row r="5318" spans="1:4" x14ac:dyDescent="0.3">
      <c r="A5318">
        <v>5108907</v>
      </c>
      <c r="B5318" t="s">
        <v>6074</v>
      </c>
      <c r="C5318">
        <v>-13.011426954134651</v>
      </c>
      <c r="D5318">
        <v>-57.098551665179897</v>
      </c>
    </row>
    <row r="5319" spans="1:4" x14ac:dyDescent="0.3">
      <c r="A5319">
        <v>5108956</v>
      </c>
      <c r="B5319" t="s">
        <v>6075</v>
      </c>
      <c r="C5319">
        <v>-9.9726169269349878</v>
      </c>
      <c r="D5319">
        <v>-57.472369306913237</v>
      </c>
    </row>
    <row r="5320" spans="1:4" x14ac:dyDescent="0.3">
      <c r="A5320">
        <v>5200050</v>
      </c>
      <c r="B5320" t="s">
        <v>6076</v>
      </c>
      <c r="C5320">
        <v>-16.758811894819605</v>
      </c>
      <c r="D5320">
        <v>-49.440547832657352</v>
      </c>
    </row>
    <row r="5321" spans="1:4" x14ac:dyDescent="0.3">
      <c r="A5321">
        <v>5200100</v>
      </c>
      <c r="B5321" t="s">
        <v>6077</v>
      </c>
      <c r="C5321">
        <v>-16.182671858004802</v>
      </c>
      <c r="D5321">
        <v>-48.71881214167518</v>
      </c>
    </row>
    <row r="5322" spans="1:4" x14ac:dyDescent="0.3">
      <c r="A5322">
        <v>5200134</v>
      </c>
      <c r="B5322" t="s">
        <v>6078</v>
      </c>
      <c r="C5322">
        <v>-17.398156219227619</v>
      </c>
      <c r="D5322">
        <v>-50.374973366655333</v>
      </c>
    </row>
    <row r="5323" spans="1:4" x14ac:dyDescent="0.3">
      <c r="A5323">
        <v>5200159</v>
      </c>
      <c r="B5323" t="s">
        <v>6079</v>
      </c>
      <c r="C5323">
        <v>-16.415001512018851</v>
      </c>
      <c r="D5323">
        <v>-50.163146676109442</v>
      </c>
    </row>
    <row r="5324" spans="1:4" x14ac:dyDescent="0.3">
      <c r="A5324">
        <v>5200175</v>
      </c>
      <c r="B5324" t="s">
        <v>6080</v>
      </c>
      <c r="C5324">
        <v>-14.985535268215203</v>
      </c>
      <c r="D5324">
        <v>-47.782212162398913</v>
      </c>
    </row>
    <row r="5325" spans="1:4" x14ac:dyDescent="0.3">
      <c r="A5325">
        <v>5200209</v>
      </c>
      <c r="B5325" t="s">
        <v>6081</v>
      </c>
      <c r="C5325">
        <v>-18.071406058837905</v>
      </c>
      <c r="D5325">
        <v>-48.761240959141162</v>
      </c>
    </row>
    <row r="5326" spans="1:4" x14ac:dyDescent="0.3">
      <c r="A5326">
        <v>5200258</v>
      </c>
      <c r="B5326" t="s">
        <v>6082</v>
      </c>
      <c r="C5326">
        <v>-15.737938856283154</v>
      </c>
      <c r="D5326">
        <v>-48.28344443621517</v>
      </c>
    </row>
    <row r="5327" spans="1:4" x14ac:dyDescent="0.3">
      <c r="A5327">
        <v>5200308</v>
      </c>
      <c r="B5327" t="s">
        <v>6083</v>
      </c>
      <c r="C5327">
        <v>-16.086167620566155</v>
      </c>
      <c r="D5327">
        <v>-48.509636391863403</v>
      </c>
    </row>
    <row r="5328" spans="1:4" x14ac:dyDescent="0.3">
      <c r="A5328">
        <v>5200506</v>
      </c>
      <c r="B5328" t="s">
        <v>6084</v>
      </c>
      <c r="C5328">
        <v>-17.724908854155601</v>
      </c>
      <c r="D5328">
        <v>-49.482321106640583</v>
      </c>
    </row>
    <row r="5329" spans="1:4" x14ac:dyDescent="0.3">
      <c r="A5329">
        <v>5200555</v>
      </c>
      <c r="B5329" t="s">
        <v>6085</v>
      </c>
      <c r="C5329">
        <v>-14.199226809933503</v>
      </c>
      <c r="D5329">
        <v>-49.332749156160688</v>
      </c>
    </row>
    <row r="5330" spans="1:4" x14ac:dyDescent="0.3">
      <c r="A5330">
        <v>5200605</v>
      </c>
      <c r="B5330" t="s">
        <v>6086</v>
      </c>
      <c r="C5330">
        <v>-14.136244637762502</v>
      </c>
      <c r="D5330">
        <v>-47.519093438278794</v>
      </c>
    </row>
    <row r="5331" spans="1:4" x14ac:dyDescent="0.3">
      <c r="A5331">
        <v>5200803</v>
      </c>
      <c r="B5331" t="s">
        <v>6087</v>
      </c>
      <c r="C5331">
        <v>-14.482839110533753</v>
      </c>
      <c r="D5331">
        <v>-46.515637691310047</v>
      </c>
    </row>
    <row r="5332" spans="1:4" x14ac:dyDescent="0.3">
      <c r="A5332">
        <v>5200829</v>
      </c>
      <c r="B5332" t="s">
        <v>6088</v>
      </c>
      <c r="C5332">
        <v>-13.925481859418603</v>
      </c>
      <c r="D5332">
        <v>-49.295377221903564</v>
      </c>
    </row>
    <row r="5333" spans="1:4" x14ac:dyDescent="0.3">
      <c r="A5333">
        <v>5200852</v>
      </c>
      <c r="B5333" t="s">
        <v>6089</v>
      </c>
      <c r="C5333">
        <v>-16.255100285246353</v>
      </c>
      <c r="D5333">
        <v>-49.983641533748049</v>
      </c>
    </row>
    <row r="5334" spans="1:4" x14ac:dyDescent="0.3">
      <c r="A5334">
        <v>5200902</v>
      </c>
      <c r="B5334" t="s">
        <v>6090</v>
      </c>
      <c r="C5334">
        <v>-16.617912124158867</v>
      </c>
      <c r="D5334">
        <v>-51.097167066995027</v>
      </c>
    </row>
    <row r="5335" spans="1:4" x14ac:dyDescent="0.3">
      <c r="A5335">
        <v>5201108</v>
      </c>
      <c r="B5335" t="s">
        <v>6091</v>
      </c>
      <c r="C5335">
        <v>-16.328825744649155</v>
      </c>
      <c r="D5335">
        <v>-48.957217902631328</v>
      </c>
    </row>
    <row r="5336" spans="1:4" x14ac:dyDescent="0.3">
      <c r="A5336">
        <v>5201207</v>
      </c>
      <c r="B5336" t="s">
        <v>6092</v>
      </c>
      <c r="C5336">
        <v>-18.334366032322954</v>
      </c>
      <c r="D5336">
        <v>-48.217403692094415</v>
      </c>
    </row>
    <row r="5337" spans="1:4" x14ac:dyDescent="0.3">
      <c r="A5337">
        <v>5201306</v>
      </c>
      <c r="B5337" t="s">
        <v>6093</v>
      </c>
      <c r="C5337">
        <v>-16.460740619249304</v>
      </c>
      <c r="D5337">
        <v>-49.9590680177593</v>
      </c>
    </row>
    <row r="5338" spans="1:4" x14ac:dyDescent="0.3">
      <c r="A5338">
        <v>5201405</v>
      </c>
      <c r="B5338" t="s">
        <v>6094</v>
      </c>
      <c r="C5338">
        <v>-16.822146500000002</v>
      </c>
      <c r="D5338">
        <v>-49.243325927701108</v>
      </c>
    </row>
    <row r="5339" spans="1:4" x14ac:dyDescent="0.3">
      <c r="A5339">
        <v>5201454</v>
      </c>
      <c r="B5339" t="s">
        <v>6095</v>
      </c>
      <c r="C5339">
        <v>-18.296984287847653</v>
      </c>
      <c r="D5339">
        <v>-51.151491627173257</v>
      </c>
    </row>
    <row r="5340" spans="1:4" x14ac:dyDescent="0.3">
      <c r="A5340">
        <v>5201504</v>
      </c>
      <c r="B5340" t="s">
        <v>6096</v>
      </c>
      <c r="C5340">
        <v>-18.958877447147053</v>
      </c>
      <c r="D5340">
        <v>-51.928072999928943</v>
      </c>
    </row>
    <row r="5341" spans="1:4" x14ac:dyDescent="0.3">
      <c r="A5341">
        <v>5201603</v>
      </c>
      <c r="B5341" t="s">
        <v>6097</v>
      </c>
      <c r="C5341">
        <v>-16.354334806530051</v>
      </c>
      <c r="D5341">
        <v>-49.681682050652547</v>
      </c>
    </row>
    <row r="5342" spans="1:4" x14ac:dyDescent="0.3">
      <c r="A5342">
        <v>5201702</v>
      </c>
      <c r="B5342" t="s">
        <v>6098</v>
      </c>
      <c r="C5342">
        <v>-15.897768165415204</v>
      </c>
      <c r="D5342">
        <v>-52.246854730781088</v>
      </c>
    </row>
    <row r="5343" spans="1:4" x14ac:dyDescent="0.3">
      <c r="A5343">
        <v>5201801</v>
      </c>
      <c r="B5343" t="s">
        <v>6099</v>
      </c>
      <c r="C5343">
        <v>-16.915639599374504</v>
      </c>
      <c r="D5343">
        <v>-49.450903054798395</v>
      </c>
    </row>
    <row r="5344" spans="1:4" x14ac:dyDescent="0.3">
      <c r="A5344">
        <v>5202155</v>
      </c>
      <c r="B5344" t="s">
        <v>6100</v>
      </c>
      <c r="C5344">
        <v>-15.088530370369901</v>
      </c>
      <c r="D5344">
        <v>-50.634742411713567</v>
      </c>
    </row>
    <row r="5345" spans="1:4" x14ac:dyDescent="0.3">
      <c r="A5345">
        <v>5202353</v>
      </c>
      <c r="B5345" t="s">
        <v>6101</v>
      </c>
      <c r="C5345">
        <v>-16.387545618878551</v>
      </c>
      <c r="D5345">
        <v>-51.560029491789649</v>
      </c>
    </row>
    <row r="5346" spans="1:4" x14ac:dyDescent="0.3">
      <c r="A5346">
        <v>5202502</v>
      </c>
      <c r="B5346" t="s">
        <v>6102</v>
      </c>
      <c r="C5346">
        <v>-14.903332380459954</v>
      </c>
      <c r="D5346">
        <v>-51.080885146697177</v>
      </c>
    </row>
    <row r="5347" spans="1:4" x14ac:dyDescent="0.3">
      <c r="A5347">
        <v>5202601</v>
      </c>
      <c r="B5347" t="s">
        <v>6103</v>
      </c>
      <c r="C5347">
        <v>-16.676725291723852</v>
      </c>
      <c r="D5347">
        <v>-50.464765758530213</v>
      </c>
    </row>
    <row r="5348" spans="1:4" x14ac:dyDescent="0.3">
      <c r="A5348">
        <v>5202809</v>
      </c>
      <c r="B5348" t="s">
        <v>6104</v>
      </c>
      <c r="C5348">
        <v>-16.461938694464504</v>
      </c>
      <c r="D5348">
        <v>-49.754225838210679</v>
      </c>
    </row>
    <row r="5349" spans="1:4" x14ac:dyDescent="0.3">
      <c r="A5349">
        <v>5203104</v>
      </c>
      <c r="B5349" t="s">
        <v>6105</v>
      </c>
      <c r="C5349">
        <v>-16.201636666434755</v>
      </c>
      <c r="D5349">
        <v>-52.54274494212968</v>
      </c>
    </row>
    <row r="5350" spans="1:4" x14ac:dyDescent="0.3">
      <c r="A5350">
        <v>5203203</v>
      </c>
      <c r="B5350" t="s">
        <v>2816</v>
      </c>
      <c r="C5350">
        <v>-14.973708596534301</v>
      </c>
      <c r="D5350">
        <v>-48.915707078823402</v>
      </c>
    </row>
    <row r="5351" spans="1:4" x14ac:dyDescent="0.3">
      <c r="A5351">
        <v>5203302</v>
      </c>
      <c r="B5351" t="s">
        <v>6106</v>
      </c>
      <c r="C5351">
        <v>-16.973121437300453</v>
      </c>
      <c r="D5351">
        <v>-48.952411597473429</v>
      </c>
    </row>
    <row r="5352" spans="1:4" x14ac:dyDescent="0.3">
      <c r="A5352">
        <v>5203401</v>
      </c>
      <c r="B5352" t="s">
        <v>6107</v>
      </c>
      <c r="C5352">
        <v>-16.200685033710815</v>
      </c>
      <c r="D5352">
        <v>-52.175367571371183</v>
      </c>
    </row>
    <row r="5353" spans="1:4" x14ac:dyDescent="0.3">
      <c r="A5353">
        <v>5203500</v>
      </c>
      <c r="B5353" t="s">
        <v>6108</v>
      </c>
      <c r="C5353">
        <v>-18.214766509183352</v>
      </c>
      <c r="D5353">
        <v>-49.73941065148729</v>
      </c>
    </row>
    <row r="5354" spans="1:4" x14ac:dyDescent="0.3">
      <c r="A5354">
        <v>5203559</v>
      </c>
      <c r="B5354" t="s">
        <v>6109</v>
      </c>
      <c r="C5354">
        <v>-16.617528434069801</v>
      </c>
      <c r="D5354">
        <v>-48.970579942565216</v>
      </c>
    </row>
    <row r="5355" spans="1:4" x14ac:dyDescent="0.3">
      <c r="A5355">
        <v>5203575</v>
      </c>
      <c r="B5355" t="s">
        <v>6110</v>
      </c>
      <c r="C5355">
        <v>-13.649746548567101</v>
      </c>
      <c r="D5355">
        <v>-49.837183801390232</v>
      </c>
    </row>
    <row r="5356" spans="1:4" x14ac:dyDescent="0.3">
      <c r="A5356">
        <v>5203609</v>
      </c>
      <c r="B5356" t="s">
        <v>6111</v>
      </c>
      <c r="C5356">
        <v>-16.425714936323306</v>
      </c>
      <c r="D5356">
        <v>-49.388667274665515</v>
      </c>
    </row>
    <row r="5357" spans="1:4" x14ac:dyDescent="0.3">
      <c r="A5357">
        <v>5203807</v>
      </c>
      <c r="B5357" t="s">
        <v>6112</v>
      </c>
      <c r="C5357">
        <v>-15.238586294378822</v>
      </c>
      <c r="D5357">
        <v>-51.167285101891608</v>
      </c>
    </row>
    <row r="5358" spans="1:4" x14ac:dyDescent="0.3">
      <c r="A5358">
        <v>5203906</v>
      </c>
      <c r="B5358" t="s">
        <v>6113</v>
      </c>
      <c r="C5358">
        <v>-18.133055049573905</v>
      </c>
      <c r="D5358">
        <v>-49.040065140877076</v>
      </c>
    </row>
    <row r="5359" spans="1:4" x14ac:dyDescent="0.3">
      <c r="A5359">
        <v>5203939</v>
      </c>
      <c r="B5359" t="s">
        <v>6114</v>
      </c>
      <c r="C5359">
        <v>-16.181396976478304</v>
      </c>
      <c r="D5359">
        <v>-50.434434756362059</v>
      </c>
    </row>
    <row r="5360" spans="1:4" x14ac:dyDescent="0.3">
      <c r="A5360">
        <v>5203962</v>
      </c>
      <c r="B5360" t="s">
        <v>6115</v>
      </c>
      <c r="C5360">
        <v>-14.456023027358151</v>
      </c>
      <c r="D5360">
        <v>-46.431077114891515</v>
      </c>
    </row>
    <row r="5361" spans="1:4" x14ac:dyDescent="0.3">
      <c r="A5361">
        <v>5204003</v>
      </c>
      <c r="B5361" t="s">
        <v>6116</v>
      </c>
      <c r="C5361">
        <v>-15.801155882235754</v>
      </c>
      <c r="D5361">
        <v>-46.929476186294551</v>
      </c>
    </row>
    <row r="5362" spans="1:4" x14ac:dyDescent="0.3">
      <c r="A5362">
        <v>5204102</v>
      </c>
      <c r="B5362" t="s">
        <v>6117</v>
      </c>
      <c r="C5362">
        <v>-18.751004461850602</v>
      </c>
      <c r="D5362">
        <v>-50.944707842478763</v>
      </c>
    </row>
    <row r="5363" spans="1:4" x14ac:dyDescent="0.3">
      <c r="A5363">
        <v>5204201</v>
      </c>
      <c r="B5363" t="s">
        <v>6118</v>
      </c>
      <c r="C5363">
        <v>-16.666732802455453</v>
      </c>
      <c r="D5363">
        <v>-50.643147838313062</v>
      </c>
    </row>
    <row r="5364" spans="1:4" x14ac:dyDescent="0.3">
      <c r="A5364">
        <v>5204250</v>
      </c>
      <c r="B5364" t="s">
        <v>3276</v>
      </c>
      <c r="C5364">
        <v>-18.489035613980253</v>
      </c>
      <c r="D5364">
        <v>-49.470917663581375</v>
      </c>
    </row>
    <row r="5365" spans="1:4" x14ac:dyDescent="0.3">
      <c r="A5365">
        <v>5204300</v>
      </c>
      <c r="B5365" t="s">
        <v>6119</v>
      </c>
      <c r="C5365">
        <v>-18.563050623903901</v>
      </c>
      <c r="D5365">
        <v>-51.133528613619951</v>
      </c>
    </row>
    <row r="5366" spans="1:4" x14ac:dyDescent="0.3">
      <c r="A5366">
        <v>5204409</v>
      </c>
      <c r="B5366" t="s">
        <v>6120</v>
      </c>
      <c r="C5366">
        <v>-16.953457670365655</v>
      </c>
      <c r="D5366">
        <v>-51.809479777131443</v>
      </c>
    </row>
    <row r="5367" spans="1:4" x14ac:dyDescent="0.3">
      <c r="A5367">
        <v>5204508</v>
      </c>
      <c r="B5367" t="s">
        <v>6121</v>
      </c>
      <c r="C5367">
        <v>-17.743538867672804</v>
      </c>
      <c r="D5367">
        <v>-48.621197474689026</v>
      </c>
    </row>
    <row r="5368" spans="1:4" x14ac:dyDescent="0.3">
      <c r="A5368">
        <v>5204557</v>
      </c>
      <c r="B5368" t="s">
        <v>6122</v>
      </c>
      <c r="C5368">
        <v>-16.714776943805905</v>
      </c>
      <c r="D5368">
        <v>-49.003373459028815</v>
      </c>
    </row>
    <row r="5369" spans="1:4" x14ac:dyDescent="0.3">
      <c r="A5369">
        <v>5204607</v>
      </c>
      <c r="B5369" t="s">
        <v>6123</v>
      </c>
      <c r="C5369">
        <v>-16.762309223964451</v>
      </c>
      <c r="D5369">
        <v>-49.695534261403793</v>
      </c>
    </row>
    <row r="5370" spans="1:4" x14ac:dyDescent="0.3">
      <c r="A5370">
        <v>5204656</v>
      </c>
      <c r="B5370" t="s">
        <v>6124</v>
      </c>
      <c r="C5370">
        <v>-13.78634858789775</v>
      </c>
      <c r="D5370">
        <v>-48.569834327765768</v>
      </c>
    </row>
    <row r="5371" spans="1:4" x14ac:dyDescent="0.3">
      <c r="A5371">
        <v>5204706</v>
      </c>
      <c r="B5371" t="s">
        <v>6125</v>
      </c>
      <c r="C5371">
        <v>-14.310597955988152</v>
      </c>
      <c r="D5371">
        <v>-49.156347294791424</v>
      </c>
    </row>
    <row r="5372" spans="1:4" x14ac:dyDescent="0.3">
      <c r="A5372">
        <v>5204805</v>
      </c>
      <c r="B5372" t="s">
        <v>6126</v>
      </c>
      <c r="C5372">
        <v>-17.640555136612551</v>
      </c>
      <c r="D5372">
        <v>-47.778225101337611</v>
      </c>
    </row>
    <row r="5373" spans="1:4" x14ac:dyDescent="0.3">
      <c r="A5373">
        <v>5204854</v>
      </c>
      <c r="B5373" t="s">
        <v>6127</v>
      </c>
      <c r="C5373">
        <v>-16.298623006700755</v>
      </c>
      <c r="D5373">
        <v>-49.089936520844795</v>
      </c>
    </row>
    <row r="5374" spans="1:4" x14ac:dyDescent="0.3">
      <c r="A5374">
        <v>5204904</v>
      </c>
      <c r="B5374" t="s">
        <v>6128</v>
      </c>
      <c r="C5374">
        <v>-13.036723986658403</v>
      </c>
      <c r="D5374">
        <v>-46.770783296607831</v>
      </c>
    </row>
    <row r="5375" spans="1:4" x14ac:dyDescent="0.3">
      <c r="A5375">
        <v>5204953</v>
      </c>
      <c r="B5375" t="s">
        <v>6129</v>
      </c>
      <c r="C5375">
        <v>-14.273266956218452</v>
      </c>
      <c r="D5375">
        <v>-49.663265112508704</v>
      </c>
    </row>
    <row r="5376" spans="1:4" x14ac:dyDescent="0.3">
      <c r="A5376">
        <v>5205000</v>
      </c>
      <c r="B5376" t="s">
        <v>6130</v>
      </c>
      <c r="C5376">
        <v>-15.357713663769754</v>
      </c>
      <c r="D5376">
        <v>-49.702864978014368</v>
      </c>
    </row>
    <row r="5377" spans="1:4" x14ac:dyDescent="0.3">
      <c r="A5377">
        <v>5205059</v>
      </c>
      <c r="B5377" t="s">
        <v>6131</v>
      </c>
      <c r="C5377">
        <v>-18.089845237321551</v>
      </c>
      <c r="D5377">
        <v>-50.229250451744676</v>
      </c>
    </row>
    <row r="5378" spans="1:4" x14ac:dyDescent="0.3">
      <c r="A5378">
        <v>5205109</v>
      </c>
      <c r="B5378" t="s">
        <v>6132</v>
      </c>
      <c r="C5378">
        <v>-18.169573363417904</v>
      </c>
      <c r="D5378">
        <v>-47.947703217215796</v>
      </c>
    </row>
    <row r="5379" spans="1:4" x14ac:dyDescent="0.3">
      <c r="A5379">
        <v>5205208</v>
      </c>
      <c r="B5379" t="s">
        <v>6133</v>
      </c>
      <c r="C5379">
        <v>-16.446761588430551</v>
      </c>
      <c r="D5379">
        <v>-49.502852999041423</v>
      </c>
    </row>
    <row r="5380" spans="1:4" x14ac:dyDescent="0.3">
      <c r="A5380">
        <v>5205307</v>
      </c>
      <c r="B5380" t="s">
        <v>6134</v>
      </c>
      <c r="C5380">
        <v>-13.799278514194501</v>
      </c>
      <c r="D5380">
        <v>-47.463436194172004</v>
      </c>
    </row>
    <row r="5381" spans="1:4" x14ac:dyDescent="0.3">
      <c r="A5381">
        <v>5205406</v>
      </c>
      <c r="B5381" t="s">
        <v>6135</v>
      </c>
      <c r="C5381">
        <v>-15.307028335400151</v>
      </c>
      <c r="D5381">
        <v>-49.603346231830848</v>
      </c>
    </row>
    <row r="5382" spans="1:4" x14ac:dyDescent="0.3">
      <c r="A5382">
        <v>5205455</v>
      </c>
      <c r="B5382" t="s">
        <v>6136</v>
      </c>
      <c r="C5382">
        <v>-16.967792282902604</v>
      </c>
      <c r="D5382">
        <v>-49.773168982068313</v>
      </c>
    </row>
    <row r="5383" spans="1:4" x14ac:dyDescent="0.3">
      <c r="A5383">
        <v>5205471</v>
      </c>
      <c r="B5383" t="s">
        <v>6137</v>
      </c>
      <c r="C5383">
        <v>-18.394032202715604</v>
      </c>
      <c r="D5383">
        <v>-52.670800598417898</v>
      </c>
    </row>
    <row r="5384" spans="1:4" x14ac:dyDescent="0.3">
      <c r="A5384">
        <v>5205497</v>
      </c>
      <c r="B5384" t="s">
        <v>6138</v>
      </c>
      <c r="C5384">
        <v>-16.11095919765005</v>
      </c>
      <c r="D5384">
        <v>-47.93713065394472</v>
      </c>
    </row>
    <row r="5385" spans="1:4" x14ac:dyDescent="0.3">
      <c r="A5385">
        <v>5205513</v>
      </c>
      <c r="B5385" t="s">
        <v>6139</v>
      </c>
      <c r="C5385">
        <v>-15.781737013514917</v>
      </c>
      <c r="D5385">
        <v>-48.768967447568983</v>
      </c>
    </row>
    <row r="5386" spans="1:4" x14ac:dyDescent="0.3">
      <c r="A5386">
        <v>5205521</v>
      </c>
      <c r="B5386" t="s">
        <v>6140</v>
      </c>
      <c r="C5386">
        <v>-14.1501851952808</v>
      </c>
      <c r="D5386">
        <v>-48.076843132558686</v>
      </c>
    </row>
    <row r="5387" spans="1:4" x14ac:dyDescent="0.3">
      <c r="A5387">
        <v>5205703</v>
      </c>
      <c r="B5387" t="s">
        <v>6141</v>
      </c>
      <c r="C5387">
        <v>-16.295357552138253</v>
      </c>
      <c r="D5387">
        <v>-50.555819073069081</v>
      </c>
    </row>
    <row r="5388" spans="1:4" x14ac:dyDescent="0.3">
      <c r="A5388">
        <v>5205802</v>
      </c>
      <c r="B5388" t="s">
        <v>6142</v>
      </c>
      <c r="C5388">
        <v>-15.927905154003202</v>
      </c>
      <c r="D5388">
        <v>-48.810345057161506</v>
      </c>
    </row>
    <row r="5389" spans="1:4" x14ac:dyDescent="0.3">
      <c r="A5389">
        <v>5205901</v>
      </c>
      <c r="B5389" t="s">
        <v>6143</v>
      </c>
      <c r="C5389">
        <v>-18.136906084845101</v>
      </c>
      <c r="D5389">
        <v>-48.556102069898778</v>
      </c>
    </row>
    <row r="5390" spans="1:4" x14ac:dyDescent="0.3">
      <c r="A5390">
        <v>5206206</v>
      </c>
      <c r="B5390" t="s">
        <v>6144</v>
      </c>
      <c r="C5390">
        <v>-16.769433663164204</v>
      </c>
      <c r="D5390">
        <v>-47.606817592232595</v>
      </c>
    </row>
    <row r="5391" spans="1:4" x14ac:dyDescent="0.3">
      <c r="A5391">
        <v>5206305</v>
      </c>
      <c r="B5391" t="s">
        <v>6145</v>
      </c>
      <c r="C5391">
        <v>-17.195588954385403</v>
      </c>
      <c r="D5391">
        <v>-48.712297653310166</v>
      </c>
    </row>
    <row r="5392" spans="1:4" x14ac:dyDescent="0.3">
      <c r="A5392">
        <v>5206404</v>
      </c>
      <c r="B5392" t="s">
        <v>6146</v>
      </c>
      <c r="C5392">
        <v>-14.537590255029153</v>
      </c>
      <c r="D5392">
        <v>-49.967203939242268</v>
      </c>
    </row>
    <row r="5393" spans="1:4" x14ac:dyDescent="0.3">
      <c r="A5393">
        <v>5206503</v>
      </c>
      <c r="B5393" t="s">
        <v>6147</v>
      </c>
      <c r="C5393">
        <v>-17.281854926821051</v>
      </c>
      <c r="D5393">
        <v>-49.380505479754753</v>
      </c>
    </row>
    <row r="5394" spans="1:4" x14ac:dyDescent="0.3">
      <c r="A5394">
        <v>5206602</v>
      </c>
      <c r="B5394" t="s">
        <v>6148</v>
      </c>
      <c r="C5394">
        <v>-18.261382298209902</v>
      </c>
      <c r="D5394">
        <v>-48.156676781034463</v>
      </c>
    </row>
    <row r="5395" spans="1:4" x14ac:dyDescent="0.3">
      <c r="A5395">
        <v>5206701</v>
      </c>
      <c r="B5395" t="s">
        <v>6149</v>
      </c>
      <c r="C5395">
        <v>-14.557435050889252</v>
      </c>
      <c r="D5395">
        <v>-46.173535809569429</v>
      </c>
    </row>
    <row r="5396" spans="1:4" x14ac:dyDescent="0.3">
      <c r="A5396">
        <v>5206800</v>
      </c>
      <c r="B5396" t="s">
        <v>6150</v>
      </c>
      <c r="C5396">
        <v>-16.254801619746001</v>
      </c>
      <c r="D5396">
        <v>-49.361105645483931</v>
      </c>
    </row>
    <row r="5397" spans="1:4" x14ac:dyDescent="0.3">
      <c r="A5397">
        <v>5206909</v>
      </c>
      <c r="B5397" t="s">
        <v>1532</v>
      </c>
      <c r="C5397">
        <v>-18.158564337890905</v>
      </c>
      <c r="D5397">
        <v>-47.559368392558632</v>
      </c>
    </row>
    <row r="5398" spans="1:4" x14ac:dyDescent="0.3">
      <c r="A5398">
        <v>5207105</v>
      </c>
      <c r="B5398" t="s">
        <v>6151</v>
      </c>
      <c r="C5398">
        <v>-16.231708520035603</v>
      </c>
      <c r="D5398">
        <v>-51.258893073176971</v>
      </c>
    </row>
    <row r="5399" spans="1:4" x14ac:dyDescent="0.3">
      <c r="A5399">
        <v>5207253</v>
      </c>
      <c r="B5399" t="s">
        <v>6152</v>
      </c>
      <c r="C5399">
        <v>-16.721037062464251</v>
      </c>
      <c r="D5399">
        <v>-52.31398042330958</v>
      </c>
    </row>
    <row r="5400" spans="1:4" x14ac:dyDescent="0.3">
      <c r="A5400">
        <v>5207352</v>
      </c>
      <c r="B5400" t="s">
        <v>6153</v>
      </c>
      <c r="C5400">
        <v>-17.422891698246602</v>
      </c>
      <c r="D5400">
        <v>-49.664695108895643</v>
      </c>
    </row>
    <row r="5401" spans="1:4" x14ac:dyDescent="0.3">
      <c r="A5401">
        <v>5207402</v>
      </c>
      <c r="B5401" t="s">
        <v>6154</v>
      </c>
      <c r="C5401">
        <v>-17.338080033119358</v>
      </c>
      <c r="D5401">
        <v>-49.934423955903583</v>
      </c>
    </row>
    <row r="5402" spans="1:4" x14ac:dyDescent="0.3">
      <c r="A5402">
        <v>5207501</v>
      </c>
      <c r="B5402" t="s">
        <v>4336</v>
      </c>
      <c r="C5402">
        <v>-13.867027395204754</v>
      </c>
      <c r="D5402">
        <v>-49.073401083599826</v>
      </c>
    </row>
    <row r="5403" spans="1:4" x14ac:dyDescent="0.3">
      <c r="A5403">
        <v>5207535</v>
      </c>
      <c r="B5403" t="s">
        <v>6155</v>
      </c>
      <c r="C5403">
        <v>-15.442868783232102</v>
      </c>
      <c r="D5403">
        <v>-50.368703659948601</v>
      </c>
    </row>
    <row r="5404" spans="1:4" x14ac:dyDescent="0.3">
      <c r="A5404">
        <v>5207600</v>
      </c>
      <c r="B5404" t="s">
        <v>850</v>
      </c>
      <c r="C5404">
        <v>-16.177514328968154</v>
      </c>
      <c r="D5404">
        <v>-50.787364400145599</v>
      </c>
    </row>
    <row r="5405" spans="1:4" x14ac:dyDescent="0.3">
      <c r="A5405">
        <v>5207808</v>
      </c>
      <c r="B5405" t="s">
        <v>6156</v>
      </c>
      <c r="C5405">
        <v>-16.576461233521574</v>
      </c>
      <c r="D5405">
        <v>-50.303634339417407</v>
      </c>
    </row>
    <row r="5406" spans="1:4" x14ac:dyDescent="0.3">
      <c r="A5406">
        <v>5207907</v>
      </c>
      <c r="B5406" t="s">
        <v>6157</v>
      </c>
      <c r="C5406">
        <v>-14.450174136692551</v>
      </c>
      <c r="D5406">
        <v>-47.045082924973087</v>
      </c>
    </row>
    <row r="5407" spans="1:4" x14ac:dyDescent="0.3">
      <c r="A5407">
        <v>5208004</v>
      </c>
      <c r="B5407" t="s">
        <v>6158</v>
      </c>
      <c r="C5407">
        <v>-15.540944627682952</v>
      </c>
      <c r="D5407">
        <v>-47.33581557646756</v>
      </c>
    </row>
    <row r="5408" spans="1:4" x14ac:dyDescent="0.3">
      <c r="A5408">
        <v>5208103</v>
      </c>
      <c r="B5408" t="s">
        <v>3458</v>
      </c>
      <c r="C5408">
        <v>-13.655780148582551</v>
      </c>
      <c r="D5408">
        <v>-48.888089672312432</v>
      </c>
    </row>
    <row r="5409" spans="1:4" x14ac:dyDescent="0.3">
      <c r="A5409">
        <v>5208152</v>
      </c>
      <c r="B5409" t="s">
        <v>6159</v>
      </c>
      <c r="C5409">
        <v>-16.482736632143801</v>
      </c>
      <c r="D5409">
        <v>-48.645705493061094</v>
      </c>
    </row>
    <row r="5410" spans="1:4" x14ac:dyDescent="0.3">
      <c r="A5410">
        <v>5208301</v>
      </c>
      <c r="B5410" t="s">
        <v>6160</v>
      </c>
      <c r="C5410">
        <v>-13.296813366895652</v>
      </c>
      <c r="D5410">
        <v>-46.393888751376814</v>
      </c>
    </row>
    <row r="5411" spans="1:4" x14ac:dyDescent="0.3">
      <c r="A5411">
        <v>5208400</v>
      </c>
      <c r="B5411" t="s">
        <v>6161</v>
      </c>
      <c r="C5411">
        <v>-16.500682166702102</v>
      </c>
      <c r="D5411">
        <v>-49.017342179032163</v>
      </c>
    </row>
    <row r="5412" spans="1:4" x14ac:dyDescent="0.3">
      <c r="A5412">
        <v>5208509</v>
      </c>
      <c r="B5412" t="s">
        <v>6162</v>
      </c>
      <c r="C5412">
        <v>-18.132624674377301</v>
      </c>
      <c r="D5412">
        <v>-48.088471374138507</v>
      </c>
    </row>
    <row r="5413" spans="1:4" x14ac:dyDescent="0.3">
      <c r="A5413">
        <v>5208608</v>
      </c>
      <c r="B5413" t="s">
        <v>6163</v>
      </c>
      <c r="C5413">
        <v>-15.3222887524883</v>
      </c>
      <c r="D5413">
        <v>-49.115810150774543</v>
      </c>
    </row>
    <row r="5414" spans="1:4" x14ac:dyDescent="0.3">
      <c r="A5414">
        <v>5208707</v>
      </c>
      <c r="B5414" t="s">
        <v>6164</v>
      </c>
      <c r="C5414">
        <v>-16.673309773838948</v>
      </c>
      <c r="D5414">
        <v>-49.255814275815766</v>
      </c>
    </row>
    <row r="5415" spans="1:4" x14ac:dyDescent="0.3">
      <c r="A5415">
        <v>5208806</v>
      </c>
      <c r="B5415" t="s">
        <v>6165</v>
      </c>
      <c r="C5415">
        <v>-16.503191559177456</v>
      </c>
      <c r="D5415">
        <v>-49.428777273610521</v>
      </c>
    </row>
    <row r="5416" spans="1:4" x14ac:dyDescent="0.3">
      <c r="A5416">
        <v>5208905</v>
      </c>
      <c r="B5416" t="s">
        <v>6166</v>
      </c>
      <c r="C5416">
        <v>-15.935742701073151</v>
      </c>
      <c r="D5416">
        <v>-50.141384144301838</v>
      </c>
    </row>
    <row r="5417" spans="1:4" x14ac:dyDescent="0.3">
      <c r="A5417">
        <v>5209101</v>
      </c>
      <c r="B5417" t="s">
        <v>6167</v>
      </c>
      <c r="C5417">
        <v>-18.01063324035665</v>
      </c>
      <c r="D5417">
        <v>-49.366643469563485</v>
      </c>
    </row>
    <row r="5418" spans="1:4" x14ac:dyDescent="0.3">
      <c r="A5418">
        <v>5209150</v>
      </c>
      <c r="B5418" t="s">
        <v>6168</v>
      </c>
      <c r="C5418">
        <v>-18.438278534391632</v>
      </c>
      <c r="D5418">
        <v>-50.137998797288297</v>
      </c>
    </row>
    <row r="5419" spans="1:4" x14ac:dyDescent="0.3">
      <c r="A5419">
        <v>5209200</v>
      </c>
      <c r="B5419" t="s">
        <v>6169</v>
      </c>
      <c r="C5419">
        <v>-16.831322758037405</v>
      </c>
      <c r="D5419">
        <v>-49.536733364301732</v>
      </c>
    </row>
    <row r="5420" spans="1:4" x14ac:dyDescent="0.3">
      <c r="A5420">
        <v>5209291</v>
      </c>
      <c r="B5420" t="s">
        <v>6170</v>
      </c>
      <c r="C5420">
        <v>-15.629427884608701</v>
      </c>
      <c r="D5420">
        <v>-50.031777984494695</v>
      </c>
    </row>
    <row r="5421" spans="1:4" x14ac:dyDescent="0.3">
      <c r="A5421">
        <v>5209408</v>
      </c>
      <c r="B5421" t="s">
        <v>6171</v>
      </c>
      <c r="C5421">
        <v>-13.938911496864302</v>
      </c>
      <c r="D5421">
        <v>-46.480375707466095</v>
      </c>
    </row>
    <row r="5422" spans="1:4" x14ac:dyDescent="0.3">
      <c r="A5422">
        <v>5209457</v>
      </c>
      <c r="B5422" t="s">
        <v>6172</v>
      </c>
      <c r="C5422">
        <v>-14.733740388743303</v>
      </c>
      <c r="D5422">
        <v>-49.701188130375982</v>
      </c>
    </row>
    <row r="5423" spans="1:4" x14ac:dyDescent="0.3">
      <c r="A5423">
        <v>5209606</v>
      </c>
      <c r="B5423" t="s">
        <v>6173</v>
      </c>
      <c r="C5423">
        <v>-15.720216421972555</v>
      </c>
      <c r="D5423">
        <v>-49.829339592429328</v>
      </c>
    </row>
    <row r="5424" spans="1:4" x14ac:dyDescent="0.3">
      <c r="A5424">
        <v>5209705</v>
      </c>
      <c r="B5424" t="s">
        <v>1975</v>
      </c>
      <c r="C5424">
        <v>-16.960944771412404</v>
      </c>
      <c r="D5424">
        <v>-49.229784043626267</v>
      </c>
    </row>
    <row r="5425" spans="1:4" x14ac:dyDescent="0.3">
      <c r="A5425">
        <v>5209804</v>
      </c>
      <c r="B5425" t="s">
        <v>6174</v>
      </c>
      <c r="C5425">
        <v>-14.727658289257553</v>
      </c>
      <c r="D5425">
        <v>-49.459897446622861</v>
      </c>
    </row>
    <row r="5426" spans="1:4" x14ac:dyDescent="0.3">
      <c r="A5426">
        <v>5209903</v>
      </c>
      <c r="B5426" t="s">
        <v>6175</v>
      </c>
      <c r="C5426">
        <v>-14.100817525321391</v>
      </c>
      <c r="D5426">
        <v>-46.631967793967</v>
      </c>
    </row>
    <row r="5427" spans="1:4" x14ac:dyDescent="0.3">
      <c r="A5427">
        <v>5209937</v>
      </c>
      <c r="B5427" t="s">
        <v>6176</v>
      </c>
      <c r="C5427">
        <v>-18.486354829740453</v>
      </c>
      <c r="D5427">
        <v>-49.987578450585943</v>
      </c>
    </row>
    <row r="5428" spans="1:4" x14ac:dyDescent="0.3">
      <c r="A5428">
        <v>5209952</v>
      </c>
      <c r="B5428" t="s">
        <v>6177</v>
      </c>
      <c r="C5428">
        <v>-17.137261310083101</v>
      </c>
      <c r="D5428">
        <v>-49.989053195028397</v>
      </c>
    </row>
    <row r="5429" spans="1:4" x14ac:dyDescent="0.3">
      <c r="A5429">
        <v>5210000</v>
      </c>
      <c r="B5429" t="s">
        <v>6178</v>
      </c>
      <c r="C5429">
        <v>-16.359960474042555</v>
      </c>
      <c r="D5429">
        <v>-49.500224506579904</v>
      </c>
    </row>
    <row r="5430" spans="1:4" x14ac:dyDescent="0.3">
      <c r="A5430">
        <v>5210109</v>
      </c>
      <c r="B5430" t="s">
        <v>6179</v>
      </c>
      <c r="C5430">
        <v>-17.722176812153354</v>
      </c>
      <c r="D5430">
        <v>-48.158667678256116</v>
      </c>
    </row>
    <row r="5431" spans="1:4" x14ac:dyDescent="0.3">
      <c r="A5431">
        <v>5210158</v>
      </c>
      <c r="B5431" t="s">
        <v>6180</v>
      </c>
      <c r="C5431">
        <v>-15.17201189407035</v>
      </c>
      <c r="D5431">
        <v>-49.667405120880041</v>
      </c>
    </row>
    <row r="5432" spans="1:4" x14ac:dyDescent="0.3">
      <c r="A5432">
        <v>5210208</v>
      </c>
      <c r="B5432" t="s">
        <v>4922</v>
      </c>
      <c r="C5432">
        <v>-16.440002670708154</v>
      </c>
      <c r="D5432">
        <v>-51.119595089215764</v>
      </c>
    </row>
    <row r="5433" spans="1:4" x14ac:dyDescent="0.3">
      <c r="A5433">
        <v>5210307</v>
      </c>
      <c r="B5433" t="s">
        <v>6181</v>
      </c>
      <c r="C5433">
        <v>-16.312801244890668</v>
      </c>
      <c r="D5433">
        <v>-50.903439714948654</v>
      </c>
    </row>
    <row r="5434" spans="1:4" x14ac:dyDescent="0.3">
      <c r="A5434">
        <v>5210406</v>
      </c>
      <c r="B5434" t="s">
        <v>6182</v>
      </c>
      <c r="C5434">
        <v>-16.021130207002699</v>
      </c>
      <c r="D5434">
        <v>-49.803479374021357</v>
      </c>
    </row>
    <row r="5435" spans="1:4" x14ac:dyDescent="0.3">
      <c r="A5435">
        <v>5210562</v>
      </c>
      <c r="B5435" t="s">
        <v>6183</v>
      </c>
      <c r="C5435">
        <v>-15.90909357060095</v>
      </c>
      <c r="D5435">
        <v>-49.60976004430519</v>
      </c>
    </row>
    <row r="5436" spans="1:4" x14ac:dyDescent="0.3">
      <c r="A5436">
        <v>5210604</v>
      </c>
      <c r="B5436" t="s">
        <v>6184</v>
      </c>
      <c r="C5436">
        <v>-15.76379438821945</v>
      </c>
      <c r="D5436">
        <v>-49.632051206422453</v>
      </c>
    </row>
    <row r="5437" spans="1:4" x14ac:dyDescent="0.3">
      <c r="A5437">
        <v>5210802</v>
      </c>
      <c r="B5437" t="s">
        <v>2138</v>
      </c>
      <c r="C5437">
        <v>-19.062235046485501</v>
      </c>
      <c r="D5437">
        <v>-51.544683959399308</v>
      </c>
    </row>
    <row r="5438" spans="1:4" x14ac:dyDescent="0.3">
      <c r="A5438">
        <v>5210901</v>
      </c>
      <c r="B5438" t="s">
        <v>6185</v>
      </c>
      <c r="C5438">
        <v>-14.950403217938701</v>
      </c>
      <c r="D5438">
        <v>-49.554156113613161</v>
      </c>
    </row>
    <row r="5439" spans="1:4" x14ac:dyDescent="0.3">
      <c r="A5439">
        <v>5211008</v>
      </c>
      <c r="B5439" t="s">
        <v>6186</v>
      </c>
      <c r="C5439">
        <v>-15.818862494156953</v>
      </c>
      <c r="D5439">
        <v>-50.60916282732888</v>
      </c>
    </row>
    <row r="5440" spans="1:4" x14ac:dyDescent="0.3">
      <c r="A5440">
        <v>5211206</v>
      </c>
      <c r="B5440" t="s">
        <v>6187</v>
      </c>
      <c r="C5440">
        <v>-15.562331245678537</v>
      </c>
      <c r="D5440">
        <v>-49.944493416790387</v>
      </c>
    </row>
    <row r="5441" spans="1:4" x14ac:dyDescent="0.3">
      <c r="A5441">
        <v>5211305</v>
      </c>
      <c r="B5441" t="s">
        <v>6188</v>
      </c>
      <c r="C5441">
        <v>-18.761660228442153</v>
      </c>
      <c r="D5441">
        <v>-51.348889900608008</v>
      </c>
    </row>
    <row r="5442" spans="1:4" x14ac:dyDescent="0.3">
      <c r="A5442">
        <v>5211404</v>
      </c>
      <c r="B5442" t="s">
        <v>6189</v>
      </c>
      <c r="C5442">
        <v>-16.203347231163502</v>
      </c>
      <c r="D5442">
        <v>-49.601134085273777</v>
      </c>
    </row>
    <row r="5443" spans="1:4" x14ac:dyDescent="0.3">
      <c r="A5443">
        <v>5211503</v>
      </c>
      <c r="B5443" t="s">
        <v>6190</v>
      </c>
      <c r="C5443">
        <v>-18.417682471534853</v>
      </c>
      <c r="D5443">
        <v>-49.220870075037986</v>
      </c>
    </row>
    <row r="5444" spans="1:4" x14ac:dyDescent="0.3">
      <c r="A5444">
        <v>5211602</v>
      </c>
      <c r="B5444" t="s">
        <v>6191</v>
      </c>
      <c r="C5444">
        <v>-16.603402761767203</v>
      </c>
      <c r="D5444">
        <v>-50.794701366351376</v>
      </c>
    </row>
    <row r="5445" spans="1:4" x14ac:dyDescent="0.3">
      <c r="A5445">
        <v>5211701</v>
      </c>
      <c r="B5445" t="s">
        <v>6192</v>
      </c>
      <c r="C5445">
        <v>-17.049421139548151</v>
      </c>
      <c r="D5445">
        <v>-50.148007636060498</v>
      </c>
    </row>
    <row r="5446" spans="1:4" x14ac:dyDescent="0.3">
      <c r="A5446">
        <v>5211800</v>
      </c>
      <c r="B5446" t="s">
        <v>6193</v>
      </c>
      <c r="C5446">
        <v>-15.753113782878252</v>
      </c>
      <c r="D5446">
        <v>-49.330143934236666</v>
      </c>
    </row>
    <row r="5447" spans="1:4" x14ac:dyDescent="0.3">
      <c r="A5447">
        <v>5211909</v>
      </c>
      <c r="B5447" t="s">
        <v>6194</v>
      </c>
      <c r="C5447">
        <v>-17.886232333840404</v>
      </c>
      <c r="D5447">
        <v>-51.720818037560498</v>
      </c>
    </row>
    <row r="5448" spans="1:4" x14ac:dyDescent="0.3">
      <c r="A5448">
        <v>5212006</v>
      </c>
      <c r="B5448" t="s">
        <v>6195</v>
      </c>
      <c r="C5448">
        <v>-16.1780359315247</v>
      </c>
      <c r="D5448">
        <v>-50.951719142487327</v>
      </c>
    </row>
    <row r="5449" spans="1:4" x14ac:dyDescent="0.3">
      <c r="A5449">
        <v>5212055</v>
      </c>
      <c r="B5449" t="s">
        <v>6196</v>
      </c>
      <c r="C5449">
        <v>-15.951597607831452</v>
      </c>
      <c r="D5449">
        <v>-49.37621892752729</v>
      </c>
    </row>
    <row r="5450" spans="1:4" x14ac:dyDescent="0.3">
      <c r="A5450">
        <v>5212105</v>
      </c>
      <c r="B5450" t="s">
        <v>6197</v>
      </c>
      <c r="C5450">
        <v>-17.807109452071654</v>
      </c>
      <c r="D5450">
        <v>-49.629939809588976</v>
      </c>
    </row>
    <row r="5451" spans="1:4" x14ac:dyDescent="0.3">
      <c r="A5451">
        <v>5212204</v>
      </c>
      <c r="B5451" t="s">
        <v>2990</v>
      </c>
      <c r="C5451">
        <v>-15.866348923333508</v>
      </c>
      <c r="D5451">
        <v>-50.866126589996696</v>
      </c>
    </row>
    <row r="5452" spans="1:4" x14ac:dyDescent="0.3">
      <c r="A5452">
        <v>5212253</v>
      </c>
      <c r="B5452" t="s">
        <v>3594</v>
      </c>
      <c r="C5452">
        <v>-19.183606980817302</v>
      </c>
      <c r="D5452">
        <v>-51.404615846918709</v>
      </c>
    </row>
    <row r="5453" spans="1:4" x14ac:dyDescent="0.3">
      <c r="A5453">
        <v>5212303</v>
      </c>
      <c r="B5453" t="s">
        <v>6198</v>
      </c>
      <c r="C5453">
        <v>-16.618964932913652</v>
      </c>
      <c r="D5453">
        <v>-48.746452336956288</v>
      </c>
    </row>
    <row r="5454" spans="1:4" x14ac:dyDescent="0.3">
      <c r="A5454">
        <v>5212501</v>
      </c>
      <c r="B5454" t="s">
        <v>6199</v>
      </c>
      <c r="C5454">
        <v>-16.258541000000005</v>
      </c>
      <c r="D5454">
        <v>-47.955720056759453</v>
      </c>
    </row>
    <row r="5455" spans="1:4" x14ac:dyDescent="0.3">
      <c r="A5455">
        <v>5212600</v>
      </c>
      <c r="B5455" t="s">
        <v>6200</v>
      </c>
      <c r="C5455">
        <v>-17.297395468858554</v>
      </c>
      <c r="D5455">
        <v>-49.5008802854382</v>
      </c>
    </row>
    <row r="5456" spans="1:4" x14ac:dyDescent="0.3">
      <c r="A5456">
        <v>5212709</v>
      </c>
      <c r="B5456" t="s">
        <v>6201</v>
      </c>
      <c r="C5456">
        <v>-14.487534264203703</v>
      </c>
      <c r="D5456">
        <v>-46.113947412674371</v>
      </c>
    </row>
    <row r="5457" spans="1:4" x14ac:dyDescent="0.3">
      <c r="A5457">
        <v>5212808</v>
      </c>
      <c r="B5457" t="s">
        <v>6202</v>
      </c>
      <c r="C5457">
        <v>-14.008568895669951</v>
      </c>
      <c r="D5457">
        <v>-49.179823143244256</v>
      </c>
    </row>
    <row r="5458" spans="1:4" x14ac:dyDescent="0.3">
      <c r="A5458">
        <v>5212907</v>
      </c>
      <c r="B5458" t="s">
        <v>6203</v>
      </c>
      <c r="C5458">
        <v>-17.981610255833854</v>
      </c>
      <c r="D5458">
        <v>-48.637173578867724</v>
      </c>
    </row>
    <row r="5459" spans="1:4" x14ac:dyDescent="0.3">
      <c r="A5459">
        <v>5212956</v>
      </c>
      <c r="B5459" t="s">
        <v>6204</v>
      </c>
      <c r="C5459">
        <v>-15.437188316996952</v>
      </c>
      <c r="D5459">
        <v>-50.746474343577738</v>
      </c>
    </row>
    <row r="5460" spans="1:4" x14ac:dyDescent="0.3">
      <c r="A5460">
        <v>5213004</v>
      </c>
      <c r="B5460" t="s">
        <v>6205</v>
      </c>
      <c r="C5460">
        <v>-17.972082988646203</v>
      </c>
      <c r="D5460">
        <v>-50.338911397153083</v>
      </c>
    </row>
    <row r="5461" spans="1:4" x14ac:dyDescent="0.3">
      <c r="A5461">
        <v>5213053</v>
      </c>
      <c r="B5461" t="s">
        <v>6206</v>
      </c>
      <c r="C5461">
        <v>-15.05929349156945</v>
      </c>
      <c r="D5461">
        <v>-48.163273115937699</v>
      </c>
    </row>
    <row r="5462" spans="1:4" x14ac:dyDescent="0.3">
      <c r="A5462">
        <v>5213087</v>
      </c>
      <c r="B5462" t="s">
        <v>6207</v>
      </c>
      <c r="C5462">
        <v>-13.5350936496024</v>
      </c>
      <c r="D5462">
        <v>-48.223907623800947</v>
      </c>
    </row>
    <row r="5463" spans="1:4" x14ac:dyDescent="0.3">
      <c r="A5463">
        <v>5213103</v>
      </c>
      <c r="B5463" t="s">
        <v>6208</v>
      </c>
      <c r="C5463">
        <v>-17.566167571487799</v>
      </c>
      <c r="D5463">
        <v>-52.554667187934925</v>
      </c>
    </row>
    <row r="5464" spans="1:4" x14ac:dyDescent="0.3">
      <c r="A5464">
        <v>5213400</v>
      </c>
      <c r="B5464" t="s">
        <v>6209</v>
      </c>
      <c r="C5464">
        <v>-16.546899884094003</v>
      </c>
      <c r="D5464">
        <v>-50.736097539874692</v>
      </c>
    </row>
    <row r="5465" spans="1:4" x14ac:dyDescent="0.3">
      <c r="A5465">
        <v>5213509</v>
      </c>
      <c r="B5465" t="s">
        <v>6210</v>
      </c>
      <c r="C5465">
        <v>-13.257326076706253</v>
      </c>
      <c r="D5465">
        <v>-46.885799138354812</v>
      </c>
    </row>
    <row r="5466" spans="1:4" x14ac:dyDescent="0.3">
      <c r="A5466">
        <v>5213707</v>
      </c>
      <c r="B5466" t="s">
        <v>6211</v>
      </c>
      <c r="C5466">
        <v>-16.004759910100557</v>
      </c>
      <c r="D5466">
        <v>-51.400498884688943</v>
      </c>
    </row>
    <row r="5467" spans="1:4" x14ac:dyDescent="0.3">
      <c r="A5467">
        <v>5213756</v>
      </c>
      <c r="B5467" t="s">
        <v>6212</v>
      </c>
      <c r="C5467">
        <v>-17.444462001721778</v>
      </c>
      <c r="D5467">
        <v>-51.175144598487471</v>
      </c>
    </row>
    <row r="5468" spans="1:4" x14ac:dyDescent="0.3">
      <c r="A5468">
        <v>5213772</v>
      </c>
      <c r="B5468" t="s">
        <v>6213</v>
      </c>
      <c r="C5468">
        <v>-13.353094256585955</v>
      </c>
      <c r="D5468">
        <v>-48.688822123884954</v>
      </c>
    </row>
    <row r="5469" spans="1:4" x14ac:dyDescent="0.3">
      <c r="A5469">
        <v>5213806</v>
      </c>
      <c r="B5469" t="s">
        <v>2022</v>
      </c>
      <c r="C5469">
        <v>-17.735271099944054</v>
      </c>
      <c r="D5469">
        <v>-49.110177071885495</v>
      </c>
    </row>
    <row r="5470" spans="1:4" x14ac:dyDescent="0.3">
      <c r="A5470">
        <v>5213855</v>
      </c>
      <c r="B5470" t="s">
        <v>6214</v>
      </c>
      <c r="C5470">
        <v>-15.312198148320851</v>
      </c>
      <c r="D5470">
        <v>-50.057447131942418</v>
      </c>
    </row>
    <row r="5471" spans="1:4" x14ac:dyDescent="0.3">
      <c r="A5471">
        <v>5213905</v>
      </c>
      <c r="B5471" t="s">
        <v>6215</v>
      </c>
      <c r="C5471">
        <v>-16.119654299322701</v>
      </c>
      <c r="D5471">
        <v>-50.218049671325119</v>
      </c>
    </row>
    <row r="5472" spans="1:4" x14ac:dyDescent="0.3">
      <c r="A5472">
        <v>5214002</v>
      </c>
      <c r="B5472" t="s">
        <v>6216</v>
      </c>
      <c r="C5472">
        <v>-14.74758947635585</v>
      </c>
      <c r="D5472">
        <v>-50.57021361235843</v>
      </c>
    </row>
    <row r="5473" spans="1:4" x14ac:dyDescent="0.3">
      <c r="A5473">
        <v>5214051</v>
      </c>
      <c r="B5473" t="s">
        <v>3036</v>
      </c>
      <c r="C5473">
        <v>-13.765576924048004</v>
      </c>
      <c r="D5473">
        <v>-50.285687722489584</v>
      </c>
    </row>
    <row r="5474" spans="1:4" x14ac:dyDescent="0.3">
      <c r="A5474">
        <v>5214101</v>
      </c>
      <c r="B5474" t="s">
        <v>6217</v>
      </c>
      <c r="C5474">
        <v>-13.723610581818852</v>
      </c>
      <c r="D5474">
        <v>-49.274445247358109</v>
      </c>
    </row>
    <row r="5475" spans="1:4" x14ac:dyDescent="0.3">
      <c r="A5475">
        <v>5214408</v>
      </c>
      <c r="B5475" t="s">
        <v>6218</v>
      </c>
      <c r="C5475">
        <v>-16.580528079671701</v>
      </c>
      <c r="D5475">
        <v>-49.881988231725124</v>
      </c>
    </row>
    <row r="5476" spans="1:4" x14ac:dyDescent="0.3">
      <c r="A5476">
        <v>5214507</v>
      </c>
      <c r="B5476" t="s">
        <v>6219</v>
      </c>
      <c r="C5476">
        <v>-16.404043684235504</v>
      </c>
      <c r="D5476">
        <v>-49.224462526185022</v>
      </c>
    </row>
    <row r="5477" spans="1:4" x14ac:dyDescent="0.3">
      <c r="A5477">
        <v>5214606</v>
      </c>
      <c r="B5477" t="s">
        <v>6220</v>
      </c>
      <c r="C5477">
        <v>-14.469110144177751</v>
      </c>
      <c r="D5477">
        <v>-48.458585149473322</v>
      </c>
    </row>
    <row r="5478" spans="1:4" x14ac:dyDescent="0.3">
      <c r="A5478">
        <v>5214705</v>
      </c>
      <c r="B5478" t="s">
        <v>6221</v>
      </c>
      <c r="C5478">
        <v>-15.018385859630254</v>
      </c>
      <c r="D5478">
        <v>-49.899315399329815</v>
      </c>
    </row>
    <row r="5479" spans="1:4" x14ac:dyDescent="0.3">
      <c r="A5479">
        <v>5214804</v>
      </c>
      <c r="B5479" t="s">
        <v>4996</v>
      </c>
      <c r="C5479">
        <v>-18.065102101210254</v>
      </c>
      <c r="D5479">
        <v>-48.260457906923335</v>
      </c>
    </row>
    <row r="5480" spans="1:4" x14ac:dyDescent="0.3">
      <c r="A5480">
        <v>5214838</v>
      </c>
      <c r="B5480" t="s">
        <v>6222</v>
      </c>
      <c r="C5480">
        <v>-14.095611430706802</v>
      </c>
      <c r="D5480">
        <v>-50.34200033191545</v>
      </c>
    </row>
    <row r="5481" spans="1:4" x14ac:dyDescent="0.3">
      <c r="A5481">
        <v>5214861</v>
      </c>
      <c r="B5481" t="s">
        <v>6223</v>
      </c>
      <c r="C5481">
        <v>-15.149276585362404</v>
      </c>
      <c r="D5481">
        <v>-49.578784700258097</v>
      </c>
    </row>
    <row r="5482" spans="1:4" x14ac:dyDescent="0.3">
      <c r="A5482">
        <v>5214879</v>
      </c>
      <c r="B5482" t="s">
        <v>6224</v>
      </c>
      <c r="C5482">
        <v>-14.283477414933603</v>
      </c>
      <c r="D5482">
        <v>-49.390770108740448</v>
      </c>
    </row>
    <row r="5483" spans="1:4" x14ac:dyDescent="0.3">
      <c r="A5483">
        <v>5214903</v>
      </c>
      <c r="B5483" t="s">
        <v>6225</v>
      </c>
      <c r="C5483">
        <v>-13.742905752092103</v>
      </c>
      <c r="D5483">
        <v>-46.890325970371897</v>
      </c>
    </row>
    <row r="5484" spans="1:4" x14ac:dyDescent="0.3">
      <c r="A5484">
        <v>5215009</v>
      </c>
      <c r="B5484" t="s">
        <v>5305</v>
      </c>
      <c r="C5484">
        <v>-16.365233193082702</v>
      </c>
      <c r="D5484">
        <v>-49.31089810420994</v>
      </c>
    </row>
    <row r="5485" spans="1:4" x14ac:dyDescent="0.3">
      <c r="A5485">
        <v>5215207</v>
      </c>
      <c r="B5485" t="s">
        <v>6226</v>
      </c>
      <c r="C5485">
        <v>-16.032670860266951</v>
      </c>
      <c r="D5485">
        <v>-50.716314453064641</v>
      </c>
    </row>
    <row r="5486" spans="1:4" x14ac:dyDescent="0.3">
      <c r="A5486">
        <v>5215231</v>
      </c>
      <c r="B5486" t="s">
        <v>6227</v>
      </c>
      <c r="C5486">
        <v>-16.056078214198152</v>
      </c>
      <c r="D5486">
        <v>-48.037211274124623</v>
      </c>
    </row>
    <row r="5487" spans="1:4" x14ac:dyDescent="0.3">
      <c r="A5487">
        <v>5215256</v>
      </c>
      <c r="B5487" t="s">
        <v>6228</v>
      </c>
      <c r="C5487">
        <v>-13.240951976579451</v>
      </c>
      <c r="D5487">
        <v>-49.512050299191969</v>
      </c>
    </row>
    <row r="5488" spans="1:4" x14ac:dyDescent="0.3">
      <c r="A5488">
        <v>5215306</v>
      </c>
      <c r="B5488" t="s">
        <v>6229</v>
      </c>
      <c r="C5488">
        <v>-17.034766017605552</v>
      </c>
      <c r="D5488">
        <v>-48.302147802984607</v>
      </c>
    </row>
    <row r="5489" spans="1:4" x14ac:dyDescent="0.3">
      <c r="A5489">
        <v>5215405</v>
      </c>
      <c r="B5489" t="s">
        <v>6230</v>
      </c>
      <c r="C5489">
        <v>-16.210827654498001</v>
      </c>
      <c r="D5489">
        <v>-49.203867602784648</v>
      </c>
    </row>
    <row r="5490" spans="1:4" x14ac:dyDescent="0.3">
      <c r="A5490">
        <v>5215504</v>
      </c>
      <c r="B5490" t="s">
        <v>6231</v>
      </c>
      <c r="C5490">
        <v>-18.225568712187904</v>
      </c>
      <c r="D5490">
        <v>-47.83260440402173</v>
      </c>
    </row>
    <row r="5491" spans="1:4" x14ac:dyDescent="0.3">
      <c r="A5491">
        <v>5215603</v>
      </c>
      <c r="B5491" t="s">
        <v>6232</v>
      </c>
      <c r="C5491">
        <v>-15.164355420000001</v>
      </c>
      <c r="D5491">
        <v>-48.285965616330564</v>
      </c>
    </row>
    <row r="5492" spans="1:4" x14ac:dyDescent="0.3">
      <c r="A5492">
        <v>5215652</v>
      </c>
      <c r="B5492" t="s">
        <v>6233</v>
      </c>
      <c r="C5492">
        <v>-16.741431772585255</v>
      </c>
      <c r="D5492">
        <v>-51.530032200692887</v>
      </c>
    </row>
    <row r="5493" spans="1:4" x14ac:dyDescent="0.3">
      <c r="A5493">
        <v>5215702</v>
      </c>
      <c r="B5493" t="s">
        <v>6234</v>
      </c>
      <c r="C5493">
        <v>-16.806988005921603</v>
      </c>
      <c r="D5493">
        <v>-49.922787129295727</v>
      </c>
    </row>
    <row r="5494" spans="1:4" x14ac:dyDescent="0.3">
      <c r="A5494">
        <v>5215801</v>
      </c>
      <c r="B5494" t="s">
        <v>6235</v>
      </c>
      <c r="C5494">
        <v>-17.323016851708601</v>
      </c>
      <c r="D5494">
        <v>-48.42309557642254</v>
      </c>
    </row>
    <row r="5495" spans="1:4" x14ac:dyDescent="0.3">
      <c r="A5495">
        <v>5215900</v>
      </c>
      <c r="B5495" t="s">
        <v>6236</v>
      </c>
      <c r="C5495">
        <v>-16.799135022556651</v>
      </c>
      <c r="D5495">
        <v>-50.165493751646473</v>
      </c>
    </row>
    <row r="5496" spans="1:4" x14ac:dyDescent="0.3">
      <c r="A5496">
        <v>5216007</v>
      </c>
      <c r="B5496" t="s">
        <v>6237</v>
      </c>
      <c r="C5496">
        <v>-18.182455275703152</v>
      </c>
      <c r="D5496">
        <v>-49.35348191592179</v>
      </c>
    </row>
    <row r="5497" spans="1:4" x14ac:dyDescent="0.3">
      <c r="A5497">
        <v>5216304</v>
      </c>
      <c r="B5497" t="s">
        <v>6238</v>
      </c>
      <c r="C5497">
        <v>-18.905159859907002</v>
      </c>
      <c r="D5497">
        <v>-50.652204359598564</v>
      </c>
    </row>
    <row r="5498" spans="1:4" x14ac:dyDescent="0.3">
      <c r="A5498">
        <v>5216403</v>
      </c>
      <c r="B5498" t="s">
        <v>6239</v>
      </c>
      <c r="C5498">
        <v>-16.946697009276601</v>
      </c>
      <c r="D5498">
        <v>-50.457640593057597</v>
      </c>
    </row>
    <row r="5499" spans="1:4" x14ac:dyDescent="0.3">
      <c r="A5499">
        <v>5216452</v>
      </c>
      <c r="B5499" t="s">
        <v>6240</v>
      </c>
      <c r="C5499">
        <v>-17.526453522864752</v>
      </c>
      <c r="D5499">
        <v>-52.066577249610013</v>
      </c>
    </row>
    <row r="5500" spans="1:4" x14ac:dyDescent="0.3">
      <c r="A5500">
        <v>5216809</v>
      </c>
      <c r="B5500" t="s">
        <v>6241</v>
      </c>
      <c r="C5500">
        <v>-16.097417574569402</v>
      </c>
      <c r="D5500">
        <v>-49.338797936091026</v>
      </c>
    </row>
    <row r="5501" spans="1:4" x14ac:dyDescent="0.3">
      <c r="A5501">
        <v>5216908</v>
      </c>
      <c r="B5501" t="s">
        <v>6242</v>
      </c>
      <c r="C5501">
        <v>-14.7660904485041</v>
      </c>
      <c r="D5501">
        <v>-49.575114312764981</v>
      </c>
    </row>
    <row r="5502" spans="1:4" x14ac:dyDescent="0.3">
      <c r="A5502">
        <v>5217104</v>
      </c>
      <c r="B5502" t="s">
        <v>6243</v>
      </c>
      <c r="C5502">
        <v>-17.301809715800854</v>
      </c>
      <c r="D5502">
        <v>-49.02456034712749</v>
      </c>
    </row>
    <row r="5503" spans="1:4" x14ac:dyDescent="0.3">
      <c r="A5503">
        <v>5217203</v>
      </c>
      <c r="B5503" t="s">
        <v>2685</v>
      </c>
      <c r="C5503">
        <v>-16.42070644048599</v>
      </c>
      <c r="D5503">
        <v>-51.821801335950809</v>
      </c>
    </row>
    <row r="5504" spans="1:4" x14ac:dyDescent="0.3">
      <c r="A5504">
        <v>5217302</v>
      </c>
      <c r="B5504" t="s">
        <v>6244</v>
      </c>
      <c r="C5504">
        <v>-15.853342297545352</v>
      </c>
      <c r="D5504">
        <v>-48.962527192617863</v>
      </c>
    </row>
    <row r="5505" spans="1:4" x14ac:dyDescent="0.3">
      <c r="A5505">
        <v>5217401</v>
      </c>
      <c r="B5505" t="s">
        <v>6245</v>
      </c>
      <c r="C5505">
        <v>-17.300581105515402</v>
      </c>
      <c r="D5505">
        <v>-48.280292553344594</v>
      </c>
    </row>
    <row r="5506" spans="1:4" x14ac:dyDescent="0.3">
      <c r="A5506">
        <v>5217609</v>
      </c>
      <c r="B5506" t="s">
        <v>6246</v>
      </c>
      <c r="C5506">
        <v>-15.453109564974401</v>
      </c>
      <c r="D5506">
        <v>-47.614846766150798</v>
      </c>
    </row>
    <row r="5507" spans="1:4" x14ac:dyDescent="0.3">
      <c r="A5507">
        <v>5217708</v>
      </c>
      <c r="B5507" t="s">
        <v>6247</v>
      </c>
      <c r="C5507">
        <v>-17.514984421486055</v>
      </c>
      <c r="D5507">
        <v>-49.448181016168981</v>
      </c>
    </row>
    <row r="5508" spans="1:4" x14ac:dyDescent="0.3">
      <c r="A5508">
        <v>5218003</v>
      </c>
      <c r="B5508" t="s">
        <v>6248</v>
      </c>
      <c r="C5508">
        <v>-13.442185946622404</v>
      </c>
      <c r="D5508">
        <v>-49.146226051887915</v>
      </c>
    </row>
    <row r="5509" spans="1:4" x14ac:dyDescent="0.3">
      <c r="A5509">
        <v>5218052</v>
      </c>
      <c r="B5509" t="s">
        <v>6249</v>
      </c>
      <c r="C5509">
        <v>-17.815400629888202</v>
      </c>
      <c r="D5509">
        <v>-50.164250416868313</v>
      </c>
    </row>
    <row r="5510" spans="1:4" x14ac:dyDescent="0.3">
      <c r="A5510">
        <v>5218102</v>
      </c>
      <c r="B5510" t="s">
        <v>6250</v>
      </c>
      <c r="C5510">
        <v>-17.352924104714255</v>
      </c>
      <c r="D5510">
        <v>-52.680683543853959</v>
      </c>
    </row>
    <row r="5511" spans="1:4" x14ac:dyDescent="0.3">
      <c r="A5511">
        <v>5218300</v>
      </c>
      <c r="B5511" t="s">
        <v>6251</v>
      </c>
      <c r="C5511">
        <v>-14.087733564224902</v>
      </c>
      <c r="D5511">
        <v>-46.362010442307714</v>
      </c>
    </row>
    <row r="5512" spans="1:4" x14ac:dyDescent="0.3">
      <c r="A5512">
        <v>5218391</v>
      </c>
      <c r="B5512" t="s">
        <v>6252</v>
      </c>
      <c r="C5512">
        <v>-17.247566683240354</v>
      </c>
      <c r="D5512">
        <v>-49.236697307333699</v>
      </c>
    </row>
    <row r="5513" spans="1:4" x14ac:dyDescent="0.3">
      <c r="A5513">
        <v>5218508</v>
      </c>
      <c r="B5513" t="s">
        <v>6253</v>
      </c>
      <c r="C5513">
        <v>-18.451507355884655</v>
      </c>
      <c r="D5513">
        <v>-50.452262521809068</v>
      </c>
    </row>
    <row r="5514" spans="1:4" x14ac:dyDescent="0.3">
      <c r="A5514">
        <v>5218607</v>
      </c>
      <c r="B5514" t="s">
        <v>6254</v>
      </c>
      <c r="C5514">
        <v>-15.315403973235851</v>
      </c>
      <c r="D5514">
        <v>-49.584369508683665</v>
      </c>
    </row>
    <row r="5515" spans="1:4" x14ac:dyDescent="0.3">
      <c r="A5515">
        <v>5218706</v>
      </c>
      <c r="B5515" t="s">
        <v>6255</v>
      </c>
      <c r="C5515">
        <v>-15.442466668260252</v>
      </c>
      <c r="D5515">
        <v>-49.510116994116608</v>
      </c>
    </row>
    <row r="5516" spans="1:4" x14ac:dyDescent="0.3">
      <c r="A5516">
        <v>5218789</v>
      </c>
      <c r="B5516" t="s">
        <v>6256</v>
      </c>
      <c r="C5516">
        <v>-17.767745812166105</v>
      </c>
      <c r="D5516">
        <v>-48.772668295832922</v>
      </c>
    </row>
    <row r="5517" spans="1:4" x14ac:dyDescent="0.3">
      <c r="A5517">
        <v>5218805</v>
      </c>
      <c r="B5517" t="s">
        <v>6257</v>
      </c>
      <c r="C5517">
        <v>-17.794543401905702</v>
      </c>
      <c r="D5517">
        <v>-50.929680930173213</v>
      </c>
    </row>
    <row r="5518" spans="1:4" x14ac:dyDescent="0.3">
      <c r="A5518">
        <v>5218904</v>
      </c>
      <c r="B5518" t="s">
        <v>6258</v>
      </c>
      <c r="C5518">
        <v>-15.164312753717203</v>
      </c>
      <c r="D5518">
        <v>-49.803409697144097</v>
      </c>
    </row>
    <row r="5519" spans="1:4" x14ac:dyDescent="0.3">
      <c r="A5519">
        <v>5219001</v>
      </c>
      <c r="B5519" t="s">
        <v>6259</v>
      </c>
      <c r="C5519">
        <v>-16.200663082872605</v>
      </c>
      <c r="D5519">
        <v>-50.315866933070588</v>
      </c>
    </row>
    <row r="5520" spans="1:4" x14ac:dyDescent="0.3">
      <c r="A5520">
        <v>5219100</v>
      </c>
      <c r="B5520" t="s">
        <v>6260</v>
      </c>
      <c r="C5520">
        <v>-16.577475928955753</v>
      </c>
      <c r="D5520">
        <v>-49.68978337711259</v>
      </c>
    </row>
    <row r="5521" spans="1:4" x14ac:dyDescent="0.3">
      <c r="A5521">
        <v>5219209</v>
      </c>
      <c r="B5521" t="s">
        <v>6261</v>
      </c>
      <c r="C5521">
        <v>-17.321553023146205</v>
      </c>
      <c r="D5521">
        <v>-48.47668975766701</v>
      </c>
    </row>
    <row r="5522" spans="1:4" x14ac:dyDescent="0.3">
      <c r="A5522">
        <v>5219258</v>
      </c>
      <c r="B5522" t="s">
        <v>6262</v>
      </c>
      <c r="C5522">
        <v>-15.770784562831901</v>
      </c>
      <c r="D5522">
        <v>-51.109415948025294</v>
      </c>
    </row>
    <row r="5523" spans="1:4" x14ac:dyDescent="0.3">
      <c r="A5523">
        <v>5219308</v>
      </c>
      <c r="B5523" t="s">
        <v>6263</v>
      </c>
      <c r="C5523">
        <v>-17.812355140138504</v>
      </c>
      <c r="D5523">
        <v>-50.598443262421434</v>
      </c>
    </row>
    <row r="5524" spans="1:4" x14ac:dyDescent="0.3">
      <c r="A5524">
        <v>5219357</v>
      </c>
      <c r="B5524" t="s">
        <v>4677</v>
      </c>
      <c r="C5524">
        <v>-15.302398242805303</v>
      </c>
      <c r="D5524">
        <v>-49.428177949579123</v>
      </c>
    </row>
    <row r="5525" spans="1:4" x14ac:dyDescent="0.3">
      <c r="A5525">
        <v>5219407</v>
      </c>
      <c r="B5525" t="s">
        <v>6264</v>
      </c>
      <c r="C5525">
        <v>-17.326350786319104</v>
      </c>
      <c r="D5525">
        <v>-53.205146510798571</v>
      </c>
    </row>
    <row r="5526" spans="1:4" x14ac:dyDescent="0.3">
      <c r="A5526">
        <v>5219456</v>
      </c>
      <c r="B5526" t="s">
        <v>6265</v>
      </c>
      <c r="C5526">
        <v>-15.135391097064202</v>
      </c>
      <c r="D5526">
        <v>-49.120125526338924</v>
      </c>
    </row>
    <row r="5527" spans="1:4" x14ac:dyDescent="0.3">
      <c r="A5527">
        <v>5219506</v>
      </c>
      <c r="B5527" t="s">
        <v>6266</v>
      </c>
      <c r="C5527">
        <v>-16.079890861453666</v>
      </c>
      <c r="D5527">
        <v>-49.491579173177961</v>
      </c>
    </row>
    <row r="5528" spans="1:4" x14ac:dyDescent="0.3">
      <c r="A5528">
        <v>5219605</v>
      </c>
      <c r="B5528" t="s">
        <v>6267</v>
      </c>
      <c r="C5528">
        <v>-13.712550867112054</v>
      </c>
      <c r="D5528">
        <v>-49.014996946443453</v>
      </c>
    </row>
    <row r="5529" spans="1:4" x14ac:dyDescent="0.3">
      <c r="A5529">
        <v>5219704</v>
      </c>
      <c r="B5529" t="s">
        <v>6268</v>
      </c>
      <c r="C5529">
        <v>-14.433476420299803</v>
      </c>
      <c r="D5529">
        <v>-49.70620224111606</v>
      </c>
    </row>
    <row r="5530" spans="1:4" x14ac:dyDescent="0.3">
      <c r="A5530">
        <v>5219712</v>
      </c>
      <c r="B5530" t="s">
        <v>6269</v>
      </c>
      <c r="C5530">
        <v>-17.556108296493502</v>
      </c>
      <c r="D5530">
        <v>-50.634053580807667</v>
      </c>
    </row>
    <row r="5531" spans="1:4" x14ac:dyDescent="0.3">
      <c r="A5531">
        <v>5219738</v>
      </c>
      <c r="B5531" t="s">
        <v>6270</v>
      </c>
      <c r="C5531">
        <v>-16.483121215036004</v>
      </c>
      <c r="D5531">
        <v>-49.310242856928269</v>
      </c>
    </row>
    <row r="5532" spans="1:4" x14ac:dyDescent="0.3">
      <c r="A5532">
        <v>5219753</v>
      </c>
      <c r="B5532" t="s">
        <v>6271</v>
      </c>
      <c r="C5532">
        <v>-15.944223510000004</v>
      </c>
      <c r="D5532">
        <v>-48.256006425840262</v>
      </c>
    </row>
    <row r="5533" spans="1:4" x14ac:dyDescent="0.3">
      <c r="A5533">
        <v>5219803</v>
      </c>
      <c r="B5533" t="s">
        <v>2408</v>
      </c>
      <c r="C5533">
        <v>-13.402013257212953</v>
      </c>
      <c r="D5533">
        <v>-46.315105242449214</v>
      </c>
    </row>
    <row r="5534" spans="1:4" x14ac:dyDescent="0.3">
      <c r="A5534">
        <v>5219902</v>
      </c>
      <c r="B5534" t="s">
        <v>6272</v>
      </c>
      <c r="C5534">
        <v>-15.922706436828854</v>
      </c>
      <c r="D5534">
        <v>-49.262008720418933</v>
      </c>
    </row>
    <row r="5535" spans="1:4" x14ac:dyDescent="0.3">
      <c r="A5535">
        <v>5220009</v>
      </c>
      <c r="B5535" t="s">
        <v>6273</v>
      </c>
      <c r="C5535">
        <v>-14.708216179663804</v>
      </c>
      <c r="D5535">
        <v>-47.518801712342295</v>
      </c>
    </row>
    <row r="5536" spans="1:4" x14ac:dyDescent="0.3">
      <c r="A5536">
        <v>5220058</v>
      </c>
      <c r="B5536" t="s">
        <v>6274</v>
      </c>
      <c r="C5536">
        <v>-16.814523553521401</v>
      </c>
      <c r="D5536">
        <v>-50.405062992540039</v>
      </c>
    </row>
    <row r="5537" spans="1:4" x14ac:dyDescent="0.3">
      <c r="A5537">
        <v>5220108</v>
      </c>
      <c r="B5537" t="s">
        <v>6275</v>
      </c>
      <c r="C5537">
        <v>-16.519810159779954</v>
      </c>
      <c r="D5537">
        <v>-50.374288002731312</v>
      </c>
    </row>
    <row r="5538" spans="1:4" x14ac:dyDescent="0.3">
      <c r="A5538">
        <v>5220157</v>
      </c>
      <c r="B5538" t="s">
        <v>6276</v>
      </c>
      <c r="C5538">
        <v>-14.862078911310302</v>
      </c>
      <c r="D5538">
        <v>-49.331935880578271</v>
      </c>
    </row>
    <row r="5539" spans="1:4" x14ac:dyDescent="0.3">
      <c r="A5539">
        <v>5220207</v>
      </c>
      <c r="B5539" t="s">
        <v>6277</v>
      </c>
      <c r="C5539">
        <v>-13.276024342964501</v>
      </c>
      <c r="D5539">
        <v>-50.16383827014252</v>
      </c>
    </row>
    <row r="5540" spans="1:4" x14ac:dyDescent="0.3">
      <c r="A5540">
        <v>5220264</v>
      </c>
      <c r="B5540" t="s">
        <v>6278</v>
      </c>
      <c r="C5540">
        <v>-17.050934349931204</v>
      </c>
      <c r="D5540">
        <v>-48.664717559375809</v>
      </c>
    </row>
    <row r="5541" spans="1:4" x14ac:dyDescent="0.3">
      <c r="A5541">
        <v>5220280</v>
      </c>
      <c r="B5541" t="s">
        <v>6279</v>
      </c>
      <c r="C5541">
        <v>-15.352489672203703</v>
      </c>
      <c r="D5541">
        <v>-49.816346040483076</v>
      </c>
    </row>
    <row r="5542" spans="1:4" x14ac:dyDescent="0.3">
      <c r="A5542">
        <v>5220405</v>
      </c>
      <c r="B5542" t="s">
        <v>4718</v>
      </c>
      <c r="C5542">
        <v>-18.989738599516304</v>
      </c>
      <c r="D5542">
        <v>-50.549699757656548</v>
      </c>
    </row>
    <row r="5543" spans="1:4" x14ac:dyDescent="0.3">
      <c r="A5543">
        <v>5220454</v>
      </c>
      <c r="B5543" t="s">
        <v>6280</v>
      </c>
      <c r="C5543">
        <v>-16.718575320000003</v>
      </c>
      <c r="D5543">
        <v>-49.087966832778882</v>
      </c>
    </row>
    <row r="5544" spans="1:4" x14ac:dyDescent="0.3">
      <c r="A5544">
        <v>5220504</v>
      </c>
      <c r="B5544" t="s">
        <v>6281</v>
      </c>
      <c r="C5544">
        <v>-18.307724397144952</v>
      </c>
      <c r="D5544">
        <v>-51.957777940175028</v>
      </c>
    </row>
    <row r="5545" spans="1:4" x14ac:dyDescent="0.3">
      <c r="A5545">
        <v>5220603</v>
      </c>
      <c r="B5545" t="s">
        <v>6282</v>
      </c>
      <c r="C5545">
        <v>-16.6646168096505</v>
      </c>
      <c r="D5545">
        <v>-48.61056991001815</v>
      </c>
    </row>
    <row r="5546" spans="1:4" x14ac:dyDescent="0.3">
      <c r="A5546">
        <v>5220686</v>
      </c>
      <c r="B5546" t="s">
        <v>6283</v>
      </c>
      <c r="C5546">
        <v>-14.47032298831215</v>
      </c>
      <c r="D5546">
        <v>-46.484284222500456</v>
      </c>
    </row>
    <row r="5547" spans="1:4" x14ac:dyDescent="0.3">
      <c r="A5547">
        <v>5220702</v>
      </c>
      <c r="B5547" t="s">
        <v>6284</v>
      </c>
      <c r="C5547">
        <v>-14.803993916154754</v>
      </c>
      <c r="D5547">
        <v>-46.252489842840099</v>
      </c>
    </row>
    <row r="5548" spans="1:4" x14ac:dyDescent="0.3">
      <c r="A5548">
        <v>5221007</v>
      </c>
      <c r="B5548" t="s">
        <v>6285</v>
      </c>
      <c r="C5548">
        <v>-16.0500187966169</v>
      </c>
      <c r="D5548">
        <v>-49.602219314357747</v>
      </c>
    </row>
    <row r="5549" spans="1:4" x14ac:dyDescent="0.3">
      <c r="A5549">
        <v>5221080</v>
      </c>
      <c r="B5549" t="s">
        <v>6286</v>
      </c>
      <c r="C5549">
        <v>-13.776863099648002</v>
      </c>
      <c r="D5549">
        <v>-47.263520321020842</v>
      </c>
    </row>
    <row r="5550" spans="1:4" x14ac:dyDescent="0.3">
      <c r="A5550">
        <v>5221197</v>
      </c>
      <c r="B5550" t="s">
        <v>6287</v>
      </c>
      <c r="C5550">
        <v>-16.478960461373703</v>
      </c>
      <c r="D5550">
        <v>-49.091784923092128</v>
      </c>
    </row>
    <row r="5551" spans="1:4" x14ac:dyDescent="0.3">
      <c r="A5551">
        <v>5221304</v>
      </c>
      <c r="B5551" t="s">
        <v>6288</v>
      </c>
      <c r="C5551">
        <v>-18.360798688417702</v>
      </c>
      <c r="D5551">
        <v>-47.779338510865621</v>
      </c>
    </row>
    <row r="5552" spans="1:4" x14ac:dyDescent="0.3">
      <c r="A5552">
        <v>5221403</v>
      </c>
      <c r="B5552" t="s">
        <v>2606</v>
      </c>
      <c r="C5552">
        <v>-16.655350428829355</v>
      </c>
      <c r="D5552">
        <v>-49.489099202577783</v>
      </c>
    </row>
    <row r="5553" spans="1:4" x14ac:dyDescent="0.3">
      <c r="A5553">
        <v>5221452</v>
      </c>
      <c r="B5553" t="s">
        <v>6289</v>
      </c>
      <c r="C5553">
        <v>-13.508467721269051</v>
      </c>
      <c r="D5553">
        <v>-48.744708610335216</v>
      </c>
    </row>
    <row r="5554" spans="1:4" x14ac:dyDescent="0.3">
      <c r="A5554">
        <v>5221502</v>
      </c>
      <c r="B5554" t="s">
        <v>6290</v>
      </c>
      <c r="C5554">
        <v>-16.609803780496552</v>
      </c>
      <c r="D5554">
        <v>-50.131953054649856</v>
      </c>
    </row>
    <row r="5555" spans="1:4" x14ac:dyDescent="0.3">
      <c r="A5555">
        <v>5221551</v>
      </c>
      <c r="B5555" t="s">
        <v>6291</v>
      </c>
      <c r="C5555">
        <v>-17.850952335415204</v>
      </c>
      <c r="D5555">
        <v>-50.307479343939598</v>
      </c>
    </row>
    <row r="5556" spans="1:4" x14ac:dyDescent="0.3">
      <c r="A5556">
        <v>5221577</v>
      </c>
      <c r="B5556" t="s">
        <v>6292</v>
      </c>
      <c r="C5556">
        <v>-14.288653538561951</v>
      </c>
      <c r="D5556">
        <v>-49.921075181780189</v>
      </c>
    </row>
    <row r="5557" spans="1:4" x14ac:dyDescent="0.3">
      <c r="A5557">
        <v>5221601</v>
      </c>
      <c r="B5557" t="s">
        <v>6293</v>
      </c>
      <c r="C5557">
        <v>-14.520219762824725</v>
      </c>
      <c r="D5557">
        <v>-49.14748562221812</v>
      </c>
    </row>
    <row r="5558" spans="1:4" x14ac:dyDescent="0.3">
      <c r="A5558">
        <v>5221700</v>
      </c>
      <c r="B5558" t="s">
        <v>6294</v>
      </c>
      <c r="C5558">
        <v>-15.501165233376604</v>
      </c>
      <c r="D5558">
        <v>-49.679480708768921</v>
      </c>
    </row>
    <row r="5559" spans="1:4" x14ac:dyDescent="0.3">
      <c r="A5559">
        <v>5221809</v>
      </c>
      <c r="B5559" t="s">
        <v>6295</v>
      </c>
      <c r="C5559">
        <v>-17.459753424557501</v>
      </c>
      <c r="D5559">
        <v>-48.204653131643951</v>
      </c>
    </row>
    <row r="5560" spans="1:4" x14ac:dyDescent="0.3">
      <c r="A5560">
        <v>5221858</v>
      </c>
      <c r="B5560" t="s">
        <v>6296</v>
      </c>
      <c r="C5560">
        <v>-16.069575257038455</v>
      </c>
      <c r="D5560">
        <v>-47.984111350553327</v>
      </c>
    </row>
    <row r="5561" spans="1:4" x14ac:dyDescent="0.3">
      <c r="A5561">
        <v>5221908</v>
      </c>
      <c r="B5561" t="s">
        <v>6297</v>
      </c>
      <c r="C5561">
        <v>-17.041224751758854</v>
      </c>
      <c r="D5561">
        <v>-49.628167487025912</v>
      </c>
    </row>
    <row r="5562" spans="1:4" x14ac:dyDescent="0.3">
      <c r="A5562">
        <v>5222005</v>
      </c>
      <c r="B5562" t="s">
        <v>6298</v>
      </c>
      <c r="C5562">
        <v>-16.742081438665803</v>
      </c>
      <c r="D5562">
        <v>-48.513470897057694</v>
      </c>
    </row>
    <row r="5563" spans="1:4" x14ac:dyDescent="0.3">
      <c r="A5563">
        <v>5222054</v>
      </c>
      <c r="B5563" t="s">
        <v>6299</v>
      </c>
      <c r="C5563">
        <v>-17.732662380298951</v>
      </c>
      <c r="D5563">
        <v>-49.807239013853987</v>
      </c>
    </row>
    <row r="5564" spans="1:4" x14ac:dyDescent="0.3">
      <c r="A5564">
        <v>5222203</v>
      </c>
      <c r="B5564" t="s">
        <v>6300</v>
      </c>
      <c r="C5564">
        <v>-15.03488879071015</v>
      </c>
      <c r="D5564">
        <v>-47.057360853683491</v>
      </c>
    </row>
    <row r="5565" spans="1:4" x14ac:dyDescent="0.3">
      <c r="A5565">
        <v>5222302</v>
      </c>
      <c r="B5565" t="s">
        <v>6301</v>
      </c>
      <c r="C5565">
        <v>-15.454634816775251</v>
      </c>
      <c r="D5565">
        <v>-48.882422076497924</v>
      </c>
    </row>
    <row r="5566" spans="1:4" x14ac:dyDescent="0.3">
      <c r="A5566">
        <v>5300108</v>
      </c>
      <c r="B5566" t="s">
        <v>6302</v>
      </c>
      <c r="C5566">
        <v>-15.794087361891002</v>
      </c>
      <c r="D5566">
        <v>-47.887905478031342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2E2D-1FD6-4A04-9854-7AE1846EF7B3}">
  <dimension ref="A1:G17"/>
  <sheetViews>
    <sheetView workbookViewId="0">
      <selection activeCell="H4" sqref="H4"/>
    </sheetView>
  </sheetViews>
  <sheetFormatPr defaultRowHeight="14.4" x14ac:dyDescent="0.3"/>
  <cols>
    <col min="2" max="2" width="26.33203125" bestFit="1" customWidth="1"/>
    <col min="4" max="4" width="14.6640625" customWidth="1"/>
    <col min="5" max="5" width="15.33203125" customWidth="1"/>
    <col min="6" max="6" width="24.5546875" bestFit="1" customWidth="1"/>
    <col min="7" max="7" width="13.33203125" bestFit="1" customWidth="1"/>
    <col min="9" max="9" width="16.5546875" bestFit="1" customWidth="1"/>
  </cols>
  <sheetData>
    <row r="1" spans="1:7" x14ac:dyDescent="0.3">
      <c r="B1" s="22" t="s">
        <v>2</v>
      </c>
      <c r="C1" s="22" t="s">
        <v>6</v>
      </c>
      <c r="D1" s="22" t="s">
        <v>140</v>
      </c>
      <c r="E1" s="22" t="s">
        <v>141</v>
      </c>
      <c r="F1" s="19" t="s">
        <v>18</v>
      </c>
      <c r="G1" s="19" t="s">
        <v>5</v>
      </c>
    </row>
    <row r="2" spans="1:7" x14ac:dyDescent="0.3">
      <c r="A2">
        <v>1700400</v>
      </c>
      <c r="B2" s="52" t="s">
        <v>942</v>
      </c>
      <c r="C2" s="19">
        <v>1</v>
      </c>
      <c r="D2" s="52">
        <v>-11.574523469447804</v>
      </c>
      <c r="E2" s="52">
        <v>-47.174171684235809</v>
      </c>
      <c r="F2" s="19">
        <v>45</v>
      </c>
      <c r="G2" s="21">
        <v>39252.620000000003</v>
      </c>
    </row>
    <row r="3" spans="1:7" x14ac:dyDescent="0.3">
      <c r="A3">
        <v>1702208</v>
      </c>
      <c r="B3" s="52" t="s">
        <v>935</v>
      </c>
      <c r="C3" s="19">
        <v>2</v>
      </c>
      <c r="D3" s="52">
        <v>-5.6505864729999509</v>
      </c>
      <c r="E3" s="52">
        <v>-48.123507343029381</v>
      </c>
      <c r="F3" s="19">
        <v>80</v>
      </c>
      <c r="G3" s="21">
        <v>46440.22</v>
      </c>
    </row>
    <row r="4" spans="1:7" x14ac:dyDescent="0.3">
      <c r="A4">
        <v>1702406</v>
      </c>
      <c r="B4" s="52" t="s">
        <v>803</v>
      </c>
      <c r="C4" s="19">
        <v>3</v>
      </c>
      <c r="D4" s="52">
        <v>-12.934419859259252</v>
      </c>
      <c r="E4" s="52">
        <v>-46.946107058553359</v>
      </c>
      <c r="F4" s="19">
        <v>160</v>
      </c>
      <c r="G4" s="21">
        <v>79888.47</v>
      </c>
    </row>
    <row r="5" spans="1:7" x14ac:dyDescent="0.3">
      <c r="A5">
        <v>1703826</v>
      </c>
      <c r="B5" s="52" t="s">
        <v>1001</v>
      </c>
      <c r="C5" s="19">
        <v>4</v>
      </c>
      <c r="D5" s="52">
        <v>-6.1132416465046608</v>
      </c>
      <c r="E5" s="52">
        <v>-47.914197778558957</v>
      </c>
      <c r="F5" s="19"/>
      <c r="G5" s="21"/>
    </row>
    <row r="6" spans="1:7" x14ac:dyDescent="0.3">
      <c r="A6">
        <v>1704105</v>
      </c>
      <c r="B6" s="52" t="s">
        <v>984</v>
      </c>
      <c r="C6" s="19">
        <v>5</v>
      </c>
      <c r="D6" s="52">
        <v>-8.9584636390938019</v>
      </c>
      <c r="E6" s="52">
        <v>-47.338398514587297</v>
      </c>
    </row>
    <row r="7" spans="1:7" x14ac:dyDescent="0.3">
      <c r="A7">
        <v>1708205</v>
      </c>
      <c r="B7" s="52" t="s">
        <v>923</v>
      </c>
      <c r="C7" s="19">
        <v>6</v>
      </c>
      <c r="D7" s="52">
        <v>-11.805141968649453</v>
      </c>
      <c r="E7" s="52">
        <v>-49.52686036291248</v>
      </c>
      <c r="F7" s="52"/>
      <c r="G7" s="52"/>
    </row>
    <row r="8" spans="1:7" x14ac:dyDescent="0.3">
      <c r="A8">
        <v>1711506</v>
      </c>
      <c r="B8" s="52" t="s">
        <v>937</v>
      </c>
      <c r="C8" s="19">
        <v>7</v>
      </c>
      <c r="D8" s="52">
        <v>-12.652926369270553</v>
      </c>
      <c r="E8" s="52">
        <v>-48.594608292724836</v>
      </c>
    </row>
    <row r="9" spans="1:7" x14ac:dyDescent="0.3">
      <c r="A9">
        <v>1712405</v>
      </c>
      <c r="B9" s="52" t="s">
        <v>925</v>
      </c>
      <c r="C9" s="19">
        <v>8</v>
      </c>
      <c r="D9" s="52">
        <v>-9.5945702878096721</v>
      </c>
      <c r="E9" s="52">
        <v>-46.675165455846134</v>
      </c>
    </row>
    <row r="10" spans="1:7" x14ac:dyDescent="0.3">
      <c r="A10">
        <v>1721000</v>
      </c>
      <c r="B10" s="52" t="s">
        <v>982</v>
      </c>
      <c r="C10" s="19">
        <v>9</v>
      </c>
      <c r="D10" s="52">
        <v>-10.16325332679275</v>
      </c>
      <c r="E10" s="52">
        <v>-48.351043708246195</v>
      </c>
    </row>
    <row r="11" spans="1:7" x14ac:dyDescent="0.3">
      <c r="A11">
        <v>1716208</v>
      </c>
      <c r="B11" s="52" t="s">
        <v>766</v>
      </c>
      <c r="C11" s="19">
        <v>10</v>
      </c>
      <c r="D11" s="52">
        <v>-12.620481488718251</v>
      </c>
      <c r="E11" s="52">
        <v>-47.884083728442604</v>
      </c>
    </row>
    <row r="12" spans="1:7" x14ac:dyDescent="0.3">
      <c r="A12">
        <v>1717800</v>
      </c>
      <c r="B12" s="52" t="s">
        <v>932</v>
      </c>
      <c r="C12" s="19">
        <v>11</v>
      </c>
      <c r="D12" s="52">
        <v>-12.087812908434403</v>
      </c>
      <c r="E12" s="52">
        <v>-46.469586792395198</v>
      </c>
    </row>
    <row r="13" spans="1:7" x14ac:dyDescent="0.3">
      <c r="A13">
        <v>1717909</v>
      </c>
      <c r="B13" s="52" t="s">
        <v>939</v>
      </c>
      <c r="C13" s="19">
        <v>12</v>
      </c>
      <c r="D13" s="52">
        <v>-10.740672848681452</v>
      </c>
      <c r="E13" s="52">
        <v>-47.541180358301936</v>
      </c>
    </row>
    <row r="14" spans="1:7" x14ac:dyDescent="0.3">
      <c r="A14">
        <v>1718758</v>
      </c>
      <c r="B14" s="52" t="s">
        <v>977</v>
      </c>
      <c r="C14" s="19">
        <v>13</v>
      </c>
      <c r="D14" s="52">
        <v>-9.347789334116106</v>
      </c>
      <c r="E14" s="52">
        <v>-47.89994163913947</v>
      </c>
    </row>
    <row r="15" spans="1:7" x14ac:dyDescent="0.3">
      <c r="A15">
        <v>1720101</v>
      </c>
      <c r="B15" s="52" t="s">
        <v>922</v>
      </c>
      <c r="C15" s="19">
        <v>14</v>
      </c>
      <c r="D15" s="52">
        <v>-6.0449992571923881</v>
      </c>
      <c r="E15" s="52">
        <v>-47.919392287053363</v>
      </c>
    </row>
    <row r="16" spans="1:7" x14ac:dyDescent="0.3">
      <c r="A16">
        <v>1721208</v>
      </c>
      <c r="B16" s="52" t="s">
        <v>920</v>
      </c>
      <c r="C16" s="19">
        <v>15</v>
      </c>
      <c r="D16" s="52">
        <v>-6.3256343760279616</v>
      </c>
      <c r="E16" s="52">
        <v>-47.427412928692668</v>
      </c>
    </row>
    <row r="17" spans="2:5" x14ac:dyDescent="0.3">
      <c r="B17" s="52"/>
      <c r="C17" s="19"/>
      <c r="D17" s="52"/>
      <c r="E17" s="52"/>
    </row>
  </sheetData>
  <sortState xmlns:xlrd2="http://schemas.microsoft.com/office/spreadsheetml/2017/richdata2" ref="B2:B17">
    <sortCondition ref="B2:B17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6C03-3996-494C-97F0-0ADD6B9E3531}">
  <dimension ref="A1:O140"/>
  <sheetViews>
    <sheetView workbookViewId="0">
      <selection activeCell="E1" sqref="E1:F1048576"/>
    </sheetView>
  </sheetViews>
  <sheetFormatPr defaultRowHeight="14.4" x14ac:dyDescent="0.3"/>
  <cols>
    <col min="1" max="1" width="11.5546875" bestFit="1" customWidth="1"/>
    <col min="2" max="2" width="20.33203125" customWidth="1"/>
    <col min="3" max="3" width="18.5546875" customWidth="1"/>
    <col min="5" max="5" width="23.33203125" style="43" customWidth="1"/>
    <col min="6" max="6" width="19.6640625" style="43" customWidth="1"/>
  </cols>
  <sheetData>
    <row r="1" spans="1:15" x14ac:dyDescent="0.3">
      <c r="A1">
        <v>1</v>
      </c>
      <c r="B1">
        <v>2</v>
      </c>
      <c r="C1">
        <v>3</v>
      </c>
      <c r="D1">
        <v>4</v>
      </c>
      <c r="E1" s="43">
        <v>5</v>
      </c>
      <c r="F1" s="43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ht="42" thickBot="1" x14ac:dyDescent="0.35">
      <c r="A2" s="60">
        <v>1700251</v>
      </c>
      <c r="B2" s="61" t="s">
        <v>6303</v>
      </c>
      <c r="C2" s="61" t="s">
        <v>6304</v>
      </c>
      <c r="D2" s="61"/>
      <c r="E2" s="62">
        <v>-962101</v>
      </c>
      <c r="F2" s="62">
        <v>-491518</v>
      </c>
      <c r="G2" s="61">
        <v>337</v>
      </c>
      <c r="H2" s="61">
        <v>63</v>
      </c>
      <c r="I2" s="61" t="s">
        <v>6305</v>
      </c>
      <c r="J2" s="61">
        <v>17</v>
      </c>
      <c r="K2" s="61" t="s">
        <v>6306</v>
      </c>
      <c r="L2" s="61" t="s">
        <v>6307</v>
      </c>
      <c r="M2" s="61" t="s">
        <v>6308</v>
      </c>
      <c r="N2" s="61" t="s">
        <v>6309</v>
      </c>
      <c r="O2" s="61" t="s">
        <v>6310</v>
      </c>
    </row>
    <row r="3" spans="1:15" ht="42" thickBot="1" x14ac:dyDescent="0.35">
      <c r="A3" s="60">
        <v>1700301</v>
      </c>
      <c r="B3" s="61" t="s">
        <v>6311</v>
      </c>
      <c r="C3" s="61" t="s">
        <v>6312</v>
      </c>
      <c r="D3" s="61"/>
      <c r="E3" s="62">
        <v>-655409</v>
      </c>
      <c r="F3" s="62">
        <v>-474702</v>
      </c>
      <c r="G3" s="61">
        <v>72</v>
      </c>
      <c r="H3" s="61">
        <v>63</v>
      </c>
      <c r="I3" s="61" t="s">
        <v>6305</v>
      </c>
      <c r="J3" s="61">
        <v>17</v>
      </c>
      <c r="K3" s="61" t="s">
        <v>6306</v>
      </c>
      <c r="L3" s="61" t="s">
        <v>6307</v>
      </c>
      <c r="M3" s="61" t="s">
        <v>6308</v>
      </c>
      <c r="N3" s="61" t="s">
        <v>6309</v>
      </c>
      <c r="O3" s="61" t="s">
        <v>6310</v>
      </c>
    </row>
    <row r="4" spans="1:15" ht="42" thickBot="1" x14ac:dyDescent="0.35">
      <c r="A4" s="60">
        <v>1700350</v>
      </c>
      <c r="B4" s="61" t="s">
        <v>6313</v>
      </c>
      <c r="C4" s="61" t="s">
        <v>6314</v>
      </c>
      <c r="D4" s="61"/>
      <c r="E4" s="62">
        <v>-113056</v>
      </c>
      <c r="F4" s="62">
        <v>-489361</v>
      </c>
      <c r="G4" s="61">
        <v>9441</v>
      </c>
      <c r="H4" s="61">
        <v>63</v>
      </c>
      <c r="I4" s="61" t="s">
        <v>6305</v>
      </c>
      <c r="J4" s="61">
        <v>17</v>
      </c>
      <c r="K4" s="61" t="s">
        <v>6306</v>
      </c>
      <c r="L4" s="61" t="s">
        <v>6307</v>
      </c>
      <c r="M4" s="61" t="s">
        <v>6308</v>
      </c>
      <c r="N4" s="61" t="s">
        <v>6309</v>
      </c>
      <c r="O4" s="61" t="s">
        <v>6310</v>
      </c>
    </row>
    <row r="5" spans="1:15" ht="42" thickBot="1" x14ac:dyDescent="0.35">
      <c r="A5" s="60">
        <v>1700400</v>
      </c>
      <c r="B5" s="61" t="s">
        <v>6315</v>
      </c>
      <c r="C5" s="61" t="s">
        <v>6316</v>
      </c>
      <c r="D5" s="61"/>
      <c r="E5" s="62">
        <v>-115706</v>
      </c>
      <c r="F5" s="62">
        <v>-471792</v>
      </c>
      <c r="G5" s="61">
        <v>9207</v>
      </c>
      <c r="H5" s="61">
        <v>63</v>
      </c>
      <c r="I5" s="61" t="s">
        <v>6305</v>
      </c>
      <c r="J5" s="61">
        <v>17</v>
      </c>
      <c r="K5" s="61" t="s">
        <v>6306</v>
      </c>
      <c r="L5" s="61" t="s">
        <v>6307</v>
      </c>
      <c r="M5" s="61" t="s">
        <v>6308</v>
      </c>
      <c r="N5" s="61" t="s">
        <v>6309</v>
      </c>
      <c r="O5" s="61" t="s">
        <v>6310</v>
      </c>
    </row>
    <row r="6" spans="1:15" ht="42" thickBot="1" x14ac:dyDescent="0.35">
      <c r="A6" s="60">
        <v>1700707</v>
      </c>
      <c r="B6" s="61" t="s">
        <v>6317</v>
      </c>
      <c r="C6" s="61" t="s">
        <v>6318</v>
      </c>
      <c r="D6" s="61"/>
      <c r="E6" s="62">
        <v>-124785</v>
      </c>
      <c r="F6" s="62">
        <v>-491249</v>
      </c>
      <c r="G6" s="61">
        <v>9213</v>
      </c>
      <c r="H6" s="61">
        <v>63</v>
      </c>
      <c r="I6" s="61" t="s">
        <v>6305</v>
      </c>
      <c r="J6" s="61">
        <v>17</v>
      </c>
      <c r="K6" s="61" t="s">
        <v>6306</v>
      </c>
      <c r="L6" s="61" t="s">
        <v>6307</v>
      </c>
      <c r="M6" s="61" t="s">
        <v>6308</v>
      </c>
      <c r="N6" s="61" t="s">
        <v>6309</v>
      </c>
      <c r="O6" s="61" t="s">
        <v>6310</v>
      </c>
    </row>
    <row r="7" spans="1:15" ht="42" thickBot="1" x14ac:dyDescent="0.35">
      <c r="A7" s="60">
        <v>1701002</v>
      </c>
      <c r="B7" s="61" t="s">
        <v>6319</v>
      </c>
      <c r="C7" s="61" t="s">
        <v>6320</v>
      </c>
      <c r="D7" s="61"/>
      <c r="E7" s="62">
        <v>-636437</v>
      </c>
      <c r="F7" s="62">
        <v>-480735</v>
      </c>
      <c r="G7" s="61">
        <v>9219</v>
      </c>
      <c r="H7" s="61">
        <v>63</v>
      </c>
      <c r="I7" s="61" t="s">
        <v>6305</v>
      </c>
      <c r="J7" s="61">
        <v>17</v>
      </c>
      <c r="K7" s="61" t="s">
        <v>6306</v>
      </c>
      <c r="L7" s="61" t="s">
        <v>6307</v>
      </c>
      <c r="M7" s="61" t="s">
        <v>6308</v>
      </c>
      <c r="N7" s="61" t="s">
        <v>6309</v>
      </c>
      <c r="O7" s="61" t="s">
        <v>6310</v>
      </c>
    </row>
    <row r="8" spans="1:15" ht="42" thickBot="1" x14ac:dyDescent="0.35">
      <c r="A8" s="60">
        <v>1701051</v>
      </c>
      <c r="B8" s="61" t="s">
        <v>6321</v>
      </c>
      <c r="C8" s="61" t="s">
        <v>6322</v>
      </c>
      <c r="D8" s="61"/>
      <c r="E8" s="62">
        <v>-639179</v>
      </c>
      <c r="F8" s="62">
        <v>-478611</v>
      </c>
      <c r="G8" s="61">
        <v>165</v>
      </c>
      <c r="H8" s="61">
        <v>63</v>
      </c>
      <c r="I8" s="61" t="s">
        <v>6305</v>
      </c>
      <c r="J8" s="61">
        <v>17</v>
      </c>
      <c r="K8" s="61" t="s">
        <v>6306</v>
      </c>
      <c r="L8" s="61" t="s">
        <v>6307</v>
      </c>
      <c r="M8" s="61" t="s">
        <v>6308</v>
      </c>
      <c r="N8" s="61" t="s">
        <v>6309</v>
      </c>
      <c r="O8" s="61" t="s">
        <v>6310</v>
      </c>
    </row>
    <row r="9" spans="1:15" ht="42" thickBot="1" x14ac:dyDescent="0.35">
      <c r="A9" s="60">
        <v>1701101</v>
      </c>
      <c r="B9" s="61" t="s">
        <v>6323</v>
      </c>
      <c r="C9" s="61" t="s">
        <v>6324</v>
      </c>
      <c r="D9" s="61"/>
      <c r="E9" s="62">
        <v>-994139</v>
      </c>
      <c r="F9" s="62">
        <v>-479638</v>
      </c>
      <c r="G9" s="61">
        <v>9713</v>
      </c>
      <c r="H9" s="61">
        <v>63</v>
      </c>
      <c r="I9" s="61" t="s">
        <v>6305</v>
      </c>
      <c r="J9" s="61">
        <v>17</v>
      </c>
      <c r="K9" s="61" t="s">
        <v>6306</v>
      </c>
      <c r="L9" s="61" t="s">
        <v>6307</v>
      </c>
      <c r="M9" s="61" t="s">
        <v>6308</v>
      </c>
      <c r="N9" s="61" t="s">
        <v>6309</v>
      </c>
      <c r="O9" s="61" t="s">
        <v>6310</v>
      </c>
    </row>
    <row r="10" spans="1:15" ht="42" thickBot="1" x14ac:dyDescent="0.35">
      <c r="A10" s="60">
        <v>1701309</v>
      </c>
      <c r="B10" s="61" t="s">
        <v>6325</v>
      </c>
      <c r="C10" s="61" t="s">
        <v>6326</v>
      </c>
      <c r="D10" s="61"/>
      <c r="E10" s="62">
        <v>-716005</v>
      </c>
      <c r="F10" s="62">
        <v>-485291</v>
      </c>
      <c r="G10" s="61">
        <v>167</v>
      </c>
      <c r="H10" s="61">
        <v>63</v>
      </c>
      <c r="I10" s="61" t="s">
        <v>6305</v>
      </c>
      <c r="J10" s="61">
        <v>17</v>
      </c>
      <c r="K10" s="61" t="s">
        <v>6306</v>
      </c>
      <c r="L10" s="61" t="s">
        <v>6307</v>
      </c>
      <c r="M10" s="61" t="s">
        <v>6308</v>
      </c>
      <c r="N10" s="61" t="s">
        <v>6309</v>
      </c>
      <c r="O10" s="61" t="s">
        <v>6310</v>
      </c>
    </row>
    <row r="11" spans="1:15" ht="42" thickBot="1" x14ac:dyDescent="0.35">
      <c r="A11" s="60">
        <v>1701903</v>
      </c>
      <c r="B11" s="61" t="s">
        <v>6327</v>
      </c>
      <c r="C11" s="61" t="s">
        <v>6328</v>
      </c>
      <c r="D11" s="61"/>
      <c r="E11" s="62">
        <v>-880755</v>
      </c>
      <c r="F11" s="62">
        <v>-495569</v>
      </c>
      <c r="G11" s="61">
        <v>9237</v>
      </c>
      <c r="H11" s="61">
        <v>63</v>
      </c>
      <c r="I11" s="61" t="s">
        <v>6305</v>
      </c>
      <c r="J11" s="61">
        <v>17</v>
      </c>
      <c r="K11" s="61" t="s">
        <v>6306</v>
      </c>
      <c r="L11" s="61" t="s">
        <v>6307</v>
      </c>
      <c r="M11" s="61" t="s">
        <v>6308</v>
      </c>
      <c r="N11" s="61" t="s">
        <v>6309</v>
      </c>
      <c r="O11" s="61" t="s">
        <v>6310</v>
      </c>
    </row>
    <row r="12" spans="1:15" ht="42" thickBot="1" x14ac:dyDescent="0.35">
      <c r="A12" s="60">
        <v>1702158</v>
      </c>
      <c r="B12" s="61" t="s">
        <v>6329</v>
      </c>
      <c r="C12" s="61" t="s">
        <v>6330</v>
      </c>
      <c r="D12" s="61"/>
      <c r="E12" s="62">
        <v>-658225</v>
      </c>
      <c r="F12" s="62">
        <v>-486395</v>
      </c>
      <c r="G12" s="61">
        <v>169</v>
      </c>
      <c r="H12" s="61">
        <v>63</v>
      </c>
      <c r="I12" s="61" t="s">
        <v>6305</v>
      </c>
      <c r="J12" s="61">
        <v>17</v>
      </c>
      <c r="K12" s="61" t="s">
        <v>6306</v>
      </c>
      <c r="L12" s="61" t="s">
        <v>6307</v>
      </c>
      <c r="M12" s="61" t="s">
        <v>6308</v>
      </c>
      <c r="N12" s="61" t="s">
        <v>6309</v>
      </c>
      <c r="O12" s="61" t="s">
        <v>6310</v>
      </c>
    </row>
    <row r="13" spans="1:15" ht="42" thickBot="1" x14ac:dyDescent="0.35">
      <c r="A13" s="60">
        <v>1702208</v>
      </c>
      <c r="B13" s="61" t="s">
        <v>6331</v>
      </c>
      <c r="C13" s="61" t="s">
        <v>6332</v>
      </c>
      <c r="D13" s="61"/>
      <c r="E13" s="62">
        <v>-564659</v>
      </c>
      <c r="F13" s="62">
        <v>-481232</v>
      </c>
      <c r="G13" s="61">
        <v>9243</v>
      </c>
      <c r="H13" s="61">
        <v>63</v>
      </c>
      <c r="I13" s="61" t="s">
        <v>6305</v>
      </c>
      <c r="J13" s="61">
        <v>17</v>
      </c>
      <c r="K13" s="61" t="s">
        <v>6306</v>
      </c>
      <c r="L13" s="61" t="s">
        <v>6307</v>
      </c>
      <c r="M13" s="61" t="s">
        <v>6308</v>
      </c>
      <c r="N13" s="61" t="s">
        <v>6309</v>
      </c>
      <c r="O13" s="61" t="s">
        <v>6310</v>
      </c>
    </row>
    <row r="14" spans="1:15" ht="42" thickBot="1" x14ac:dyDescent="0.35">
      <c r="A14" s="60">
        <v>1702000</v>
      </c>
      <c r="B14" s="61" t="s">
        <v>6333</v>
      </c>
      <c r="C14" s="61" t="s">
        <v>6334</v>
      </c>
      <c r="D14" s="61"/>
      <c r="E14" s="62">
        <v>-129289</v>
      </c>
      <c r="F14" s="62">
        <v>-498231</v>
      </c>
      <c r="G14" s="61">
        <v>9239</v>
      </c>
      <c r="H14" s="61">
        <v>63</v>
      </c>
      <c r="I14" s="61" t="s">
        <v>6305</v>
      </c>
      <c r="J14" s="61">
        <v>17</v>
      </c>
      <c r="K14" s="61" t="s">
        <v>6306</v>
      </c>
      <c r="L14" s="61" t="s">
        <v>6307</v>
      </c>
      <c r="M14" s="61" t="s">
        <v>6308</v>
      </c>
      <c r="N14" s="61" t="s">
        <v>6309</v>
      </c>
      <c r="O14" s="61" t="s">
        <v>6310</v>
      </c>
    </row>
    <row r="15" spans="1:15" ht="42" thickBot="1" x14ac:dyDescent="0.35">
      <c r="A15" s="60">
        <v>1702109</v>
      </c>
      <c r="B15" s="61" t="s">
        <v>6335</v>
      </c>
      <c r="C15" s="61" t="s">
        <v>6336</v>
      </c>
      <c r="D15" s="61"/>
      <c r="E15" s="62">
        <v>-719238</v>
      </c>
      <c r="F15" s="62">
        <v>-482044</v>
      </c>
      <c r="G15" s="61">
        <v>9241</v>
      </c>
      <c r="H15" s="61">
        <v>63</v>
      </c>
      <c r="I15" s="61" t="s">
        <v>6305</v>
      </c>
      <c r="J15" s="61">
        <v>17</v>
      </c>
      <c r="K15" s="61" t="s">
        <v>6306</v>
      </c>
      <c r="L15" s="61" t="s">
        <v>6307</v>
      </c>
      <c r="M15" s="61" t="s">
        <v>6308</v>
      </c>
      <c r="N15" s="61" t="s">
        <v>6309</v>
      </c>
      <c r="O15" s="61" t="s">
        <v>6310</v>
      </c>
    </row>
    <row r="16" spans="1:15" ht="42" thickBot="1" x14ac:dyDescent="0.35">
      <c r="A16" s="60">
        <v>1702307</v>
      </c>
      <c r="B16" s="61" t="s">
        <v>6337</v>
      </c>
      <c r="C16" s="61" t="s">
        <v>6338</v>
      </c>
      <c r="D16" s="61"/>
      <c r="E16" s="62">
        <v>-765463</v>
      </c>
      <c r="F16" s="62">
        <v>-490637</v>
      </c>
      <c r="G16" s="61">
        <v>9245</v>
      </c>
      <c r="H16" s="61">
        <v>63</v>
      </c>
      <c r="I16" s="61" t="s">
        <v>6305</v>
      </c>
      <c r="J16" s="61">
        <v>17</v>
      </c>
      <c r="K16" s="61" t="s">
        <v>6306</v>
      </c>
      <c r="L16" s="61" t="s">
        <v>6307</v>
      </c>
      <c r="M16" s="61" t="s">
        <v>6308</v>
      </c>
      <c r="N16" s="61" t="s">
        <v>6309</v>
      </c>
      <c r="O16" s="61" t="s">
        <v>6310</v>
      </c>
    </row>
    <row r="17" spans="1:15" ht="42" thickBot="1" x14ac:dyDescent="0.35">
      <c r="A17" s="60">
        <v>1702406</v>
      </c>
      <c r="B17" s="61" t="s">
        <v>6339</v>
      </c>
      <c r="C17" s="61" t="s">
        <v>6340</v>
      </c>
      <c r="D17" s="61"/>
      <c r="E17" s="62">
        <v>-129287</v>
      </c>
      <c r="F17" s="62">
        <v>-469359</v>
      </c>
      <c r="G17" s="61">
        <v>9247</v>
      </c>
      <c r="H17" s="61">
        <v>63</v>
      </c>
      <c r="I17" s="61" t="s">
        <v>6305</v>
      </c>
      <c r="J17" s="61">
        <v>17</v>
      </c>
      <c r="K17" s="61" t="s">
        <v>6306</v>
      </c>
      <c r="L17" s="61" t="s">
        <v>6307</v>
      </c>
      <c r="M17" s="61" t="s">
        <v>6308</v>
      </c>
      <c r="N17" s="61" t="s">
        <v>6309</v>
      </c>
      <c r="O17" s="61" t="s">
        <v>6310</v>
      </c>
    </row>
    <row r="18" spans="1:15" ht="42" thickBot="1" x14ac:dyDescent="0.35">
      <c r="A18" s="60">
        <v>1702554</v>
      </c>
      <c r="B18" s="61" t="s">
        <v>6341</v>
      </c>
      <c r="C18" s="61" t="s">
        <v>6342</v>
      </c>
      <c r="D18" s="61"/>
      <c r="E18" s="62">
        <v>-546863</v>
      </c>
      <c r="F18" s="62">
        <v>-478863</v>
      </c>
      <c r="G18" s="61">
        <v>9685</v>
      </c>
      <c r="H18" s="61">
        <v>63</v>
      </c>
      <c r="I18" s="61" t="s">
        <v>6305</v>
      </c>
      <c r="J18" s="61">
        <v>17</v>
      </c>
      <c r="K18" s="61" t="s">
        <v>6306</v>
      </c>
      <c r="L18" s="61" t="s">
        <v>6307</v>
      </c>
      <c r="M18" s="61" t="s">
        <v>6308</v>
      </c>
      <c r="N18" s="61" t="s">
        <v>6309</v>
      </c>
      <c r="O18" s="61" t="s">
        <v>6310</v>
      </c>
    </row>
    <row r="19" spans="1:15" ht="42" thickBot="1" x14ac:dyDescent="0.35">
      <c r="A19" s="60">
        <v>1702703</v>
      </c>
      <c r="B19" s="61" t="s">
        <v>6343</v>
      </c>
      <c r="C19" s="61" t="s">
        <v>6344</v>
      </c>
      <c r="D19" s="61"/>
      <c r="E19" s="62">
        <v>-127105</v>
      </c>
      <c r="F19" s="62">
        <v>-464076</v>
      </c>
      <c r="G19" s="61">
        <v>9253</v>
      </c>
      <c r="H19" s="61">
        <v>63</v>
      </c>
      <c r="I19" s="61" t="s">
        <v>6305</v>
      </c>
      <c r="J19" s="61">
        <v>17</v>
      </c>
      <c r="K19" s="61" t="s">
        <v>6306</v>
      </c>
      <c r="L19" s="61" t="s">
        <v>6307</v>
      </c>
      <c r="M19" s="61" t="s">
        <v>6308</v>
      </c>
      <c r="N19" s="61" t="s">
        <v>6309</v>
      </c>
      <c r="O19" s="61" t="s">
        <v>6310</v>
      </c>
    </row>
    <row r="20" spans="1:15" ht="42" thickBot="1" x14ac:dyDescent="0.35">
      <c r="A20" s="60">
        <v>1702901</v>
      </c>
      <c r="B20" s="61" t="s">
        <v>6345</v>
      </c>
      <c r="C20" s="61" t="s">
        <v>6346</v>
      </c>
      <c r="D20" s="61"/>
      <c r="E20" s="62">
        <v>-561275</v>
      </c>
      <c r="F20" s="62">
        <v>-477701</v>
      </c>
      <c r="G20" s="61">
        <v>9257</v>
      </c>
      <c r="H20" s="61">
        <v>63</v>
      </c>
      <c r="I20" s="61" t="s">
        <v>6305</v>
      </c>
      <c r="J20" s="61">
        <v>17</v>
      </c>
      <c r="K20" s="61" t="s">
        <v>6306</v>
      </c>
      <c r="L20" s="61" t="s">
        <v>6307</v>
      </c>
      <c r="M20" s="61" t="s">
        <v>6308</v>
      </c>
      <c r="N20" s="61" t="s">
        <v>6309</v>
      </c>
      <c r="O20" s="61" t="s">
        <v>6310</v>
      </c>
    </row>
    <row r="21" spans="1:15" ht="42" thickBot="1" x14ac:dyDescent="0.35">
      <c r="A21" s="60">
        <v>1703008</v>
      </c>
      <c r="B21" s="61" t="s">
        <v>6347</v>
      </c>
      <c r="C21" s="61" t="s">
        <v>6348</v>
      </c>
      <c r="D21" s="61"/>
      <c r="E21" s="62">
        <v>-720923</v>
      </c>
      <c r="F21" s="62">
        <v>-477613</v>
      </c>
      <c r="G21" s="61">
        <v>9259</v>
      </c>
      <c r="H21" s="61">
        <v>63</v>
      </c>
      <c r="I21" s="61" t="s">
        <v>6305</v>
      </c>
      <c r="J21" s="61">
        <v>17</v>
      </c>
      <c r="K21" s="61" t="s">
        <v>6306</v>
      </c>
      <c r="L21" s="61" t="s">
        <v>6307</v>
      </c>
      <c r="M21" s="61" t="s">
        <v>6308</v>
      </c>
      <c r="N21" s="61" t="s">
        <v>6309</v>
      </c>
      <c r="O21" s="61" t="s">
        <v>6310</v>
      </c>
    </row>
    <row r="22" spans="1:15" ht="42" thickBot="1" x14ac:dyDescent="0.35">
      <c r="A22" s="60">
        <v>1703057</v>
      </c>
      <c r="B22" s="61" t="s">
        <v>6349</v>
      </c>
      <c r="C22" s="61" t="s">
        <v>6350</v>
      </c>
      <c r="D22" s="61"/>
      <c r="E22" s="62">
        <v>-775612</v>
      </c>
      <c r="F22" s="62">
        <v>-485836</v>
      </c>
      <c r="G22" s="61">
        <v>74</v>
      </c>
      <c r="H22" s="61">
        <v>63</v>
      </c>
      <c r="I22" s="61" t="s">
        <v>6305</v>
      </c>
      <c r="J22" s="61">
        <v>17</v>
      </c>
      <c r="K22" s="61" t="s">
        <v>6306</v>
      </c>
      <c r="L22" s="61" t="s">
        <v>6307</v>
      </c>
      <c r="M22" s="61" t="s">
        <v>6308</v>
      </c>
      <c r="N22" s="61" t="s">
        <v>6309</v>
      </c>
      <c r="O22" s="61" t="s">
        <v>6310</v>
      </c>
    </row>
    <row r="23" spans="1:15" ht="42" thickBot="1" x14ac:dyDescent="0.35">
      <c r="A23" s="60">
        <v>1703073</v>
      </c>
      <c r="B23" s="61" t="s">
        <v>6351</v>
      </c>
      <c r="C23" s="61" t="s">
        <v>6352</v>
      </c>
      <c r="D23" s="61"/>
      <c r="E23" s="62">
        <v>-769593</v>
      </c>
      <c r="F23" s="62">
        <v>-476776</v>
      </c>
      <c r="G23" s="61">
        <v>76</v>
      </c>
      <c r="H23" s="61">
        <v>63</v>
      </c>
      <c r="I23" s="61" t="s">
        <v>6305</v>
      </c>
      <c r="J23" s="61">
        <v>17</v>
      </c>
      <c r="K23" s="61" t="s">
        <v>6306</v>
      </c>
      <c r="L23" s="61" t="s">
        <v>6307</v>
      </c>
      <c r="M23" s="61" t="s">
        <v>6308</v>
      </c>
      <c r="N23" s="61" t="s">
        <v>6309</v>
      </c>
      <c r="O23" s="61" t="s">
        <v>6310</v>
      </c>
    </row>
    <row r="24" spans="1:15" ht="42" thickBot="1" x14ac:dyDescent="0.35">
      <c r="A24" s="60">
        <v>1703107</v>
      </c>
      <c r="B24" s="61" t="s">
        <v>6353</v>
      </c>
      <c r="C24" s="61" t="s">
        <v>6354</v>
      </c>
      <c r="D24" s="61"/>
      <c r="E24" s="62">
        <v>-983404</v>
      </c>
      <c r="F24" s="62">
        <v>-487252</v>
      </c>
      <c r="G24" s="61">
        <v>9693</v>
      </c>
      <c r="H24" s="61">
        <v>63</v>
      </c>
      <c r="I24" s="61" t="s">
        <v>6305</v>
      </c>
      <c r="J24" s="61">
        <v>17</v>
      </c>
      <c r="K24" s="61" t="s">
        <v>6306</v>
      </c>
      <c r="L24" s="61" t="s">
        <v>6307</v>
      </c>
      <c r="M24" s="61" t="s">
        <v>6308</v>
      </c>
      <c r="N24" s="61" t="s">
        <v>6309</v>
      </c>
      <c r="O24" s="61" t="s">
        <v>6310</v>
      </c>
    </row>
    <row r="25" spans="1:15" ht="42" thickBot="1" x14ac:dyDescent="0.35">
      <c r="A25" s="60">
        <v>1703206</v>
      </c>
      <c r="B25" s="61" t="s">
        <v>6355</v>
      </c>
      <c r="C25" s="61" t="s">
        <v>6356</v>
      </c>
      <c r="D25" s="61"/>
      <c r="E25" s="62">
        <v>-787481</v>
      </c>
      <c r="F25" s="62">
        <v>-488893</v>
      </c>
      <c r="G25" s="61">
        <v>9695</v>
      </c>
      <c r="H25" s="61">
        <v>63</v>
      </c>
      <c r="I25" s="61" t="s">
        <v>6305</v>
      </c>
      <c r="J25" s="61">
        <v>17</v>
      </c>
      <c r="K25" s="61" t="s">
        <v>6306</v>
      </c>
      <c r="L25" s="61" t="s">
        <v>6307</v>
      </c>
      <c r="M25" s="61" t="s">
        <v>6308</v>
      </c>
      <c r="N25" s="61" t="s">
        <v>6309</v>
      </c>
      <c r="O25" s="61" t="s">
        <v>6310</v>
      </c>
    </row>
    <row r="26" spans="1:15" ht="42" thickBot="1" x14ac:dyDescent="0.35">
      <c r="A26" s="60">
        <v>1703305</v>
      </c>
      <c r="B26" s="61" t="s">
        <v>6357</v>
      </c>
      <c r="C26" s="61" t="s">
        <v>6358</v>
      </c>
      <c r="D26" s="61"/>
      <c r="E26" s="62">
        <v>-896306</v>
      </c>
      <c r="F26" s="62">
        <v>-48165</v>
      </c>
      <c r="G26" s="61">
        <v>341</v>
      </c>
      <c r="H26" s="61">
        <v>63</v>
      </c>
      <c r="I26" s="61" t="s">
        <v>6305</v>
      </c>
      <c r="J26" s="61">
        <v>17</v>
      </c>
      <c r="K26" s="61" t="s">
        <v>6306</v>
      </c>
      <c r="L26" s="61" t="s">
        <v>6307</v>
      </c>
      <c r="M26" s="61" t="s">
        <v>6308</v>
      </c>
      <c r="N26" s="61" t="s">
        <v>6309</v>
      </c>
      <c r="O26" s="61" t="s">
        <v>6310</v>
      </c>
    </row>
    <row r="27" spans="1:15" ht="42" thickBot="1" x14ac:dyDescent="0.35">
      <c r="A27" s="60">
        <v>1703602</v>
      </c>
      <c r="B27" s="61" t="s">
        <v>6359</v>
      </c>
      <c r="C27" s="61" t="s">
        <v>6360</v>
      </c>
      <c r="D27" s="61"/>
      <c r="E27" s="62">
        <v>-838918</v>
      </c>
      <c r="F27" s="62">
        <v>-484822</v>
      </c>
      <c r="G27" s="61">
        <v>339</v>
      </c>
      <c r="H27" s="61">
        <v>63</v>
      </c>
      <c r="I27" s="61" t="s">
        <v>6305</v>
      </c>
      <c r="J27" s="61">
        <v>17</v>
      </c>
      <c r="K27" s="61" t="s">
        <v>6306</v>
      </c>
      <c r="L27" s="61" t="s">
        <v>6307</v>
      </c>
      <c r="M27" s="61" t="s">
        <v>6308</v>
      </c>
      <c r="N27" s="61" t="s">
        <v>6309</v>
      </c>
      <c r="O27" s="61" t="s">
        <v>6310</v>
      </c>
    </row>
    <row r="28" spans="1:15" ht="42" thickBot="1" x14ac:dyDescent="0.35">
      <c r="A28" s="60">
        <v>1703701</v>
      </c>
      <c r="B28" s="61" t="s">
        <v>6361</v>
      </c>
      <c r="C28" s="61" t="s">
        <v>6362</v>
      </c>
      <c r="D28" s="61"/>
      <c r="E28" s="62">
        <v>-110058</v>
      </c>
      <c r="F28" s="62">
        <v>-485683</v>
      </c>
      <c r="G28" s="61">
        <v>9273</v>
      </c>
      <c r="H28" s="61">
        <v>63</v>
      </c>
      <c r="I28" s="61" t="s">
        <v>6305</v>
      </c>
      <c r="J28" s="61">
        <v>17</v>
      </c>
      <c r="K28" s="61" t="s">
        <v>6306</v>
      </c>
      <c r="L28" s="61" t="s">
        <v>6307</v>
      </c>
      <c r="M28" s="61" t="s">
        <v>6308</v>
      </c>
      <c r="N28" s="61" t="s">
        <v>6309</v>
      </c>
      <c r="O28" s="61" t="s">
        <v>6310</v>
      </c>
    </row>
    <row r="29" spans="1:15" ht="42" thickBot="1" x14ac:dyDescent="0.35">
      <c r="A29" s="60">
        <v>1703800</v>
      </c>
      <c r="B29" s="61" t="s">
        <v>6363</v>
      </c>
      <c r="C29" s="61" t="s">
        <v>6364</v>
      </c>
      <c r="D29" s="61"/>
      <c r="E29" s="62">
        <v>-531448</v>
      </c>
      <c r="F29" s="62">
        <v>-482271</v>
      </c>
      <c r="G29" s="61">
        <v>9715</v>
      </c>
      <c r="H29" s="61">
        <v>63</v>
      </c>
      <c r="I29" s="61" t="s">
        <v>6305</v>
      </c>
      <c r="J29" s="61">
        <v>17</v>
      </c>
      <c r="K29" s="61" t="s">
        <v>6306</v>
      </c>
      <c r="L29" s="61" t="s">
        <v>6307</v>
      </c>
      <c r="M29" s="61" t="s">
        <v>6308</v>
      </c>
      <c r="N29" s="61" t="s">
        <v>6309</v>
      </c>
      <c r="O29" s="61" t="s">
        <v>6310</v>
      </c>
    </row>
    <row r="30" spans="1:15" ht="42" thickBot="1" x14ac:dyDescent="0.35">
      <c r="A30" s="60">
        <v>1703826</v>
      </c>
      <c r="B30" s="61" t="s">
        <v>6365</v>
      </c>
      <c r="C30" s="61" t="s">
        <v>6366</v>
      </c>
      <c r="D30" s="61"/>
      <c r="E30" s="62">
        <v>-61156</v>
      </c>
      <c r="F30" s="62">
        <v>-479234</v>
      </c>
      <c r="G30" s="61">
        <v>171</v>
      </c>
      <c r="H30" s="61">
        <v>63</v>
      </c>
      <c r="I30" s="61" t="s">
        <v>6305</v>
      </c>
      <c r="J30" s="61">
        <v>17</v>
      </c>
      <c r="K30" s="61" t="s">
        <v>6306</v>
      </c>
      <c r="L30" s="61" t="s">
        <v>6307</v>
      </c>
      <c r="M30" s="61" t="s">
        <v>6308</v>
      </c>
      <c r="N30" s="61" t="s">
        <v>6309</v>
      </c>
      <c r="O30" s="61" t="s">
        <v>6310</v>
      </c>
    </row>
    <row r="31" spans="1:15" ht="42" thickBot="1" x14ac:dyDescent="0.35">
      <c r="A31" s="60">
        <v>1703842</v>
      </c>
      <c r="B31" s="61" t="s">
        <v>6367</v>
      </c>
      <c r="C31" s="61" t="s">
        <v>6368</v>
      </c>
      <c r="D31" s="61"/>
      <c r="E31" s="62">
        <v>-798956</v>
      </c>
      <c r="F31" s="62">
        <v>-468645</v>
      </c>
      <c r="G31" s="61">
        <v>173</v>
      </c>
      <c r="H31" s="61">
        <v>63</v>
      </c>
      <c r="I31" s="61" t="s">
        <v>6305</v>
      </c>
      <c r="J31" s="61">
        <v>17</v>
      </c>
      <c r="K31" s="61" t="s">
        <v>6306</v>
      </c>
      <c r="L31" s="61" t="s">
        <v>6307</v>
      </c>
      <c r="M31" s="61" t="s">
        <v>6308</v>
      </c>
      <c r="N31" s="61" t="s">
        <v>6309</v>
      </c>
      <c r="O31" s="61" t="s">
        <v>6310</v>
      </c>
    </row>
    <row r="32" spans="1:15" ht="42" thickBot="1" x14ac:dyDescent="0.35">
      <c r="A32" s="60">
        <v>1703867</v>
      </c>
      <c r="B32" s="61" t="s">
        <v>6369</v>
      </c>
      <c r="C32" s="61" t="s">
        <v>6370</v>
      </c>
      <c r="D32" s="61"/>
      <c r="E32" s="62">
        <v>-118881</v>
      </c>
      <c r="F32" s="62">
        <v>-491609</v>
      </c>
      <c r="G32" s="61">
        <v>327</v>
      </c>
      <c r="H32" s="61">
        <v>63</v>
      </c>
      <c r="I32" s="61" t="s">
        <v>6305</v>
      </c>
      <c r="J32" s="61">
        <v>17</v>
      </c>
      <c r="K32" s="61" t="s">
        <v>6306</v>
      </c>
      <c r="L32" s="61" t="s">
        <v>6307</v>
      </c>
      <c r="M32" s="61" t="s">
        <v>6308</v>
      </c>
      <c r="N32" s="61" t="s">
        <v>6309</v>
      </c>
      <c r="O32" s="61" t="s">
        <v>6310</v>
      </c>
    </row>
    <row r="33" spans="1:15" ht="42" thickBot="1" x14ac:dyDescent="0.35">
      <c r="A33" s="60">
        <v>1703883</v>
      </c>
      <c r="B33" s="61" t="s">
        <v>6371</v>
      </c>
      <c r="C33" s="61" t="s">
        <v>6372</v>
      </c>
      <c r="D33" s="61"/>
      <c r="E33" s="62">
        <v>-703262</v>
      </c>
      <c r="F33" s="62">
        <v>-483978</v>
      </c>
      <c r="G33" s="61">
        <v>175</v>
      </c>
      <c r="H33" s="61">
        <v>63</v>
      </c>
      <c r="I33" s="61" t="s">
        <v>6305</v>
      </c>
      <c r="J33" s="61">
        <v>17</v>
      </c>
      <c r="K33" s="61" t="s">
        <v>6306</v>
      </c>
      <c r="L33" s="61" t="s">
        <v>6307</v>
      </c>
      <c r="M33" s="61" t="s">
        <v>6308</v>
      </c>
      <c r="N33" s="61" t="s">
        <v>6309</v>
      </c>
      <c r="O33" s="61" t="s">
        <v>6310</v>
      </c>
    </row>
    <row r="34" spans="1:15" ht="42" thickBot="1" x14ac:dyDescent="0.35">
      <c r="A34" s="60">
        <v>1703891</v>
      </c>
      <c r="B34" s="61" t="s">
        <v>6373</v>
      </c>
      <c r="C34" s="61" t="s">
        <v>6374</v>
      </c>
      <c r="D34" s="61"/>
      <c r="E34" s="62">
        <v>-531415</v>
      </c>
      <c r="F34" s="62">
        <v>-480314</v>
      </c>
      <c r="G34" s="61">
        <v>177</v>
      </c>
      <c r="H34" s="61">
        <v>63</v>
      </c>
      <c r="I34" s="61" t="s">
        <v>6305</v>
      </c>
      <c r="J34" s="61">
        <v>17</v>
      </c>
      <c r="K34" s="61" t="s">
        <v>6306</v>
      </c>
      <c r="L34" s="61" t="s">
        <v>6307</v>
      </c>
      <c r="M34" s="61" t="s">
        <v>6308</v>
      </c>
      <c r="N34" s="61" t="s">
        <v>6309</v>
      </c>
      <c r="O34" s="61" t="s">
        <v>6310</v>
      </c>
    </row>
    <row r="35" spans="1:15" ht="42" thickBot="1" x14ac:dyDescent="0.35">
      <c r="A35" s="60">
        <v>1703909</v>
      </c>
      <c r="B35" s="61" t="s">
        <v>6375</v>
      </c>
      <c r="C35" s="61" t="s">
        <v>6376</v>
      </c>
      <c r="D35" s="61"/>
      <c r="E35" s="62">
        <v>-927612</v>
      </c>
      <c r="F35" s="62">
        <v>-499521</v>
      </c>
      <c r="G35" s="61">
        <v>9717</v>
      </c>
      <c r="H35" s="61">
        <v>63</v>
      </c>
      <c r="I35" s="61" t="s">
        <v>6305</v>
      </c>
      <c r="J35" s="61">
        <v>17</v>
      </c>
      <c r="K35" s="61" t="s">
        <v>6306</v>
      </c>
      <c r="L35" s="61" t="s">
        <v>6307</v>
      </c>
      <c r="M35" s="61" t="s">
        <v>6308</v>
      </c>
      <c r="N35" s="61" t="s">
        <v>6309</v>
      </c>
      <c r="O35" s="61" t="s">
        <v>6310</v>
      </c>
    </row>
    <row r="36" spans="1:15" ht="42" thickBot="1" x14ac:dyDescent="0.35">
      <c r="A36" s="60">
        <v>1704105</v>
      </c>
      <c r="B36" s="61" t="s">
        <v>6377</v>
      </c>
      <c r="C36" s="61" t="s">
        <v>6378</v>
      </c>
      <c r="D36" s="61"/>
      <c r="E36" s="62">
        <v>-896103</v>
      </c>
      <c r="F36" s="62">
        <v>-473304</v>
      </c>
      <c r="G36" s="61">
        <v>343</v>
      </c>
      <c r="H36" s="61">
        <v>63</v>
      </c>
      <c r="I36" s="61" t="s">
        <v>6305</v>
      </c>
      <c r="J36" s="61">
        <v>17</v>
      </c>
      <c r="K36" s="61" t="s">
        <v>6306</v>
      </c>
      <c r="L36" s="61" t="s">
        <v>6307</v>
      </c>
      <c r="M36" s="61" t="s">
        <v>6308</v>
      </c>
      <c r="N36" s="61" t="s">
        <v>6309</v>
      </c>
      <c r="O36" s="61" t="s">
        <v>6310</v>
      </c>
    </row>
    <row r="37" spans="1:15" ht="42" thickBot="1" x14ac:dyDescent="0.35">
      <c r="A37" s="60">
        <v>1705102</v>
      </c>
      <c r="B37" s="61" t="s">
        <v>6379</v>
      </c>
      <c r="C37" s="61" t="s">
        <v>6380</v>
      </c>
      <c r="D37" s="61"/>
      <c r="E37" s="62">
        <v>-116175</v>
      </c>
      <c r="F37" s="62">
        <v>-477486</v>
      </c>
      <c r="G37" s="61">
        <v>80</v>
      </c>
      <c r="H37" s="61">
        <v>63</v>
      </c>
      <c r="I37" s="61" t="s">
        <v>6305</v>
      </c>
      <c r="J37" s="61">
        <v>17</v>
      </c>
      <c r="K37" s="61" t="s">
        <v>6306</v>
      </c>
      <c r="L37" s="61" t="s">
        <v>6307</v>
      </c>
      <c r="M37" s="61" t="s">
        <v>6308</v>
      </c>
      <c r="N37" s="61" t="s">
        <v>6309</v>
      </c>
      <c r="O37" s="61" t="s">
        <v>6310</v>
      </c>
    </row>
    <row r="38" spans="1:15" ht="42" thickBot="1" x14ac:dyDescent="0.35">
      <c r="A38" s="60">
        <v>1704600</v>
      </c>
      <c r="B38" s="61" t="s">
        <v>6381</v>
      </c>
      <c r="C38" s="61" t="s">
        <v>6382</v>
      </c>
      <c r="D38" s="61"/>
      <c r="E38" s="62">
        <v>-101419</v>
      </c>
      <c r="F38" s="62">
        <v>-491403</v>
      </c>
      <c r="G38" s="61">
        <v>78</v>
      </c>
      <c r="H38" s="61">
        <v>63</v>
      </c>
      <c r="I38" s="61" t="s">
        <v>6305</v>
      </c>
      <c r="J38" s="61">
        <v>17</v>
      </c>
      <c r="K38" s="61" t="s">
        <v>6306</v>
      </c>
      <c r="L38" s="61" t="s">
        <v>6307</v>
      </c>
      <c r="M38" s="61" t="s">
        <v>6308</v>
      </c>
      <c r="N38" s="61" t="s">
        <v>6309</v>
      </c>
      <c r="O38" s="61" t="s">
        <v>6310</v>
      </c>
    </row>
    <row r="39" spans="1:15" ht="42" thickBot="1" x14ac:dyDescent="0.35">
      <c r="A39" s="60">
        <v>1705508</v>
      </c>
      <c r="B39" s="61" t="s">
        <v>6383</v>
      </c>
      <c r="C39" s="61" t="s">
        <v>6384</v>
      </c>
      <c r="D39" s="61"/>
      <c r="E39" s="62">
        <v>-805764</v>
      </c>
      <c r="F39" s="62">
        <v>-484757</v>
      </c>
      <c r="G39" s="61">
        <v>9311</v>
      </c>
      <c r="H39" s="61">
        <v>63</v>
      </c>
      <c r="I39" s="61" t="s">
        <v>6305</v>
      </c>
      <c r="J39" s="61">
        <v>17</v>
      </c>
      <c r="K39" s="61" t="s">
        <v>6306</v>
      </c>
      <c r="L39" s="61" t="s">
        <v>6307</v>
      </c>
      <c r="M39" s="61" t="s">
        <v>6308</v>
      </c>
      <c r="N39" s="61" t="s">
        <v>6309</v>
      </c>
      <c r="O39" s="61" t="s">
        <v>6310</v>
      </c>
    </row>
    <row r="40" spans="1:15" ht="42" thickBot="1" x14ac:dyDescent="0.35">
      <c r="A40" s="60">
        <v>1716703</v>
      </c>
      <c r="B40" s="61" t="s">
        <v>6385</v>
      </c>
      <c r="C40" s="61" t="s">
        <v>6386</v>
      </c>
      <c r="D40" s="61"/>
      <c r="E40" s="62">
        <v>-872463</v>
      </c>
      <c r="F40" s="62">
        <v>-487638</v>
      </c>
      <c r="G40" s="61">
        <v>9529</v>
      </c>
      <c r="H40" s="61">
        <v>63</v>
      </c>
      <c r="I40" s="61" t="s">
        <v>6305</v>
      </c>
      <c r="J40" s="61">
        <v>17</v>
      </c>
      <c r="K40" s="61" t="s">
        <v>6306</v>
      </c>
      <c r="L40" s="61" t="s">
        <v>6307</v>
      </c>
      <c r="M40" s="61" t="s">
        <v>6308</v>
      </c>
      <c r="N40" s="61" t="s">
        <v>6309</v>
      </c>
      <c r="O40" s="61" t="s">
        <v>6310</v>
      </c>
    </row>
    <row r="41" spans="1:15" ht="42" thickBot="1" x14ac:dyDescent="0.35">
      <c r="A41" s="60">
        <v>1705557</v>
      </c>
      <c r="B41" s="61" t="s">
        <v>6387</v>
      </c>
      <c r="C41" s="61" t="s">
        <v>6388</v>
      </c>
      <c r="D41" s="61"/>
      <c r="E41" s="62">
        <v>-127917</v>
      </c>
      <c r="F41" s="62">
        <v>-465388</v>
      </c>
      <c r="G41" s="61">
        <v>9697</v>
      </c>
      <c r="H41" s="61">
        <v>63</v>
      </c>
      <c r="I41" s="61" t="s">
        <v>6305</v>
      </c>
      <c r="J41" s="61">
        <v>17</v>
      </c>
      <c r="K41" s="61" t="s">
        <v>6306</v>
      </c>
      <c r="L41" s="61" t="s">
        <v>6307</v>
      </c>
      <c r="M41" s="61" t="s">
        <v>6308</v>
      </c>
      <c r="N41" s="61" t="s">
        <v>6309</v>
      </c>
      <c r="O41" s="61" t="s">
        <v>6310</v>
      </c>
    </row>
    <row r="42" spans="1:15" ht="42" thickBot="1" x14ac:dyDescent="0.35">
      <c r="A42" s="60">
        <v>1705607</v>
      </c>
      <c r="B42" s="61" t="s">
        <v>6389</v>
      </c>
      <c r="C42" s="61" t="s">
        <v>6390</v>
      </c>
      <c r="D42" s="61"/>
      <c r="E42" s="62">
        <v>-122209</v>
      </c>
      <c r="F42" s="62">
        <v>-472951</v>
      </c>
      <c r="G42" s="61">
        <v>9313</v>
      </c>
      <c r="H42" s="61">
        <v>63</v>
      </c>
      <c r="I42" s="61" t="s">
        <v>6305</v>
      </c>
      <c r="J42" s="61">
        <v>17</v>
      </c>
      <c r="K42" s="61" t="s">
        <v>6306</v>
      </c>
      <c r="L42" s="61" t="s">
        <v>6307</v>
      </c>
      <c r="M42" s="61" t="s">
        <v>6308</v>
      </c>
      <c r="N42" s="61" t="s">
        <v>6309</v>
      </c>
      <c r="O42" s="61" t="s">
        <v>6310</v>
      </c>
    </row>
    <row r="43" spans="1:15" ht="42" thickBot="1" x14ac:dyDescent="0.35">
      <c r="A43" s="60">
        <v>1706001</v>
      </c>
      <c r="B43" s="61" t="s">
        <v>6391</v>
      </c>
      <c r="C43" s="61" t="s">
        <v>6392</v>
      </c>
      <c r="D43" s="61"/>
      <c r="E43" s="62">
        <v>-828411</v>
      </c>
      <c r="F43" s="62">
        <v>-492473</v>
      </c>
      <c r="G43" s="61">
        <v>9321</v>
      </c>
      <c r="H43" s="61">
        <v>63</v>
      </c>
      <c r="I43" s="61" t="s">
        <v>6305</v>
      </c>
      <c r="J43" s="61">
        <v>17</v>
      </c>
      <c r="K43" s="61" t="s">
        <v>6306</v>
      </c>
      <c r="L43" s="61" t="s">
        <v>6307</v>
      </c>
      <c r="M43" s="61" t="s">
        <v>6308</v>
      </c>
      <c r="N43" s="61" t="s">
        <v>6309</v>
      </c>
      <c r="O43" s="61" t="s">
        <v>6310</v>
      </c>
    </row>
    <row r="44" spans="1:15" ht="42" thickBot="1" x14ac:dyDescent="0.35">
      <c r="A44" s="60">
        <v>1706100</v>
      </c>
      <c r="B44" s="61" t="s">
        <v>6393</v>
      </c>
      <c r="C44" s="61" t="s">
        <v>6394</v>
      </c>
      <c r="D44" s="61"/>
      <c r="E44" s="62">
        <v>-105985</v>
      </c>
      <c r="F44" s="62">
        <v>-491942</v>
      </c>
      <c r="G44" s="61">
        <v>9323</v>
      </c>
      <c r="H44" s="61">
        <v>63</v>
      </c>
      <c r="I44" s="61" t="s">
        <v>6305</v>
      </c>
      <c r="J44" s="61">
        <v>17</v>
      </c>
      <c r="K44" s="61" t="s">
        <v>6306</v>
      </c>
      <c r="L44" s="61" t="s">
        <v>6307</v>
      </c>
      <c r="M44" s="61" t="s">
        <v>6308</v>
      </c>
      <c r="N44" s="61" t="s">
        <v>6309</v>
      </c>
      <c r="O44" s="61" t="s">
        <v>6310</v>
      </c>
    </row>
    <row r="45" spans="1:15" ht="42" thickBot="1" x14ac:dyDescent="0.35">
      <c r="A45" s="60">
        <v>1706258</v>
      </c>
      <c r="B45" s="61" t="s">
        <v>6395</v>
      </c>
      <c r="C45" s="61" t="s">
        <v>6396</v>
      </c>
      <c r="D45" s="61"/>
      <c r="E45" s="62">
        <v>-110994</v>
      </c>
      <c r="F45" s="62">
        <v>-489152</v>
      </c>
      <c r="G45" s="61">
        <v>82</v>
      </c>
      <c r="H45" s="61">
        <v>63</v>
      </c>
      <c r="I45" s="61" t="s">
        <v>6305</v>
      </c>
      <c r="J45" s="61">
        <v>17</v>
      </c>
      <c r="K45" s="61" t="s">
        <v>6306</v>
      </c>
      <c r="L45" s="61" t="s">
        <v>6307</v>
      </c>
      <c r="M45" s="61" t="s">
        <v>6308</v>
      </c>
      <c r="N45" s="61" t="s">
        <v>6309</v>
      </c>
      <c r="O45" s="61" t="s">
        <v>6310</v>
      </c>
    </row>
    <row r="46" spans="1:15" ht="42" thickBot="1" x14ac:dyDescent="0.35">
      <c r="A46" s="60">
        <v>1706506</v>
      </c>
      <c r="B46" s="61" t="s">
        <v>6397</v>
      </c>
      <c r="C46" s="61" t="s">
        <v>6398</v>
      </c>
      <c r="D46" s="61"/>
      <c r="E46" s="62">
        <v>-671591</v>
      </c>
      <c r="F46" s="62">
        <v>-477597</v>
      </c>
      <c r="G46" s="61">
        <v>179</v>
      </c>
      <c r="H46" s="61">
        <v>63</v>
      </c>
      <c r="I46" s="61" t="s">
        <v>6305</v>
      </c>
      <c r="J46" s="61">
        <v>17</v>
      </c>
      <c r="K46" s="61" t="s">
        <v>6306</v>
      </c>
      <c r="L46" s="61" t="s">
        <v>6307</v>
      </c>
      <c r="M46" s="61" t="s">
        <v>6308</v>
      </c>
      <c r="N46" s="61" t="s">
        <v>6309</v>
      </c>
      <c r="O46" s="61" t="s">
        <v>6310</v>
      </c>
    </row>
    <row r="47" spans="1:15" ht="42" thickBot="1" x14ac:dyDescent="0.35">
      <c r="A47" s="60">
        <v>1707009</v>
      </c>
      <c r="B47" s="61" t="s">
        <v>6399</v>
      </c>
      <c r="C47" s="61" t="s">
        <v>6400</v>
      </c>
      <c r="D47" s="61"/>
      <c r="E47" s="62">
        <v>-11624</v>
      </c>
      <c r="F47" s="62">
        <v>-468198</v>
      </c>
      <c r="G47" s="61">
        <v>9341</v>
      </c>
      <c r="H47" s="61">
        <v>63</v>
      </c>
      <c r="I47" s="61" t="s">
        <v>6305</v>
      </c>
      <c r="J47" s="61">
        <v>17</v>
      </c>
      <c r="K47" s="61" t="s">
        <v>6306</v>
      </c>
      <c r="L47" s="61" t="s">
        <v>6307</v>
      </c>
      <c r="M47" s="61" t="s">
        <v>6308</v>
      </c>
      <c r="N47" s="61" t="s">
        <v>6309</v>
      </c>
      <c r="O47" s="61" t="s">
        <v>6310</v>
      </c>
    </row>
    <row r="48" spans="1:15" ht="42" thickBot="1" x14ac:dyDescent="0.35">
      <c r="A48" s="60">
        <v>1707108</v>
      </c>
      <c r="B48" s="61" t="s">
        <v>6401</v>
      </c>
      <c r="C48" s="61" t="s">
        <v>6402</v>
      </c>
      <c r="D48" s="61"/>
      <c r="E48" s="62">
        <v>-980018</v>
      </c>
      <c r="F48" s="62">
        <v>-492169</v>
      </c>
      <c r="G48" s="61">
        <v>9719</v>
      </c>
      <c r="H48" s="61">
        <v>63</v>
      </c>
      <c r="I48" s="61" t="s">
        <v>6305</v>
      </c>
      <c r="J48" s="61">
        <v>17</v>
      </c>
      <c r="K48" s="61" t="s">
        <v>6306</v>
      </c>
      <c r="L48" s="61" t="s">
        <v>6307</v>
      </c>
      <c r="M48" s="61" t="s">
        <v>6308</v>
      </c>
      <c r="N48" s="61" t="s">
        <v>6309</v>
      </c>
      <c r="O48" s="61" t="s">
        <v>6310</v>
      </c>
    </row>
    <row r="49" spans="1:15" ht="42" thickBot="1" x14ac:dyDescent="0.35">
      <c r="A49" s="60">
        <v>1707207</v>
      </c>
      <c r="B49" s="61" t="s">
        <v>6403</v>
      </c>
      <c r="C49" s="61" t="s">
        <v>6404</v>
      </c>
      <c r="D49" s="61"/>
      <c r="E49" s="62">
        <v>-925534</v>
      </c>
      <c r="F49" s="62">
        <v>-490638</v>
      </c>
      <c r="G49" s="61">
        <v>9345</v>
      </c>
      <c r="H49" s="61">
        <v>63</v>
      </c>
      <c r="I49" s="61" t="s">
        <v>6305</v>
      </c>
      <c r="J49" s="61">
        <v>17</v>
      </c>
      <c r="K49" s="61" t="s">
        <v>6306</v>
      </c>
      <c r="L49" s="61" t="s">
        <v>6307</v>
      </c>
      <c r="M49" s="61" t="s">
        <v>6308</v>
      </c>
      <c r="N49" s="61" t="s">
        <v>6309</v>
      </c>
      <c r="O49" s="61" t="s">
        <v>6310</v>
      </c>
    </row>
    <row r="50" spans="1:15" ht="42" thickBot="1" x14ac:dyDescent="0.35">
      <c r="A50" s="60">
        <v>1707306</v>
      </c>
      <c r="B50" s="61" t="s">
        <v>6405</v>
      </c>
      <c r="C50" s="61" t="s">
        <v>6406</v>
      </c>
      <c r="D50" s="61"/>
      <c r="E50" s="62">
        <v>-113416</v>
      </c>
      <c r="F50" s="62">
        <v>-492716</v>
      </c>
      <c r="G50" s="61">
        <v>9347</v>
      </c>
      <c r="H50" s="61">
        <v>63</v>
      </c>
      <c r="I50" s="61" t="s">
        <v>6305</v>
      </c>
      <c r="J50" s="61">
        <v>17</v>
      </c>
      <c r="K50" s="61" t="s">
        <v>6306</v>
      </c>
      <c r="L50" s="61" t="s">
        <v>6307</v>
      </c>
      <c r="M50" s="61" t="s">
        <v>6308</v>
      </c>
      <c r="N50" s="61" t="s">
        <v>6309</v>
      </c>
      <c r="O50" s="61" t="s">
        <v>6310</v>
      </c>
    </row>
    <row r="51" spans="1:15" ht="42" thickBot="1" x14ac:dyDescent="0.35">
      <c r="A51" s="60">
        <v>1707405</v>
      </c>
      <c r="B51" s="61" t="s">
        <v>6407</v>
      </c>
      <c r="C51" s="61" t="s">
        <v>6408</v>
      </c>
      <c r="D51" s="61"/>
      <c r="E51" s="62">
        <v>-536593</v>
      </c>
      <c r="F51" s="62">
        <v>-485378</v>
      </c>
      <c r="G51" s="61">
        <v>181</v>
      </c>
      <c r="H51" s="61">
        <v>63</v>
      </c>
      <c r="I51" s="61" t="s">
        <v>6305</v>
      </c>
      <c r="J51" s="61">
        <v>17</v>
      </c>
      <c r="K51" s="61" t="s">
        <v>6306</v>
      </c>
      <c r="L51" s="61" t="s">
        <v>6307</v>
      </c>
      <c r="M51" s="61" t="s">
        <v>6308</v>
      </c>
      <c r="N51" s="61" t="s">
        <v>6309</v>
      </c>
      <c r="O51" s="61" t="s">
        <v>6310</v>
      </c>
    </row>
    <row r="52" spans="1:15" ht="42" thickBot="1" x14ac:dyDescent="0.35">
      <c r="A52" s="60">
        <v>1707652</v>
      </c>
      <c r="B52" s="61" t="s">
        <v>6409</v>
      </c>
      <c r="C52" s="61" t="s">
        <v>6410</v>
      </c>
      <c r="D52" s="61"/>
      <c r="E52" s="62">
        <v>-121312</v>
      </c>
      <c r="F52" s="62">
        <v>-491748</v>
      </c>
      <c r="G52" s="61">
        <v>9667</v>
      </c>
      <c r="H52" s="61">
        <v>63</v>
      </c>
      <c r="I52" s="61" t="s">
        <v>6305</v>
      </c>
      <c r="J52" s="61">
        <v>17</v>
      </c>
      <c r="K52" s="61" t="s">
        <v>6306</v>
      </c>
      <c r="L52" s="61" t="s">
        <v>6307</v>
      </c>
      <c r="M52" s="61" t="s">
        <v>6308</v>
      </c>
      <c r="N52" s="61" t="s">
        <v>6309</v>
      </c>
      <c r="O52" s="61" t="s">
        <v>6310</v>
      </c>
    </row>
    <row r="53" spans="1:15" ht="42" thickBot="1" x14ac:dyDescent="0.35">
      <c r="A53" s="60">
        <v>1707702</v>
      </c>
      <c r="B53" s="61" t="s">
        <v>6411</v>
      </c>
      <c r="C53" s="61" t="s">
        <v>6412</v>
      </c>
      <c r="D53" s="61"/>
      <c r="E53" s="62">
        <v>-733501</v>
      </c>
      <c r="F53" s="62">
        <v>-474954</v>
      </c>
      <c r="G53" s="61">
        <v>9355</v>
      </c>
      <c r="H53" s="61">
        <v>63</v>
      </c>
      <c r="I53" s="61" t="s">
        <v>6305</v>
      </c>
      <c r="J53" s="61">
        <v>17</v>
      </c>
      <c r="K53" s="61" t="s">
        <v>6306</v>
      </c>
      <c r="L53" s="61" t="s">
        <v>6307</v>
      </c>
      <c r="M53" s="61" t="s">
        <v>6308</v>
      </c>
      <c r="N53" s="61" t="s">
        <v>6309</v>
      </c>
      <c r="O53" s="61" t="s">
        <v>6310</v>
      </c>
    </row>
    <row r="54" spans="1:15" ht="42" thickBot="1" x14ac:dyDescent="0.35">
      <c r="A54" s="60">
        <v>1708205</v>
      </c>
      <c r="B54" s="61" t="s">
        <v>6413</v>
      </c>
      <c r="C54" s="61" t="s">
        <v>6413</v>
      </c>
      <c r="D54" s="61"/>
      <c r="E54" s="62">
        <v>-117976</v>
      </c>
      <c r="F54" s="62">
        <v>-495316</v>
      </c>
      <c r="G54" s="61">
        <v>9365</v>
      </c>
      <c r="H54" s="61">
        <v>63</v>
      </c>
      <c r="I54" s="61" t="s">
        <v>6305</v>
      </c>
      <c r="J54" s="61">
        <v>17</v>
      </c>
      <c r="K54" s="61" t="s">
        <v>6306</v>
      </c>
      <c r="L54" s="61" t="s">
        <v>6307</v>
      </c>
      <c r="M54" s="61" t="s">
        <v>6308</v>
      </c>
      <c r="N54" s="61" t="s">
        <v>6309</v>
      </c>
      <c r="O54" s="61" t="s">
        <v>6310</v>
      </c>
    </row>
    <row r="55" spans="1:15" ht="42" thickBot="1" x14ac:dyDescent="0.35">
      <c r="A55" s="60">
        <v>1708254</v>
      </c>
      <c r="B55" s="61" t="s">
        <v>6414</v>
      </c>
      <c r="C55" s="61" t="s">
        <v>6415</v>
      </c>
      <c r="D55" s="61"/>
      <c r="E55" s="62">
        <v>-905611</v>
      </c>
      <c r="F55" s="62">
        <v>-485206</v>
      </c>
      <c r="G55" s="61">
        <v>345</v>
      </c>
      <c r="H55" s="61">
        <v>63</v>
      </c>
      <c r="I55" s="61" t="s">
        <v>6305</v>
      </c>
      <c r="J55" s="61">
        <v>17</v>
      </c>
      <c r="K55" s="61" t="s">
        <v>6306</v>
      </c>
      <c r="L55" s="61" t="s">
        <v>6307</v>
      </c>
      <c r="M55" s="61" t="s">
        <v>6308</v>
      </c>
      <c r="N55" s="61" t="s">
        <v>6309</v>
      </c>
      <c r="O55" s="61" t="s">
        <v>6310</v>
      </c>
    </row>
    <row r="56" spans="1:15" ht="42" thickBot="1" x14ac:dyDescent="0.35">
      <c r="A56" s="60">
        <v>1707553</v>
      </c>
      <c r="B56" s="61" t="s">
        <v>6416</v>
      </c>
      <c r="C56" s="61" t="s">
        <v>6417</v>
      </c>
      <c r="D56" s="61"/>
      <c r="E56" s="62">
        <v>-107603</v>
      </c>
      <c r="F56" s="62">
        <v>-489076</v>
      </c>
      <c r="G56" s="61">
        <v>9683</v>
      </c>
      <c r="H56" s="61">
        <v>63</v>
      </c>
      <c r="I56" s="61" t="s">
        <v>6305</v>
      </c>
      <c r="J56" s="61">
        <v>17</v>
      </c>
      <c r="K56" s="61" t="s">
        <v>6306</v>
      </c>
      <c r="L56" s="61" t="s">
        <v>6307</v>
      </c>
      <c r="M56" s="61" t="s">
        <v>6308</v>
      </c>
      <c r="N56" s="61" t="s">
        <v>6309</v>
      </c>
      <c r="O56" s="61" t="s">
        <v>6310</v>
      </c>
    </row>
    <row r="57" spans="1:15" ht="42" thickBot="1" x14ac:dyDescent="0.35">
      <c r="A57" s="60">
        <v>1708304</v>
      </c>
      <c r="B57" s="61" t="s">
        <v>6418</v>
      </c>
      <c r="C57" s="61" t="s">
        <v>6419</v>
      </c>
      <c r="D57" s="61"/>
      <c r="E57" s="62">
        <v>-877413</v>
      </c>
      <c r="F57" s="62">
        <v>-489313</v>
      </c>
      <c r="G57" s="61">
        <v>9699</v>
      </c>
      <c r="H57" s="61">
        <v>63</v>
      </c>
      <c r="I57" s="61" t="s">
        <v>6305</v>
      </c>
      <c r="J57" s="61">
        <v>17</v>
      </c>
      <c r="K57" s="61" t="s">
        <v>6306</v>
      </c>
      <c r="L57" s="61" t="s">
        <v>6307</v>
      </c>
      <c r="M57" s="61" t="s">
        <v>6308</v>
      </c>
      <c r="N57" s="61" t="s">
        <v>6309</v>
      </c>
      <c r="O57" s="61" t="s">
        <v>6310</v>
      </c>
    </row>
    <row r="58" spans="1:15" ht="42" thickBot="1" x14ac:dyDescent="0.35">
      <c r="A58" s="60">
        <v>1709005</v>
      </c>
      <c r="B58" s="61" t="s">
        <v>6420</v>
      </c>
      <c r="C58" s="61" t="s">
        <v>6421</v>
      </c>
      <c r="D58" s="61"/>
      <c r="E58" s="62">
        <v>-771478</v>
      </c>
      <c r="F58" s="62">
        <v>-473252</v>
      </c>
      <c r="G58" s="61">
        <v>9533</v>
      </c>
      <c r="H58" s="61">
        <v>63</v>
      </c>
      <c r="I58" s="61" t="s">
        <v>6305</v>
      </c>
      <c r="J58" s="61">
        <v>17</v>
      </c>
      <c r="K58" s="61" t="s">
        <v>6306</v>
      </c>
      <c r="L58" s="61" t="s">
        <v>6307</v>
      </c>
      <c r="M58" s="61" t="s">
        <v>6308</v>
      </c>
      <c r="N58" s="61" t="s">
        <v>6309</v>
      </c>
      <c r="O58" s="61" t="s">
        <v>6310</v>
      </c>
    </row>
    <row r="59" spans="1:15" ht="42" thickBot="1" x14ac:dyDescent="0.35">
      <c r="A59" s="60">
        <v>1709302</v>
      </c>
      <c r="B59" s="61" t="s">
        <v>6422</v>
      </c>
      <c r="C59" s="61" t="s">
        <v>6423</v>
      </c>
      <c r="D59" s="61"/>
      <c r="E59" s="62">
        <v>-883543</v>
      </c>
      <c r="F59" s="62">
        <v>-485114</v>
      </c>
      <c r="G59" s="61">
        <v>9627</v>
      </c>
      <c r="H59" s="61">
        <v>63</v>
      </c>
      <c r="I59" s="61" t="s">
        <v>6305</v>
      </c>
      <c r="J59" s="61">
        <v>17</v>
      </c>
      <c r="K59" s="61" t="s">
        <v>6306</v>
      </c>
      <c r="L59" s="61" t="s">
        <v>6307</v>
      </c>
      <c r="M59" s="61" t="s">
        <v>6308</v>
      </c>
      <c r="N59" s="61" t="s">
        <v>6309</v>
      </c>
      <c r="O59" s="61" t="s">
        <v>6310</v>
      </c>
    </row>
    <row r="60" spans="1:15" ht="42" thickBot="1" x14ac:dyDescent="0.35">
      <c r="A60" s="60">
        <v>1709500</v>
      </c>
      <c r="B60" s="61" t="s">
        <v>6424</v>
      </c>
      <c r="C60" s="61" t="s">
        <v>6425</v>
      </c>
      <c r="D60" s="61"/>
      <c r="E60" s="62">
        <v>-117279</v>
      </c>
      <c r="F60" s="62">
        <v>-49068</v>
      </c>
      <c r="G60" s="61">
        <v>9385</v>
      </c>
      <c r="H60" s="61">
        <v>63</v>
      </c>
      <c r="I60" s="61" t="s">
        <v>6305</v>
      </c>
      <c r="J60" s="61">
        <v>17</v>
      </c>
      <c r="K60" s="61" t="s">
        <v>6306</v>
      </c>
      <c r="L60" s="61" t="s">
        <v>6307</v>
      </c>
      <c r="M60" s="61" t="s">
        <v>6308</v>
      </c>
      <c r="N60" s="61" t="s">
        <v>6309</v>
      </c>
      <c r="O60" s="61" t="s">
        <v>6310</v>
      </c>
    </row>
    <row r="61" spans="1:15" ht="42" thickBot="1" x14ac:dyDescent="0.35">
      <c r="A61" s="60">
        <v>1709807</v>
      </c>
      <c r="B61" s="61" t="s">
        <v>6426</v>
      </c>
      <c r="C61" s="61" t="s">
        <v>6427</v>
      </c>
      <c r="D61" s="61"/>
      <c r="E61" s="62">
        <v>-112329</v>
      </c>
      <c r="F61" s="62" t="s">
        <v>6428</v>
      </c>
      <c r="G61" s="61">
        <v>84</v>
      </c>
      <c r="H61" s="61">
        <v>63</v>
      </c>
      <c r="I61" s="61" t="s">
        <v>6305</v>
      </c>
      <c r="J61" s="61">
        <v>17</v>
      </c>
      <c r="K61" s="61" t="s">
        <v>6306</v>
      </c>
      <c r="L61" s="61" t="s">
        <v>6307</v>
      </c>
      <c r="M61" s="61" t="s">
        <v>6308</v>
      </c>
      <c r="N61" s="61" t="s">
        <v>6309</v>
      </c>
      <c r="O61" s="61" t="s">
        <v>6310</v>
      </c>
    </row>
    <row r="62" spans="1:15" ht="42" thickBot="1" x14ac:dyDescent="0.35">
      <c r="A62" s="60">
        <v>1710508</v>
      </c>
      <c r="B62" s="61" t="s">
        <v>6429</v>
      </c>
      <c r="C62" s="61" t="s">
        <v>6430</v>
      </c>
      <c r="D62" s="61"/>
      <c r="E62" s="62">
        <v>-839293</v>
      </c>
      <c r="F62" s="62">
        <v>-477726</v>
      </c>
      <c r="G62" s="61">
        <v>9405</v>
      </c>
      <c r="H62" s="61">
        <v>63</v>
      </c>
      <c r="I62" s="61" t="s">
        <v>6305</v>
      </c>
      <c r="J62" s="61">
        <v>17</v>
      </c>
      <c r="K62" s="61" t="s">
        <v>6306</v>
      </c>
      <c r="L62" s="61" t="s">
        <v>6307</v>
      </c>
      <c r="M62" s="61" t="s">
        <v>6308</v>
      </c>
      <c r="N62" s="61" t="s">
        <v>6309</v>
      </c>
      <c r="O62" s="61" t="s">
        <v>6310</v>
      </c>
    </row>
    <row r="63" spans="1:15" ht="42" thickBot="1" x14ac:dyDescent="0.35">
      <c r="A63" s="60">
        <v>1710706</v>
      </c>
      <c r="B63" s="61" t="s">
        <v>6431</v>
      </c>
      <c r="C63" s="61" t="s">
        <v>6432</v>
      </c>
      <c r="D63" s="61"/>
      <c r="E63" s="62">
        <v>-577267</v>
      </c>
      <c r="F63" s="62">
        <v>-474864</v>
      </c>
      <c r="G63" s="61">
        <v>9409</v>
      </c>
      <c r="H63" s="61">
        <v>63</v>
      </c>
      <c r="I63" s="61" t="s">
        <v>6305</v>
      </c>
      <c r="J63" s="61">
        <v>17</v>
      </c>
      <c r="K63" s="61" t="s">
        <v>6306</v>
      </c>
      <c r="L63" s="61" t="s">
        <v>6307</v>
      </c>
      <c r="M63" s="61" t="s">
        <v>6308</v>
      </c>
      <c r="N63" s="61" t="s">
        <v>6309</v>
      </c>
      <c r="O63" s="61" t="s">
        <v>6310</v>
      </c>
    </row>
    <row r="64" spans="1:15" ht="42" thickBot="1" x14ac:dyDescent="0.35">
      <c r="A64" s="60">
        <v>1710904</v>
      </c>
      <c r="B64" s="61" t="s">
        <v>6433</v>
      </c>
      <c r="C64" s="61" t="s">
        <v>6434</v>
      </c>
      <c r="D64" s="61"/>
      <c r="E64" s="62">
        <v>-837982</v>
      </c>
      <c r="F64" s="62">
        <v>-481072</v>
      </c>
      <c r="G64" s="61">
        <v>347</v>
      </c>
      <c r="H64" s="61">
        <v>63</v>
      </c>
      <c r="I64" s="61" t="s">
        <v>6305</v>
      </c>
      <c r="J64" s="61">
        <v>17</v>
      </c>
      <c r="K64" s="61" t="s">
        <v>6306</v>
      </c>
      <c r="L64" s="61" t="s">
        <v>6307</v>
      </c>
      <c r="M64" s="61" t="s">
        <v>6308</v>
      </c>
      <c r="N64" s="61" t="s">
        <v>6309</v>
      </c>
      <c r="O64" s="61" t="s">
        <v>6310</v>
      </c>
    </row>
    <row r="65" spans="1:15" ht="42" thickBot="1" x14ac:dyDescent="0.35">
      <c r="A65" s="60">
        <v>1711100</v>
      </c>
      <c r="B65" s="61" t="s">
        <v>6435</v>
      </c>
      <c r="C65" s="61" t="s">
        <v>6436</v>
      </c>
      <c r="D65" s="61"/>
      <c r="E65" s="62">
        <v>-857172</v>
      </c>
      <c r="F65" s="62">
        <v>-486895</v>
      </c>
      <c r="G65" s="61">
        <v>9417</v>
      </c>
      <c r="H65" s="61">
        <v>63</v>
      </c>
      <c r="I65" s="61" t="s">
        <v>6305</v>
      </c>
      <c r="J65" s="61">
        <v>17</v>
      </c>
      <c r="K65" s="61" t="s">
        <v>6306</v>
      </c>
      <c r="L65" s="61" t="s">
        <v>6307</v>
      </c>
      <c r="M65" s="61" t="s">
        <v>6308</v>
      </c>
      <c r="N65" s="61" t="s">
        <v>6309</v>
      </c>
      <c r="O65" s="61" t="s">
        <v>6310</v>
      </c>
    </row>
    <row r="66" spans="1:15" ht="42" thickBot="1" x14ac:dyDescent="0.35">
      <c r="A66" s="60">
        <v>1711506</v>
      </c>
      <c r="B66" s="61" t="s">
        <v>6437</v>
      </c>
      <c r="C66" s="61" t="s">
        <v>937</v>
      </c>
      <c r="D66" s="61"/>
      <c r="E66" s="62">
        <v>-126509</v>
      </c>
      <c r="F66" s="62">
        <v>-48589</v>
      </c>
      <c r="G66" s="61">
        <v>329</v>
      </c>
      <c r="H66" s="61">
        <v>63</v>
      </c>
      <c r="I66" s="61" t="s">
        <v>6305</v>
      </c>
      <c r="J66" s="61">
        <v>17</v>
      </c>
      <c r="K66" s="61" t="s">
        <v>6306</v>
      </c>
      <c r="L66" s="61" t="s">
        <v>6307</v>
      </c>
      <c r="M66" s="61" t="s">
        <v>6308</v>
      </c>
      <c r="N66" s="61" t="s">
        <v>6309</v>
      </c>
      <c r="O66" s="61" t="s">
        <v>6310</v>
      </c>
    </row>
    <row r="67" spans="1:15" ht="42" thickBot="1" x14ac:dyDescent="0.35">
      <c r="A67" s="60">
        <v>1711803</v>
      </c>
      <c r="B67" s="61" t="s">
        <v>6438</v>
      </c>
      <c r="C67" s="61" t="s">
        <v>6439</v>
      </c>
      <c r="D67" s="61"/>
      <c r="E67" s="62">
        <v>-811951</v>
      </c>
      <c r="F67" s="62">
        <v>-490643</v>
      </c>
      <c r="G67" s="61">
        <v>349</v>
      </c>
      <c r="H67" s="61">
        <v>63</v>
      </c>
      <c r="I67" s="61" t="s">
        <v>6305</v>
      </c>
      <c r="J67" s="61">
        <v>17</v>
      </c>
      <c r="K67" s="61" t="s">
        <v>6306</v>
      </c>
      <c r="L67" s="61" t="s">
        <v>6307</v>
      </c>
      <c r="M67" s="61" t="s">
        <v>6308</v>
      </c>
      <c r="N67" s="61" t="s">
        <v>6309</v>
      </c>
      <c r="O67" s="61" t="s">
        <v>6310</v>
      </c>
    </row>
    <row r="68" spans="1:15" ht="42" thickBot="1" x14ac:dyDescent="0.35">
      <c r="A68" s="60">
        <v>1711902</v>
      </c>
      <c r="B68" s="61" t="s">
        <v>6440</v>
      </c>
      <c r="C68" s="61" t="s">
        <v>6441</v>
      </c>
      <c r="D68" s="61"/>
      <c r="E68" s="62">
        <v>-107906</v>
      </c>
      <c r="F68" s="62">
        <v>-496199</v>
      </c>
      <c r="G68" s="61">
        <v>367</v>
      </c>
      <c r="H68" s="61">
        <v>63</v>
      </c>
      <c r="I68" s="61" t="s">
        <v>6305</v>
      </c>
      <c r="J68" s="61">
        <v>17</v>
      </c>
      <c r="K68" s="61" t="s">
        <v>6306</v>
      </c>
      <c r="L68" s="61" t="s">
        <v>6307</v>
      </c>
      <c r="M68" s="61" t="s">
        <v>6308</v>
      </c>
      <c r="N68" s="61" t="s">
        <v>6309</v>
      </c>
      <c r="O68" s="61" t="s">
        <v>6310</v>
      </c>
    </row>
    <row r="69" spans="1:15" ht="42" thickBot="1" x14ac:dyDescent="0.35">
      <c r="A69" s="60">
        <v>1711951</v>
      </c>
      <c r="B69" s="61" t="s">
        <v>6442</v>
      </c>
      <c r="C69" s="61" t="s">
        <v>6443</v>
      </c>
      <c r="D69" s="61"/>
      <c r="E69" s="62">
        <v>-10368</v>
      </c>
      <c r="F69" s="62">
        <v>-47538</v>
      </c>
      <c r="G69" s="61">
        <v>353</v>
      </c>
      <c r="H69" s="61">
        <v>63</v>
      </c>
      <c r="I69" s="61" t="s">
        <v>6305</v>
      </c>
      <c r="J69" s="61">
        <v>17</v>
      </c>
      <c r="K69" s="61" t="s">
        <v>6306</v>
      </c>
      <c r="L69" s="61" t="s">
        <v>6307</v>
      </c>
      <c r="M69" s="61" t="s">
        <v>6308</v>
      </c>
      <c r="N69" s="61" t="s">
        <v>6309</v>
      </c>
      <c r="O69" s="61" t="s">
        <v>6310</v>
      </c>
    </row>
    <row r="70" spans="1:15" ht="42" thickBot="1" x14ac:dyDescent="0.35">
      <c r="A70" s="60">
        <v>1712009</v>
      </c>
      <c r="B70" s="61" t="s">
        <v>6444</v>
      </c>
      <c r="C70" s="61" t="s">
        <v>6445</v>
      </c>
      <c r="D70" s="61"/>
      <c r="E70" s="62">
        <v>-974996</v>
      </c>
      <c r="F70" s="62">
        <v>-483565</v>
      </c>
      <c r="G70" s="61">
        <v>351</v>
      </c>
      <c r="H70" s="61">
        <v>63</v>
      </c>
      <c r="I70" s="61" t="s">
        <v>6305</v>
      </c>
      <c r="J70" s="61">
        <v>17</v>
      </c>
      <c r="K70" s="61" t="s">
        <v>6306</v>
      </c>
      <c r="L70" s="61" t="s">
        <v>6307</v>
      </c>
      <c r="M70" s="61" t="s">
        <v>6308</v>
      </c>
      <c r="N70" s="61" t="s">
        <v>6309</v>
      </c>
      <c r="O70" s="61" t="s">
        <v>6310</v>
      </c>
    </row>
    <row r="71" spans="1:15" ht="42" thickBot="1" x14ac:dyDescent="0.35">
      <c r="A71" s="60">
        <v>1712157</v>
      </c>
      <c r="B71" s="61" t="s">
        <v>6446</v>
      </c>
      <c r="C71" s="61" t="s">
        <v>6447</v>
      </c>
      <c r="D71" s="61"/>
      <c r="E71" s="62">
        <v>-127847</v>
      </c>
      <c r="F71" s="62">
        <v>-465099</v>
      </c>
      <c r="G71" s="61">
        <v>86</v>
      </c>
      <c r="H71" s="61">
        <v>63</v>
      </c>
      <c r="I71" s="61" t="s">
        <v>6305</v>
      </c>
      <c r="J71" s="61">
        <v>17</v>
      </c>
      <c r="K71" s="61" t="s">
        <v>6306</v>
      </c>
      <c r="L71" s="61" t="s">
        <v>6307</v>
      </c>
      <c r="M71" s="61" t="s">
        <v>6308</v>
      </c>
      <c r="N71" s="61" t="s">
        <v>6309</v>
      </c>
      <c r="O71" s="61" t="s">
        <v>6310</v>
      </c>
    </row>
    <row r="72" spans="1:15" ht="42" thickBot="1" x14ac:dyDescent="0.35">
      <c r="A72" s="60">
        <v>1712405</v>
      </c>
      <c r="B72" s="61" t="s">
        <v>6448</v>
      </c>
      <c r="C72" s="61" t="s">
        <v>6449</v>
      </c>
      <c r="D72" s="61"/>
      <c r="E72" s="62">
        <v>-959002</v>
      </c>
      <c r="F72" s="62">
        <v>-466738</v>
      </c>
      <c r="G72" s="61">
        <v>9569</v>
      </c>
      <c r="H72" s="61">
        <v>63</v>
      </c>
      <c r="I72" s="61" t="s">
        <v>6305</v>
      </c>
      <c r="J72" s="61">
        <v>17</v>
      </c>
      <c r="K72" s="61" t="s">
        <v>6306</v>
      </c>
      <c r="L72" s="61" t="s">
        <v>6307</v>
      </c>
      <c r="M72" s="61" t="s">
        <v>6308</v>
      </c>
      <c r="N72" s="61" t="s">
        <v>6309</v>
      </c>
      <c r="O72" s="61" t="s">
        <v>6310</v>
      </c>
    </row>
    <row r="73" spans="1:15" ht="42" thickBot="1" x14ac:dyDescent="0.35">
      <c r="A73" s="60">
        <v>1712454</v>
      </c>
      <c r="B73" s="61" t="s">
        <v>6450</v>
      </c>
      <c r="C73" s="61" t="s">
        <v>6451</v>
      </c>
      <c r="D73" s="61"/>
      <c r="E73" s="62">
        <v>-617794</v>
      </c>
      <c r="F73" s="62">
        <v>-478582</v>
      </c>
      <c r="G73" s="61">
        <v>88</v>
      </c>
      <c r="H73" s="61">
        <v>63</v>
      </c>
      <c r="I73" s="61" t="s">
        <v>6305</v>
      </c>
      <c r="J73" s="61">
        <v>17</v>
      </c>
      <c r="K73" s="61" t="s">
        <v>6306</v>
      </c>
      <c r="L73" s="61" t="s">
        <v>6307</v>
      </c>
      <c r="M73" s="61" t="s">
        <v>6308</v>
      </c>
      <c r="N73" s="61" t="s">
        <v>6309</v>
      </c>
      <c r="O73" s="61" t="s">
        <v>6310</v>
      </c>
    </row>
    <row r="74" spans="1:15" ht="42" thickBot="1" x14ac:dyDescent="0.35">
      <c r="A74" s="60">
        <v>1712504</v>
      </c>
      <c r="B74" s="61" t="s">
        <v>6452</v>
      </c>
      <c r="C74" s="61" t="s">
        <v>6453</v>
      </c>
      <c r="D74" s="61"/>
      <c r="E74" s="62">
        <v>-979377</v>
      </c>
      <c r="F74" s="62">
        <v>-496553</v>
      </c>
      <c r="G74" s="61">
        <v>9711</v>
      </c>
      <c r="H74" s="61">
        <v>63</v>
      </c>
      <c r="I74" s="61" t="s">
        <v>6305</v>
      </c>
      <c r="J74" s="61">
        <v>17</v>
      </c>
      <c r="K74" s="61" t="s">
        <v>6306</v>
      </c>
      <c r="L74" s="61" t="s">
        <v>6307</v>
      </c>
      <c r="M74" s="61" t="s">
        <v>6308</v>
      </c>
      <c r="N74" s="61" t="s">
        <v>6309</v>
      </c>
      <c r="O74" s="61" t="s">
        <v>6310</v>
      </c>
    </row>
    <row r="75" spans="1:15" ht="42" thickBot="1" x14ac:dyDescent="0.35">
      <c r="A75" s="60">
        <v>1712702</v>
      </c>
      <c r="B75" s="61" t="s">
        <v>6454</v>
      </c>
      <c r="C75" s="61" t="s">
        <v>6455</v>
      </c>
      <c r="D75" s="61"/>
      <c r="E75" s="62">
        <v>-105464</v>
      </c>
      <c r="F75" s="62">
        <v>-464168</v>
      </c>
      <c r="G75" s="61">
        <v>317</v>
      </c>
      <c r="H75" s="61">
        <v>63</v>
      </c>
      <c r="I75" s="61" t="s">
        <v>6305</v>
      </c>
      <c r="J75" s="61">
        <v>17</v>
      </c>
      <c r="K75" s="61" t="s">
        <v>6306</v>
      </c>
      <c r="L75" s="61" t="s">
        <v>6307</v>
      </c>
      <c r="M75" s="61" t="s">
        <v>6308</v>
      </c>
      <c r="N75" s="61" t="s">
        <v>6309</v>
      </c>
      <c r="O75" s="61" t="s">
        <v>6310</v>
      </c>
    </row>
    <row r="76" spans="1:15" ht="42" thickBot="1" x14ac:dyDescent="0.35">
      <c r="A76" s="60">
        <v>1712801</v>
      </c>
      <c r="B76" s="61" t="s">
        <v>6456</v>
      </c>
      <c r="C76" s="61" t="s">
        <v>6457</v>
      </c>
      <c r="D76" s="61"/>
      <c r="E76" s="62">
        <v>-595169</v>
      </c>
      <c r="F76" s="62">
        <v>-475125</v>
      </c>
      <c r="G76" s="61">
        <v>183</v>
      </c>
      <c r="H76" s="61">
        <v>63</v>
      </c>
      <c r="I76" s="61" t="s">
        <v>6305</v>
      </c>
      <c r="J76" s="61">
        <v>17</v>
      </c>
      <c r="K76" s="61" t="s">
        <v>6306</v>
      </c>
      <c r="L76" s="61" t="s">
        <v>6307</v>
      </c>
      <c r="M76" s="61" t="s">
        <v>6308</v>
      </c>
      <c r="N76" s="61" t="s">
        <v>6309</v>
      </c>
      <c r="O76" s="61" t="s">
        <v>6310</v>
      </c>
    </row>
    <row r="77" spans="1:15" ht="42" thickBot="1" x14ac:dyDescent="0.35">
      <c r="A77" s="60">
        <v>1713205</v>
      </c>
      <c r="B77" s="61" t="s">
        <v>6458</v>
      </c>
      <c r="C77" s="61" t="s">
        <v>6459</v>
      </c>
      <c r="D77" s="61"/>
      <c r="E77" s="62">
        <v>-956556</v>
      </c>
      <c r="F77" s="62">
        <v>-48393</v>
      </c>
      <c r="G77" s="61">
        <v>9461</v>
      </c>
      <c r="H77" s="61">
        <v>63</v>
      </c>
      <c r="I77" s="61" t="s">
        <v>6305</v>
      </c>
      <c r="J77" s="61">
        <v>17</v>
      </c>
      <c r="K77" s="61" t="s">
        <v>6306</v>
      </c>
      <c r="L77" s="61" t="s">
        <v>6307</v>
      </c>
      <c r="M77" s="61" t="s">
        <v>6308</v>
      </c>
      <c r="N77" s="61" t="s">
        <v>6309</v>
      </c>
      <c r="O77" s="61" t="s">
        <v>6310</v>
      </c>
    </row>
    <row r="78" spans="1:15" ht="42" thickBot="1" x14ac:dyDescent="0.35">
      <c r="A78" s="60">
        <v>1713304</v>
      </c>
      <c r="B78" s="61" t="s">
        <v>6460</v>
      </c>
      <c r="C78" s="61" t="s">
        <v>6461</v>
      </c>
      <c r="D78" s="61"/>
      <c r="E78" s="62">
        <v>-952907</v>
      </c>
      <c r="F78" s="62">
        <v>-485922</v>
      </c>
      <c r="G78" s="61">
        <v>9463</v>
      </c>
      <c r="H78" s="61">
        <v>63</v>
      </c>
      <c r="I78" s="61" t="s">
        <v>6305</v>
      </c>
      <c r="J78" s="61">
        <v>17</v>
      </c>
      <c r="K78" s="61" t="s">
        <v>6306</v>
      </c>
      <c r="L78" s="61" t="s">
        <v>6307</v>
      </c>
      <c r="M78" s="61" t="s">
        <v>6308</v>
      </c>
      <c r="N78" s="61" t="s">
        <v>6309</v>
      </c>
      <c r="O78" s="61" t="s">
        <v>6310</v>
      </c>
    </row>
    <row r="79" spans="1:15" ht="42" thickBot="1" x14ac:dyDescent="0.35">
      <c r="A79" s="60">
        <v>1713700</v>
      </c>
      <c r="B79" s="61" t="s">
        <v>6462</v>
      </c>
      <c r="C79" s="61" t="s">
        <v>6463</v>
      </c>
      <c r="D79" s="61"/>
      <c r="E79" s="62">
        <v>-100075</v>
      </c>
      <c r="F79" s="62">
        <v>-489941</v>
      </c>
      <c r="G79" s="61">
        <v>90</v>
      </c>
      <c r="H79" s="61">
        <v>63</v>
      </c>
      <c r="I79" s="61" t="s">
        <v>6305</v>
      </c>
      <c r="J79" s="61">
        <v>17</v>
      </c>
      <c r="K79" s="61" t="s">
        <v>6306</v>
      </c>
      <c r="L79" s="61" t="s">
        <v>6307</v>
      </c>
      <c r="M79" s="61" t="s">
        <v>6308</v>
      </c>
      <c r="N79" s="61" t="s">
        <v>6309</v>
      </c>
      <c r="O79" s="61" t="s">
        <v>6310</v>
      </c>
    </row>
    <row r="80" spans="1:15" ht="42" thickBot="1" x14ac:dyDescent="0.35">
      <c r="A80" s="60">
        <v>1713601</v>
      </c>
      <c r="B80" s="61" t="s">
        <v>6464</v>
      </c>
      <c r="C80" s="61" t="s">
        <v>6465</v>
      </c>
      <c r="D80" s="61"/>
      <c r="E80" s="62">
        <v>-107611</v>
      </c>
      <c r="F80" s="62">
        <v>-481114</v>
      </c>
      <c r="G80" s="61">
        <v>9469</v>
      </c>
      <c r="H80" s="61">
        <v>63</v>
      </c>
      <c r="I80" s="61" t="s">
        <v>6305</v>
      </c>
      <c r="J80" s="61">
        <v>17</v>
      </c>
      <c r="K80" s="61" t="s">
        <v>6306</v>
      </c>
      <c r="L80" s="61" t="s">
        <v>6307</v>
      </c>
      <c r="M80" s="61" t="s">
        <v>6308</v>
      </c>
      <c r="N80" s="61" t="s">
        <v>6309</v>
      </c>
      <c r="O80" s="61" t="s">
        <v>6310</v>
      </c>
    </row>
    <row r="81" spans="1:15" ht="42" thickBot="1" x14ac:dyDescent="0.35">
      <c r="A81" s="60">
        <v>1713957</v>
      </c>
      <c r="B81" s="61" t="s">
        <v>6466</v>
      </c>
      <c r="C81" s="61" t="s">
        <v>6467</v>
      </c>
      <c r="D81" s="61"/>
      <c r="E81" s="62">
        <v>-714669</v>
      </c>
      <c r="F81" s="62">
        <v>-486091</v>
      </c>
      <c r="G81" s="61">
        <v>187</v>
      </c>
      <c r="H81" s="61">
        <v>63</v>
      </c>
      <c r="I81" s="61" t="s">
        <v>6305</v>
      </c>
      <c r="J81" s="61">
        <v>17</v>
      </c>
      <c r="K81" s="61" t="s">
        <v>6306</v>
      </c>
      <c r="L81" s="61" t="s">
        <v>6307</v>
      </c>
      <c r="M81" s="61" t="s">
        <v>6308</v>
      </c>
      <c r="N81" s="61" t="s">
        <v>6309</v>
      </c>
      <c r="O81" s="61" t="s">
        <v>6310</v>
      </c>
    </row>
    <row r="82" spans="1:15" ht="42" thickBot="1" x14ac:dyDescent="0.35">
      <c r="A82" s="60">
        <v>1714203</v>
      </c>
      <c r="B82" s="61" t="s">
        <v>6468</v>
      </c>
      <c r="C82" s="61" t="s">
        <v>6469</v>
      </c>
      <c r="D82" s="61"/>
      <c r="E82" s="62">
        <v>-117034</v>
      </c>
      <c r="F82" s="62">
        <v>-477223</v>
      </c>
      <c r="G82" s="61">
        <v>9481</v>
      </c>
      <c r="H82" s="61">
        <v>63</v>
      </c>
      <c r="I82" s="61" t="s">
        <v>6305</v>
      </c>
      <c r="J82" s="61">
        <v>17</v>
      </c>
      <c r="K82" s="61" t="s">
        <v>6306</v>
      </c>
      <c r="L82" s="61" t="s">
        <v>6307</v>
      </c>
      <c r="M82" s="61" t="s">
        <v>6308</v>
      </c>
      <c r="N82" s="61" t="s">
        <v>6309</v>
      </c>
      <c r="O82" s="61" t="s">
        <v>6310</v>
      </c>
    </row>
    <row r="83" spans="1:15" ht="42" thickBot="1" x14ac:dyDescent="0.35">
      <c r="A83" s="60">
        <v>1714302</v>
      </c>
      <c r="B83" s="61" t="s">
        <v>6470</v>
      </c>
      <c r="C83" s="61" t="s">
        <v>6471</v>
      </c>
      <c r="D83" s="61"/>
      <c r="E83" s="62">
        <v>-637496</v>
      </c>
      <c r="F83" s="62">
        <v>-476643</v>
      </c>
      <c r="G83" s="61">
        <v>9483</v>
      </c>
      <c r="H83" s="61">
        <v>63</v>
      </c>
      <c r="I83" s="61" t="s">
        <v>6305</v>
      </c>
      <c r="J83" s="61">
        <v>17</v>
      </c>
      <c r="K83" s="61" t="s">
        <v>6306</v>
      </c>
      <c r="L83" s="61" t="s">
        <v>6307</v>
      </c>
      <c r="M83" s="61" t="s">
        <v>6308</v>
      </c>
      <c r="N83" s="61" t="s">
        <v>6309</v>
      </c>
      <c r="O83" s="61" t="s">
        <v>6310</v>
      </c>
    </row>
    <row r="84" spans="1:15" ht="42" thickBot="1" x14ac:dyDescent="0.35">
      <c r="A84" s="60">
        <v>1714880</v>
      </c>
      <c r="B84" s="61" t="s">
        <v>6472</v>
      </c>
      <c r="C84" s="61" t="s">
        <v>6473</v>
      </c>
      <c r="D84" s="61"/>
      <c r="E84" s="62">
        <v>-763171</v>
      </c>
      <c r="F84" s="62">
        <v>-484252</v>
      </c>
      <c r="G84" s="61">
        <v>9663</v>
      </c>
      <c r="H84" s="61">
        <v>63</v>
      </c>
      <c r="I84" s="61" t="s">
        <v>6305</v>
      </c>
      <c r="J84" s="61">
        <v>17</v>
      </c>
      <c r="K84" s="61" t="s">
        <v>6306</v>
      </c>
      <c r="L84" s="61" t="s">
        <v>6307</v>
      </c>
      <c r="M84" s="61" t="s">
        <v>6308</v>
      </c>
      <c r="N84" s="61" t="s">
        <v>6309</v>
      </c>
      <c r="O84" s="61" t="s">
        <v>6310</v>
      </c>
    </row>
    <row r="85" spans="1:15" ht="42" thickBot="1" x14ac:dyDescent="0.35">
      <c r="A85" s="60">
        <v>1715002</v>
      </c>
      <c r="B85" s="61" t="s">
        <v>6474</v>
      </c>
      <c r="C85" s="61" t="s">
        <v>6475</v>
      </c>
      <c r="D85" s="61"/>
      <c r="E85" s="62">
        <v>-105651</v>
      </c>
      <c r="F85" s="62">
        <v>-489125</v>
      </c>
      <c r="G85" s="61">
        <v>9721</v>
      </c>
      <c r="H85" s="61">
        <v>63</v>
      </c>
      <c r="I85" s="61" t="s">
        <v>6305</v>
      </c>
      <c r="J85" s="61">
        <v>17</v>
      </c>
      <c r="K85" s="61" t="s">
        <v>6306</v>
      </c>
      <c r="L85" s="61" t="s">
        <v>6307</v>
      </c>
      <c r="M85" s="61" t="s">
        <v>6308</v>
      </c>
      <c r="N85" s="61" t="s">
        <v>6309</v>
      </c>
      <c r="O85" s="61" t="s">
        <v>6310</v>
      </c>
    </row>
    <row r="86" spans="1:15" ht="42" thickBot="1" x14ac:dyDescent="0.35">
      <c r="A86" s="60">
        <v>1715101</v>
      </c>
      <c r="B86" s="61" t="s">
        <v>6476</v>
      </c>
      <c r="C86" s="61" t="s">
        <v>6477</v>
      </c>
      <c r="D86" s="61"/>
      <c r="E86" s="62">
        <v>-997063</v>
      </c>
      <c r="F86" s="62">
        <v>-476785</v>
      </c>
      <c r="G86" s="61">
        <v>9499</v>
      </c>
      <c r="H86" s="61">
        <v>63</v>
      </c>
      <c r="I86" s="61" t="s">
        <v>6305</v>
      </c>
      <c r="J86" s="61">
        <v>17</v>
      </c>
      <c r="K86" s="61" t="s">
        <v>6306</v>
      </c>
      <c r="L86" s="61" t="s">
        <v>6307</v>
      </c>
      <c r="M86" s="61" t="s">
        <v>6308</v>
      </c>
      <c r="N86" s="61" t="s">
        <v>6309</v>
      </c>
      <c r="O86" s="61" t="s">
        <v>6310</v>
      </c>
    </row>
    <row r="87" spans="1:15" ht="42" thickBot="1" x14ac:dyDescent="0.35">
      <c r="A87" s="60">
        <v>1715150</v>
      </c>
      <c r="B87" s="61" t="s">
        <v>6478</v>
      </c>
      <c r="C87" s="61" t="s">
        <v>6479</v>
      </c>
      <c r="D87" s="61"/>
      <c r="E87" s="62">
        <v>-129217</v>
      </c>
      <c r="F87" s="62">
        <v>-465713</v>
      </c>
      <c r="G87" s="61">
        <v>9703</v>
      </c>
      <c r="H87" s="61">
        <v>63</v>
      </c>
      <c r="I87" s="61" t="s">
        <v>6305</v>
      </c>
      <c r="J87" s="61">
        <v>17</v>
      </c>
      <c r="K87" s="61" t="s">
        <v>6306</v>
      </c>
      <c r="L87" s="61" t="s">
        <v>6307</v>
      </c>
      <c r="M87" s="61" t="s">
        <v>6308</v>
      </c>
      <c r="N87" s="61" t="s">
        <v>6309</v>
      </c>
      <c r="O87" s="61" t="s">
        <v>6310</v>
      </c>
    </row>
    <row r="88" spans="1:15" ht="42" thickBot="1" x14ac:dyDescent="0.35">
      <c r="A88" s="60">
        <v>1715259</v>
      </c>
      <c r="B88" s="61" t="s">
        <v>6480</v>
      </c>
      <c r="C88" s="61" t="s">
        <v>6481</v>
      </c>
      <c r="D88" s="61"/>
      <c r="E88" s="62">
        <v>-11826</v>
      </c>
      <c r="F88" s="62">
        <v>-466325</v>
      </c>
      <c r="G88" s="61">
        <v>321</v>
      </c>
      <c r="H88" s="61">
        <v>63</v>
      </c>
      <c r="I88" s="61" t="s">
        <v>6305</v>
      </c>
      <c r="J88" s="61">
        <v>17</v>
      </c>
      <c r="K88" s="61" t="s">
        <v>6306</v>
      </c>
      <c r="L88" s="61" t="s">
        <v>6307</v>
      </c>
      <c r="M88" s="61" t="s">
        <v>6308</v>
      </c>
      <c r="N88" s="61" t="s">
        <v>6309</v>
      </c>
      <c r="O88" s="61" t="s">
        <v>6310</v>
      </c>
    </row>
    <row r="89" spans="1:15" ht="42" thickBot="1" x14ac:dyDescent="0.35">
      <c r="A89" s="60">
        <v>1715507</v>
      </c>
      <c r="B89" s="61" t="s">
        <v>6482</v>
      </c>
      <c r="C89" s="61" t="s">
        <v>6483</v>
      </c>
      <c r="D89" s="61"/>
      <c r="E89" s="62">
        <v>-10707</v>
      </c>
      <c r="F89" s="62">
        <v>-489086</v>
      </c>
      <c r="G89" s="61">
        <v>92</v>
      </c>
      <c r="H89" s="61">
        <v>63</v>
      </c>
      <c r="I89" s="61" t="s">
        <v>6305</v>
      </c>
      <c r="J89" s="61">
        <v>17</v>
      </c>
      <c r="K89" s="61" t="s">
        <v>6306</v>
      </c>
      <c r="L89" s="61" t="s">
        <v>6307</v>
      </c>
      <c r="M89" s="61" t="s">
        <v>6308</v>
      </c>
      <c r="N89" s="61" t="s">
        <v>6309</v>
      </c>
      <c r="O89" s="61" t="s">
        <v>6310</v>
      </c>
    </row>
    <row r="90" spans="1:15" ht="42" thickBot="1" x14ac:dyDescent="0.35">
      <c r="A90" s="60">
        <v>1721000</v>
      </c>
      <c r="B90" s="61" t="s">
        <v>6484</v>
      </c>
      <c r="C90" s="61" t="s">
        <v>6485</v>
      </c>
      <c r="D90" s="61" t="s">
        <v>6486</v>
      </c>
      <c r="E90" s="62" t="s">
        <v>6487</v>
      </c>
      <c r="F90" s="62">
        <v>-483558</v>
      </c>
      <c r="G90" s="61">
        <v>9733</v>
      </c>
      <c r="H90" s="61">
        <v>63</v>
      </c>
      <c r="I90" s="61" t="s">
        <v>6305</v>
      </c>
      <c r="J90" s="61">
        <v>17</v>
      </c>
      <c r="K90" s="61" t="s">
        <v>6306</v>
      </c>
      <c r="L90" s="61" t="s">
        <v>6307</v>
      </c>
      <c r="M90" s="61" t="s">
        <v>6308</v>
      </c>
      <c r="N90" s="61" t="s">
        <v>6309</v>
      </c>
      <c r="O90" s="61" t="s">
        <v>6310</v>
      </c>
    </row>
    <row r="91" spans="1:15" ht="42" thickBot="1" x14ac:dyDescent="0.35">
      <c r="A91" s="60">
        <v>1715705</v>
      </c>
      <c r="B91" s="61" t="s">
        <v>6488</v>
      </c>
      <c r="C91" s="61" t="s">
        <v>6489</v>
      </c>
      <c r="D91" s="61"/>
      <c r="E91" s="62">
        <v>-784786</v>
      </c>
      <c r="F91" s="62">
        <v>-479242</v>
      </c>
      <c r="G91" s="61">
        <v>189</v>
      </c>
      <c r="H91" s="61">
        <v>63</v>
      </c>
      <c r="I91" s="61" t="s">
        <v>6305</v>
      </c>
      <c r="J91" s="61">
        <v>17</v>
      </c>
      <c r="K91" s="61" t="s">
        <v>6306</v>
      </c>
      <c r="L91" s="61" t="s">
        <v>6307</v>
      </c>
      <c r="M91" s="61" t="s">
        <v>6308</v>
      </c>
      <c r="N91" s="61" t="s">
        <v>6309</v>
      </c>
      <c r="O91" s="61" t="s">
        <v>6310</v>
      </c>
    </row>
    <row r="92" spans="1:15" ht="42" thickBot="1" x14ac:dyDescent="0.35">
      <c r="A92" s="60">
        <v>1713809</v>
      </c>
      <c r="B92" s="61" t="s">
        <v>6490</v>
      </c>
      <c r="C92" s="61" t="s">
        <v>6491</v>
      </c>
      <c r="D92" s="61"/>
      <c r="E92" s="62">
        <v>-661658</v>
      </c>
      <c r="F92" s="62">
        <v>-475464</v>
      </c>
      <c r="G92" s="61">
        <v>185</v>
      </c>
      <c r="H92" s="61">
        <v>63</v>
      </c>
      <c r="I92" s="61" t="s">
        <v>6305</v>
      </c>
      <c r="J92" s="61">
        <v>17</v>
      </c>
      <c r="K92" s="61" t="s">
        <v>6306</v>
      </c>
      <c r="L92" s="61" t="s">
        <v>6307</v>
      </c>
      <c r="M92" s="61" t="s">
        <v>6308</v>
      </c>
      <c r="N92" s="61" t="s">
        <v>6309</v>
      </c>
      <c r="O92" s="61" t="s">
        <v>6310</v>
      </c>
    </row>
    <row r="93" spans="1:15" ht="42" thickBot="1" x14ac:dyDescent="0.35">
      <c r="A93" s="60">
        <v>1715754</v>
      </c>
      <c r="B93" s="61" t="s">
        <v>6492</v>
      </c>
      <c r="C93" s="61" t="s">
        <v>6493</v>
      </c>
      <c r="D93" s="61"/>
      <c r="E93" s="62">
        <v>-130447</v>
      </c>
      <c r="F93" s="62">
        <v>-484026</v>
      </c>
      <c r="G93" s="61">
        <v>9649</v>
      </c>
      <c r="H93" s="61">
        <v>63</v>
      </c>
      <c r="I93" s="61" t="s">
        <v>6305</v>
      </c>
      <c r="J93" s="61">
        <v>17</v>
      </c>
      <c r="K93" s="61" t="s">
        <v>6306</v>
      </c>
      <c r="L93" s="61" t="s">
        <v>6307</v>
      </c>
      <c r="M93" s="61" t="s">
        <v>6308</v>
      </c>
      <c r="N93" s="61" t="s">
        <v>6309</v>
      </c>
      <c r="O93" s="61" t="s">
        <v>6310</v>
      </c>
    </row>
    <row r="94" spans="1:15" ht="42" thickBot="1" x14ac:dyDescent="0.35">
      <c r="A94" s="60">
        <v>1716208</v>
      </c>
      <c r="B94" s="61" t="s">
        <v>6494</v>
      </c>
      <c r="C94" s="61" t="s">
        <v>6495</v>
      </c>
      <c r="D94" s="61"/>
      <c r="E94" s="62">
        <v>-126167</v>
      </c>
      <c r="F94" s="62">
        <v>-478734</v>
      </c>
      <c r="G94" s="61">
        <v>9521</v>
      </c>
      <c r="H94" s="61">
        <v>63</v>
      </c>
      <c r="I94" s="61" t="s">
        <v>6305</v>
      </c>
      <c r="J94" s="61">
        <v>17</v>
      </c>
      <c r="K94" s="61" t="s">
        <v>6306</v>
      </c>
      <c r="L94" s="61" t="s">
        <v>6307</v>
      </c>
      <c r="M94" s="61" t="s">
        <v>6308</v>
      </c>
      <c r="N94" s="61" t="s">
        <v>6309</v>
      </c>
      <c r="O94" s="61" t="s">
        <v>6310</v>
      </c>
    </row>
    <row r="95" spans="1:15" ht="42" thickBot="1" x14ac:dyDescent="0.35">
      <c r="A95" s="60">
        <v>1716109</v>
      </c>
      <c r="B95" s="61" t="s">
        <v>6496</v>
      </c>
      <c r="C95" s="61" t="s">
        <v>6497</v>
      </c>
      <c r="D95" s="61"/>
      <c r="E95" s="62">
        <v>-10175</v>
      </c>
      <c r="F95" s="62">
        <v>-488823</v>
      </c>
      <c r="G95" s="61">
        <v>9519</v>
      </c>
      <c r="H95" s="61">
        <v>63</v>
      </c>
      <c r="I95" s="61" t="s">
        <v>6305</v>
      </c>
      <c r="J95" s="61">
        <v>17</v>
      </c>
      <c r="K95" s="61" t="s">
        <v>6306</v>
      </c>
      <c r="L95" s="61" t="s">
        <v>6307</v>
      </c>
      <c r="M95" s="61" t="s">
        <v>6308</v>
      </c>
      <c r="N95" s="61" t="s">
        <v>6309</v>
      </c>
      <c r="O95" s="61" t="s">
        <v>6310</v>
      </c>
    </row>
    <row r="96" spans="1:15" ht="42" thickBot="1" x14ac:dyDescent="0.35">
      <c r="A96" s="60">
        <v>1716307</v>
      </c>
      <c r="B96" s="61" t="s">
        <v>6498</v>
      </c>
      <c r="C96" s="61" t="s">
        <v>6499</v>
      </c>
      <c r="D96" s="61"/>
      <c r="E96" s="62">
        <v>-753919</v>
      </c>
      <c r="F96" s="62">
        <v>-49367</v>
      </c>
      <c r="G96" s="61">
        <v>191</v>
      </c>
      <c r="H96" s="61">
        <v>63</v>
      </c>
      <c r="I96" s="61" t="s">
        <v>6305</v>
      </c>
      <c r="J96" s="61">
        <v>17</v>
      </c>
      <c r="K96" s="61" t="s">
        <v>6306</v>
      </c>
      <c r="L96" s="61" t="s">
        <v>6307</v>
      </c>
      <c r="M96" s="61" t="s">
        <v>6308</v>
      </c>
      <c r="N96" s="61" t="s">
        <v>6309</v>
      </c>
      <c r="O96" s="61" t="s">
        <v>6310</v>
      </c>
    </row>
    <row r="97" spans="1:15" ht="42" thickBot="1" x14ac:dyDescent="0.35">
      <c r="A97" s="60">
        <v>1716505</v>
      </c>
      <c r="B97" s="61" t="s">
        <v>6500</v>
      </c>
      <c r="C97" s="61" t="s">
        <v>6501</v>
      </c>
      <c r="D97" s="61"/>
      <c r="E97" s="62">
        <v>-897034</v>
      </c>
      <c r="F97" s="62">
        <v>-481729</v>
      </c>
      <c r="G97" s="61">
        <v>9525</v>
      </c>
      <c r="H97" s="61">
        <v>63</v>
      </c>
      <c r="I97" s="61" t="s">
        <v>6305</v>
      </c>
      <c r="J97" s="61">
        <v>17</v>
      </c>
      <c r="K97" s="61" t="s">
        <v>6306</v>
      </c>
      <c r="L97" s="61" t="s">
        <v>6307</v>
      </c>
      <c r="M97" s="61" t="s">
        <v>6308</v>
      </c>
      <c r="N97" s="61" t="s">
        <v>6309</v>
      </c>
      <c r="O97" s="61" t="s">
        <v>6310</v>
      </c>
    </row>
    <row r="98" spans="1:15" ht="42" thickBot="1" x14ac:dyDescent="0.35">
      <c r="A98" s="60">
        <v>1716604</v>
      </c>
      <c r="B98" s="61" t="s">
        <v>6502</v>
      </c>
      <c r="C98" s="61" t="s">
        <v>6503</v>
      </c>
      <c r="D98" s="61"/>
      <c r="E98" s="62">
        <v>-120254</v>
      </c>
      <c r="F98" s="62">
        <v>-485395</v>
      </c>
      <c r="G98" s="61">
        <v>9527</v>
      </c>
      <c r="H98" s="61">
        <v>63</v>
      </c>
      <c r="I98" s="61" t="s">
        <v>6305</v>
      </c>
      <c r="J98" s="61">
        <v>17</v>
      </c>
      <c r="K98" s="61" t="s">
        <v>6306</v>
      </c>
      <c r="L98" s="61" t="s">
        <v>6307</v>
      </c>
      <c r="M98" s="61" t="s">
        <v>6308</v>
      </c>
      <c r="N98" s="61" t="s">
        <v>6309</v>
      </c>
      <c r="O98" s="61" t="s">
        <v>6310</v>
      </c>
    </row>
    <row r="99" spans="1:15" ht="42" thickBot="1" x14ac:dyDescent="0.35">
      <c r="A99" s="60">
        <v>1716653</v>
      </c>
      <c r="B99" s="61" t="s">
        <v>6504</v>
      </c>
      <c r="C99" s="61" t="s">
        <v>6505</v>
      </c>
      <c r="D99" s="61"/>
      <c r="E99" s="62">
        <v>-85932</v>
      </c>
      <c r="F99" s="62">
        <v>-489327</v>
      </c>
      <c r="G99" s="61">
        <v>9705</v>
      </c>
      <c r="H99" s="61">
        <v>63</v>
      </c>
      <c r="I99" s="61" t="s">
        <v>6305</v>
      </c>
      <c r="J99" s="61">
        <v>17</v>
      </c>
      <c r="K99" s="61" t="s">
        <v>6306</v>
      </c>
      <c r="L99" s="61" t="s">
        <v>6307</v>
      </c>
      <c r="M99" s="61" t="s">
        <v>6308</v>
      </c>
      <c r="N99" s="61" t="s">
        <v>6309</v>
      </c>
      <c r="O99" s="61" t="s">
        <v>6310</v>
      </c>
    </row>
    <row r="100" spans="1:15" ht="42" thickBot="1" x14ac:dyDescent="0.35">
      <c r="A100" s="60">
        <v>1717008</v>
      </c>
      <c r="B100" s="61" t="s">
        <v>6506</v>
      </c>
      <c r="C100" s="61" t="s">
        <v>6507</v>
      </c>
      <c r="D100" s="61"/>
      <c r="E100" s="62">
        <v>-111311</v>
      </c>
      <c r="F100" s="62">
        <v>-475726</v>
      </c>
      <c r="G100" s="61">
        <v>9537</v>
      </c>
      <c r="H100" s="61">
        <v>63</v>
      </c>
      <c r="I100" s="61" t="s">
        <v>6305</v>
      </c>
      <c r="J100" s="61">
        <v>17</v>
      </c>
      <c r="K100" s="61" t="s">
        <v>6306</v>
      </c>
      <c r="L100" s="61" t="s">
        <v>6307</v>
      </c>
      <c r="M100" s="61" t="s">
        <v>6308</v>
      </c>
      <c r="N100" s="61" t="s">
        <v>6309</v>
      </c>
      <c r="O100" s="61" t="s">
        <v>6310</v>
      </c>
    </row>
    <row r="101" spans="1:15" ht="42" thickBot="1" x14ac:dyDescent="0.35">
      <c r="A101" s="60">
        <v>1717206</v>
      </c>
      <c r="B101" s="61" t="s">
        <v>6508</v>
      </c>
      <c r="C101" s="61" t="s">
        <v>6509</v>
      </c>
      <c r="D101" s="61"/>
      <c r="E101" s="62">
        <v>-677302</v>
      </c>
      <c r="F101" s="62">
        <v>-482958</v>
      </c>
      <c r="G101" s="61">
        <v>355</v>
      </c>
      <c r="H101" s="61">
        <v>63</v>
      </c>
      <c r="I101" s="61" t="s">
        <v>6305</v>
      </c>
      <c r="J101" s="61">
        <v>17</v>
      </c>
      <c r="K101" s="61" t="s">
        <v>6306</v>
      </c>
      <c r="L101" s="61" t="s">
        <v>6307</v>
      </c>
      <c r="M101" s="61" t="s">
        <v>6308</v>
      </c>
      <c r="N101" s="61" t="s">
        <v>6309</v>
      </c>
      <c r="O101" s="61" t="s">
        <v>6310</v>
      </c>
    </row>
    <row r="102" spans="1:15" ht="42" thickBot="1" x14ac:dyDescent="0.35">
      <c r="A102" s="60">
        <v>1717503</v>
      </c>
      <c r="B102" s="61" t="s">
        <v>6510</v>
      </c>
      <c r="C102" s="61" t="s">
        <v>6511</v>
      </c>
      <c r="D102" s="61"/>
      <c r="E102" s="62">
        <v>-10442</v>
      </c>
      <c r="F102" s="62">
        <v>-491876</v>
      </c>
      <c r="G102" s="61">
        <v>9547</v>
      </c>
      <c r="H102" s="61">
        <v>63</v>
      </c>
      <c r="I102" s="61" t="s">
        <v>6305</v>
      </c>
      <c r="J102" s="61">
        <v>17</v>
      </c>
      <c r="K102" s="61" t="s">
        <v>6306</v>
      </c>
      <c r="L102" s="61" t="s">
        <v>6307</v>
      </c>
      <c r="M102" s="61" t="s">
        <v>6308</v>
      </c>
      <c r="N102" s="61" t="s">
        <v>6309</v>
      </c>
      <c r="O102" s="61" t="s">
        <v>6310</v>
      </c>
    </row>
    <row r="103" spans="1:15" ht="42" thickBot="1" x14ac:dyDescent="0.35">
      <c r="A103" s="60">
        <v>1717800</v>
      </c>
      <c r="B103" s="61" t="s">
        <v>6512</v>
      </c>
      <c r="C103" s="61" t="s">
        <v>6512</v>
      </c>
      <c r="D103" s="61"/>
      <c r="E103" s="62">
        <v>-120853</v>
      </c>
      <c r="F103" s="62">
        <v>-464825</v>
      </c>
      <c r="G103" s="61">
        <v>9551</v>
      </c>
      <c r="H103" s="61">
        <v>63</v>
      </c>
      <c r="I103" s="61" t="s">
        <v>6305</v>
      </c>
      <c r="J103" s="61">
        <v>17</v>
      </c>
      <c r="K103" s="61" t="s">
        <v>6306</v>
      </c>
      <c r="L103" s="61" t="s">
        <v>6307</v>
      </c>
      <c r="M103" s="61" t="s">
        <v>6308</v>
      </c>
      <c r="N103" s="61" t="s">
        <v>6309</v>
      </c>
      <c r="O103" s="61" t="s">
        <v>6310</v>
      </c>
    </row>
    <row r="104" spans="1:15" ht="42" thickBot="1" x14ac:dyDescent="0.35">
      <c r="A104" s="60">
        <v>1717909</v>
      </c>
      <c r="B104" s="61" t="s">
        <v>6513</v>
      </c>
      <c r="C104" s="61" t="s">
        <v>6513</v>
      </c>
      <c r="D104" s="61"/>
      <c r="E104" s="62">
        <v>-107481</v>
      </c>
      <c r="F104" s="62">
        <v>-475276</v>
      </c>
      <c r="G104" s="61">
        <v>9553</v>
      </c>
      <c r="H104" s="61">
        <v>63</v>
      </c>
      <c r="I104" s="61" t="s">
        <v>6305</v>
      </c>
      <c r="J104" s="61">
        <v>17</v>
      </c>
      <c r="K104" s="61" t="s">
        <v>6306</v>
      </c>
      <c r="L104" s="61" t="s">
        <v>6307</v>
      </c>
      <c r="M104" s="61" t="s">
        <v>6308</v>
      </c>
      <c r="N104" s="61" t="s">
        <v>6309</v>
      </c>
      <c r="O104" s="61" t="s">
        <v>6310</v>
      </c>
    </row>
    <row r="105" spans="1:15" ht="42" thickBot="1" x14ac:dyDescent="0.35">
      <c r="A105" s="60">
        <v>1718006</v>
      </c>
      <c r="B105" s="61" t="s">
        <v>6514</v>
      </c>
      <c r="C105" s="61" t="s">
        <v>6515</v>
      </c>
      <c r="D105" s="61"/>
      <c r="E105" s="62">
        <v>-11618</v>
      </c>
      <c r="F105" s="62">
        <v>-470621</v>
      </c>
      <c r="G105" s="61">
        <v>9723</v>
      </c>
      <c r="H105" s="61">
        <v>63</v>
      </c>
      <c r="I105" s="61" t="s">
        <v>6305</v>
      </c>
      <c r="J105" s="61">
        <v>17</v>
      </c>
      <c r="K105" s="61" t="s">
        <v>6306</v>
      </c>
      <c r="L105" s="61" t="s">
        <v>6307</v>
      </c>
      <c r="M105" s="61" t="s">
        <v>6308</v>
      </c>
      <c r="N105" s="61" t="s">
        <v>6309</v>
      </c>
      <c r="O105" s="61" t="s">
        <v>6310</v>
      </c>
    </row>
    <row r="106" spans="1:15" ht="42" thickBot="1" x14ac:dyDescent="0.35">
      <c r="A106" s="60">
        <v>1718204</v>
      </c>
      <c r="B106" s="61" t="s">
        <v>6516</v>
      </c>
      <c r="C106" s="61" t="s">
        <v>6517</v>
      </c>
      <c r="D106" s="61"/>
      <c r="E106" s="62">
        <v>-107027</v>
      </c>
      <c r="F106" s="62">
        <v>-48408</v>
      </c>
      <c r="G106" s="61">
        <v>9559</v>
      </c>
      <c r="H106" s="61">
        <v>63</v>
      </c>
      <c r="I106" s="61" t="s">
        <v>6305</v>
      </c>
      <c r="J106" s="61">
        <v>17</v>
      </c>
      <c r="K106" s="61" t="s">
        <v>6306</v>
      </c>
      <c r="L106" s="61" t="s">
        <v>6307</v>
      </c>
      <c r="M106" s="61" t="s">
        <v>6308</v>
      </c>
      <c r="N106" s="61" t="s">
        <v>6309</v>
      </c>
      <c r="O106" s="61" t="s">
        <v>6310</v>
      </c>
    </row>
    <row r="107" spans="1:15" ht="42" thickBot="1" x14ac:dyDescent="0.35">
      <c r="A107" s="60">
        <v>1718303</v>
      </c>
      <c r="B107" s="61" t="s">
        <v>6518</v>
      </c>
      <c r="C107" s="61" t="s">
        <v>6519</v>
      </c>
      <c r="D107" s="61"/>
      <c r="E107" s="62">
        <v>-539281</v>
      </c>
      <c r="F107" s="62">
        <v>-478111</v>
      </c>
      <c r="G107" s="61">
        <v>9725</v>
      </c>
      <c r="H107" s="61">
        <v>63</v>
      </c>
      <c r="I107" s="61" t="s">
        <v>6305</v>
      </c>
      <c r="J107" s="61">
        <v>17</v>
      </c>
      <c r="K107" s="61" t="s">
        <v>6306</v>
      </c>
      <c r="L107" s="61" t="s">
        <v>6307</v>
      </c>
      <c r="M107" s="61" t="s">
        <v>6308</v>
      </c>
      <c r="N107" s="61" t="s">
        <v>6309</v>
      </c>
      <c r="O107" s="61" t="s">
        <v>6310</v>
      </c>
    </row>
    <row r="108" spans="1:15" ht="42" thickBot="1" x14ac:dyDescent="0.35">
      <c r="A108" s="60">
        <v>1718402</v>
      </c>
      <c r="B108" s="61" t="s">
        <v>6520</v>
      </c>
      <c r="C108" s="61" t="s">
        <v>6521</v>
      </c>
      <c r="D108" s="61"/>
      <c r="E108" s="62">
        <v>-85406</v>
      </c>
      <c r="F108" s="62">
        <v>-485062</v>
      </c>
      <c r="G108" s="61">
        <v>9629</v>
      </c>
      <c r="H108" s="61">
        <v>63</v>
      </c>
      <c r="I108" s="61" t="s">
        <v>6305</v>
      </c>
      <c r="J108" s="61">
        <v>17</v>
      </c>
      <c r="K108" s="61" t="s">
        <v>6306</v>
      </c>
      <c r="L108" s="61" t="s">
        <v>6307</v>
      </c>
      <c r="M108" s="61" t="s">
        <v>6308</v>
      </c>
      <c r="N108" s="61" t="s">
        <v>6309</v>
      </c>
      <c r="O108" s="61" t="s">
        <v>6310</v>
      </c>
    </row>
    <row r="109" spans="1:15" ht="42" thickBot="1" x14ac:dyDescent="0.35">
      <c r="A109" s="60">
        <v>1718451</v>
      </c>
      <c r="B109" s="61" t="s">
        <v>6522</v>
      </c>
      <c r="C109" s="61" t="s">
        <v>6523</v>
      </c>
      <c r="D109" s="61"/>
      <c r="E109" s="62">
        <v>-10424</v>
      </c>
      <c r="F109" s="62">
        <v>-488957</v>
      </c>
      <c r="G109" s="61">
        <v>94</v>
      </c>
      <c r="H109" s="61">
        <v>63</v>
      </c>
      <c r="I109" s="61" t="s">
        <v>6305</v>
      </c>
      <c r="J109" s="61">
        <v>17</v>
      </c>
      <c r="K109" s="61" t="s">
        <v>6306</v>
      </c>
      <c r="L109" s="61" t="s">
        <v>6307</v>
      </c>
      <c r="M109" s="61" t="s">
        <v>6308</v>
      </c>
      <c r="N109" s="61" t="s">
        <v>6309</v>
      </c>
      <c r="O109" s="61" t="s">
        <v>6310</v>
      </c>
    </row>
    <row r="110" spans="1:15" ht="42" thickBot="1" x14ac:dyDescent="0.35">
      <c r="A110" s="60">
        <v>1718501</v>
      </c>
      <c r="B110" s="61" t="s">
        <v>6524</v>
      </c>
      <c r="C110" s="61" t="s">
        <v>6525</v>
      </c>
      <c r="D110" s="61"/>
      <c r="E110" s="62">
        <v>-87227</v>
      </c>
      <c r="F110" s="62">
        <v>-472421</v>
      </c>
      <c r="G110" s="61">
        <v>357</v>
      </c>
      <c r="H110" s="61">
        <v>63</v>
      </c>
      <c r="I110" s="61" t="s">
        <v>6305</v>
      </c>
      <c r="J110" s="61">
        <v>17</v>
      </c>
      <c r="K110" s="61" t="s">
        <v>6306</v>
      </c>
      <c r="L110" s="61" t="s">
        <v>6307</v>
      </c>
      <c r="M110" s="61" t="s">
        <v>6308</v>
      </c>
      <c r="N110" s="61" t="s">
        <v>6309</v>
      </c>
      <c r="O110" s="61" t="s">
        <v>6310</v>
      </c>
    </row>
    <row r="111" spans="1:15" ht="42" thickBot="1" x14ac:dyDescent="0.35">
      <c r="A111" s="60">
        <v>1718550</v>
      </c>
      <c r="B111" s="61" t="s">
        <v>6526</v>
      </c>
      <c r="C111" s="61" t="s">
        <v>6527</v>
      </c>
      <c r="D111" s="61"/>
      <c r="E111" s="62">
        <v>-644005</v>
      </c>
      <c r="F111" s="62">
        <v>-481371</v>
      </c>
      <c r="G111" s="61">
        <v>193</v>
      </c>
      <c r="H111" s="61">
        <v>63</v>
      </c>
      <c r="I111" s="61" t="s">
        <v>6305</v>
      </c>
      <c r="J111" s="61">
        <v>17</v>
      </c>
      <c r="K111" s="61" t="s">
        <v>6306</v>
      </c>
      <c r="L111" s="61" t="s">
        <v>6307</v>
      </c>
      <c r="M111" s="61" t="s">
        <v>6308</v>
      </c>
      <c r="N111" s="61" t="s">
        <v>6309</v>
      </c>
      <c r="O111" s="61" t="s">
        <v>6310</v>
      </c>
    </row>
    <row r="112" spans="1:15" ht="42" thickBot="1" x14ac:dyDescent="0.35">
      <c r="A112" s="60">
        <v>1718758</v>
      </c>
      <c r="B112" s="61" t="s">
        <v>6528</v>
      </c>
      <c r="C112" s="61" t="s">
        <v>6528</v>
      </c>
      <c r="D112" s="61"/>
      <c r="E112" s="62">
        <v>-935002</v>
      </c>
      <c r="F112" s="62">
        <v>-47888</v>
      </c>
      <c r="G112" s="61">
        <v>9679</v>
      </c>
      <c r="H112" s="61">
        <v>63</v>
      </c>
      <c r="I112" s="61" t="s">
        <v>6305</v>
      </c>
      <c r="J112" s="61">
        <v>17</v>
      </c>
      <c r="K112" s="61" t="s">
        <v>6306</v>
      </c>
      <c r="L112" s="61" t="s">
        <v>6307</v>
      </c>
      <c r="M112" s="61" t="s">
        <v>6308</v>
      </c>
      <c r="N112" s="61" t="s">
        <v>6309</v>
      </c>
      <c r="O112" s="61" t="s">
        <v>6310</v>
      </c>
    </row>
    <row r="113" spans="1:15" ht="42" thickBot="1" x14ac:dyDescent="0.35">
      <c r="A113" s="60">
        <v>1718659</v>
      </c>
      <c r="B113" s="61" t="s">
        <v>6529</v>
      </c>
      <c r="C113" s="61" t="s">
        <v>6530</v>
      </c>
      <c r="D113" s="61"/>
      <c r="E113" s="62">
        <v>-113949</v>
      </c>
      <c r="F113" s="62">
        <v>-468847</v>
      </c>
      <c r="G113" s="61">
        <v>323</v>
      </c>
      <c r="H113" s="61">
        <v>63</v>
      </c>
      <c r="I113" s="61" t="s">
        <v>6305</v>
      </c>
      <c r="J113" s="61">
        <v>17</v>
      </c>
      <c r="K113" s="61" t="s">
        <v>6306</v>
      </c>
      <c r="L113" s="61" t="s">
        <v>6307</v>
      </c>
      <c r="M113" s="61" t="s">
        <v>6308</v>
      </c>
      <c r="N113" s="61" t="s">
        <v>6309</v>
      </c>
      <c r="O113" s="61" t="s">
        <v>6310</v>
      </c>
    </row>
    <row r="114" spans="1:15" ht="42" thickBot="1" x14ac:dyDescent="0.35">
      <c r="A114" s="60">
        <v>1718709</v>
      </c>
      <c r="B114" s="61" t="s">
        <v>6531</v>
      </c>
      <c r="C114" s="61" t="s">
        <v>6532</v>
      </c>
      <c r="D114" s="61"/>
      <c r="E114" s="62">
        <v>-934425</v>
      </c>
      <c r="F114" s="62">
        <v>-485245</v>
      </c>
      <c r="G114" s="61">
        <v>359</v>
      </c>
      <c r="H114" s="61">
        <v>63</v>
      </c>
      <c r="I114" s="61" t="s">
        <v>6305</v>
      </c>
      <c r="J114" s="61">
        <v>17</v>
      </c>
      <c r="K114" s="61" t="s">
        <v>6306</v>
      </c>
      <c r="L114" s="61" t="s">
        <v>6307</v>
      </c>
      <c r="M114" s="61" t="s">
        <v>6308</v>
      </c>
      <c r="N114" s="61" t="s">
        <v>6309</v>
      </c>
      <c r="O114" s="61" t="s">
        <v>6310</v>
      </c>
    </row>
    <row r="115" spans="1:15" ht="42" thickBot="1" x14ac:dyDescent="0.35">
      <c r="A115" s="60">
        <v>1718808</v>
      </c>
      <c r="B115" s="61" t="s">
        <v>6533</v>
      </c>
      <c r="C115" s="61" t="s">
        <v>6534</v>
      </c>
      <c r="D115" s="61"/>
      <c r="E115" s="62">
        <v>-535423</v>
      </c>
      <c r="F115" s="62">
        <v>-478782</v>
      </c>
      <c r="G115" s="61">
        <v>9727</v>
      </c>
      <c r="H115" s="61">
        <v>63</v>
      </c>
      <c r="I115" s="61" t="s">
        <v>6305</v>
      </c>
      <c r="J115" s="61">
        <v>17</v>
      </c>
      <c r="K115" s="61" t="s">
        <v>6306</v>
      </c>
      <c r="L115" s="61" t="s">
        <v>6307</v>
      </c>
      <c r="M115" s="61" t="s">
        <v>6308</v>
      </c>
      <c r="N115" s="61" t="s">
        <v>6309</v>
      </c>
      <c r="O115" s="61" t="s">
        <v>6310</v>
      </c>
    </row>
    <row r="116" spans="1:15" ht="42" thickBot="1" x14ac:dyDescent="0.35">
      <c r="A116" s="60">
        <v>1718840</v>
      </c>
      <c r="B116" s="61" t="s">
        <v>6535</v>
      </c>
      <c r="C116" s="61" t="s">
        <v>6536</v>
      </c>
      <c r="D116" s="61"/>
      <c r="E116" s="62">
        <v>-12538</v>
      </c>
      <c r="F116" s="62">
        <v>-499242</v>
      </c>
      <c r="G116" s="61">
        <v>331</v>
      </c>
      <c r="H116" s="61">
        <v>63</v>
      </c>
      <c r="I116" s="61" t="s">
        <v>6305</v>
      </c>
      <c r="J116" s="61">
        <v>17</v>
      </c>
      <c r="K116" s="61" t="s">
        <v>6306</v>
      </c>
      <c r="L116" s="61" t="s">
        <v>6307</v>
      </c>
      <c r="M116" s="61" t="s">
        <v>6308</v>
      </c>
      <c r="N116" s="61" t="s">
        <v>6309</v>
      </c>
      <c r="O116" s="61" t="s">
        <v>6310</v>
      </c>
    </row>
    <row r="117" spans="1:15" ht="42" thickBot="1" x14ac:dyDescent="0.35">
      <c r="A117" s="60">
        <v>1718865</v>
      </c>
      <c r="B117" s="61" t="s">
        <v>6537</v>
      </c>
      <c r="C117" s="61" t="s">
        <v>6538</v>
      </c>
      <c r="D117" s="61"/>
      <c r="E117" s="62">
        <v>-715803</v>
      </c>
      <c r="F117" s="62">
        <v>-487165</v>
      </c>
      <c r="G117" s="61">
        <v>195</v>
      </c>
      <c r="H117" s="61">
        <v>63</v>
      </c>
      <c r="I117" s="61" t="s">
        <v>6305</v>
      </c>
      <c r="J117" s="61">
        <v>17</v>
      </c>
      <c r="K117" s="61" t="s">
        <v>6306</v>
      </c>
      <c r="L117" s="61" t="s">
        <v>6307</v>
      </c>
      <c r="M117" s="61" t="s">
        <v>6308</v>
      </c>
      <c r="N117" s="61" t="s">
        <v>6309</v>
      </c>
      <c r="O117" s="61" t="s">
        <v>6310</v>
      </c>
    </row>
    <row r="118" spans="1:15" ht="42" thickBot="1" x14ac:dyDescent="0.35">
      <c r="A118" s="60">
        <v>1718881</v>
      </c>
      <c r="B118" s="61" t="s">
        <v>6539</v>
      </c>
      <c r="C118" s="61" t="s">
        <v>6540</v>
      </c>
      <c r="D118" s="61"/>
      <c r="E118" s="62">
        <v>-88046</v>
      </c>
      <c r="F118" s="62">
        <v>-477887</v>
      </c>
      <c r="G118" s="61">
        <v>361</v>
      </c>
      <c r="H118" s="61">
        <v>63</v>
      </c>
      <c r="I118" s="61" t="s">
        <v>6305</v>
      </c>
      <c r="J118" s="61">
        <v>17</v>
      </c>
      <c r="K118" s="61" t="s">
        <v>6306</v>
      </c>
      <c r="L118" s="61" t="s">
        <v>6307</v>
      </c>
      <c r="M118" s="61" t="s">
        <v>6308</v>
      </c>
      <c r="N118" s="61" t="s">
        <v>6309</v>
      </c>
      <c r="O118" s="61" t="s">
        <v>6310</v>
      </c>
    </row>
    <row r="119" spans="1:15" ht="42" thickBot="1" x14ac:dyDescent="0.35">
      <c r="A119" s="60">
        <v>1718899</v>
      </c>
      <c r="B119" s="61" t="s">
        <v>6541</v>
      </c>
      <c r="C119" s="61" t="s">
        <v>6542</v>
      </c>
      <c r="D119" s="61"/>
      <c r="E119" s="62">
        <v>-108617</v>
      </c>
      <c r="F119" s="62">
        <v>-489161</v>
      </c>
      <c r="G119" s="61">
        <v>96</v>
      </c>
      <c r="H119" s="61">
        <v>63</v>
      </c>
      <c r="I119" s="61" t="s">
        <v>6305</v>
      </c>
      <c r="J119" s="61">
        <v>17</v>
      </c>
      <c r="K119" s="61" t="s">
        <v>6306</v>
      </c>
      <c r="L119" s="61" t="s">
        <v>6307</v>
      </c>
      <c r="M119" s="61" t="s">
        <v>6308</v>
      </c>
      <c r="N119" s="61" t="s">
        <v>6309</v>
      </c>
      <c r="O119" s="61" t="s">
        <v>6310</v>
      </c>
    </row>
    <row r="120" spans="1:15" ht="42" thickBot="1" x14ac:dyDescent="0.35">
      <c r="A120" s="60">
        <v>1718907</v>
      </c>
      <c r="B120" s="61" t="s">
        <v>6543</v>
      </c>
      <c r="C120" s="61" t="s">
        <v>6544</v>
      </c>
      <c r="D120" s="61"/>
      <c r="E120" s="62">
        <v>-114474</v>
      </c>
      <c r="F120" s="62">
        <v>-481216</v>
      </c>
      <c r="G120" s="61">
        <v>9729</v>
      </c>
      <c r="H120" s="61">
        <v>63</v>
      </c>
      <c r="I120" s="61" t="s">
        <v>6305</v>
      </c>
      <c r="J120" s="61">
        <v>17</v>
      </c>
      <c r="K120" s="61" t="s">
        <v>6306</v>
      </c>
      <c r="L120" s="61" t="s">
        <v>6307</v>
      </c>
      <c r="M120" s="61" t="s">
        <v>6308</v>
      </c>
      <c r="N120" s="61" t="s">
        <v>6309</v>
      </c>
      <c r="O120" s="61" t="s">
        <v>6310</v>
      </c>
    </row>
    <row r="121" spans="1:15" ht="42" thickBot="1" x14ac:dyDescent="0.35">
      <c r="A121" s="60">
        <v>1719004</v>
      </c>
      <c r="B121" s="61" t="s">
        <v>6545</v>
      </c>
      <c r="C121" s="61" t="s">
        <v>6546</v>
      </c>
      <c r="D121" s="61"/>
      <c r="E121" s="62">
        <v>-102746</v>
      </c>
      <c r="F121" s="62">
        <v>-478033</v>
      </c>
      <c r="G121" s="61">
        <v>9731</v>
      </c>
      <c r="H121" s="61">
        <v>63</v>
      </c>
      <c r="I121" s="61" t="s">
        <v>6305</v>
      </c>
      <c r="J121" s="61">
        <v>17</v>
      </c>
      <c r="K121" s="61" t="s">
        <v>6306</v>
      </c>
      <c r="L121" s="61" t="s">
        <v>6307</v>
      </c>
      <c r="M121" s="61" t="s">
        <v>6308</v>
      </c>
      <c r="N121" s="61" t="s">
        <v>6309</v>
      </c>
      <c r="O121" s="61" t="s">
        <v>6310</v>
      </c>
    </row>
    <row r="122" spans="1:15" ht="42" thickBot="1" x14ac:dyDescent="0.35">
      <c r="A122" s="60">
        <v>1720002</v>
      </c>
      <c r="B122" s="61" t="s">
        <v>6547</v>
      </c>
      <c r="C122" s="61" t="s">
        <v>6548</v>
      </c>
      <c r="D122" s="61"/>
      <c r="E122" s="62">
        <v>-644438</v>
      </c>
      <c r="F122" s="62">
        <v>-476684</v>
      </c>
      <c r="G122" s="61">
        <v>98</v>
      </c>
      <c r="H122" s="61">
        <v>63</v>
      </c>
      <c r="I122" s="61" t="s">
        <v>6305</v>
      </c>
      <c r="J122" s="61">
        <v>17</v>
      </c>
      <c r="K122" s="61" t="s">
        <v>6306</v>
      </c>
      <c r="L122" s="61" t="s">
        <v>6307</v>
      </c>
      <c r="M122" s="61" t="s">
        <v>6308</v>
      </c>
      <c r="N122" s="61" t="s">
        <v>6309</v>
      </c>
      <c r="O122" s="61" t="s">
        <v>6310</v>
      </c>
    </row>
    <row r="123" spans="1:15" ht="42" thickBot="1" x14ac:dyDescent="0.35">
      <c r="A123" s="60">
        <v>1720655</v>
      </c>
      <c r="B123" s="61" t="s">
        <v>6549</v>
      </c>
      <c r="C123" s="61" t="s">
        <v>6550</v>
      </c>
      <c r="D123" s="61"/>
      <c r="E123" s="62">
        <v>-111471</v>
      </c>
      <c r="F123" s="62">
        <v>-481694</v>
      </c>
      <c r="G123" s="61">
        <v>9659</v>
      </c>
      <c r="H123" s="61">
        <v>63</v>
      </c>
      <c r="I123" s="61" t="s">
        <v>6305</v>
      </c>
      <c r="J123" s="61">
        <v>17</v>
      </c>
      <c r="K123" s="61" t="s">
        <v>6306</v>
      </c>
      <c r="L123" s="61" t="s">
        <v>6307</v>
      </c>
      <c r="M123" s="61" t="s">
        <v>6308</v>
      </c>
      <c r="N123" s="61" t="s">
        <v>6309</v>
      </c>
      <c r="O123" s="61" t="s">
        <v>6310</v>
      </c>
    </row>
    <row r="124" spans="1:15" ht="42" thickBot="1" x14ac:dyDescent="0.35">
      <c r="A124" s="60">
        <v>1720853</v>
      </c>
      <c r="B124" s="61" t="s">
        <v>6551</v>
      </c>
      <c r="C124" s="61" t="s">
        <v>6552</v>
      </c>
      <c r="D124" s="61"/>
      <c r="E124" s="62">
        <v>-11993</v>
      </c>
      <c r="F124" s="62">
        <v>-489685</v>
      </c>
      <c r="G124" s="61">
        <v>335</v>
      </c>
      <c r="H124" s="61">
        <v>63</v>
      </c>
      <c r="I124" s="61" t="s">
        <v>6305</v>
      </c>
      <c r="J124" s="61">
        <v>17</v>
      </c>
      <c r="K124" s="61" t="s">
        <v>6306</v>
      </c>
      <c r="L124" s="61" t="s">
        <v>6307</v>
      </c>
      <c r="M124" s="61" t="s">
        <v>6308</v>
      </c>
      <c r="N124" s="61" t="s">
        <v>6309</v>
      </c>
      <c r="O124" s="61" t="s">
        <v>6310</v>
      </c>
    </row>
    <row r="125" spans="1:15" ht="42" thickBot="1" x14ac:dyDescent="0.35">
      <c r="A125" s="60">
        <v>1720101</v>
      </c>
      <c r="B125" s="61" t="s">
        <v>6553</v>
      </c>
      <c r="C125" s="61" t="s">
        <v>1452</v>
      </c>
      <c r="D125" s="61"/>
      <c r="E125" s="62">
        <v>-60258</v>
      </c>
      <c r="F125" s="62">
        <v>-479012</v>
      </c>
      <c r="G125" s="61">
        <v>197</v>
      </c>
      <c r="H125" s="61">
        <v>63</v>
      </c>
      <c r="I125" s="61" t="s">
        <v>6305</v>
      </c>
      <c r="J125" s="61">
        <v>17</v>
      </c>
      <c r="K125" s="61" t="s">
        <v>6306</v>
      </c>
      <c r="L125" s="61" t="s">
        <v>6307</v>
      </c>
      <c r="M125" s="61" t="s">
        <v>6308</v>
      </c>
      <c r="N125" s="61" t="s">
        <v>6309</v>
      </c>
      <c r="O125" s="61" t="s">
        <v>6310</v>
      </c>
    </row>
    <row r="126" spans="1:15" ht="42" thickBot="1" x14ac:dyDescent="0.35">
      <c r="A126" s="60">
        <v>1720150</v>
      </c>
      <c r="B126" s="61" t="s">
        <v>6554</v>
      </c>
      <c r="C126" s="61" t="s">
        <v>6555</v>
      </c>
      <c r="D126" s="61"/>
      <c r="E126" s="62">
        <v>-101615</v>
      </c>
      <c r="F126" s="62">
        <v>-466618</v>
      </c>
      <c r="G126" s="61">
        <v>363</v>
      </c>
      <c r="H126" s="61">
        <v>63</v>
      </c>
      <c r="I126" s="61" t="s">
        <v>6305</v>
      </c>
      <c r="J126" s="61">
        <v>17</v>
      </c>
      <c r="K126" s="61" t="s">
        <v>6306</v>
      </c>
      <c r="L126" s="61" t="s">
        <v>6307</v>
      </c>
      <c r="M126" s="61" t="s">
        <v>6308</v>
      </c>
      <c r="N126" s="61" t="s">
        <v>6309</v>
      </c>
      <c r="O126" s="61" t="s">
        <v>6310</v>
      </c>
    </row>
    <row r="127" spans="1:15" ht="42" thickBot="1" x14ac:dyDescent="0.35">
      <c r="A127" s="60">
        <v>1720200</v>
      </c>
      <c r="B127" s="61" t="s">
        <v>6556</v>
      </c>
      <c r="C127" s="61" t="s">
        <v>6557</v>
      </c>
      <c r="D127" s="61"/>
      <c r="E127" s="62">
        <v>-556305</v>
      </c>
      <c r="F127" s="62">
        <v>-475743</v>
      </c>
      <c r="G127" s="61">
        <v>199</v>
      </c>
      <c r="H127" s="61">
        <v>63</v>
      </c>
      <c r="I127" s="61" t="s">
        <v>6305</v>
      </c>
      <c r="J127" s="61">
        <v>17</v>
      </c>
      <c r="K127" s="61" t="s">
        <v>6306</v>
      </c>
      <c r="L127" s="61" t="s">
        <v>6307</v>
      </c>
      <c r="M127" s="61" t="s">
        <v>6308</v>
      </c>
      <c r="N127" s="61" t="s">
        <v>6309</v>
      </c>
      <c r="O127" s="61" t="s">
        <v>6310</v>
      </c>
    </row>
    <row r="128" spans="1:15" ht="42" thickBot="1" x14ac:dyDescent="0.35">
      <c r="A128" s="60">
        <v>1720259</v>
      </c>
      <c r="B128" s="61" t="s">
        <v>6558</v>
      </c>
      <c r="C128" s="61" t="s">
        <v>6559</v>
      </c>
      <c r="D128" s="61"/>
      <c r="E128" s="62">
        <v>-127458</v>
      </c>
      <c r="F128" s="62">
        <v>-482352</v>
      </c>
      <c r="G128" s="61">
        <v>333</v>
      </c>
      <c r="H128" s="61">
        <v>63</v>
      </c>
      <c r="I128" s="61" t="s">
        <v>6305</v>
      </c>
      <c r="J128" s="61">
        <v>17</v>
      </c>
      <c r="K128" s="61" t="s">
        <v>6306</v>
      </c>
      <c r="L128" s="61" t="s">
        <v>6307</v>
      </c>
      <c r="M128" s="61" t="s">
        <v>6308</v>
      </c>
      <c r="N128" s="61" t="s">
        <v>6309</v>
      </c>
      <c r="O128" s="61" t="s">
        <v>6310</v>
      </c>
    </row>
    <row r="129" spans="1:15" ht="42" thickBot="1" x14ac:dyDescent="0.35">
      <c r="A129" s="60">
        <v>1720309</v>
      </c>
      <c r="B129" s="61" t="s">
        <v>6560</v>
      </c>
      <c r="C129" s="61" t="s">
        <v>6561</v>
      </c>
      <c r="D129" s="61"/>
      <c r="E129" s="62">
        <v>-526131</v>
      </c>
      <c r="F129" s="62">
        <v>-482021</v>
      </c>
      <c r="G129" s="61">
        <v>9603</v>
      </c>
      <c r="H129" s="61">
        <v>63</v>
      </c>
      <c r="I129" s="61" t="s">
        <v>6305</v>
      </c>
      <c r="J129" s="61">
        <v>17</v>
      </c>
      <c r="K129" s="61" t="s">
        <v>6306</v>
      </c>
      <c r="L129" s="61" t="s">
        <v>6307</v>
      </c>
      <c r="M129" s="61" t="s">
        <v>6308</v>
      </c>
      <c r="N129" s="61" t="s">
        <v>6309</v>
      </c>
      <c r="O129" s="61" t="s">
        <v>6310</v>
      </c>
    </row>
    <row r="130" spans="1:15" ht="42" thickBot="1" x14ac:dyDescent="0.35">
      <c r="A130" s="60">
        <v>1720499</v>
      </c>
      <c r="B130" s="61" t="s">
        <v>6562</v>
      </c>
      <c r="C130" s="61" t="s">
        <v>6563</v>
      </c>
      <c r="D130" s="61"/>
      <c r="E130" s="62">
        <v>-119743</v>
      </c>
      <c r="F130" s="62">
        <v>-482353</v>
      </c>
      <c r="G130" s="61">
        <v>9691</v>
      </c>
      <c r="H130" s="61">
        <v>63</v>
      </c>
      <c r="I130" s="61" t="s">
        <v>6305</v>
      </c>
      <c r="J130" s="61">
        <v>17</v>
      </c>
      <c r="K130" s="61" t="s">
        <v>6306</v>
      </c>
      <c r="L130" s="61" t="s">
        <v>6307</v>
      </c>
      <c r="M130" s="61" t="s">
        <v>6308</v>
      </c>
      <c r="N130" s="61" t="s">
        <v>6309</v>
      </c>
      <c r="O130" s="61" t="s">
        <v>6310</v>
      </c>
    </row>
    <row r="131" spans="1:15" ht="42" thickBot="1" x14ac:dyDescent="0.35">
      <c r="A131" s="60">
        <v>1720804</v>
      </c>
      <c r="B131" s="61" t="s">
        <v>6564</v>
      </c>
      <c r="C131" s="61" t="s">
        <v>6565</v>
      </c>
      <c r="D131" s="61"/>
      <c r="E131" s="62">
        <v>-56012</v>
      </c>
      <c r="F131" s="62">
        <v>-476381</v>
      </c>
      <c r="G131" s="61">
        <v>9613</v>
      </c>
      <c r="H131" s="61">
        <v>63</v>
      </c>
      <c r="I131" s="61" t="s">
        <v>6305</v>
      </c>
      <c r="J131" s="61">
        <v>17</v>
      </c>
      <c r="K131" s="61" t="s">
        <v>6306</v>
      </c>
      <c r="L131" s="61" t="s">
        <v>6307</v>
      </c>
      <c r="M131" s="61" t="s">
        <v>6308</v>
      </c>
      <c r="N131" s="61" t="s">
        <v>6309</v>
      </c>
      <c r="O131" s="61" t="s">
        <v>6310</v>
      </c>
    </row>
    <row r="132" spans="1:15" ht="42" thickBot="1" x14ac:dyDescent="0.35">
      <c r="A132" s="60">
        <v>1720903</v>
      </c>
      <c r="B132" s="61" t="s">
        <v>6566</v>
      </c>
      <c r="C132" s="61" t="s">
        <v>6567</v>
      </c>
      <c r="D132" s="61"/>
      <c r="E132" s="62">
        <v>-124026</v>
      </c>
      <c r="F132" s="62">
        <v>-46437</v>
      </c>
      <c r="G132" s="61">
        <v>9615</v>
      </c>
      <c r="H132" s="61">
        <v>63</v>
      </c>
      <c r="I132" s="61" t="s">
        <v>6305</v>
      </c>
      <c r="J132" s="61">
        <v>17</v>
      </c>
      <c r="K132" s="61" t="s">
        <v>6306</v>
      </c>
      <c r="L132" s="61" t="s">
        <v>6307</v>
      </c>
      <c r="M132" s="61" t="s">
        <v>6308</v>
      </c>
      <c r="N132" s="61" t="s">
        <v>6309</v>
      </c>
      <c r="O132" s="61" t="s">
        <v>6310</v>
      </c>
    </row>
    <row r="133" spans="1:15" ht="42" thickBot="1" x14ac:dyDescent="0.35">
      <c r="A133" s="60">
        <v>1720937</v>
      </c>
      <c r="B133" s="61" t="s">
        <v>6568</v>
      </c>
      <c r="C133" s="61" t="s">
        <v>6569</v>
      </c>
      <c r="D133" s="61"/>
      <c r="E133" s="62">
        <v>-121873</v>
      </c>
      <c r="F133" s="62">
        <v>-469797</v>
      </c>
      <c r="G133" s="61">
        <v>325</v>
      </c>
      <c r="H133" s="61">
        <v>63</v>
      </c>
      <c r="I133" s="61" t="s">
        <v>6305</v>
      </c>
      <c r="J133" s="61">
        <v>17</v>
      </c>
      <c r="K133" s="61" t="s">
        <v>6306</v>
      </c>
      <c r="L133" s="61" t="s">
        <v>6307</v>
      </c>
      <c r="M133" s="61" t="s">
        <v>6308</v>
      </c>
      <c r="N133" s="61" t="s">
        <v>6309</v>
      </c>
      <c r="O133" s="61" t="s">
        <v>6310</v>
      </c>
    </row>
    <row r="134" spans="1:15" ht="42" thickBot="1" x14ac:dyDescent="0.35">
      <c r="A134" s="60">
        <v>1720978</v>
      </c>
      <c r="B134" s="61" t="s">
        <v>6570</v>
      </c>
      <c r="C134" s="61" t="s">
        <v>6571</v>
      </c>
      <c r="D134" s="61"/>
      <c r="E134" s="62">
        <v>-127949</v>
      </c>
      <c r="F134" s="62">
        <v>-490896</v>
      </c>
      <c r="G134" s="61">
        <v>100</v>
      </c>
      <c r="H134" s="61">
        <v>63</v>
      </c>
      <c r="I134" s="61" t="s">
        <v>6305</v>
      </c>
      <c r="J134" s="61">
        <v>17</v>
      </c>
      <c r="K134" s="61" t="s">
        <v>6306</v>
      </c>
      <c r="L134" s="61" t="s">
        <v>6307</v>
      </c>
      <c r="M134" s="61" t="s">
        <v>6308</v>
      </c>
      <c r="N134" s="61" t="s">
        <v>6309</v>
      </c>
      <c r="O134" s="61" t="s">
        <v>6310</v>
      </c>
    </row>
    <row r="135" spans="1:15" ht="42" thickBot="1" x14ac:dyDescent="0.35">
      <c r="A135" s="60">
        <v>1721208</v>
      </c>
      <c r="B135" s="61" t="s">
        <v>6572</v>
      </c>
      <c r="C135" s="61" t="s">
        <v>6573</v>
      </c>
      <c r="D135" s="61"/>
      <c r="E135" s="62">
        <v>-632447</v>
      </c>
      <c r="F135" s="62">
        <v>-474224</v>
      </c>
      <c r="G135" s="61">
        <v>9621</v>
      </c>
      <c r="H135" s="61">
        <v>63</v>
      </c>
      <c r="I135" s="61" t="s">
        <v>6305</v>
      </c>
      <c r="J135" s="61">
        <v>17</v>
      </c>
      <c r="K135" s="61" t="s">
        <v>6306</v>
      </c>
      <c r="L135" s="61" t="s">
        <v>6307</v>
      </c>
      <c r="M135" s="61" t="s">
        <v>6308</v>
      </c>
      <c r="N135" s="61" t="s">
        <v>6309</v>
      </c>
      <c r="O135" s="61" t="s">
        <v>6310</v>
      </c>
    </row>
    <row r="136" spans="1:15" ht="42" thickBot="1" x14ac:dyDescent="0.35">
      <c r="A136" s="60">
        <v>1721109</v>
      </c>
      <c r="B136" s="61" t="s">
        <v>6574</v>
      </c>
      <c r="C136" s="61" t="s">
        <v>6575</v>
      </c>
      <c r="D136" s="61"/>
      <c r="E136" s="62">
        <v>-95632</v>
      </c>
      <c r="F136" s="62">
        <v>-483741</v>
      </c>
      <c r="G136" s="61">
        <v>9619</v>
      </c>
      <c r="H136" s="61">
        <v>63</v>
      </c>
      <c r="I136" s="61" t="s">
        <v>6305</v>
      </c>
      <c r="J136" s="61">
        <v>17</v>
      </c>
      <c r="K136" s="61" t="s">
        <v>6306</v>
      </c>
      <c r="L136" s="61" t="s">
        <v>6307</v>
      </c>
      <c r="M136" s="61" t="s">
        <v>6308</v>
      </c>
      <c r="N136" s="61" t="s">
        <v>6309</v>
      </c>
      <c r="O136" s="61" t="s">
        <v>6310</v>
      </c>
    </row>
    <row r="137" spans="1:15" ht="42" thickBot="1" x14ac:dyDescent="0.35">
      <c r="A137" s="60">
        <v>1721257</v>
      </c>
      <c r="B137" s="61" t="s">
        <v>6576</v>
      </c>
      <c r="C137" s="61" t="s">
        <v>6577</v>
      </c>
      <c r="D137" s="61"/>
      <c r="E137" s="62">
        <v>-897168</v>
      </c>
      <c r="F137" s="62">
        <v>-481883</v>
      </c>
      <c r="G137" s="61">
        <v>102</v>
      </c>
      <c r="H137" s="61">
        <v>63</v>
      </c>
      <c r="I137" s="61" t="s">
        <v>6305</v>
      </c>
      <c r="J137" s="61">
        <v>17</v>
      </c>
      <c r="K137" s="61" t="s">
        <v>6306</v>
      </c>
      <c r="L137" s="61" t="s">
        <v>6307</v>
      </c>
      <c r="M137" s="61" t="s">
        <v>6308</v>
      </c>
      <c r="N137" s="61" t="s">
        <v>6309</v>
      </c>
      <c r="O137" s="61" t="s">
        <v>6310</v>
      </c>
    </row>
    <row r="138" spans="1:15" ht="42" thickBot="1" x14ac:dyDescent="0.35">
      <c r="A138" s="60">
        <v>1721307</v>
      </c>
      <c r="B138" s="61" t="s">
        <v>6578</v>
      </c>
      <c r="C138" s="61" t="s">
        <v>6579</v>
      </c>
      <c r="D138" s="61"/>
      <c r="E138" s="62">
        <v>-839388</v>
      </c>
      <c r="F138" s="62">
        <v>-481277</v>
      </c>
      <c r="G138" s="61">
        <v>365</v>
      </c>
      <c r="H138" s="61">
        <v>63</v>
      </c>
      <c r="I138" s="61" t="s">
        <v>6305</v>
      </c>
      <c r="J138" s="61">
        <v>17</v>
      </c>
      <c r="K138" s="61" t="s">
        <v>6306</v>
      </c>
      <c r="L138" s="61" t="s">
        <v>6307</v>
      </c>
      <c r="M138" s="61" t="s">
        <v>6308</v>
      </c>
      <c r="N138" s="61" t="s">
        <v>6309</v>
      </c>
      <c r="O138" s="61" t="s">
        <v>6310</v>
      </c>
    </row>
    <row r="139" spans="1:15" ht="42" thickBot="1" x14ac:dyDescent="0.35">
      <c r="A139" s="60">
        <v>1722081</v>
      </c>
      <c r="B139" s="61" t="s">
        <v>6580</v>
      </c>
      <c r="C139" s="61" t="s">
        <v>6581</v>
      </c>
      <c r="D139" s="61"/>
      <c r="E139" s="62">
        <v>-685274</v>
      </c>
      <c r="F139" s="62">
        <v>-479601</v>
      </c>
      <c r="G139" s="61">
        <v>9665</v>
      </c>
      <c r="H139" s="61">
        <v>63</v>
      </c>
      <c r="I139" s="61" t="s">
        <v>6305</v>
      </c>
      <c r="J139" s="61">
        <v>17</v>
      </c>
      <c r="K139" s="61" t="s">
        <v>6306</v>
      </c>
      <c r="L139" s="61" t="s">
        <v>6307</v>
      </c>
      <c r="M139" s="61" t="s">
        <v>6308</v>
      </c>
      <c r="N139" s="61" t="s">
        <v>6309</v>
      </c>
      <c r="O139" s="61" t="s">
        <v>6310</v>
      </c>
    </row>
    <row r="140" spans="1:15" ht="42" thickBot="1" x14ac:dyDescent="0.35">
      <c r="A140" s="60">
        <v>1722107</v>
      </c>
      <c r="B140" s="61" t="s">
        <v>6582</v>
      </c>
      <c r="C140" s="61" t="s">
        <v>6583</v>
      </c>
      <c r="D140" s="61"/>
      <c r="E140" s="62">
        <v>-64141</v>
      </c>
      <c r="F140" s="62">
        <v>-48532</v>
      </c>
      <c r="G140" s="61">
        <v>9643</v>
      </c>
      <c r="H140" s="61">
        <v>63</v>
      </c>
      <c r="I140" s="61" t="s">
        <v>6305</v>
      </c>
      <c r="J140" s="61">
        <v>17</v>
      </c>
      <c r="K140" s="61" t="s">
        <v>6306</v>
      </c>
      <c r="L140" s="61" t="s">
        <v>6307</v>
      </c>
      <c r="M140" s="61" t="s">
        <v>6584</v>
      </c>
    </row>
  </sheetData>
  <autoFilter ref="A1:O140" xr:uid="{948E6C03-3996-494C-97F0-0ADD6B9E3531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D5CC-DDDE-46A1-AAFB-D8F59A090CE5}">
  <dimension ref="A1:A16"/>
  <sheetViews>
    <sheetView workbookViewId="0">
      <selection activeCell="A2" sqref="A2:A16"/>
    </sheetView>
  </sheetViews>
  <sheetFormatPr defaultRowHeight="14.4" x14ac:dyDescent="0.3"/>
  <cols>
    <col min="1" max="1" width="13.5546875" customWidth="1"/>
  </cols>
  <sheetData>
    <row r="1" spans="1:1" x14ac:dyDescent="0.3">
      <c r="A1" t="s">
        <v>2</v>
      </c>
    </row>
    <row r="2" spans="1:1" x14ac:dyDescent="0.3">
      <c r="A2" t="s">
        <v>942</v>
      </c>
    </row>
    <row r="3" spans="1:1" x14ac:dyDescent="0.3">
      <c r="A3" t="s">
        <v>935</v>
      </c>
    </row>
    <row r="4" spans="1:1" x14ac:dyDescent="0.3">
      <c r="A4" t="s">
        <v>803</v>
      </c>
    </row>
    <row r="5" spans="1:1" x14ac:dyDescent="0.3">
      <c r="A5" t="s">
        <v>1001</v>
      </c>
    </row>
    <row r="6" spans="1:1" x14ac:dyDescent="0.3">
      <c r="A6" t="s">
        <v>984</v>
      </c>
    </row>
    <row r="7" spans="1:1" x14ac:dyDescent="0.3">
      <c r="A7" t="s">
        <v>923</v>
      </c>
    </row>
    <row r="8" spans="1:1" x14ac:dyDescent="0.3">
      <c r="A8" t="s">
        <v>937</v>
      </c>
    </row>
    <row r="9" spans="1:1" x14ac:dyDescent="0.3">
      <c r="A9" t="s">
        <v>925</v>
      </c>
    </row>
    <row r="10" spans="1:1" x14ac:dyDescent="0.3">
      <c r="A10" t="s">
        <v>982</v>
      </c>
    </row>
    <row r="11" spans="1:1" x14ac:dyDescent="0.3">
      <c r="A11" t="s">
        <v>766</v>
      </c>
    </row>
    <row r="12" spans="1:1" x14ac:dyDescent="0.3">
      <c r="A12" t="s">
        <v>932</v>
      </c>
    </row>
    <row r="13" spans="1:1" x14ac:dyDescent="0.3">
      <c r="A13" t="s">
        <v>939</v>
      </c>
    </row>
    <row r="14" spans="1:1" x14ac:dyDescent="0.3">
      <c r="A14" t="s">
        <v>977</v>
      </c>
    </row>
    <row r="15" spans="1:1" x14ac:dyDescent="0.3">
      <c r="A15" t="s">
        <v>922</v>
      </c>
    </row>
    <row r="16" spans="1:1" x14ac:dyDescent="0.3">
      <c r="A16" t="s">
        <v>920</v>
      </c>
    </row>
  </sheetData>
  <sortState xmlns:xlrd2="http://schemas.microsoft.com/office/spreadsheetml/2017/richdata2" ref="A2:A16">
    <sortCondition ref="A2:A16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F7AE-01D0-4C79-9F00-8898DD8D2D2B}">
  <dimension ref="A1:D5566"/>
  <sheetViews>
    <sheetView workbookViewId="0">
      <selection activeCell="A2" sqref="A2:A5566"/>
    </sheetView>
  </sheetViews>
  <sheetFormatPr defaultRowHeight="14.4" x14ac:dyDescent="0.3"/>
  <cols>
    <col min="2" max="2" width="37" bestFit="1" customWidth="1"/>
    <col min="3" max="3" width="10.109375" bestFit="1" customWidth="1"/>
    <col min="4" max="4" width="18.33203125" customWidth="1"/>
  </cols>
  <sheetData>
    <row r="1" spans="1:4" x14ac:dyDescent="0.3">
      <c r="A1" s="56" t="s">
        <v>1034</v>
      </c>
      <c r="B1" s="56" t="s">
        <v>1035</v>
      </c>
      <c r="C1" s="57" t="s">
        <v>158</v>
      </c>
      <c r="D1" s="57" t="s">
        <v>159</v>
      </c>
    </row>
    <row r="2" spans="1:4" x14ac:dyDescent="0.3">
      <c r="A2" s="58">
        <v>1100015</v>
      </c>
      <c r="B2" s="58" t="s">
        <v>1036</v>
      </c>
      <c r="C2" s="59">
        <v>-11.935540304764553</v>
      </c>
      <c r="D2" s="59">
        <v>-61.999823896293577</v>
      </c>
    </row>
    <row r="3" spans="1:4" x14ac:dyDescent="0.3">
      <c r="A3" s="58">
        <v>1100023</v>
      </c>
      <c r="B3" s="58" t="s">
        <v>1037</v>
      </c>
      <c r="C3" s="59">
        <v>-9.9084628665671968</v>
      </c>
      <c r="D3" s="59">
        <v>-63.033269278048351</v>
      </c>
    </row>
    <row r="4" spans="1:4" x14ac:dyDescent="0.3">
      <c r="A4" s="58">
        <v>1100031</v>
      </c>
      <c r="B4" s="58" t="s">
        <v>1038</v>
      </c>
      <c r="C4" s="59">
        <v>-13.499763459696254</v>
      </c>
      <c r="D4" s="59">
        <v>-60.544313581200868</v>
      </c>
    </row>
    <row r="5" spans="1:4" x14ac:dyDescent="0.3">
      <c r="A5" s="58">
        <v>1100049</v>
      </c>
      <c r="B5" s="58" t="s">
        <v>1039</v>
      </c>
      <c r="C5" s="59">
        <v>-11.433865028685151</v>
      </c>
      <c r="D5" s="59">
        <v>-61.442944211822415</v>
      </c>
    </row>
    <row r="6" spans="1:4" x14ac:dyDescent="0.3">
      <c r="A6" s="58">
        <v>1100056</v>
      </c>
      <c r="B6" s="58" t="s">
        <v>1040</v>
      </c>
      <c r="C6" s="59">
        <v>-13.1950330320399</v>
      </c>
      <c r="D6" s="59">
        <v>-60.818426164681455</v>
      </c>
    </row>
    <row r="7" spans="1:4" x14ac:dyDescent="0.3">
      <c r="A7" s="58">
        <v>1100064</v>
      </c>
      <c r="B7" s="58" t="s">
        <v>1041</v>
      </c>
      <c r="C7" s="59">
        <v>-13.130563841455251</v>
      </c>
      <c r="D7" s="59">
        <v>-60.555067463078935</v>
      </c>
    </row>
    <row r="8" spans="1:4" x14ac:dyDescent="0.3">
      <c r="A8" s="58">
        <v>1100072</v>
      </c>
      <c r="B8" s="58" t="s">
        <v>1042</v>
      </c>
      <c r="C8" s="59">
        <v>-12.997520236483403</v>
      </c>
      <c r="D8" s="59">
        <v>-60.94870117066143</v>
      </c>
    </row>
    <row r="9" spans="1:4" x14ac:dyDescent="0.3">
      <c r="A9" s="58">
        <v>1100080</v>
      </c>
      <c r="B9" s="58" t="s">
        <v>1043</v>
      </c>
      <c r="C9" s="59">
        <v>-12.436013877714153</v>
      </c>
      <c r="D9" s="59">
        <v>-64.231653939117237</v>
      </c>
    </row>
    <row r="10" spans="1:4" x14ac:dyDescent="0.3">
      <c r="A10" s="58">
        <v>1100098</v>
      </c>
      <c r="B10" s="58" t="s">
        <v>1044</v>
      </c>
      <c r="C10" s="59">
        <v>-11.528554633347252</v>
      </c>
      <c r="D10" s="59">
        <v>-61.020173113284656</v>
      </c>
    </row>
    <row r="11" spans="1:4" x14ac:dyDescent="0.3">
      <c r="A11" s="58">
        <v>1100106</v>
      </c>
      <c r="B11" s="58" t="s">
        <v>1045</v>
      </c>
      <c r="C11" s="59">
        <v>-10.773883740670453</v>
      </c>
      <c r="D11" s="59">
        <v>-65.32395181969234</v>
      </c>
    </row>
    <row r="12" spans="1:4" x14ac:dyDescent="0.3">
      <c r="A12" s="58">
        <v>1100114</v>
      </c>
      <c r="B12" s="58" t="s">
        <v>1046</v>
      </c>
      <c r="C12" s="59">
        <v>-10.435948767884401</v>
      </c>
      <c r="D12" s="59">
        <v>-62.476230708131666</v>
      </c>
    </row>
    <row r="13" spans="1:4" x14ac:dyDescent="0.3">
      <c r="A13" s="58">
        <v>1100122</v>
      </c>
      <c r="B13" s="58" t="s">
        <v>1047</v>
      </c>
      <c r="C13" s="59">
        <v>-10.882051318349001</v>
      </c>
      <c r="D13" s="59">
        <v>-61.945094582684135</v>
      </c>
    </row>
    <row r="14" spans="1:4" x14ac:dyDescent="0.3">
      <c r="A14" s="58">
        <v>1100130</v>
      </c>
      <c r="B14" s="58" t="s">
        <v>1048</v>
      </c>
      <c r="C14" s="59">
        <v>-9.4255624800000017</v>
      </c>
      <c r="D14" s="59">
        <v>-61.999592572446602</v>
      </c>
    </row>
    <row r="15" spans="1:4" x14ac:dyDescent="0.3">
      <c r="A15" s="58">
        <v>1100148</v>
      </c>
      <c r="B15" s="58" t="s">
        <v>1049</v>
      </c>
      <c r="C15" s="59">
        <v>-11.721325413855851</v>
      </c>
      <c r="D15" s="59">
        <v>-62.308230163018962</v>
      </c>
    </row>
    <row r="16" spans="1:4" x14ac:dyDescent="0.3">
      <c r="A16" s="58">
        <v>1100155</v>
      </c>
      <c r="B16" s="58" t="s">
        <v>1050</v>
      </c>
      <c r="C16" s="59">
        <v>-10.723573900813504</v>
      </c>
      <c r="D16" s="59">
        <v>-62.261055190436267</v>
      </c>
    </row>
    <row r="17" spans="1:4" x14ac:dyDescent="0.3">
      <c r="A17" s="58">
        <v>1100189</v>
      </c>
      <c r="B17" s="58" t="s">
        <v>1051</v>
      </c>
      <c r="C17" s="59">
        <v>-11.677536990000002</v>
      </c>
      <c r="D17" s="59">
        <v>-61.183665673641976</v>
      </c>
    </row>
    <row r="18" spans="1:4" x14ac:dyDescent="0.3">
      <c r="A18" s="58">
        <v>1100205</v>
      </c>
      <c r="B18" s="58" t="s">
        <v>1052</v>
      </c>
      <c r="C18" s="59">
        <v>-8.7688917900000032</v>
      </c>
      <c r="D18" s="59">
        <v>-63.831445654361133</v>
      </c>
    </row>
    <row r="19" spans="1:4" x14ac:dyDescent="0.3">
      <c r="A19" s="58">
        <v>1100254</v>
      </c>
      <c r="B19" s="58" t="s">
        <v>1053</v>
      </c>
      <c r="C19" s="59">
        <v>-11.173205016226751</v>
      </c>
      <c r="D19" s="59">
        <v>-61.909438683529757</v>
      </c>
    </row>
    <row r="20" spans="1:4" x14ac:dyDescent="0.3">
      <c r="A20" s="58">
        <v>1100262</v>
      </c>
      <c r="B20" s="58" t="s">
        <v>1054</v>
      </c>
      <c r="C20" s="59">
        <v>-9.7055367097394925</v>
      </c>
      <c r="D20" s="59">
        <v>-62.900010365958877</v>
      </c>
    </row>
    <row r="21" spans="1:4" x14ac:dyDescent="0.3">
      <c r="A21" s="58">
        <v>1100288</v>
      </c>
      <c r="B21" s="58" t="s">
        <v>1055</v>
      </c>
      <c r="C21" s="59">
        <v>-11.722258913380754</v>
      </c>
      <c r="D21" s="59">
        <v>-61.785780935185379</v>
      </c>
    </row>
    <row r="22" spans="1:4" x14ac:dyDescent="0.3">
      <c r="A22" s="58">
        <v>1100296</v>
      </c>
      <c r="B22" s="58" t="s">
        <v>1056</v>
      </c>
      <c r="C22" s="59">
        <v>-11.908423332468951</v>
      </c>
      <c r="D22" s="59">
        <v>-61.773305463054527</v>
      </c>
    </row>
    <row r="23" spans="1:4" x14ac:dyDescent="0.3">
      <c r="A23" s="58">
        <v>1100304</v>
      </c>
      <c r="B23" s="58" t="s">
        <v>1057</v>
      </c>
      <c r="C23" s="59">
        <v>-12.741373471802902</v>
      </c>
      <c r="D23" s="59">
        <v>-60.138583866098706</v>
      </c>
    </row>
    <row r="24" spans="1:4" x14ac:dyDescent="0.3">
      <c r="A24" s="58">
        <v>1100320</v>
      </c>
      <c r="B24" s="58" t="s">
        <v>1058</v>
      </c>
      <c r="C24" s="59">
        <v>-11.69948974380595</v>
      </c>
      <c r="D24" s="59">
        <v>-62.720063481436426</v>
      </c>
    </row>
    <row r="25" spans="1:4" x14ac:dyDescent="0.3">
      <c r="A25" s="58">
        <v>1100338</v>
      </c>
      <c r="B25" s="58" t="s">
        <v>1059</v>
      </c>
      <c r="C25" s="59">
        <v>-10.411771294700152</v>
      </c>
      <c r="D25" s="59">
        <v>-65.329149023146655</v>
      </c>
    </row>
    <row r="26" spans="1:4" x14ac:dyDescent="0.3">
      <c r="A26" s="58">
        <v>1100346</v>
      </c>
      <c r="B26" s="58" t="s">
        <v>1060</v>
      </c>
      <c r="C26" s="59">
        <v>-11.344130023433403</v>
      </c>
      <c r="D26" s="59">
        <v>-62.27727486569718</v>
      </c>
    </row>
    <row r="27" spans="1:4" x14ac:dyDescent="0.3">
      <c r="A27" s="58">
        <v>1100379</v>
      </c>
      <c r="B27" s="58" t="s">
        <v>1061</v>
      </c>
      <c r="C27" s="59">
        <v>-12.131777224570904</v>
      </c>
      <c r="D27" s="59">
        <v>-61.853077168602958</v>
      </c>
    </row>
    <row r="28" spans="1:4" x14ac:dyDescent="0.3">
      <c r="A28" s="58">
        <v>1100403</v>
      </c>
      <c r="B28" s="58" t="s">
        <v>1062</v>
      </c>
      <c r="C28" s="59">
        <v>-9.7166667380772775</v>
      </c>
      <c r="D28" s="59">
        <v>-63.317629433497558</v>
      </c>
    </row>
    <row r="29" spans="1:4" x14ac:dyDescent="0.3">
      <c r="A29" s="58">
        <v>1100452</v>
      </c>
      <c r="B29" s="58" t="s">
        <v>1063</v>
      </c>
      <c r="C29" s="59">
        <v>-10.209805407235551</v>
      </c>
      <c r="D29" s="59">
        <v>-63.829678791756528</v>
      </c>
    </row>
    <row r="30" spans="1:4" x14ac:dyDescent="0.3">
      <c r="A30" s="58">
        <v>1100502</v>
      </c>
      <c r="B30" s="58" t="s">
        <v>1064</v>
      </c>
      <c r="C30" s="59">
        <v>-11.7097429200152</v>
      </c>
      <c r="D30" s="59">
        <v>-61.994387662760616</v>
      </c>
    </row>
    <row r="31" spans="1:4" x14ac:dyDescent="0.3">
      <c r="A31" s="58">
        <v>1100601</v>
      </c>
      <c r="B31" s="58" t="s">
        <v>1065</v>
      </c>
      <c r="C31" s="59">
        <v>-10.338872839392801</v>
      </c>
      <c r="D31" s="59">
        <v>-62.903189934568736</v>
      </c>
    </row>
    <row r="32" spans="1:4" x14ac:dyDescent="0.3">
      <c r="A32" s="58">
        <v>1100700</v>
      </c>
      <c r="B32" s="58" t="s">
        <v>1066</v>
      </c>
      <c r="C32" s="59">
        <v>-10.568416469348501</v>
      </c>
      <c r="D32" s="59">
        <v>-63.624991426542621</v>
      </c>
    </row>
    <row r="33" spans="1:4" x14ac:dyDescent="0.3">
      <c r="A33" s="58">
        <v>1100809</v>
      </c>
      <c r="B33" s="58" t="s">
        <v>1067</v>
      </c>
      <c r="C33" s="59">
        <v>-8.7850207034774765</v>
      </c>
      <c r="D33" s="59">
        <v>-63.700020071829798</v>
      </c>
    </row>
    <row r="34" spans="1:4" x14ac:dyDescent="0.3">
      <c r="A34" s="58">
        <v>1100908</v>
      </c>
      <c r="B34" s="58" t="s">
        <v>1068</v>
      </c>
      <c r="C34" s="59">
        <v>-11.426842225462453</v>
      </c>
      <c r="D34" s="59">
        <v>-61.949161196466186</v>
      </c>
    </row>
    <row r="35" spans="1:4" x14ac:dyDescent="0.3">
      <c r="A35" s="58">
        <v>1100924</v>
      </c>
      <c r="B35" s="58" t="s">
        <v>1069</v>
      </c>
      <c r="C35" s="59">
        <v>-12.556840761093801</v>
      </c>
      <c r="D35" s="59">
        <v>-60.901847749955394</v>
      </c>
    </row>
    <row r="36" spans="1:4" x14ac:dyDescent="0.3">
      <c r="A36" s="58">
        <v>1100940</v>
      </c>
      <c r="B36" s="58" t="s">
        <v>1070</v>
      </c>
      <c r="C36" s="59">
        <v>-9.3781933990571211</v>
      </c>
      <c r="D36" s="59">
        <v>-62.587174531920944</v>
      </c>
    </row>
    <row r="37" spans="1:4" x14ac:dyDescent="0.3">
      <c r="A37" s="58">
        <v>1101005</v>
      </c>
      <c r="B37" s="58" t="s">
        <v>1071</v>
      </c>
      <c r="C37" s="59">
        <v>-10.612071772607502</v>
      </c>
      <c r="D37" s="59">
        <v>-62.74045763946318</v>
      </c>
    </row>
    <row r="38" spans="1:4" x14ac:dyDescent="0.3">
      <c r="A38" s="58">
        <v>1101104</v>
      </c>
      <c r="B38" s="58" t="s">
        <v>1072</v>
      </c>
      <c r="C38" s="59">
        <v>-9.1918716753278549</v>
      </c>
      <c r="D38" s="59">
        <v>-63.182337016518304</v>
      </c>
    </row>
    <row r="39" spans="1:4" x14ac:dyDescent="0.3">
      <c r="A39" s="58">
        <v>1101203</v>
      </c>
      <c r="B39" s="58" t="s">
        <v>1073</v>
      </c>
      <c r="C39" s="59">
        <v>-11.196237984159103</v>
      </c>
      <c r="D39" s="59">
        <v>-61.51892193010535</v>
      </c>
    </row>
    <row r="40" spans="1:4" x14ac:dyDescent="0.3">
      <c r="A40" s="58">
        <v>1101302</v>
      </c>
      <c r="B40" s="58" t="s">
        <v>1074</v>
      </c>
      <c r="C40" s="59">
        <v>-11.045609289937003</v>
      </c>
      <c r="D40" s="59">
        <v>-62.669427095256573</v>
      </c>
    </row>
    <row r="41" spans="1:4" x14ac:dyDescent="0.3">
      <c r="A41" s="58">
        <v>1101401</v>
      </c>
      <c r="B41" s="58" t="s">
        <v>1075</v>
      </c>
      <c r="C41" s="59">
        <v>-10.263097755883001</v>
      </c>
      <c r="D41" s="59">
        <v>-63.295559167217476</v>
      </c>
    </row>
    <row r="42" spans="1:4" x14ac:dyDescent="0.3">
      <c r="A42" s="58">
        <v>1101435</v>
      </c>
      <c r="B42" s="58" t="s">
        <v>1076</v>
      </c>
      <c r="C42" s="59">
        <v>-10.915532041662802</v>
      </c>
      <c r="D42" s="59">
        <v>-62.555089398879986</v>
      </c>
    </row>
    <row r="43" spans="1:4" x14ac:dyDescent="0.3">
      <c r="A43" s="58">
        <v>1101450</v>
      </c>
      <c r="B43" s="58" t="s">
        <v>1077</v>
      </c>
      <c r="C43" s="59">
        <v>-12.179827050707702</v>
      </c>
      <c r="D43" s="59">
        <v>-61.597997972677554</v>
      </c>
    </row>
    <row r="44" spans="1:4" x14ac:dyDescent="0.3">
      <c r="A44" s="58">
        <v>1101468</v>
      </c>
      <c r="B44" s="58" t="s">
        <v>1078</v>
      </c>
      <c r="C44" s="59">
        <v>-13.476562002461502</v>
      </c>
      <c r="D44" s="59">
        <v>-61.044379002538442</v>
      </c>
    </row>
    <row r="45" spans="1:4" x14ac:dyDescent="0.3">
      <c r="A45" s="58">
        <v>1101476</v>
      </c>
      <c r="B45" s="58" t="s">
        <v>1079</v>
      </c>
      <c r="C45" s="59">
        <v>-11.825706954246803</v>
      </c>
      <c r="D45" s="59">
        <v>-61.316546242916537</v>
      </c>
    </row>
    <row r="46" spans="1:4" x14ac:dyDescent="0.3">
      <c r="A46" s="58">
        <v>1101484</v>
      </c>
      <c r="B46" s="58" t="s">
        <v>1080</v>
      </c>
      <c r="C46" s="59">
        <v>-11.914389354688552</v>
      </c>
      <c r="D46" s="59">
        <v>-61.512508113332736</v>
      </c>
    </row>
    <row r="47" spans="1:4" x14ac:dyDescent="0.3">
      <c r="A47" s="58">
        <v>1101492</v>
      </c>
      <c r="B47" s="58" t="s">
        <v>1081</v>
      </c>
      <c r="C47" s="59">
        <v>-12.063798412233403</v>
      </c>
      <c r="D47" s="59">
        <v>-63.570864710764909</v>
      </c>
    </row>
    <row r="48" spans="1:4" x14ac:dyDescent="0.3">
      <c r="A48" s="58">
        <v>1101500</v>
      </c>
      <c r="B48" s="58" t="s">
        <v>1082</v>
      </c>
      <c r="C48" s="59">
        <v>-11.767116635607003</v>
      </c>
      <c r="D48" s="59">
        <v>-63.038760997707222</v>
      </c>
    </row>
    <row r="49" spans="1:4" x14ac:dyDescent="0.3">
      <c r="A49" s="58">
        <v>1101559</v>
      </c>
      <c r="B49" s="58" t="s">
        <v>1083</v>
      </c>
      <c r="C49" s="59">
        <v>-10.932169286039903</v>
      </c>
      <c r="D49" s="59">
        <v>-62.255922253954637</v>
      </c>
    </row>
    <row r="50" spans="1:4" x14ac:dyDescent="0.3">
      <c r="A50" s="58">
        <v>1101609</v>
      </c>
      <c r="B50" s="58" t="s">
        <v>1084</v>
      </c>
      <c r="C50" s="59">
        <v>-10.248730552026052</v>
      </c>
      <c r="D50" s="59">
        <v>-62.345145529934939</v>
      </c>
    </row>
    <row r="51" spans="1:4" x14ac:dyDescent="0.3">
      <c r="A51" s="58">
        <v>1101708</v>
      </c>
      <c r="B51" s="58" t="s">
        <v>1085</v>
      </c>
      <c r="C51" s="59">
        <v>-11.128545275679402</v>
      </c>
      <c r="D51" s="59">
        <v>-62.370632453766653</v>
      </c>
    </row>
    <row r="52" spans="1:4" x14ac:dyDescent="0.3">
      <c r="A52" s="58">
        <v>1101757</v>
      </c>
      <c r="B52" s="58" t="s">
        <v>1086</v>
      </c>
      <c r="C52" s="59">
        <v>-9.8513927080617911</v>
      </c>
      <c r="D52" s="59">
        <v>-62.176823442127791</v>
      </c>
    </row>
    <row r="53" spans="1:4" x14ac:dyDescent="0.3">
      <c r="A53" s="58">
        <v>1101807</v>
      </c>
      <c r="B53" s="58" t="s">
        <v>1087</v>
      </c>
      <c r="C53" s="59">
        <v>-10.431052684556454</v>
      </c>
      <c r="D53" s="59">
        <v>-62.13439035680986</v>
      </c>
    </row>
    <row r="54" spans="1:4" x14ac:dyDescent="0.3">
      <c r="A54" s="58">
        <v>1200013</v>
      </c>
      <c r="B54" s="58" t="s">
        <v>1088</v>
      </c>
      <c r="C54" s="59">
        <v>-10.073793892463501</v>
      </c>
      <c r="D54" s="59">
        <v>-67.052316580020587</v>
      </c>
    </row>
    <row r="55" spans="1:4" x14ac:dyDescent="0.3">
      <c r="A55" s="58">
        <v>1200054</v>
      </c>
      <c r="B55" s="58" t="s">
        <v>1089</v>
      </c>
      <c r="C55" s="59">
        <v>-10.942865680917153</v>
      </c>
      <c r="D55" s="59">
        <v>-69.563459174667685</v>
      </c>
    </row>
    <row r="56" spans="1:4" x14ac:dyDescent="0.3">
      <c r="A56" s="58">
        <v>1200104</v>
      </c>
      <c r="B56" s="58" t="s">
        <v>1090</v>
      </c>
      <c r="C56" s="59">
        <v>-11.016411019085751</v>
      </c>
      <c r="D56" s="59">
        <v>-68.747943425958383</v>
      </c>
    </row>
    <row r="57" spans="1:4" x14ac:dyDescent="0.3">
      <c r="A57" s="58">
        <v>1200138</v>
      </c>
      <c r="B57" s="58" t="s">
        <v>1091</v>
      </c>
      <c r="C57" s="59">
        <v>-9.8200196267093762</v>
      </c>
      <c r="D57" s="59">
        <v>-67.951859279201486</v>
      </c>
    </row>
    <row r="58" spans="1:4" x14ac:dyDescent="0.3">
      <c r="A58" s="58">
        <v>1200179</v>
      </c>
      <c r="B58" s="58" t="s">
        <v>1092</v>
      </c>
      <c r="C58" s="59">
        <v>-10.569767708792751</v>
      </c>
      <c r="D58" s="59">
        <v>-67.673507971943224</v>
      </c>
    </row>
    <row r="59" spans="1:4" x14ac:dyDescent="0.3">
      <c r="A59" s="58">
        <v>1200203</v>
      </c>
      <c r="B59" s="58" t="s">
        <v>1093</v>
      </c>
      <c r="C59" s="59">
        <v>-7.6306900050098108</v>
      </c>
      <c r="D59" s="59">
        <v>-72.672531317435798</v>
      </c>
    </row>
    <row r="60" spans="1:4" x14ac:dyDescent="0.3">
      <c r="A60" s="58">
        <v>1200252</v>
      </c>
      <c r="B60" s="58" t="s">
        <v>1094</v>
      </c>
      <c r="C60" s="59">
        <v>-11.028239827956352</v>
      </c>
      <c r="D60" s="59">
        <v>-68.744868066674925</v>
      </c>
    </row>
    <row r="61" spans="1:4" x14ac:dyDescent="0.3">
      <c r="A61" s="58">
        <v>1200302</v>
      </c>
      <c r="B61" s="58" t="s">
        <v>1095</v>
      </c>
      <c r="C61" s="59">
        <v>-8.1602475300000012</v>
      </c>
      <c r="D61" s="59">
        <v>-70.353983608216538</v>
      </c>
    </row>
    <row r="62" spans="1:4" x14ac:dyDescent="0.3">
      <c r="A62" s="58">
        <v>1200328</v>
      </c>
      <c r="B62" s="58" t="s">
        <v>1096</v>
      </c>
      <c r="C62" s="59">
        <v>-9.1933578598284811</v>
      </c>
      <c r="D62" s="59">
        <v>-71.950875124836458</v>
      </c>
    </row>
    <row r="63" spans="1:4" x14ac:dyDescent="0.3">
      <c r="A63" s="58">
        <v>1200336</v>
      </c>
      <c r="B63" s="58" t="s">
        <v>1097</v>
      </c>
      <c r="C63" s="59">
        <v>-7.5932225938583615</v>
      </c>
      <c r="D63" s="59">
        <v>-72.916501026130774</v>
      </c>
    </row>
    <row r="64" spans="1:4" x14ac:dyDescent="0.3">
      <c r="A64" s="58">
        <v>1200344</v>
      </c>
      <c r="B64" s="58" t="s">
        <v>1098</v>
      </c>
      <c r="C64" s="59">
        <v>-8.8363177368916617</v>
      </c>
      <c r="D64" s="59">
        <v>-69.259944577507497</v>
      </c>
    </row>
    <row r="65" spans="1:4" x14ac:dyDescent="0.3">
      <c r="A65" s="58">
        <v>1200351</v>
      </c>
      <c r="B65" s="58" t="s">
        <v>1099</v>
      </c>
      <c r="C65" s="59">
        <v>-8.9535911231536627</v>
      </c>
      <c r="D65" s="59">
        <v>-72.790265908698288</v>
      </c>
    </row>
    <row r="66" spans="1:4" x14ac:dyDescent="0.3">
      <c r="A66" s="58">
        <v>1200385</v>
      </c>
      <c r="B66" s="58" t="s">
        <v>1100</v>
      </c>
      <c r="C66" s="59">
        <v>-10.335133282742651</v>
      </c>
      <c r="D66" s="59">
        <v>-67.188260086151601</v>
      </c>
    </row>
    <row r="67" spans="1:4" x14ac:dyDescent="0.3">
      <c r="A67" s="58">
        <v>1200393</v>
      </c>
      <c r="B67" s="58" t="s">
        <v>1101</v>
      </c>
      <c r="C67" s="59">
        <v>-8.2666663628275305</v>
      </c>
      <c r="D67" s="59">
        <v>-72.742333964803279</v>
      </c>
    </row>
    <row r="68" spans="1:4" x14ac:dyDescent="0.3">
      <c r="A68" s="58">
        <v>1200401</v>
      </c>
      <c r="B68" s="58" t="s">
        <v>1102</v>
      </c>
      <c r="C68" s="59">
        <v>-9.9782987527249833</v>
      </c>
      <c r="D68" s="59">
        <v>-67.810528700423504</v>
      </c>
    </row>
    <row r="69" spans="1:4" x14ac:dyDescent="0.3">
      <c r="A69" s="58">
        <v>1200427</v>
      </c>
      <c r="B69" s="58" t="s">
        <v>1103</v>
      </c>
      <c r="C69" s="59">
        <v>-7.7336020337232219</v>
      </c>
      <c r="D69" s="59">
        <v>-72.647854914199669</v>
      </c>
    </row>
    <row r="70" spans="1:4" x14ac:dyDescent="0.3">
      <c r="A70" s="58">
        <v>1200435</v>
      </c>
      <c r="B70" s="58" t="s">
        <v>1104</v>
      </c>
      <c r="C70" s="59">
        <v>-9.4434065374118514</v>
      </c>
      <c r="D70" s="59">
        <v>-70.486496893761625</v>
      </c>
    </row>
    <row r="71" spans="1:4" x14ac:dyDescent="0.3">
      <c r="A71" s="58">
        <v>1200450</v>
      </c>
      <c r="B71" s="58" t="s">
        <v>1105</v>
      </c>
      <c r="C71" s="59">
        <v>-10.148173586198851</v>
      </c>
      <c r="D71" s="59">
        <v>-67.74317236000509</v>
      </c>
    </row>
    <row r="72" spans="1:4" x14ac:dyDescent="0.3">
      <c r="A72" s="58">
        <v>1200500</v>
      </c>
      <c r="B72" s="58" t="s">
        <v>1106</v>
      </c>
      <c r="C72" s="59">
        <v>-9.0653395050000025</v>
      </c>
      <c r="D72" s="59">
        <v>-68.655684061692028</v>
      </c>
    </row>
    <row r="73" spans="1:4" x14ac:dyDescent="0.3">
      <c r="A73" s="58">
        <v>1200609</v>
      </c>
      <c r="B73" s="58" t="s">
        <v>1107</v>
      </c>
      <c r="C73" s="59">
        <v>-8.1556685917656218</v>
      </c>
      <c r="D73" s="59">
        <v>-70.755501062893686</v>
      </c>
    </row>
    <row r="74" spans="1:4" x14ac:dyDescent="0.3">
      <c r="A74" s="58">
        <v>1200708</v>
      </c>
      <c r="B74" s="58" t="s">
        <v>1108</v>
      </c>
      <c r="C74" s="59">
        <v>-10.652071940335452</v>
      </c>
      <c r="D74" s="59">
        <v>-68.506294805046295</v>
      </c>
    </row>
    <row r="75" spans="1:4" x14ac:dyDescent="0.3">
      <c r="A75" s="58">
        <v>1200807</v>
      </c>
      <c r="B75" s="58" t="s">
        <v>1109</v>
      </c>
      <c r="C75" s="59">
        <v>-9.6008582311878801</v>
      </c>
      <c r="D75" s="59">
        <v>-67.540590083519433</v>
      </c>
    </row>
    <row r="76" spans="1:4" x14ac:dyDescent="0.3">
      <c r="A76" s="58">
        <v>1300029</v>
      </c>
      <c r="B76" s="58" t="s">
        <v>1110</v>
      </c>
      <c r="C76" s="59">
        <v>-3.2165837690663852</v>
      </c>
      <c r="D76" s="59">
        <v>-64.813534677568583</v>
      </c>
    </row>
    <row r="77" spans="1:4" x14ac:dyDescent="0.3">
      <c r="A77" s="58">
        <v>1300060</v>
      </c>
      <c r="B77" s="58" t="s">
        <v>1111</v>
      </c>
      <c r="C77" s="59">
        <v>-3.3668051875056055</v>
      </c>
      <c r="D77" s="59">
        <v>-68.209614640940401</v>
      </c>
    </row>
    <row r="78" spans="1:4" x14ac:dyDescent="0.3">
      <c r="A78" s="58">
        <v>1300086</v>
      </c>
      <c r="B78" s="58" t="s">
        <v>1112</v>
      </c>
      <c r="C78" s="59">
        <v>-3.5763704268902705</v>
      </c>
      <c r="D78" s="59">
        <v>-61.405903479750101</v>
      </c>
    </row>
    <row r="79" spans="1:4" x14ac:dyDescent="0.3">
      <c r="A79" s="58">
        <v>1300102</v>
      </c>
      <c r="B79" s="58" t="s">
        <v>1113</v>
      </c>
      <c r="C79" s="59">
        <v>-3.7453855861188905</v>
      </c>
      <c r="D79" s="59">
        <v>-61.658955382877892</v>
      </c>
    </row>
    <row r="80" spans="1:4" x14ac:dyDescent="0.3">
      <c r="A80" s="58">
        <v>1300144</v>
      </c>
      <c r="B80" s="58" t="s">
        <v>1114</v>
      </c>
      <c r="C80" s="59">
        <v>-7.1978701516075958</v>
      </c>
      <c r="D80" s="59">
        <v>-59.885666104718808</v>
      </c>
    </row>
    <row r="81" spans="1:4" x14ac:dyDescent="0.3">
      <c r="A81" s="58">
        <v>1300201</v>
      </c>
      <c r="B81" s="58" t="s">
        <v>1115</v>
      </c>
      <c r="C81" s="59">
        <v>-4.3661574897160316</v>
      </c>
      <c r="D81" s="59">
        <v>-70.187989284522601</v>
      </c>
    </row>
    <row r="82" spans="1:4" x14ac:dyDescent="0.3">
      <c r="A82" s="58">
        <v>1300300</v>
      </c>
      <c r="B82" s="58" t="s">
        <v>1116</v>
      </c>
      <c r="C82" s="59">
        <v>-3.5786636417712656</v>
      </c>
      <c r="D82" s="59">
        <v>-59.133567091816765</v>
      </c>
    </row>
    <row r="83" spans="1:4" x14ac:dyDescent="0.3">
      <c r="A83" s="58">
        <v>1300409</v>
      </c>
      <c r="B83" s="58" t="s">
        <v>1117</v>
      </c>
      <c r="C83" s="59">
        <v>-0.97280105253219074</v>
      </c>
      <c r="D83" s="59">
        <v>-62.925669658102606</v>
      </c>
    </row>
    <row r="84" spans="1:4" x14ac:dyDescent="0.3">
      <c r="A84" s="58">
        <v>1300508</v>
      </c>
      <c r="B84" s="58" t="s">
        <v>1118</v>
      </c>
      <c r="C84" s="59">
        <v>-2.7981498369297957</v>
      </c>
      <c r="D84" s="59">
        <v>-57.067750489893776</v>
      </c>
    </row>
    <row r="85" spans="1:4" x14ac:dyDescent="0.3">
      <c r="A85" s="58">
        <v>1300607</v>
      </c>
      <c r="B85" s="58" t="s">
        <v>1119</v>
      </c>
      <c r="C85" s="59">
        <v>-4.3749890186039115</v>
      </c>
      <c r="D85" s="59">
        <v>-70.027348433276472</v>
      </c>
    </row>
    <row r="86" spans="1:4" x14ac:dyDescent="0.3">
      <c r="A86" s="58">
        <v>1300631</v>
      </c>
      <c r="B86" s="58" t="s">
        <v>1120</v>
      </c>
      <c r="C86" s="59">
        <v>-3.8945134098180554</v>
      </c>
      <c r="D86" s="59">
        <v>-61.371570891665868</v>
      </c>
    </row>
    <row r="87" spans="1:4" x14ac:dyDescent="0.3">
      <c r="A87" s="58">
        <v>1300680</v>
      </c>
      <c r="B87" s="58" t="s">
        <v>1121</v>
      </c>
      <c r="C87" s="59">
        <v>-2.971726531589356</v>
      </c>
      <c r="D87" s="59">
        <v>-57.587707346473721</v>
      </c>
    </row>
    <row r="88" spans="1:4" x14ac:dyDescent="0.3">
      <c r="A88" s="58">
        <v>1300706</v>
      </c>
      <c r="B88" s="58" t="s">
        <v>1122</v>
      </c>
      <c r="C88" s="59">
        <v>-8.7512431960937871</v>
      </c>
      <c r="D88" s="59">
        <v>-67.399577756680529</v>
      </c>
    </row>
    <row r="89" spans="1:4" x14ac:dyDescent="0.3">
      <c r="A89" s="58">
        <v>1300805</v>
      </c>
      <c r="B89" s="58" t="s">
        <v>1123</v>
      </c>
      <c r="C89" s="59">
        <v>-4.390619891472725</v>
      </c>
      <c r="D89" s="59">
        <v>-59.594559019496884</v>
      </c>
    </row>
    <row r="90" spans="1:4" x14ac:dyDescent="0.3">
      <c r="A90" s="58">
        <v>1300839</v>
      </c>
      <c r="B90" s="58" t="s">
        <v>1124</v>
      </c>
      <c r="C90" s="59">
        <v>-3.3300933919416003</v>
      </c>
      <c r="D90" s="59">
        <v>-61.211334133181673</v>
      </c>
    </row>
    <row r="91" spans="1:4" x14ac:dyDescent="0.3">
      <c r="A91" s="58">
        <v>1300904</v>
      </c>
      <c r="B91" s="58" t="s">
        <v>1125</v>
      </c>
      <c r="C91" s="59">
        <v>-6.529106075826137</v>
      </c>
      <c r="D91" s="59">
        <v>-64.394230818928818</v>
      </c>
    </row>
    <row r="92" spans="1:4" x14ac:dyDescent="0.3">
      <c r="A92" s="58">
        <v>1301001</v>
      </c>
      <c r="B92" s="58" t="s">
        <v>1126</v>
      </c>
      <c r="C92" s="59">
        <v>-4.881665904204131</v>
      </c>
      <c r="D92" s="59">
        <v>-66.896635281683686</v>
      </c>
    </row>
    <row r="93" spans="1:4" x14ac:dyDescent="0.3">
      <c r="A93" s="58">
        <v>1301100</v>
      </c>
      <c r="B93" s="58" t="s">
        <v>1127</v>
      </c>
      <c r="C93" s="59">
        <v>-3.8224472700459908</v>
      </c>
      <c r="D93" s="59">
        <v>-60.3638098437089</v>
      </c>
    </row>
    <row r="94" spans="1:4" x14ac:dyDescent="0.3">
      <c r="A94" s="58">
        <v>1301159</v>
      </c>
      <c r="B94" s="58" t="s">
        <v>1128</v>
      </c>
      <c r="C94" s="59">
        <v>-3.1973965948695953</v>
      </c>
      <c r="D94" s="59">
        <v>-59.826314060833866</v>
      </c>
    </row>
    <row r="95" spans="1:4" x14ac:dyDescent="0.3">
      <c r="A95" s="58">
        <v>1301209</v>
      </c>
      <c r="B95" s="58" t="s">
        <v>1129</v>
      </c>
      <c r="C95" s="59">
        <v>-4.0842191587758814</v>
      </c>
      <c r="D95" s="59">
        <v>-63.14218398405616</v>
      </c>
    </row>
    <row r="96" spans="1:4" x14ac:dyDescent="0.3">
      <c r="A96" s="58">
        <v>1301308</v>
      </c>
      <c r="B96" s="58" t="s">
        <v>1130</v>
      </c>
      <c r="C96" s="59">
        <v>-3.8430459327389204</v>
      </c>
      <c r="D96" s="59">
        <v>-62.063429660488289</v>
      </c>
    </row>
    <row r="97" spans="1:4" x14ac:dyDescent="0.3">
      <c r="A97" s="58">
        <v>1301407</v>
      </c>
      <c r="B97" s="58" t="s">
        <v>1131</v>
      </c>
      <c r="C97" s="59">
        <v>-6.6673525668518154</v>
      </c>
      <c r="D97" s="59">
        <v>-69.866290262441552</v>
      </c>
    </row>
    <row r="98" spans="1:4" x14ac:dyDescent="0.3">
      <c r="A98" s="58">
        <v>1301506</v>
      </c>
      <c r="B98" s="58" t="s">
        <v>1132</v>
      </c>
      <c r="C98" s="59">
        <v>-7.4398175439683811</v>
      </c>
      <c r="D98" s="59">
        <v>-70.030412542982489</v>
      </c>
    </row>
    <row r="99" spans="1:4" x14ac:dyDescent="0.3">
      <c r="A99" s="58">
        <v>1301605</v>
      </c>
      <c r="B99" s="58" t="s">
        <v>1133</v>
      </c>
      <c r="C99" s="59">
        <v>-2.5122706845477856</v>
      </c>
      <c r="D99" s="59">
        <v>-66.096502989834718</v>
      </c>
    </row>
    <row r="100" spans="1:4" x14ac:dyDescent="0.3">
      <c r="A100" s="58">
        <v>1301654</v>
      </c>
      <c r="B100" s="58" t="s">
        <v>1134</v>
      </c>
      <c r="C100" s="59">
        <v>-7.5477744148336008</v>
      </c>
      <c r="D100" s="59">
        <v>-72.582430538339636</v>
      </c>
    </row>
    <row r="101" spans="1:4" x14ac:dyDescent="0.3">
      <c r="A101" s="58">
        <v>1301704</v>
      </c>
      <c r="B101" s="58" t="s">
        <v>1135</v>
      </c>
      <c r="C101" s="59">
        <v>-7.5122249506113867</v>
      </c>
      <c r="D101" s="59">
        <v>-63.026698021928318</v>
      </c>
    </row>
    <row r="102" spans="1:4" x14ac:dyDescent="0.3">
      <c r="A102" s="58">
        <v>1301803</v>
      </c>
      <c r="B102" s="58" t="s">
        <v>1136</v>
      </c>
      <c r="C102" s="59">
        <v>-7.05098011443721</v>
      </c>
      <c r="D102" s="59">
        <v>-71.694418060308365</v>
      </c>
    </row>
    <row r="103" spans="1:4" x14ac:dyDescent="0.3">
      <c r="A103" s="58">
        <v>1301852</v>
      </c>
      <c r="B103" s="58" t="s">
        <v>1137</v>
      </c>
      <c r="C103" s="59">
        <v>-3.2810538776068956</v>
      </c>
      <c r="D103" s="59">
        <v>-60.193388166130681</v>
      </c>
    </row>
    <row r="104" spans="1:4" x14ac:dyDescent="0.3">
      <c r="A104" s="58">
        <v>1301902</v>
      </c>
      <c r="B104" s="58" t="s">
        <v>1138</v>
      </c>
      <c r="C104" s="59">
        <v>-3.1403788039163452</v>
      </c>
      <c r="D104" s="59">
        <v>-58.440175436757137</v>
      </c>
    </row>
    <row r="105" spans="1:4" x14ac:dyDescent="0.3">
      <c r="A105" s="58">
        <v>1301951</v>
      </c>
      <c r="B105" s="58" t="s">
        <v>1139</v>
      </c>
      <c r="C105" s="59">
        <v>-6.4377993486191771</v>
      </c>
      <c r="D105" s="59">
        <v>-68.247917435978181</v>
      </c>
    </row>
    <row r="106" spans="1:4" x14ac:dyDescent="0.3">
      <c r="A106" s="58">
        <v>1302009</v>
      </c>
      <c r="B106" s="58" t="s">
        <v>1140</v>
      </c>
      <c r="C106" s="59">
        <v>-2.7418427523288407</v>
      </c>
      <c r="D106" s="59">
        <v>-58.034545883966203</v>
      </c>
    </row>
    <row r="107" spans="1:4" x14ac:dyDescent="0.3">
      <c r="A107" s="58">
        <v>1302108</v>
      </c>
      <c r="B107" s="58" t="s">
        <v>1141</v>
      </c>
      <c r="C107" s="59">
        <v>-1.8808448587030002</v>
      </c>
      <c r="D107" s="59">
        <v>-66.99690349464133</v>
      </c>
    </row>
    <row r="108" spans="1:4" x14ac:dyDescent="0.3">
      <c r="A108" s="58">
        <v>1302207</v>
      </c>
      <c r="B108" s="58" t="s">
        <v>1142</v>
      </c>
      <c r="C108" s="59">
        <v>-3.4748895988906803</v>
      </c>
      <c r="D108" s="59">
        <v>-66.063041925543416</v>
      </c>
    </row>
    <row r="109" spans="1:4" x14ac:dyDescent="0.3">
      <c r="A109" s="58">
        <v>1302306</v>
      </c>
      <c r="B109" s="58" t="s">
        <v>1143</v>
      </c>
      <c r="C109" s="59">
        <v>-2.7446464468578555</v>
      </c>
      <c r="D109" s="59">
        <v>-66.771327546687829</v>
      </c>
    </row>
    <row r="110" spans="1:4" x14ac:dyDescent="0.3">
      <c r="A110" s="58">
        <v>1302405</v>
      </c>
      <c r="B110" s="58" t="s">
        <v>1144</v>
      </c>
      <c r="C110" s="59">
        <v>-7.2619465533270509</v>
      </c>
      <c r="D110" s="59">
        <v>-64.794773027520037</v>
      </c>
    </row>
    <row r="111" spans="1:4" x14ac:dyDescent="0.3">
      <c r="A111" s="58">
        <v>1302504</v>
      </c>
      <c r="B111" s="58" t="s">
        <v>1145</v>
      </c>
      <c r="C111" s="59">
        <v>-3.2982780354675501</v>
      </c>
      <c r="D111" s="59">
        <v>-60.620589445870621</v>
      </c>
    </row>
    <row r="112" spans="1:4" x14ac:dyDescent="0.3">
      <c r="A112" s="58">
        <v>1302553</v>
      </c>
      <c r="B112" s="58" t="s">
        <v>1146</v>
      </c>
      <c r="C112" s="59">
        <v>-3.4290796693526207</v>
      </c>
      <c r="D112" s="59">
        <v>-60.458881306374529</v>
      </c>
    </row>
    <row r="113" spans="1:4" x14ac:dyDescent="0.3">
      <c r="A113" s="58">
        <v>1302603</v>
      </c>
      <c r="B113" s="58" t="s">
        <v>1147</v>
      </c>
      <c r="C113" s="59">
        <v>-3.1346914912019459</v>
      </c>
      <c r="D113" s="59">
        <v>-60.023335181061036</v>
      </c>
    </row>
    <row r="114" spans="1:4" x14ac:dyDescent="0.3">
      <c r="A114" s="58">
        <v>1302702</v>
      </c>
      <c r="B114" s="58" t="s">
        <v>1148</v>
      </c>
      <c r="C114" s="59">
        <v>-5.8132052611881315</v>
      </c>
      <c r="D114" s="59">
        <v>-61.299248408850772</v>
      </c>
    </row>
    <row r="115" spans="1:4" x14ac:dyDescent="0.3">
      <c r="A115" s="58">
        <v>1302801</v>
      </c>
      <c r="B115" s="58" t="s">
        <v>1149</v>
      </c>
      <c r="C115" s="59">
        <v>-1.8664368773012503</v>
      </c>
      <c r="D115" s="59">
        <v>-65.574283703164056</v>
      </c>
    </row>
    <row r="116" spans="1:4" x14ac:dyDescent="0.3">
      <c r="A116" s="58">
        <v>1302900</v>
      </c>
      <c r="B116" s="58" t="s">
        <v>1150</v>
      </c>
      <c r="C116" s="59">
        <v>-3.3864279262110557</v>
      </c>
      <c r="D116" s="59">
        <v>-57.715034386752464</v>
      </c>
    </row>
    <row r="117" spans="1:4" x14ac:dyDescent="0.3">
      <c r="A117" s="58">
        <v>1303007</v>
      </c>
      <c r="B117" s="58" t="s">
        <v>1151</v>
      </c>
      <c r="C117" s="59">
        <v>-2.1889837668969006</v>
      </c>
      <c r="D117" s="59">
        <v>-56.716769913337643</v>
      </c>
    </row>
    <row r="118" spans="1:4" x14ac:dyDescent="0.3">
      <c r="A118" s="58">
        <v>1303106</v>
      </c>
      <c r="B118" s="58" t="s">
        <v>1152</v>
      </c>
      <c r="C118" s="59">
        <v>-3.8875928319113813</v>
      </c>
      <c r="D118" s="59">
        <v>-59.093074026043276</v>
      </c>
    </row>
    <row r="119" spans="1:4" x14ac:dyDescent="0.3">
      <c r="A119" s="58">
        <v>1303205</v>
      </c>
      <c r="B119" s="58" t="s">
        <v>1153</v>
      </c>
      <c r="C119" s="59">
        <v>-2.6234324590276255</v>
      </c>
      <c r="D119" s="59">
        <v>-60.948810707829011</v>
      </c>
    </row>
    <row r="120" spans="1:4" x14ac:dyDescent="0.3">
      <c r="A120" s="58">
        <v>1303304</v>
      </c>
      <c r="B120" s="58" t="s">
        <v>1154</v>
      </c>
      <c r="C120" s="59">
        <v>-5.1226693141961652</v>
      </c>
      <c r="D120" s="59">
        <v>-60.377045669000864</v>
      </c>
    </row>
    <row r="121" spans="1:4" x14ac:dyDescent="0.3">
      <c r="A121" s="58">
        <v>1303403</v>
      </c>
      <c r="B121" s="58" t="s">
        <v>1155</v>
      </c>
      <c r="C121" s="59">
        <v>-2.6270525858372253</v>
      </c>
      <c r="D121" s="59">
        <v>-56.73629214519508</v>
      </c>
    </row>
    <row r="122" spans="1:4" x14ac:dyDescent="0.3">
      <c r="A122" s="58">
        <v>1303502</v>
      </c>
      <c r="B122" s="58" t="s">
        <v>1156</v>
      </c>
      <c r="C122" s="59">
        <v>-7.7140436443221914</v>
      </c>
      <c r="D122" s="59">
        <v>-67.002097488528165</v>
      </c>
    </row>
    <row r="123" spans="1:4" x14ac:dyDescent="0.3">
      <c r="A123" s="58">
        <v>1303536</v>
      </c>
      <c r="B123" s="58" t="s">
        <v>1157</v>
      </c>
      <c r="C123" s="59">
        <v>-2.0584290852330001</v>
      </c>
      <c r="D123" s="59">
        <v>-60.025646834467466</v>
      </c>
    </row>
    <row r="124" spans="1:4" x14ac:dyDescent="0.3">
      <c r="A124" s="58">
        <v>1303569</v>
      </c>
      <c r="B124" s="58" t="s">
        <v>1158</v>
      </c>
      <c r="C124" s="59">
        <v>-2.6933015416450954</v>
      </c>
      <c r="D124" s="59">
        <v>-59.70473809419898</v>
      </c>
    </row>
    <row r="125" spans="1:4" x14ac:dyDescent="0.3">
      <c r="A125" s="58">
        <v>1303601</v>
      </c>
      <c r="B125" s="58" t="s">
        <v>1159</v>
      </c>
      <c r="C125" s="59">
        <v>-0.41669483188186357</v>
      </c>
      <c r="D125" s="59">
        <v>-65.020022639511964</v>
      </c>
    </row>
    <row r="126" spans="1:4" x14ac:dyDescent="0.3">
      <c r="A126" s="58">
        <v>1303700</v>
      </c>
      <c r="B126" s="58" t="s">
        <v>1160</v>
      </c>
      <c r="C126" s="59">
        <v>-3.1074863091815108</v>
      </c>
      <c r="D126" s="59">
        <v>-67.946485143884061</v>
      </c>
    </row>
    <row r="127" spans="1:4" x14ac:dyDescent="0.3">
      <c r="A127" s="58">
        <v>1303809</v>
      </c>
      <c r="B127" s="58" t="s">
        <v>1161</v>
      </c>
      <c r="C127" s="59">
        <v>-0.13646278811652154</v>
      </c>
      <c r="D127" s="59">
        <v>-67.083642896346291</v>
      </c>
    </row>
    <row r="128" spans="1:4" x14ac:dyDescent="0.3">
      <c r="A128" s="58">
        <v>1303908</v>
      </c>
      <c r="B128" s="58" t="s">
        <v>1162</v>
      </c>
      <c r="C128" s="59">
        <v>-3.4665096234913206</v>
      </c>
      <c r="D128" s="59">
        <v>-68.944853488135792</v>
      </c>
    </row>
    <row r="129" spans="1:4" x14ac:dyDescent="0.3">
      <c r="A129" s="58">
        <v>1303957</v>
      </c>
      <c r="B129" s="58" t="s">
        <v>1163</v>
      </c>
      <c r="C129" s="59">
        <v>-2.5701525796778504</v>
      </c>
      <c r="D129" s="59">
        <v>-57.870346355834599</v>
      </c>
    </row>
    <row r="130" spans="1:4" x14ac:dyDescent="0.3">
      <c r="A130" s="58">
        <v>1304005</v>
      </c>
      <c r="B130" s="58" t="s">
        <v>1164</v>
      </c>
      <c r="C130" s="59">
        <v>-2.8364274296658354</v>
      </c>
      <c r="D130" s="59">
        <v>-58.214800860826934</v>
      </c>
    </row>
    <row r="131" spans="1:4" x14ac:dyDescent="0.3">
      <c r="A131" s="58">
        <v>1304062</v>
      </c>
      <c r="B131" s="58" t="s">
        <v>1165</v>
      </c>
      <c r="C131" s="59">
        <v>-4.2318836756466451</v>
      </c>
      <c r="D131" s="59">
        <v>-69.946244375227167</v>
      </c>
    </row>
    <row r="132" spans="1:4" x14ac:dyDescent="0.3">
      <c r="A132" s="58">
        <v>1304104</v>
      </c>
      <c r="B132" s="58" t="s">
        <v>1166</v>
      </c>
      <c r="C132" s="59">
        <v>-5.6242235177879358</v>
      </c>
      <c r="D132" s="59">
        <v>-63.187094867180178</v>
      </c>
    </row>
    <row r="133" spans="1:4" x14ac:dyDescent="0.3">
      <c r="A133" s="58">
        <v>1304203</v>
      </c>
      <c r="B133" s="58" t="s">
        <v>1167</v>
      </c>
      <c r="C133" s="59">
        <v>-3.3483724939415054</v>
      </c>
      <c r="D133" s="59">
        <v>-64.708419663302678</v>
      </c>
    </row>
    <row r="134" spans="1:4" x14ac:dyDescent="0.3">
      <c r="A134" s="58">
        <v>1304237</v>
      </c>
      <c r="B134" s="58" t="s">
        <v>1168</v>
      </c>
      <c r="C134" s="59">
        <v>-2.8610912498354257</v>
      </c>
      <c r="D134" s="59">
        <v>-67.776482280695205</v>
      </c>
    </row>
    <row r="135" spans="1:4" x14ac:dyDescent="0.3">
      <c r="A135" s="58">
        <v>1304260</v>
      </c>
      <c r="B135" s="58" t="s">
        <v>1169</v>
      </c>
      <c r="C135" s="59">
        <v>-2.9836092426921006</v>
      </c>
      <c r="D135" s="59">
        <v>-65.155345640155375</v>
      </c>
    </row>
    <row r="136" spans="1:4" x14ac:dyDescent="0.3">
      <c r="A136" s="58">
        <v>1304302</v>
      </c>
      <c r="B136" s="58" t="s">
        <v>1170</v>
      </c>
      <c r="C136" s="59">
        <v>-2.5366116718403804</v>
      </c>
      <c r="D136" s="59">
        <v>-57.759828174595569</v>
      </c>
    </row>
    <row r="137" spans="1:4" x14ac:dyDescent="0.3">
      <c r="A137" s="58">
        <v>1304401</v>
      </c>
      <c r="B137" s="58" t="s">
        <v>1171</v>
      </c>
      <c r="C137" s="59">
        <v>-3.1346331156473006</v>
      </c>
      <c r="D137" s="59">
        <v>-58.159641041309818</v>
      </c>
    </row>
    <row r="138" spans="1:4" x14ac:dyDescent="0.3">
      <c r="A138" s="58">
        <v>1400027</v>
      </c>
      <c r="B138" s="58" t="s">
        <v>1172</v>
      </c>
      <c r="C138" s="59">
        <v>3.6521184454458959</v>
      </c>
      <c r="D138" s="59">
        <v>-61.420590172663054</v>
      </c>
    </row>
    <row r="139" spans="1:4" x14ac:dyDescent="0.3">
      <c r="A139" s="58">
        <v>1400050</v>
      </c>
      <c r="B139" s="58" t="s">
        <v>74</v>
      </c>
      <c r="C139" s="59">
        <v>2.9938229476548361</v>
      </c>
      <c r="D139" s="59">
        <v>-61.314022390117806</v>
      </c>
    </row>
    <row r="140" spans="1:4" x14ac:dyDescent="0.3">
      <c r="A140" s="58">
        <v>1400100</v>
      </c>
      <c r="B140" s="58" t="s">
        <v>1173</v>
      </c>
      <c r="C140" s="59">
        <v>2.8166819191043904</v>
      </c>
      <c r="D140" s="59">
        <v>-60.670532672965052</v>
      </c>
    </row>
    <row r="141" spans="1:4" x14ac:dyDescent="0.3">
      <c r="A141" s="58">
        <v>1400159</v>
      </c>
      <c r="B141" s="58" t="s">
        <v>1174</v>
      </c>
      <c r="C141" s="59">
        <v>3.3502886191103158</v>
      </c>
      <c r="D141" s="59">
        <v>-59.878006628909937</v>
      </c>
    </row>
    <row r="142" spans="1:4" x14ac:dyDescent="0.3">
      <c r="A142" s="58">
        <v>1400175</v>
      </c>
      <c r="B142" s="58" t="s">
        <v>1175</v>
      </c>
      <c r="C142" s="59">
        <v>2.60766639841651</v>
      </c>
      <c r="D142" s="59">
        <v>-60.602062847611236</v>
      </c>
    </row>
    <row r="143" spans="1:4" x14ac:dyDescent="0.3">
      <c r="A143" s="58">
        <v>1400209</v>
      </c>
      <c r="B143" s="58" t="s">
        <v>1176</v>
      </c>
      <c r="C143" s="59">
        <v>1.8038712472975902</v>
      </c>
      <c r="D143" s="59">
        <v>-61.149176870129992</v>
      </c>
    </row>
    <row r="144" spans="1:4" x14ac:dyDescent="0.3">
      <c r="A144" s="58">
        <v>1400233</v>
      </c>
      <c r="B144" s="58" t="s">
        <v>1177</v>
      </c>
      <c r="C144" s="59">
        <v>0.87267450718656214</v>
      </c>
      <c r="D144" s="59">
        <v>-59.69481007367574</v>
      </c>
    </row>
    <row r="145" spans="1:4" x14ac:dyDescent="0.3">
      <c r="A145" s="58">
        <v>1400282</v>
      </c>
      <c r="B145" s="58" t="s">
        <v>77</v>
      </c>
      <c r="C145" s="59">
        <v>2.1682147652038704</v>
      </c>
      <c r="D145" s="59">
        <v>-61.052258585019707</v>
      </c>
    </row>
    <row r="146" spans="1:4" x14ac:dyDescent="0.3">
      <c r="A146" s="58">
        <v>1400308</v>
      </c>
      <c r="B146" s="58" t="s">
        <v>1178</v>
      </c>
      <c r="C146" s="59">
        <v>2.4797722350534177</v>
      </c>
      <c r="D146" s="59">
        <v>-60.911518530621642</v>
      </c>
    </row>
    <row r="147" spans="1:4" x14ac:dyDescent="0.3">
      <c r="A147" s="58">
        <v>1400407</v>
      </c>
      <c r="B147" s="58" t="s">
        <v>1179</v>
      </c>
      <c r="C147" s="59">
        <v>3.8829782853018107</v>
      </c>
      <c r="D147" s="59">
        <v>-59.635206283568323</v>
      </c>
    </row>
    <row r="148" spans="1:4" x14ac:dyDescent="0.3">
      <c r="A148" s="58">
        <v>1400456</v>
      </c>
      <c r="B148" s="58" t="s">
        <v>1180</v>
      </c>
      <c r="C148" s="59">
        <v>4.4752593402122551</v>
      </c>
      <c r="D148" s="59">
        <v>-61.147306347149311</v>
      </c>
    </row>
    <row r="149" spans="1:4" x14ac:dyDescent="0.3">
      <c r="A149" s="58">
        <v>1400472</v>
      </c>
      <c r="B149" s="58" t="s">
        <v>1181</v>
      </c>
      <c r="C149" s="59">
        <v>0.93719539359755621</v>
      </c>
      <c r="D149" s="59">
        <v>-60.425060493981924</v>
      </c>
    </row>
    <row r="150" spans="1:4" x14ac:dyDescent="0.3">
      <c r="A150" s="58">
        <v>1400506</v>
      </c>
      <c r="B150" s="58" t="s">
        <v>1182</v>
      </c>
      <c r="C150" s="59">
        <v>0.94715742746668119</v>
      </c>
      <c r="D150" s="59">
        <v>-59.906044345154449</v>
      </c>
    </row>
    <row r="151" spans="1:4" x14ac:dyDescent="0.3">
      <c r="A151" s="58">
        <v>1400605</v>
      </c>
      <c r="B151" s="58" t="s">
        <v>1183</v>
      </c>
      <c r="C151" s="59">
        <v>1.0181116273912603</v>
      </c>
      <c r="D151" s="59">
        <v>-60.028266774190257</v>
      </c>
    </row>
    <row r="152" spans="1:4" x14ac:dyDescent="0.3">
      <c r="A152" s="58">
        <v>1400704</v>
      </c>
      <c r="B152" s="58" t="s">
        <v>1184</v>
      </c>
      <c r="C152" s="59">
        <v>4.5854403875425485</v>
      </c>
      <c r="D152" s="59">
        <v>-60.195716148042038</v>
      </c>
    </row>
    <row r="153" spans="1:4" x14ac:dyDescent="0.3">
      <c r="A153" s="58">
        <v>1500107</v>
      </c>
      <c r="B153" s="58" t="s">
        <v>1185</v>
      </c>
      <c r="C153" s="59">
        <v>-1.7234698628459053</v>
      </c>
      <c r="D153" s="59">
        <v>-48.884403820723051</v>
      </c>
    </row>
    <row r="154" spans="1:4" x14ac:dyDescent="0.3">
      <c r="A154" s="58">
        <v>1500131</v>
      </c>
      <c r="B154" s="58" t="s">
        <v>1186</v>
      </c>
      <c r="C154" s="59">
        <v>-4.9513908955312962</v>
      </c>
      <c r="D154" s="59">
        <v>-48.396762125794474</v>
      </c>
    </row>
    <row r="155" spans="1:4" x14ac:dyDescent="0.3">
      <c r="A155" s="58">
        <v>1500206</v>
      </c>
      <c r="B155" s="58" t="s">
        <v>1187</v>
      </c>
      <c r="C155" s="59">
        <v>-1.9634365000000003</v>
      </c>
      <c r="D155" s="59">
        <v>-48.200456431750133</v>
      </c>
    </row>
    <row r="156" spans="1:4" x14ac:dyDescent="0.3">
      <c r="A156" s="58">
        <v>1500305</v>
      </c>
      <c r="B156" s="58" t="s">
        <v>1188</v>
      </c>
      <c r="C156" s="59">
        <v>-0.15917169377979654</v>
      </c>
      <c r="D156" s="59">
        <v>-50.391427589233245</v>
      </c>
    </row>
    <row r="157" spans="1:4" x14ac:dyDescent="0.3">
      <c r="A157" s="58">
        <v>1500347</v>
      </c>
      <c r="B157" s="58" t="s">
        <v>1189</v>
      </c>
      <c r="C157" s="59">
        <v>-6.8049488674053764</v>
      </c>
      <c r="D157" s="59">
        <v>-50.485274507253138</v>
      </c>
    </row>
    <row r="158" spans="1:4" x14ac:dyDescent="0.3">
      <c r="A158" s="58">
        <v>1500404</v>
      </c>
      <c r="B158" s="58" t="s">
        <v>1190</v>
      </c>
      <c r="C158" s="59">
        <v>-1.9513975050000003</v>
      </c>
      <c r="D158" s="59">
        <v>-54.740862350189623</v>
      </c>
    </row>
    <row r="159" spans="1:4" x14ac:dyDescent="0.3">
      <c r="A159" s="58">
        <v>1500503</v>
      </c>
      <c r="B159" s="58" t="s">
        <v>1191</v>
      </c>
      <c r="C159" s="59">
        <v>-1.5273388027647801</v>
      </c>
      <c r="D159" s="59">
        <v>-52.576835086812743</v>
      </c>
    </row>
    <row r="160" spans="1:4" x14ac:dyDescent="0.3">
      <c r="A160" s="58">
        <v>1500602</v>
      </c>
      <c r="B160" s="58" t="s">
        <v>1192</v>
      </c>
      <c r="C160" s="59">
        <v>-3.2056595100000007</v>
      </c>
      <c r="D160" s="59">
        <v>-52.214376305207828</v>
      </c>
    </row>
    <row r="161" spans="1:4" x14ac:dyDescent="0.3">
      <c r="A161" s="58">
        <v>1500701</v>
      </c>
      <c r="B161" s="58" t="s">
        <v>1193</v>
      </c>
      <c r="C161" s="59">
        <v>-0.98445139400870219</v>
      </c>
      <c r="D161" s="59">
        <v>-49.945001040543993</v>
      </c>
    </row>
    <row r="162" spans="1:4" x14ac:dyDescent="0.3">
      <c r="A162" s="58">
        <v>1500800</v>
      </c>
      <c r="B162" s="58" t="s">
        <v>1194</v>
      </c>
      <c r="C162" s="59">
        <v>-1.3687135682694551</v>
      </c>
      <c r="D162" s="59">
        <v>-48.372066654168023</v>
      </c>
    </row>
    <row r="163" spans="1:4" x14ac:dyDescent="0.3">
      <c r="A163" s="58">
        <v>1500859</v>
      </c>
      <c r="B163" s="58" t="s">
        <v>1195</v>
      </c>
      <c r="C163" s="59">
        <v>-3.4761046350686806</v>
      </c>
      <c r="D163" s="59">
        <v>-51.201621798458063</v>
      </c>
    </row>
    <row r="164" spans="1:4" x14ac:dyDescent="0.3">
      <c r="A164" s="58">
        <v>1500909</v>
      </c>
      <c r="B164" s="58" t="s">
        <v>1196</v>
      </c>
      <c r="C164" s="59">
        <v>-1.0229210100000004</v>
      </c>
      <c r="D164" s="59">
        <v>-46.641645785671138</v>
      </c>
    </row>
    <row r="165" spans="1:4" x14ac:dyDescent="0.3">
      <c r="A165" s="58">
        <v>1500958</v>
      </c>
      <c r="B165" s="58" t="s">
        <v>1197</v>
      </c>
      <c r="C165" s="59">
        <v>-2.1293760131944404</v>
      </c>
      <c r="D165" s="59">
        <v>-47.556174603612824</v>
      </c>
    </row>
    <row r="166" spans="1:4" x14ac:dyDescent="0.3">
      <c r="A166" s="58">
        <v>1501006</v>
      </c>
      <c r="B166" s="58" t="s">
        <v>1198</v>
      </c>
      <c r="C166" s="59">
        <v>-3.60559525928393</v>
      </c>
      <c r="D166" s="59">
        <v>-55.330734389817835</v>
      </c>
    </row>
    <row r="167" spans="1:4" x14ac:dyDescent="0.3">
      <c r="A167" s="58">
        <v>1501105</v>
      </c>
      <c r="B167" s="58" t="s">
        <v>1199</v>
      </c>
      <c r="C167" s="59">
        <v>-1.8898080603617204</v>
      </c>
      <c r="D167" s="59">
        <v>-50.221986920613453</v>
      </c>
    </row>
    <row r="168" spans="1:4" x14ac:dyDescent="0.3">
      <c r="A168" s="58">
        <v>1501204</v>
      </c>
      <c r="B168" s="58" t="s">
        <v>1200</v>
      </c>
      <c r="C168" s="59">
        <v>-2.7919618613613602</v>
      </c>
      <c r="D168" s="59">
        <v>-49.672753373325271</v>
      </c>
    </row>
    <row r="169" spans="1:4" x14ac:dyDescent="0.3">
      <c r="A169" s="58">
        <v>1501253</v>
      </c>
      <c r="B169" s="58" t="s">
        <v>1201</v>
      </c>
      <c r="C169" s="59">
        <v>-7.351072192424402</v>
      </c>
      <c r="D169" s="59">
        <v>-50.406047121519549</v>
      </c>
    </row>
    <row r="170" spans="1:4" x14ac:dyDescent="0.3">
      <c r="A170" s="58">
        <v>1501303</v>
      </c>
      <c r="B170" s="58" t="s">
        <v>1202</v>
      </c>
      <c r="C170" s="59">
        <v>-1.5057670050000003</v>
      </c>
      <c r="D170" s="59">
        <v>-48.627072892515599</v>
      </c>
    </row>
    <row r="171" spans="1:4" x14ac:dyDescent="0.3">
      <c r="A171" s="58">
        <v>1501402</v>
      </c>
      <c r="B171" s="58" t="s">
        <v>1203</v>
      </c>
      <c r="C171" s="59">
        <v>-1.4598450000000003</v>
      </c>
      <c r="D171" s="59">
        <v>-48.487825687487558</v>
      </c>
    </row>
    <row r="172" spans="1:4" x14ac:dyDescent="0.3">
      <c r="A172" s="58">
        <v>1501451</v>
      </c>
      <c r="B172" s="58" t="s">
        <v>1204</v>
      </c>
      <c r="C172" s="59">
        <v>-2.6490201694685607</v>
      </c>
      <c r="D172" s="59">
        <v>-54.942674739326186</v>
      </c>
    </row>
    <row r="173" spans="1:4" x14ac:dyDescent="0.3">
      <c r="A173" s="58">
        <v>1501501</v>
      </c>
      <c r="B173" s="58" t="s">
        <v>1205</v>
      </c>
      <c r="C173" s="59">
        <v>-1.3614375150000002</v>
      </c>
      <c r="D173" s="59">
        <v>-48.241836450570268</v>
      </c>
    </row>
    <row r="174" spans="1:4" x14ac:dyDescent="0.3">
      <c r="A174" s="58">
        <v>1501576</v>
      </c>
      <c r="B174" s="58" t="s">
        <v>1206</v>
      </c>
      <c r="C174" s="59">
        <v>-5.0473627043202862</v>
      </c>
      <c r="D174" s="59">
        <v>-48.59903995906145</v>
      </c>
    </row>
    <row r="175" spans="1:4" x14ac:dyDescent="0.3">
      <c r="A175" s="58">
        <v>1501600</v>
      </c>
      <c r="B175" s="58" t="s">
        <v>1207</v>
      </c>
      <c r="C175" s="59">
        <v>-1.3674743568725352</v>
      </c>
      <c r="D175" s="59">
        <v>-47.30589181686387</v>
      </c>
    </row>
    <row r="176" spans="1:4" x14ac:dyDescent="0.3">
      <c r="A176" s="58">
        <v>1501709</v>
      </c>
      <c r="B176" s="58" t="s">
        <v>1208</v>
      </c>
      <c r="C176" s="59">
        <v>-1.0535239562056351</v>
      </c>
      <c r="D176" s="59">
        <v>-46.765754213664032</v>
      </c>
    </row>
    <row r="177" spans="1:4" x14ac:dyDescent="0.3">
      <c r="A177" s="58">
        <v>1501725</v>
      </c>
      <c r="B177" s="58" t="s">
        <v>1209</v>
      </c>
      <c r="C177" s="59">
        <v>-3.2978037040083708</v>
      </c>
      <c r="D177" s="59">
        <v>-52.543441192278841</v>
      </c>
    </row>
    <row r="178" spans="1:4" x14ac:dyDescent="0.3">
      <c r="A178" s="58">
        <v>1501758</v>
      </c>
      <c r="B178" s="58" t="s">
        <v>1210</v>
      </c>
      <c r="C178" s="59">
        <v>-5.70729615383609</v>
      </c>
      <c r="D178" s="59">
        <v>-48.405760422387381</v>
      </c>
    </row>
    <row r="179" spans="1:4" x14ac:dyDescent="0.3">
      <c r="A179" s="58">
        <v>1501782</v>
      </c>
      <c r="B179" s="58" t="s">
        <v>1211</v>
      </c>
      <c r="C179" s="59">
        <v>-3.7781354128786706</v>
      </c>
      <c r="D179" s="59">
        <v>-49.569879683285734</v>
      </c>
    </row>
    <row r="180" spans="1:4" x14ac:dyDescent="0.3">
      <c r="A180" s="58">
        <v>1501808</v>
      </c>
      <c r="B180" s="58" t="s">
        <v>1212</v>
      </c>
      <c r="C180" s="59">
        <v>-1.6907365000000001</v>
      </c>
      <c r="D180" s="59">
        <v>-50.480894799019509</v>
      </c>
    </row>
    <row r="181" spans="1:4" x14ac:dyDescent="0.3">
      <c r="A181" s="58">
        <v>1501907</v>
      </c>
      <c r="B181" s="58" t="s">
        <v>1213</v>
      </c>
      <c r="C181" s="59">
        <v>-1.5139914623006052</v>
      </c>
      <c r="D181" s="59">
        <v>-48.035875014396034</v>
      </c>
    </row>
    <row r="182" spans="1:4" x14ac:dyDescent="0.3">
      <c r="A182" s="58">
        <v>1501956</v>
      </c>
      <c r="B182" s="58" t="s">
        <v>1214</v>
      </c>
      <c r="C182" s="59">
        <v>-1.7528970049312402</v>
      </c>
      <c r="D182" s="59">
        <v>-46.547391416625487</v>
      </c>
    </row>
    <row r="183" spans="1:4" x14ac:dyDescent="0.3">
      <c r="A183" s="58">
        <v>1502004</v>
      </c>
      <c r="B183" s="58" t="s">
        <v>1215</v>
      </c>
      <c r="C183" s="59">
        <v>-1.0087862656392803</v>
      </c>
      <c r="D183" s="59">
        <v>-48.960667577387085</v>
      </c>
    </row>
    <row r="184" spans="1:4" x14ac:dyDescent="0.3">
      <c r="A184" s="58">
        <v>1502103</v>
      </c>
      <c r="B184" s="58" t="s">
        <v>1216</v>
      </c>
      <c r="C184" s="59">
        <v>-2.2468384800000005</v>
      </c>
      <c r="D184" s="59">
        <v>-49.497830168996977</v>
      </c>
    </row>
    <row r="185" spans="1:4" x14ac:dyDescent="0.3">
      <c r="A185" s="58">
        <v>1502152</v>
      </c>
      <c r="B185" s="58" t="s">
        <v>1217</v>
      </c>
      <c r="C185" s="59">
        <v>-6.5321966156294016</v>
      </c>
      <c r="D185" s="59">
        <v>-49.848958431915328</v>
      </c>
    </row>
    <row r="186" spans="1:4" x14ac:dyDescent="0.3">
      <c r="A186" s="58">
        <v>1502202</v>
      </c>
      <c r="B186" s="58" t="s">
        <v>1218</v>
      </c>
      <c r="C186" s="59">
        <v>-1.1924419950000003</v>
      </c>
      <c r="D186" s="59">
        <v>-47.175126123134397</v>
      </c>
    </row>
    <row r="187" spans="1:4" x14ac:dyDescent="0.3">
      <c r="A187" s="58">
        <v>1502301</v>
      </c>
      <c r="B187" s="58" t="s">
        <v>1219</v>
      </c>
      <c r="C187" s="59">
        <v>-1.7461872932375151</v>
      </c>
      <c r="D187" s="59">
        <v>-47.062825377400898</v>
      </c>
    </row>
    <row r="188" spans="1:4" x14ac:dyDescent="0.3">
      <c r="A188" s="58">
        <v>1502400</v>
      </c>
      <c r="B188" s="58" t="s">
        <v>1220</v>
      </c>
      <c r="C188" s="59">
        <v>-1.2957568050452453</v>
      </c>
      <c r="D188" s="59">
        <v>-47.926643141944233</v>
      </c>
    </row>
    <row r="189" spans="1:4" x14ac:dyDescent="0.3">
      <c r="A189" s="58">
        <v>1502509</v>
      </c>
      <c r="B189" s="58" t="s">
        <v>1221</v>
      </c>
      <c r="C189" s="59">
        <v>-0.16243729012191152</v>
      </c>
      <c r="D189" s="59">
        <v>-49.989318605071354</v>
      </c>
    </row>
    <row r="190" spans="1:4" x14ac:dyDescent="0.3">
      <c r="A190" s="58">
        <v>1502608</v>
      </c>
      <c r="B190" s="58" t="s">
        <v>1222</v>
      </c>
      <c r="C190" s="59">
        <v>-0.93209124395773923</v>
      </c>
      <c r="D190" s="59">
        <v>-48.288728431949444</v>
      </c>
    </row>
    <row r="191" spans="1:4" x14ac:dyDescent="0.3">
      <c r="A191" s="58">
        <v>1502707</v>
      </c>
      <c r="B191" s="58" t="s">
        <v>1223</v>
      </c>
      <c r="C191" s="59">
        <v>-8.2648635299999995</v>
      </c>
      <c r="D191" s="59">
        <v>-49.264500812495669</v>
      </c>
    </row>
    <row r="192" spans="1:4" x14ac:dyDescent="0.3">
      <c r="A192" s="58">
        <v>1502756</v>
      </c>
      <c r="B192" s="58" t="s">
        <v>1224</v>
      </c>
      <c r="C192" s="59">
        <v>-1.984521462772755</v>
      </c>
      <c r="D192" s="59">
        <v>-47.949886939004742</v>
      </c>
    </row>
    <row r="193" spans="1:4" x14ac:dyDescent="0.3">
      <c r="A193" s="58">
        <v>1502764</v>
      </c>
      <c r="B193" s="58" t="s">
        <v>1225</v>
      </c>
      <c r="C193" s="59">
        <v>-7.8111065368992669</v>
      </c>
      <c r="D193" s="59">
        <v>-50.771578377513052</v>
      </c>
    </row>
    <row r="194" spans="1:4" x14ac:dyDescent="0.3">
      <c r="A194" s="58">
        <v>1502772</v>
      </c>
      <c r="B194" s="58" t="s">
        <v>1226</v>
      </c>
      <c r="C194" s="59">
        <v>-6.0968199522066611</v>
      </c>
      <c r="D194" s="59">
        <v>-49.602214224950409</v>
      </c>
    </row>
    <row r="195" spans="1:4" x14ac:dyDescent="0.3">
      <c r="A195" s="58">
        <v>1502806</v>
      </c>
      <c r="B195" s="58" t="s">
        <v>1227</v>
      </c>
      <c r="C195" s="59">
        <v>-1.8094234196669303</v>
      </c>
      <c r="D195" s="59">
        <v>-49.791522847085382</v>
      </c>
    </row>
    <row r="196" spans="1:4" x14ac:dyDescent="0.3">
      <c r="A196" s="58">
        <v>1502855</v>
      </c>
      <c r="B196" s="58" t="s">
        <v>1228</v>
      </c>
      <c r="C196" s="59">
        <v>-1.8899287043054851</v>
      </c>
      <c r="D196" s="59">
        <v>-55.11967860873078</v>
      </c>
    </row>
    <row r="197" spans="1:4" x14ac:dyDescent="0.3">
      <c r="A197" s="58">
        <v>1502905</v>
      </c>
      <c r="B197" s="58" t="s">
        <v>1229</v>
      </c>
      <c r="C197" s="59">
        <v>-0.73249551000000024</v>
      </c>
      <c r="D197" s="59">
        <v>-47.851265085935154</v>
      </c>
    </row>
    <row r="198" spans="1:4" x14ac:dyDescent="0.3">
      <c r="A198" s="58">
        <v>1502939</v>
      </c>
      <c r="B198" s="58" t="s">
        <v>1230</v>
      </c>
      <c r="C198" s="59">
        <v>-4.2907777200000004</v>
      </c>
      <c r="D198" s="59">
        <v>-47.555914885993438</v>
      </c>
    </row>
    <row r="199" spans="1:4" x14ac:dyDescent="0.3">
      <c r="A199" s="58">
        <v>1502954</v>
      </c>
      <c r="B199" s="58" t="s">
        <v>1231</v>
      </c>
      <c r="C199" s="59">
        <v>-6.1035251610713868</v>
      </c>
      <c r="D199" s="59">
        <v>-49.373951942152217</v>
      </c>
    </row>
    <row r="200" spans="1:4" x14ac:dyDescent="0.3">
      <c r="A200" s="58">
        <v>1503002</v>
      </c>
      <c r="B200" s="58" t="s">
        <v>1232</v>
      </c>
      <c r="C200" s="59">
        <v>-2.1729752419497652</v>
      </c>
      <c r="D200" s="59">
        <v>-56.745753017306967</v>
      </c>
    </row>
    <row r="201" spans="1:4" x14ac:dyDescent="0.3">
      <c r="A201" s="58">
        <v>1503044</v>
      </c>
      <c r="B201" s="58" t="s">
        <v>1233</v>
      </c>
      <c r="C201" s="59">
        <v>-7.5587008723700757</v>
      </c>
      <c r="D201" s="59">
        <v>-49.697578412237299</v>
      </c>
    </row>
    <row r="202" spans="1:4" x14ac:dyDescent="0.3">
      <c r="A202" s="58">
        <v>1503077</v>
      </c>
      <c r="B202" s="58" t="s">
        <v>1234</v>
      </c>
      <c r="C202" s="59">
        <v>-1.9316970431066902</v>
      </c>
      <c r="D202" s="59">
        <v>-47.045046017297253</v>
      </c>
    </row>
    <row r="203" spans="1:4" x14ac:dyDescent="0.3">
      <c r="A203" s="58">
        <v>1503093</v>
      </c>
      <c r="B203" s="58" t="s">
        <v>1235</v>
      </c>
      <c r="C203" s="59">
        <v>-3.8424680000000002</v>
      </c>
      <c r="D203" s="59">
        <v>-49.10104492374257</v>
      </c>
    </row>
    <row r="204" spans="1:4" x14ac:dyDescent="0.3">
      <c r="A204" s="58">
        <v>1503101</v>
      </c>
      <c r="B204" s="58" t="s">
        <v>1236</v>
      </c>
      <c r="C204" s="59">
        <v>-1.4049180000000003</v>
      </c>
      <c r="D204" s="59">
        <v>-51.643695723394075</v>
      </c>
    </row>
    <row r="205" spans="1:4" x14ac:dyDescent="0.3">
      <c r="A205" s="58">
        <v>1503200</v>
      </c>
      <c r="B205" s="58" t="s">
        <v>1237</v>
      </c>
      <c r="C205" s="59">
        <v>-1.124322</v>
      </c>
      <c r="D205" s="59">
        <v>-47.622375492027096</v>
      </c>
    </row>
    <row r="206" spans="1:4" x14ac:dyDescent="0.3">
      <c r="A206" s="58">
        <v>1503309</v>
      </c>
      <c r="B206" s="58" t="s">
        <v>1238</v>
      </c>
      <c r="C206" s="59">
        <v>-1.9831160000000005</v>
      </c>
      <c r="D206" s="59">
        <v>-48.962299468946604</v>
      </c>
    </row>
    <row r="207" spans="1:4" x14ac:dyDescent="0.3">
      <c r="A207" s="58">
        <v>1503408</v>
      </c>
      <c r="B207" s="58" t="s">
        <v>1239</v>
      </c>
      <c r="C207" s="59">
        <v>-1.4265819809103102</v>
      </c>
      <c r="D207" s="59">
        <v>-47.913392746588528</v>
      </c>
    </row>
    <row r="208" spans="1:4" x14ac:dyDescent="0.3">
      <c r="A208" s="58">
        <v>1503457</v>
      </c>
      <c r="B208" s="58" t="s">
        <v>1240</v>
      </c>
      <c r="C208" s="59">
        <v>-2.5575285000000005</v>
      </c>
      <c r="D208" s="59">
        <v>-47.499717588798291</v>
      </c>
    </row>
    <row r="209" spans="1:4" x14ac:dyDescent="0.3">
      <c r="A209" s="58">
        <v>1503507</v>
      </c>
      <c r="B209" s="58" t="s">
        <v>1241</v>
      </c>
      <c r="C209" s="59">
        <v>-1.7714749950000004</v>
      </c>
      <c r="D209" s="59">
        <v>-47.440755612848321</v>
      </c>
    </row>
    <row r="210" spans="1:4" x14ac:dyDescent="0.3">
      <c r="A210" s="58">
        <v>1503606</v>
      </c>
      <c r="B210" s="58" t="s">
        <v>1242</v>
      </c>
      <c r="C210" s="59">
        <v>-4.2637294800000012</v>
      </c>
      <c r="D210" s="59">
        <v>-55.990048857277742</v>
      </c>
    </row>
    <row r="211" spans="1:4" x14ac:dyDescent="0.3">
      <c r="A211" s="58">
        <v>1503705</v>
      </c>
      <c r="B211" s="58" t="s">
        <v>1243</v>
      </c>
      <c r="C211" s="59">
        <v>-5.1288370263609107</v>
      </c>
      <c r="D211" s="59">
        <v>-49.324425861286095</v>
      </c>
    </row>
    <row r="212" spans="1:4" x14ac:dyDescent="0.3">
      <c r="A212" s="58">
        <v>1503754</v>
      </c>
      <c r="B212" s="58" t="s">
        <v>1244</v>
      </c>
      <c r="C212" s="59">
        <v>-6.2235517313864452</v>
      </c>
      <c r="D212" s="59">
        <v>-57.766339858379439</v>
      </c>
    </row>
    <row r="213" spans="1:4" x14ac:dyDescent="0.3">
      <c r="A213" s="58">
        <v>1503804</v>
      </c>
      <c r="B213" s="58" t="s">
        <v>1245</v>
      </c>
      <c r="C213" s="59">
        <v>-4.4484054750000013</v>
      </c>
      <c r="D213" s="59">
        <v>-49.112781562567484</v>
      </c>
    </row>
    <row r="214" spans="1:4" x14ac:dyDescent="0.3">
      <c r="A214" s="58">
        <v>1503903</v>
      </c>
      <c r="B214" s="58" t="s">
        <v>1246</v>
      </c>
      <c r="C214" s="59">
        <v>-2.1552529950000006</v>
      </c>
      <c r="D214" s="59">
        <v>-56.094997688400113</v>
      </c>
    </row>
    <row r="215" spans="1:4" x14ac:dyDescent="0.3">
      <c r="A215" s="58">
        <v>1504000</v>
      </c>
      <c r="B215" s="58" t="s">
        <v>1247</v>
      </c>
      <c r="C215" s="59">
        <v>-1.8919485000000003</v>
      </c>
      <c r="D215" s="59">
        <v>-49.381533901201919</v>
      </c>
    </row>
    <row r="216" spans="1:4" x14ac:dyDescent="0.3">
      <c r="A216" s="58">
        <v>1504059</v>
      </c>
      <c r="B216" s="58" t="s">
        <v>1248</v>
      </c>
      <c r="C216" s="59">
        <v>-2.0477074407907554</v>
      </c>
      <c r="D216" s="59">
        <v>-47.552290179477346</v>
      </c>
    </row>
    <row r="217" spans="1:4" x14ac:dyDescent="0.3">
      <c r="A217" s="58">
        <v>1504109</v>
      </c>
      <c r="B217" s="58" t="s">
        <v>1249</v>
      </c>
      <c r="C217" s="59">
        <v>-0.79585015602116083</v>
      </c>
      <c r="D217" s="59">
        <v>-47.599181896491203</v>
      </c>
    </row>
    <row r="218" spans="1:4" x14ac:dyDescent="0.3">
      <c r="A218" s="58">
        <v>1504208</v>
      </c>
      <c r="B218" s="58" t="s">
        <v>1250</v>
      </c>
      <c r="C218" s="59">
        <v>-5.3526057631302502</v>
      </c>
      <c r="D218" s="59">
        <v>-49.142025333406693</v>
      </c>
    </row>
    <row r="219" spans="1:4" x14ac:dyDescent="0.3">
      <c r="A219" s="58">
        <v>1504307</v>
      </c>
      <c r="B219" s="58" t="s">
        <v>1251</v>
      </c>
      <c r="C219" s="59">
        <v>-0.76241945998123117</v>
      </c>
      <c r="D219" s="59">
        <v>-47.4552679594076</v>
      </c>
    </row>
    <row r="220" spans="1:4" x14ac:dyDescent="0.3">
      <c r="A220" s="58">
        <v>1504406</v>
      </c>
      <c r="B220" s="58" t="s">
        <v>1252</v>
      </c>
      <c r="C220" s="59">
        <v>-0.7121509963478192</v>
      </c>
      <c r="D220" s="59">
        <v>-47.702548753767744</v>
      </c>
    </row>
    <row r="221" spans="1:4" x14ac:dyDescent="0.3">
      <c r="A221" s="58">
        <v>1504422</v>
      </c>
      <c r="B221" s="58" t="s">
        <v>1253</v>
      </c>
      <c r="C221" s="59">
        <v>-1.3464172655757951</v>
      </c>
      <c r="D221" s="59">
        <v>-48.340535877783033</v>
      </c>
    </row>
    <row r="222" spans="1:4" x14ac:dyDescent="0.3">
      <c r="A222" s="58">
        <v>1504455</v>
      </c>
      <c r="B222" s="58" t="s">
        <v>1254</v>
      </c>
      <c r="C222" s="59">
        <v>-3.4454174121868806</v>
      </c>
      <c r="D222" s="59">
        <v>-52.888345350724272</v>
      </c>
    </row>
    <row r="223" spans="1:4" x14ac:dyDescent="0.3">
      <c r="A223" s="58">
        <v>1504505</v>
      </c>
      <c r="B223" s="58" t="s">
        <v>1255</v>
      </c>
      <c r="C223" s="59">
        <v>-1.8034466986409954</v>
      </c>
      <c r="D223" s="59">
        <v>-50.717464697696407</v>
      </c>
    </row>
    <row r="224" spans="1:4" x14ac:dyDescent="0.3">
      <c r="A224" s="58">
        <v>1504604</v>
      </c>
      <c r="B224" s="58" t="s">
        <v>1256</v>
      </c>
      <c r="C224" s="59">
        <v>-2.5828729732715305</v>
      </c>
      <c r="D224" s="59">
        <v>-49.509023461272861</v>
      </c>
    </row>
    <row r="225" spans="1:4" x14ac:dyDescent="0.3">
      <c r="A225" s="58">
        <v>1504703</v>
      </c>
      <c r="B225" s="58" t="s">
        <v>1257</v>
      </c>
      <c r="C225" s="59">
        <v>-1.8858890000000001</v>
      </c>
      <c r="D225" s="59">
        <v>-48.767199127371867</v>
      </c>
    </row>
    <row r="226" spans="1:4" x14ac:dyDescent="0.3">
      <c r="A226" s="58">
        <v>1504802</v>
      </c>
      <c r="B226" s="58" t="s">
        <v>1258</v>
      </c>
      <c r="C226" s="59">
        <v>-2.0033280000000002</v>
      </c>
      <c r="D226" s="59">
        <v>-54.073374725635993</v>
      </c>
    </row>
    <row r="227" spans="1:4" x14ac:dyDescent="0.3">
      <c r="A227" s="58">
        <v>1504901</v>
      </c>
      <c r="B227" s="58" t="s">
        <v>1259</v>
      </c>
      <c r="C227" s="59">
        <v>-1.530026208354905</v>
      </c>
      <c r="D227" s="59">
        <v>-49.216832442473702</v>
      </c>
    </row>
    <row r="228" spans="1:4" x14ac:dyDescent="0.3">
      <c r="A228" s="58">
        <v>1504950</v>
      </c>
      <c r="B228" s="58" t="s">
        <v>1260</v>
      </c>
      <c r="C228" s="59">
        <v>-2.2676259890312953</v>
      </c>
      <c r="D228" s="59">
        <v>-46.962092883673591</v>
      </c>
    </row>
    <row r="229" spans="1:4" x14ac:dyDescent="0.3">
      <c r="A229" s="58">
        <v>1504976</v>
      </c>
      <c r="B229" s="58" t="s">
        <v>1261</v>
      </c>
      <c r="C229" s="59">
        <v>-4.9230863070264865</v>
      </c>
      <c r="D229" s="59">
        <v>-49.079886938016415</v>
      </c>
    </row>
    <row r="230" spans="1:4" x14ac:dyDescent="0.3">
      <c r="A230" s="58">
        <v>1505007</v>
      </c>
      <c r="B230" s="58" t="s">
        <v>1262</v>
      </c>
      <c r="C230" s="59">
        <v>-1.2041436474668652</v>
      </c>
      <c r="D230" s="59">
        <v>-47.393202276459888</v>
      </c>
    </row>
    <row r="231" spans="1:4" x14ac:dyDescent="0.3">
      <c r="A231" s="58">
        <v>1505031</v>
      </c>
      <c r="B231" s="58" t="s">
        <v>1263</v>
      </c>
      <c r="C231" s="59">
        <v>-7.0348359132881164</v>
      </c>
      <c r="D231" s="59">
        <v>-55.419870117978391</v>
      </c>
    </row>
    <row r="232" spans="1:4" x14ac:dyDescent="0.3">
      <c r="A232" s="58">
        <v>1505064</v>
      </c>
      <c r="B232" s="58" t="s">
        <v>1264</v>
      </c>
      <c r="C232" s="59">
        <v>-4.248148500000001</v>
      </c>
      <c r="D232" s="59">
        <v>-49.948638244342618</v>
      </c>
    </row>
    <row r="233" spans="1:4" x14ac:dyDescent="0.3">
      <c r="A233" s="58">
        <v>1505106</v>
      </c>
      <c r="B233" s="58" t="s">
        <v>1265</v>
      </c>
      <c r="C233" s="59">
        <v>-1.909235495881205</v>
      </c>
      <c r="D233" s="59">
        <v>-55.516323509712599</v>
      </c>
    </row>
    <row r="234" spans="1:4" x14ac:dyDescent="0.3">
      <c r="A234" s="58">
        <v>1505205</v>
      </c>
      <c r="B234" s="58" t="s">
        <v>1266</v>
      </c>
      <c r="C234" s="59">
        <v>-2.0047340000000005</v>
      </c>
      <c r="D234" s="59">
        <v>-49.855106108773505</v>
      </c>
    </row>
    <row r="235" spans="1:4" x14ac:dyDescent="0.3">
      <c r="A235" s="58">
        <v>1505304</v>
      </c>
      <c r="B235" s="58" t="s">
        <v>1267</v>
      </c>
      <c r="C235" s="59">
        <v>-1.7637535000000004</v>
      </c>
      <c r="D235" s="59">
        <v>-55.862799515235935</v>
      </c>
    </row>
    <row r="236" spans="1:4" x14ac:dyDescent="0.3">
      <c r="A236" s="58">
        <v>1505403</v>
      </c>
      <c r="B236" s="58" t="s">
        <v>1268</v>
      </c>
      <c r="C236" s="59">
        <v>-1.5489471423024403</v>
      </c>
      <c r="D236" s="59">
        <v>-47.117619362850149</v>
      </c>
    </row>
    <row r="237" spans="1:4" x14ac:dyDescent="0.3">
      <c r="A237" s="58">
        <v>1505437</v>
      </c>
      <c r="B237" s="58" t="s">
        <v>1269</v>
      </c>
      <c r="C237" s="59">
        <v>-6.7406170863773571</v>
      </c>
      <c r="D237" s="59">
        <v>-51.090832774681573</v>
      </c>
    </row>
    <row r="238" spans="1:4" x14ac:dyDescent="0.3">
      <c r="A238" s="58">
        <v>1505486</v>
      </c>
      <c r="B238" s="58" t="s">
        <v>1270</v>
      </c>
      <c r="C238" s="59">
        <v>-3.8303057037573005</v>
      </c>
      <c r="D238" s="59">
        <v>-50.634840830429766</v>
      </c>
    </row>
    <row r="239" spans="1:4" x14ac:dyDescent="0.3">
      <c r="A239" s="58">
        <v>1505494</v>
      </c>
      <c r="B239" s="58" t="s">
        <v>1271</v>
      </c>
      <c r="C239" s="59">
        <v>-5.7499341062260516</v>
      </c>
      <c r="D239" s="59">
        <v>-48.321793726163683</v>
      </c>
    </row>
    <row r="240" spans="1:4" x14ac:dyDescent="0.3">
      <c r="A240" s="58">
        <v>1505502</v>
      </c>
      <c r="B240" s="58" t="s">
        <v>1272</v>
      </c>
      <c r="C240" s="59">
        <v>-2.9941905000000002</v>
      </c>
      <c r="D240" s="59">
        <v>-47.356961561051861</v>
      </c>
    </row>
    <row r="241" spans="1:4" x14ac:dyDescent="0.3">
      <c r="A241" s="58">
        <v>1505536</v>
      </c>
      <c r="B241" s="58" t="s">
        <v>1273</v>
      </c>
      <c r="C241" s="59">
        <v>-6.0727298876318363</v>
      </c>
      <c r="D241" s="59">
        <v>-49.90078063429695</v>
      </c>
    </row>
    <row r="242" spans="1:4" x14ac:dyDescent="0.3">
      <c r="A242" s="58">
        <v>1505551</v>
      </c>
      <c r="B242" s="58" t="s">
        <v>1274</v>
      </c>
      <c r="C242" s="59">
        <v>-7.8367944039735669</v>
      </c>
      <c r="D242" s="59">
        <v>-50.048275531899804</v>
      </c>
    </row>
    <row r="243" spans="1:4" x14ac:dyDescent="0.3">
      <c r="A243" s="58">
        <v>1505601</v>
      </c>
      <c r="B243" s="58" t="s">
        <v>1275</v>
      </c>
      <c r="C243" s="59">
        <v>-1.1895692407565404</v>
      </c>
      <c r="D243" s="59">
        <v>-47.317927021559143</v>
      </c>
    </row>
    <row r="244" spans="1:4" x14ac:dyDescent="0.3">
      <c r="A244" s="58">
        <v>1505635</v>
      </c>
      <c r="B244" s="58" t="s">
        <v>1276</v>
      </c>
      <c r="C244" s="59">
        <v>-6.4536762345579204</v>
      </c>
      <c r="D244" s="59">
        <v>-48.868400667218658</v>
      </c>
    </row>
    <row r="245" spans="1:4" x14ac:dyDescent="0.3">
      <c r="A245" s="58">
        <v>1505650</v>
      </c>
      <c r="B245" s="58" t="s">
        <v>1277</v>
      </c>
      <c r="C245" s="59">
        <v>-3.8673155621353552</v>
      </c>
      <c r="D245" s="59">
        <v>-54.216968131265382</v>
      </c>
    </row>
    <row r="246" spans="1:4" x14ac:dyDescent="0.3">
      <c r="A246" s="58">
        <v>1505700</v>
      </c>
      <c r="B246" s="58" t="s">
        <v>1278</v>
      </c>
      <c r="C246" s="59">
        <v>-1.3965999975235002</v>
      </c>
      <c r="D246" s="59">
        <v>-48.871785560043328</v>
      </c>
    </row>
    <row r="247" spans="1:4" x14ac:dyDescent="0.3">
      <c r="A247" s="58">
        <v>1505809</v>
      </c>
      <c r="B247" s="58" t="s">
        <v>1279</v>
      </c>
      <c r="C247" s="59">
        <v>-1.9364510000000004</v>
      </c>
      <c r="D247" s="59">
        <v>-50.822490442210999</v>
      </c>
    </row>
    <row r="248" spans="1:4" x14ac:dyDescent="0.3">
      <c r="A248" s="58">
        <v>1505908</v>
      </c>
      <c r="B248" s="58" t="s">
        <v>1280</v>
      </c>
      <c r="C248" s="59">
        <v>-1.7460900888088453</v>
      </c>
      <c r="D248" s="59">
        <v>-52.242476919020071</v>
      </c>
    </row>
    <row r="249" spans="1:4" x14ac:dyDescent="0.3">
      <c r="A249" s="58">
        <v>1506005</v>
      </c>
      <c r="B249" s="58" t="s">
        <v>1281</v>
      </c>
      <c r="C249" s="59">
        <v>-1.8056945000000002</v>
      </c>
      <c r="D249" s="59">
        <v>-53.481813940789479</v>
      </c>
    </row>
    <row r="250" spans="1:4" x14ac:dyDescent="0.3">
      <c r="A250" s="58">
        <v>1506104</v>
      </c>
      <c r="B250" s="58" t="s">
        <v>1282</v>
      </c>
      <c r="C250" s="59">
        <v>-0.94011151593057418</v>
      </c>
      <c r="D250" s="59">
        <v>-47.117251258912553</v>
      </c>
    </row>
    <row r="251" spans="1:4" x14ac:dyDescent="0.3">
      <c r="A251" s="58">
        <v>1506112</v>
      </c>
      <c r="B251" s="58" t="s">
        <v>1283</v>
      </c>
      <c r="C251" s="59">
        <v>-0.90011585373932523</v>
      </c>
      <c r="D251" s="59">
        <v>-47.006786993576021</v>
      </c>
    </row>
    <row r="252" spans="1:4" x14ac:dyDescent="0.3">
      <c r="A252" s="58">
        <v>1506138</v>
      </c>
      <c r="B252" s="58" t="s">
        <v>1284</v>
      </c>
      <c r="C252" s="59">
        <v>-8.0276045000000007</v>
      </c>
      <c r="D252" s="59">
        <v>-50.029641825509252</v>
      </c>
    </row>
    <row r="253" spans="1:4" x14ac:dyDescent="0.3">
      <c r="A253" s="58">
        <v>1506161</v>
      </c>
      <c r="B253" s="58" t="s">
        <v>1285</v>
      </c>
      <c r="C253" s="59">
        <v>-7.3111152446881462</v>
      </c>
      <c r="D253" s="59">
        <v>-50.046410877522369</v>
      </c>
    </row>
    <row r="254" spans="1:4" x14ac:dyDescent="0.3">
      <c r="A254" s="58">
        <v>1506187</v>
      </c>
      <c r="B254" s="58" t="s">
        <v>1286</v>
      </c>
      <c r="C254" s="59">
        <v>-4.777821727035545</v>
      </c>
      <c r="D254" s="59">
        <v>-48.069973749398223</v>
      </c>
    </row>
    <row r="255" spans="1:4" x14ac:dyDescent="0.3">
      <c r="A255" s="58">
        <v>1506195</v>
      </c>
      <c r="B255" s="58" t="s">
        <v>1287</v>
      </c>
      <c r="C255" s="59">
        <v>-4.0990653900000007</v>
      </c>
      <c r="D255" s="59">
        <v>-54.905862259869053</v>
      </c>
    </row>
    <row r="256" spans="1:4" x14ac:dyDescent="0.3">
      <c r="A256" s="58">
        <v>1506203</v>
      </c>
      <c r="B256" s="58" t="s">
        <v>1288</v>
      </c>
      <c r="C256" s="59">
        <v>-0.62363800000000003</v>
      </c>
      <c r="D256" s="59">
        <v>-47.353120263153635</v>
      </c>
    </row>
    <row r="257" spans="1:4" x14ac:dyDescent="0.3">
      <c r="A257" s="58">
        <v>1506302</v>
      </c>
      <c r="B257" s="58" t="s">
        <v>1289</v>
      </c>
      <c r="C257" s="59">
        <v>-0.7545259743530468</v>
      </c>
      <c r="D257" s="59">
        <v>-48.513186599446918</v>
      </c>
    </row>
    <row r="258" spans="1:4" x14ac:dyDescent="0.3">
      <c r="A258" s="58">
        <v>1506351</v>
      </c>
      <c r="B258" s="58" t="s">
        <v>1290</v>
      </c>
      <c r="C258" s="59">
        <v>-1.2294394669924402</v>
      </c>
      <c r="D258" s="59">
        <v>-48.2977406497887</v>
      </c>
    </row>
    <row r="259" spans="1:4" x14ac:dyDescent="0.3">
      <c r="A259" s="58">
        <v>1506401</v>
      </c>
      <c r="B259" s="58" t="s">
        <v>1291</v>
      </c>
      <c r="C259" s="59">
        <v>-0.65997412559925361</v>
      </c>
      <c r="D259" s="59">
        <v>-49.171615566125219</v>
      </c>
    </row>
    <row r="260" spans="1:4" x14ac:dyDescent="0.3">
      <c r="A260" s="58">
        <v>1506500</v>
      </c>
      <c r="B260" s="58" t="s">
        <v>1292</v>
      </c>
      <c r="C260" s="59">
        <v>-1.2973959012914251</v>
      </c>
      <c r="D260" s="59">
        <v>-48.163059940953069</v>
      </c>
    </row>
    <row r="261" spans="1:4" x14ac:dyDescent="0.3">
      <c r="A261" s="58">
        <v>1506559</v>
      </c>
      <c r="B261" s="58" t="s">
        <v>1293</v>
      </c>
      <c r="C261" s="59">
        <v>-1.5188278913875151</v>
      </c>
      <c r="D261" s="59">
        <v>-46.906169202698344</v>
      </c>
    </row>
    <row r="262" spans="1:4" x14ac:dyDescent="0.3">
      <c r="A262" s="58">
        <v>1506583</v>
      </c>
      <c r="B262" s="58" t="s">
        <v>1294</v>
      </c>
      <c r="C262" s="59">
        <v>-8.8705505396929407</v>
      </c>
      <c r="D262" s="59">
        <v>-49.719351857225682</v>
      </c>
    </row>
    <row r="263" spans="1:4" x14ac:dyDescent="0.3">
      <c r="A263" s="58">
        <v>1506609</v>
      </c>
      <c r="B263" s="58" t="s">
        <v>1295</v>
      </c>
      <c r="C263" s="59">
        <v>-1.3478664592967002</v>
      </c>
      <c r="D263" s="59">
        <v>-47.57469541380906</v>
      </c>
    </row>
    <row r="264" spans="1:4" x14ac:dyDescent="0.3">
      <c r="A264" s="58">
        <v>1506708</v>
      </c>
      <c r="B264" s="58" t="s">
        <v>1296</v>
      </c>
      <c r="C264" s="59">
        <v>-9.3294245250000021</v>
      </c>
      <c r="D264" s="59">
        <v>-50.344804321128983</v>
      </c>
    </row>
    <row r="265" spans="1:4" x14ac:dyDescent="0.3">
      <c r="A265" s="58">
        <v>1506807</v>
      </c>
      <c r="B265" s="58" t="s">
        <v>1297</v>
      </c>
      <c r="C265" s="59">
        <v>-2.4362133299999607</v>
      </c>
      <c r="D265" s="59">
        <v>-54.718570167271061</v>
      </c>
    </row>
    <row r="266" spans="1:4" x14ac:dyDescent="0.3">
      <c r="A266" s="58">
        <v>1506906</v>
      </c>
      <c r="B266" s="58" t="s">
        <v>1298</v>
      </c>
      <c r="C266" s="59">
        <v>-0.92871953578320787</v>
      </c>
      <c r="D266" s="59">
        <v>-47.400924744867972</v>
      </c>
    </row>
    <row r="267" spans="1:4" x14ac:dyDescent="0.3">
      <c r="A267" s="58">
        <v>1507003</v>
      </c>
      <c r="B267" s="58" t="s">
        <v>1299</v>
      </c>
      <c r="C267" s="59">
        <v>-1.1516925</v>
      </c>
      <c r="D267" s="59">
        <v>-48.132433074845736</v>
      </c>
    </row>
    <row r="268" spans="1:4" x14ac:dyDescent="0.3">
      <c r="A268" s="58">
        <v>1507102</v>
      </c>
      <c r="B268" s="58" t="s">
        <v>1300</v>
      </c>
      <c r="C268" s="59">
        <v>-0.7466177599948608</v>
      </c>
      <c r="D268" s="59">
        <v>-48.025805498083095</v>
      </c>
    </row>
    <row r="269" spans="1:4" x14ac:dyDescent="0.3">
      <c r="A269" s="58">
        <v>1507151</v>
      </c>
      <c r="B269" s="58" t="s">
        <v>1301</v>
      </c>
      <c r="C269" s="59">
        <v>-5.5498410000000007</v>
      </c>
      <c r="D269" s="59">
        <v>-48.720373410784354</v>
      </c>
    </row>
    <row r="270" spans="1:4" x14ac:dyDescent="0.3">
      <c r="A270" s="58">
        <v>1507201</v>
      </c>
      <c r="B270" s="58" t="s">
        <v>1302</v>
      </c>
      <c r="C270" s="59">
        <v>-1.6758145000000004</v>
      </c>
      <c r="D270" s="59">
        <v>-47.774784569225652</v>
      </c>
    </row>
    <row r="271" spans="1:4" x14ac:dyDescent="0.3">
      <c r="A271" s="58">
        <v>1507300</v>
      </c>
      <c r="B271" s="58" t="s">
        <v>1303</v>
      </c>
      <c r="C271" s="59">
        <v>-6.6424832783407819</v>
      </c>
      <c r="D271" s="59">
        <v>-51.993782523964349</v>
      </c>
    </row>
    <row r="272" spans="1:4" x14ac:dyDescent="0.3">
      <c r="A272" s="58">
        <v>1507409</v>
      </c>
      <c r="B272" s="58" t="s">
        <v>1304</v>
      </c>
      <c r="C272" s="59">
        <v>-1.1701887846769752</v>
      </c>
      <c r="D272" s="59">
        <v>-47.790514610705095</v>
      </c>
    </row>
    <row r="273" spans="1:4" x14ac:dyDescent="0.3">
      <c r="A273" s="58">
        <v>1507458</v>
      </c>
      <c r="B273" s="58" t="s">
        <v>1305</v>
      </c>
      <c r="C273" s="59">
        <v>-6.3989579700000014</v>
      </c>
      <c r="D273" s="59">
        <v>-48.555712486192569</v>
      </c>
    </row>
    <row r="274" spans="1:4" x14ac:dyDescent="0.3">
      <c r="A274" s="58">
        <v>1507466</v>
      </c>
      <c r="B274" s="58" t="s">
        <v>1306</v>
      </c>
      <c r="C274" s="59">
        <v>-0.85100214526960727</v>
      </c>
      <c r="D274" s="59">
        <v>-47.920724165646178</v>
      </c>
    </row>
    <row r="275" spans="1:4" x14ac:dyDescent="0.3">
      <c r="A275" s="58">
        <v>1507474</v>
      </c>
      <c r="B275" s="58" t="s">
        <v>1307</v>
      </c>
      <c r="C275" s="59">
        <v>-0.76644253151537112</v>
      </c>
      <c r="D275" s="59">
        <v>-47.172674297920523</v>
      </c>
    </row>
    <row r="276" spans="1:4" x14ac:dyDescent="0.3">
      <c r="A276" s="58">
        <v>1507508</v>
      </c>
      <c r="B276" s="58" t="s">
        <v>1308</v>
      </c>
      <c r="C276" s="59">
        <v>-5.3590027244164053</v>
      </c>
      <c r="D276" s="59">
        <v>-48.788633402046123</v>
      </c>
    </row>
    <row r="277" spans="1:4" x14ac:dyDescent="0.3">
      <c r="A277" s="58">
        <v>1507607</v>
      </c>
      <c r="B277" s="58" t="s">
        <v>1309</v>
      </c>
      <c r="C277" s="59">
        <v>-1.6171359144904804</v>
      </c>
      <c r="D277" s="59">
        <v>-47.482408944489229</v>
      </c>
    </row>
    <row r="278" spans="1:4" x14ac:dyDescent="0.3">
      <c r="A278" s="58">
        <v>1507706</v>
      </c>
      <c r="B278" s="58" t="s">
        <v>1310</v>
      </c>
      <c r="C278" s="59">
        <v>-1.7188505000000003</v>
      </c>
      <c r="D278" s="59">
        <v>-49.532312174616138</v>
      </c>
    </row>
    <row r="279" spans="1:4" x14ac:dyDescent="0.3">
      <c r="A279" s="58">
        <v>1507755</v>
      </c>
      <c r="B279" s="58" t="s">
        <v>1311</v>
      </c>
      <c r="C279" s="59">
        <v>-6.942857112573841</v>
      </c>
      <c r="D279" s="59">
        <v>-49.703580711884349</v>
      </c>
    </row>
    <row r="280" spans="1:4" x14ac:dyDescent="0.3">
      <c r="A280" s="58">
        <v>1507805</v>
      </c>
      <c r="B280" s="58" t="s">
        <v>1312</v>
      </c>
      <c r="C280" s="59">
        <v>-2.5948504183235155</v>
      </c>
      <c r="D280" s="59">
        <v>-51.953056418017134</v>
      </c>
    </row>
    <row r="281" spans="1:4" x14ac:dyDescent="0.3">
      <c r="A281" s="58">
        <v>1507904</v>
      </c>
      <c r="B281" s="58" t="s">
        <v>1313</v>
      </c>
      <c r="C281" s="59">
        <v>-0.72592550000000011</v>
      </c>
      <c r="D281" s="59">
        <v>-48.516012662277333</v>
      </c>
    </row>
    <row r="282" spans="1:4" x14ac:dyDescent="0.3">
      <c r="A282" s="58">
        <v>1507953</v>
      </c>
      <c r="B282" s="58" t="s">
        <v>1314</v>
      </c>
      <c r="C282" s="59">
        <v>-2.9370795000000003</v>
      </c>
      <c r="D282" s="59">
        <v>-48.951281629575782</v>
      </c>
    </row>
    <row r="283" spans="1:4" x14ac:dyDescent="0.3">
      <c r="A283" s="58">
        <v>1507961</v>
      </c>
      <c r="B283" s="58" t="s">
        <v>1315</v>
      </c>
      <c r="C283" s="59">
        <v>-1.0348266636162902</v>
      </c>
      <c r="D283" s="59">
        <v>-47.907808348374353</v>
      </c>
    </row>
    <row r="284" spans="1:4" x14ac:dyDescent="0.3">
      <c r="A284" s="58">
        <v>1507979</v>
      </c>
      <c r="B284" s="58" t="s">
        <v>1316</v>
      </c>
      <c r="C284" s="59">
        <v>-2.1081144737390303</v>
      </c>
      <c r="D284" s="59">
        <v>-56.490904772243205</v>
      </c>
    </row>
    <row r="285" spans="1:4" x14ac:dyDescent="0.3">
      <c r="A285" s="58">
        <v>1508001</v>
      </c>
      <c r="B285" s="58" t="s">
        <v>1317</v>
      </c>
      <c r="C285" s="59">
        <v>-2.4193668552673255</v>
      </c>
      <c r="D285" s="59">
        <v>-48.146896586571998</v>
      </c>
    </row>
    <row r="286" spans="1:4" x14ac:dyDescent="0.3">
      <c r="A286" s="58">
        <v>1508035</v>
      </c>
      <c r="B286" s="58" t="s">
        <v>1318</v>
      </c>
      <c r="C286" s="59">
        <v>-1.0687840585683503</v>
      </c>
      <c r="D286" s="59">
        <v>-46.89947833711706</v>
      </c>
    </row>
    <row r="287" spans="1:4" x14ac:dyDescent="0.3">
      <c r="A287" s="58">
        <v>1508050</v>
      </c>
      <c r="B287" s="58" t="s">
        <v>1319</v>
      </c>
      <c r="C287" s="59">
        <v>-4.6998191496972703</v>
      </c>
      <c r="D287" s="59">
        <v>-55.99617003492731</v>
      </c>
    </row>
    <row r="288" spans="1:4" x14ac:dyDescent="0.3">
      <c r="A288" s="58">
        <v>1508084</v>
      </c>
      <c r="B288" s="58" t="s">
        <v>1320</v>
      </c>
      <c r="C288" s="59">
        <v>-6.7499720073822855</v>
      </c>
      <c r="D288" s="59">
        <v>-51.139539246635799</v>
      </c>
    </row>
    <row r="289" spans="1:4" x14ac:dyDescent="0.3">
      <c r="A289" s="58">
        <v>1508100</v>
      </c>
      <c r="B289" s="58" t="s">
        <v>1321</v>
      </c>
      <c r="C289" s="59">
        <v>-3.7668890843116358</v>
      </c>
      <c r="D289" s="59">
        <v>-49.667184367224785</v>
      </c>
    </row>
    <row r="290" spans="1:4" x14ac:dyDescent="0.3">
      <c r="A290" s="58">
        <v>1508126</v>
      </c>
      <c r="B290" s="58" t="s">
        <v>1322</v>
      </c>
      <c r="C290" s="59">
        <v>-3.7571930100000004</v>
      </c>
      <c r="D290" s="59">
        <v>-47.503144754999155</v>
      </c>
    </row>
    <row r="291" spans="1:4" x14ac:dyDescent="0.3">
      <c r="A291" s="58">
        <v>1508159</v>
      </c>
      <c r="B291" s="58" t="s">
        <v>1323</v>
      </c>
      <c r="C291" s="59">
        <v>-3.7065285000000006</v>
      </c>
      <c r="D291" s="59">
        <v>-53.737031050459393</v>
      </c>
    </row>
    <row r="292" spans="1:4" x14ac:dyDescent="0.3">
      <c r="A292" s="58">
        <v>1508209</v>
      </c>
      <c r="B292" s="58" t="s">
        <v>1324</v>
      </c>
      <c r="C292" s="59">
        <v>-0.85553257366776314</v>
      </c>
      <c r="D292" s="59">
        <v>-48.141498585206932</v>
      </c>
    </row>
    <row r="293" spans="1:4" x14ac:dyDescent="0.3">
      <c r="A293" s="58">
        <v>1508308</v>
      </c>
      <c r="B293" s="58" t="s">
        <v>1325</v>
      </c>
      <c r="C293" s="59">
        <v>-1.2032785266772701</v>
      </c>
      <c r="D293" s="59">
        <v>-46.138765216149565</v>
      </c>
    </row>
    <row r="294" spans="1:4" x14ac:dyDescent="0.3">
      <c r="A294" s="58">
        <v>1508357</v>
      </c>
      <c r="B294" s="58" t="s">
        <v>1326</v>
      </c>
      <c r="C294" s="59">
        <v>-2.8837657102287957</v>
      </c>
      <c r="D294" s="59">
        <v>-52.011260353815409</v>
      </c>
    </row>
    <row r="295" spans="1:4" x14ac:dyDescent="0.3">
      <c r="A295" s="58">
        <v>1508407</v>
      </c>
      <c r="B295" s="58" t="s">
        <v>1327</v>
      </c>
      <c r="C295" s="59">
        <v>-7.1015128271460366</v>
      </c>
      <c r="D295" s="59">
        <v>-49.942700584375245</v>
      </c>
    </row>
    <row r="296" spans="1:4" x14ac:dyDescent="0.3">
      <c r="A296" s="58">
        <v>1600055</v>
      </c>
      <c r="B296" s="58" t="s">
        <v>1328</v>
      </c>
      <c r="C296" s="59">
        <v>0.89784104097192363</v>
      </c>
      <c r="D296" s="59">
        <v>-52.003538435291752</v>
      </c>
    </row>
    <row r="297" spans="1:4" x14ac:dyDescent="0.3">
      <c r="A297" s="58">
        <v>1600105</v>
      </c>
      <c r="B297" s="58" t="s">
        <v>1329</v>
      </c>
      <c r="C297" s="59">
        <v>2.0539212446820501</v>
      </c>
      <c r="D297" s="59">
        <v>-50.793214470269866</v>
      </c>
    </row>
    <row r="298" spans="1:4" x14ac:dyDescent="0.3">
      <c r="A298" s="58">
        <v>1600154</v>
      </c>
      <c r="B298" s="58" t="s">
        <v>1330</v>
      </c>
      <c r="C298" s="59">
        <v>0.77688286056394418</v>
      </c>
      <c r="D298" s="59">
        <v>-51.946594273274336</v>
      </c>
    </row>
    <row r="299" spans="1:4" x14ac:dyDescent="0.3">
      <c r="A299" s="58">
        <v>1600204</v>
      </c>
      <c r="B299" s="58" t="s">
        <v>1331</v>
      </c>
      <c r="C299" s="59">
        <v>2.4965590445669754</v>
      </c>
      <c r="D299" s="59">
        <v>-50.944772734266472</v>
      </c>
    </row>
    <row r="300" spans="1:4" x14ac:dyDescent="0.3">
      <c r="A300" s="58">
        <v>1600212</v>
      </c>
      <c r="B300" s="58" t="s">
        <v>1332</v>
      </c>
      <c r="C300" s="59">
        <v>0.9710780554171502</v>
      </c>
      <c r="D300" s="59">
        <v>-50.801626029877639</v>
      </c>
    </row>
    <row r="301" spans="1:4" x14ac:dyDescent="0.3">
      <c r="A301" s="58">
        <v>1600238</v>
      </c>
      <c r="B301" s="58" t="s">
        <v>1333</v>
      </c>
      <c r="C301" s="59">
        <v>0.85397739314295618</v>
      </c>
      <c r="D301" s="59">
        <v>-51.18742904600461</v>
      </c>
    </row>
    <row r="302" spans="1:4" x14ac:dyDescent="0.3">
      <c r="A302" s="58">
        <v>1600253</v>
      </c>
      <c r="B302" s="58" t="s">
        <v>1334</v>
      </c>
      <c r="C302" s="59">
        <v>0.60065328830460862</v>
      </c>
      <c r="D302" s="59">
        <v>-50.700179437418278</v>
      </c>
    </row>
    <row r="303" spans="1:4" x14ac:dyDescent="0.3">
      <c r="A303" s="58">
        <v>1600279</v>
      </c>
      <c r="B303" s="58" t="s">
        <v>1335</v>
      </c>
      <c r="C303" s="59">
        <v>-0.85566450000000016</v>
      </c>
      <c r="D303" s="59">
        <v>-52.539020736939257</v>
      </c>
    </row>
    <row r="304" spans="1:4" x14ac:dyDescent="0.3">
      <c r="A304" s="58">
        <v>1600303</v>
      </c>
      <c r="B304" s="58" t="s">
        <v>1336</v>
      </c>
      <c r="C304" s="59">
        <v>3.8951010000000008E-2</v>
      </c>
      <c r="D304" s="59">
        <v>-51.057405457035955</v>
      </c>
    </row>
    <row r="305" spans="1:4" x14ac:dyDescent="0.3">
      <c r="A305" s="58">
        <v>1600402</v>
      </c>
      <c r="B305" s="58" t="s">
        <v>1337</v>
      </c>
      <c r="C305" s="59">
        <v>-0.12439632882110103</v>
      </c>
      <c r="D305" s="59">
        <v>-51.286076856101253</v>
      </c>
    </row>
    <row r="306" spans="1:4" x14ac:dyDescent="0.3">
      <c r="A306" s="58">
        <v>1600501</v>
      </c>
      <c r="B306" s="58" t="s">
        <v>1338</v>
      </c>
      <c r="C306" s="59">
        <v>3.8511307325592905</v>
      </c>
      <c r="D306" s="59">
        <v>-51.83055255527308</v>
      </c>
    </row>
    <row r="307" spans="1:4" x14ac:dyDescent="0.3">
      <c r="A307" s="58">
        <v>1600535</v>
      </c>
      <c r="B307" s="58" t="s">
        <v>1339</v>
      </c>
      <c r="C307" s="59">
        <v>0.71255470182432312</v>
      </c>
      <c r="D307" s="59">
        <v>-51.414448822991524</v>
      </c>
    </row>
    <row r="308" spans="1:4" x14ac:dyDescent="0.3">
      <c r="A308" s="58">
        <v>1600550</v>
      </c>
      <c r="B308" s="58" t="s">
        <v>1340</v>
      </c>
      <c r="C308" s="59">
        <v>1.7425084870783354</v>
      </c>
      <c r="D308" s="59">
        <v>-50.784253721288273</v>
      </c>
    </row>
    <row r="309" spans="1:4" x14ac:dyDescent="0.3">
      <c r="A309" s="58">
        <v>1600600</v>
      </c>
      <c r="B309" s="58" t="s">
        <v>1341</v>
      </c>
      <c r="C309" s="59">
        <v>-3.8373479095660253E-2</v>
      </c>
      <c r="D309" s="59">
        <v>-51.172846465068709</v>
      </c>
    </row>
    <row r="310" spans="1:4" x14ac:dyDescent="0.3">
      <c r="A310" s="58">
        <v>1600709</v>
      </c>
      <c r="B310" s="58" t="s">
        <v>1342</v>
      </c>
      <c r="C310" s="59">
        <v>1.5098482403110702</v>
      </c>
      <c r="D310" s="59">
        <v>-50.91278615231424</v>
      </c>
    </row>
    <row r="311" spans="1:4" x14ac:dyDescent="0.3">
      <c r="A311" s="58">
        <v>1600808</v>
      </c>
      <c r="B311" s="58" t="s">
        <v>1343</v>
      </c>
      <c r="C311" s="59">
        <v>-0.91897708854279858</v>
      </c>
      <c r="D311" s="59">
        <v>-52.419614779571845</v>
      </c>
    </row>
    <row r="312" spans="1:4" x14ac:dyDescent="0.3">
      <c r="A312" s="58">
        <v>1700251</v>
      </c>
      <c r="B312" s="58" t="s">
        <v>1344</v>
      </c>
      <c r="C312" s="59">
        <v>-9.6217907119983561</v>
      </c>
      <c r="D312" s="59">
        <v>-49.162437555479713</v>
      </c>
    </row>
    <row r="313" spans="1:4" x14ac:dyDescent="0.3">
      <c r="A313" s="58">
        <v>1700301</v>
      </c>
      <c r="B313" s="58" t="s">
        <v>1345</v>
      </c>
      <c r="C313" s="59">
        <v>-6.547170820618101</v>
      </c>
      <c r="D313" s="59">
        <v>-47.470456587944994</v>
      </c>
    </row>
    <row r="314" spans="1:4" x14ac:dyDescent="0.3">
      <c r="A314" s="58">
        <v>1700350</v>
      </c>
      <c r="B314" s="58" t="s">
        <v>1346</v>
      </c>
      <c r="C314" s="59">
        <v>-11.303743046508851</v>
      </c>
      <c r="D314" s="59">
        <v>-48.941240022140882</v>
      </c>
    </row>
    <row r="315" spans="1:4" x14ac:dyDescent="0.3">
      <c r="A315" s="58">
        <v>1700400</v>
      </c>
      <c r="B315" s="58" t="s">
        <v>942</v>
      </c>
      <c r="C315" s="59">
        <v>-11.574523469447804</v>
      </c>
      <c r="D315" s="59">
        <v>-47.174171684235809</v>
      </c>
    </row>
    <row r="316" spans="1:4" x14ac:dyDescent="0.3">
      <c r="A316" s="58">
        <v>1700707</v>
      </c>
      <c r="B316" s="58" t="s">
        <v>1347</v>
      </c>
      <c r="C316" s="59">
        <v>-12.478815320822651</v>
      </c>
      <c r="D316" s="59">
        <v>-49.126811406729992</v>
      </c>
    </row>
    <row r="317" spans="1:4" x14ac:dyDescent="0.3">
      <c r="A317" s="58">
        <v>1701002</v>
      </c>
      <c r="B317" s="58" t="s">
        <v>1348</v>
      </c>
      <c r="C317" s="59">
        <v>-6.3628181541000801</v>
      </c>
      <c r="D317" s="59">
        <v>-48.079764606194821</v>
      </c>
    </row>
    <row r="318" spans="1:4" x14ac:dyDescent="0.3">
      <c r="A318" s="58">
        <v>1701051</v>
      </c>
      <c r="B318" s="58" t="s">
        <v>1349</v>
      </c>
      <c r="C318" s="59">
        <v>-6.3877527497247959</v>
      </c>
      <c r="D318" s="59">
        <v>-47.862077839173523</v>
      </c>
    </row>
    <row r="319" spans="1:4" x14ac:dyDescent="0.3">
      <c r="A319" s="58">
        <v>1701101</v>
      </c>
      <c r="B319" s="58" t="s">
        <v>1350</v>
      </c>
      <c r="C319" s="59">
        <v>-9.9558777145604971</v>
      </c>
      <c r="D319" s="59">
        <v>-47.976670011351111</v>
      </c>
    </row>
    <row r="320" spans="1:4" x14ac:dyDescent="0.3">
      <c r="A320" s="58">
        <v>1701309</v>
      </c>
      <c r="B320" s="58" t="s">
        <v>1351</v>
      </c>
      <c r="C320" s="59">
        <v>-7.1643492714436965</v>
      </c>
      <c r="D320" s="59">
        <v>-48.523430192291706</v>
      </c>
    </row>
    <row r="321" spans="1:4" x14ac:dyDescent="0.3">
      <c r="A321" s="58">
        <v>1701903</v>
      </c>
      <c r="B321" s="58" t="s">
        <v>1352</v>
      </c>
      <c r="C321" s="59">
        <v>-8.8018025441111458</v>
      </c>
      <c r="D321" s="59">
        <v>-49.561812639607346</v>
      </c>
    </row>
    <row r="322" spans="1:4" x14ac:dyDescent="0.3">
      <c r="A322" s="58">
        <v>1702000</v>
      </c>
      <c r="B322" s="58" t="s">
        <v>1353</v>
      </c>
      <c r="C322" s="59">
        <v>-12.9255837118616</v>
      </c>
      <c r="D322" s="59">
        <v>-49.828612443278203</v>
      </c>
    </row>
    <row r="323" spans="1:4" x14ac:dyDescent="0.3">
      <c r="A323" s="58">
        <v>1702109</v>
      </c>
      <c r="B323" s="58" t="s">
        <v>1354</v>
      </c>
      <c r="C323" s="59">
        <v>-7.191328939654956</v>
      </c>
      <c r="D323" s="59">
        <v>-48.208705251855818</v>
      </c>
    </row>
    <row r="324" spans="1:4" x14ac:dyDescent="0.3">
      <c r="A324" s="58">
        <v>1702158</v>
      </c>
      <c r="B324" s="58" t="s">
        <v>1355</v>
      </c>
      <c r="C324" s="59">
        <v>-6.582249420029191</v>
      </c>
      <c r="D324" s="59">
        <v>-48.643749546943056</v>
      </c>
    </row>
    <row r="325" spans="1:4" x14ac:dyDescent="0.3">
      <c r="A325" s="58">
        <v>1702208</v>
      </c>
      <c r="B325" s="58" t="s">
        <v>935</v>
      </c>
      <c r="C325" s="59">
        <v>-5.6505864729999509</v>
      </c>
      <c r="D325" s="59">
        <v>-48.123507343029381</v>
      </c>
    </row>
    <row r="326" spans="1:4" x14ac:dyDescent="0.3">
      <c r="A326" s="58">
        <v>1702307</v>
      </c>
      <c r="B326" s="58" t="s">
        <v>1356</v>
      </c>
      <c r="C326" s="59">
        <v>-7.6525697354190321</v>
      </c>
      <c r="D326" s="59">
        <v>-49.075637385272117</v>
      </c>
    </row>
    <row r="327" spans="1:4" x14ac:dyDescent="0.3">
      <c r="A327" s="58">
        <v>1702406</v>
      </c>
      <c r="B327" s="58" t="s">
        <v>803</v>
      </c>
      <c r="C327" s="59">
        <v>-12.934419859259252</v>
      </c>
      <c r="D327" s="59">
        <v>-46.946107058553359</v>
      </c>
    </row>
    <row r="328" spans="1:4" x14ac:dyDescent="0.3">
      <c r="A328" s="58">
        <v>1702554</v>
      </c>
      <c r="B328" s="58" t="s">
        <v>1357</v>
      </c>
      <c r="C328" s="59">
        <v>-5.4654142958965206</v>
      </c>
      <c r="D328" s="59">
        <v>-47.880956791004671</v>
      </c>
    </row>
    <row r="329" spans="1:4" x14ac:dyDescent="0.3">
      <c r="A329" s="58">
        <v>1702703</v>
      </c>
      <c r="B329" s="58" t="s">
        <v>1358</v>
      </c>
      <c r="C329" s="59">
        <v>-12.708489861061452</v>
      </c>
      <c r="D329" s="59">
        <v>-46.407082980860686</v>
      </c>
    </row>
    <row r="330" spans="1:4" x14ac:dyDescent="0.3">
      <c r="A330" s="58">
        <v>1702901</v>
      </c>
      <c r="B330" s="58" t="s">
        <v>1359</v>
      </c>
      <c r="C330" s="59">
        <v>-5.6243090659274459</v>
      </c>
      <c r="D330" s="59">
        <v>-47.774156032522136</v>
      </c>
    </row>
    <row r="331" spans="1:4" x14ac:dyDescent="0.3">
      <c r="A331" s="58">
        <v>1703008</v>
      </c>
      <c r="B331" s="58" t="s">
        <v>1360</v>
      </c>
      <c r="C331" s="59">
        <v>-7.2018645320614771</v>
      </c>
      <c r="D331" s="59">
        <v>-47.758816127032354</v>
      </c>
    </row>
    <row r="332" spans="1:4" x14ac:dyDescent="0.3">
      <c r="A332" s="58">
        <v>1703057</v>
      </c>
      <c r="B332" s="58" t="s">
        <v>1361</v>
      </c>
      <c r="C332" s="59">
        <v>-7.7648591412533259</v>
      </c>
      <c r="D332" s="59">
        <v>-48.578380604864392</v>
      </c>
    </row>
    <row r="333" spans="1:4" x14ac:dyDescent="0.3">
      <c r="A333" s="58">
        <v>1703073</v>
      </c>
      <c r="B333" s="58" t="s">
        <v>1362</v>
      </c>
      <c r="C333" s="59">
        <v>-7.691766598656872</v>
      </c>
      <c r="D333" s="59">
        <v>-47.687134969224445</v>
      </c>
    </row>
    <row r="334" spans="1:4" x14ac:dyDescent="0.3">
      <c r="A334" s="58">
        <v>1703107</v>
      </c>
      <c r="B334" s="58" t="s">
        <v>1363</v>
      </c>
      <c r="C334" s="59">
        <v>-9.831653364533425</v>
      </c>
      <c r="D334" s="59">
        <v>-48.731460590721788</v>
      </c>
    </row>
    <row r="335" spans="1:4" x14ac:dyDescent="0.3">
      <c r="A335" s="58">
        <v>1703206</v>
      </c>
      <c r="B335" s="58" t="s">
        <v>1364</v>
      </c>
      <c r="C335" s="59">
        <v>-7.8685124833128102</v>
      </c>
      <c r="D335" s="59">
        <v>-48.899054346727617</v>
      </c>
    </row>
    <row r="336" spans="1:4" x14ac:dyDescent="0.3">
      <c r="A336" s="58">
        <v>1703305</v>
      </c>
      <c r="B336" s="58" t="s">
        <v>1206</v>
      </c>
      <c r="C336" s="59">
        <v>-8.9633480128552083</v>
      </c>
      <c r="D336" s="59">
        <v>-48.166380493540522</v>
      </c>
    </row>
    <row r="337" spans="1:4" x14ac:dyDescent="0.3">
      <c r="A337" s="58">
        <v>1703602</v>
      </c>
      <c r="B337" s="58" t="s">
        <v>1365</v>
      </c>
      <c r="C337" s="59">
        <v>-8.3848893510779909</v>
      </c>
      <c r="D337" s="59">
        <v>-48.485374419123971</v>
      </c>
    </row>
    <row r="338" spans="1:4" x14ac:dyDescent="0.3">
      <c r="A338" s="58">
        <v>1703701</v>
      </c>
      <c r="B338" s="58" t="s">
        <v>1366</v>
      </c>
      <c r="C338" s="59">
        <v>-11.0108050561865</v>
      </c>
      <c r="D338" s="59">
        <v>-48.558660228150707</v>
      </c>
    </row>
    <row r="339" spans="1:4" x14ac:dyDescent="0.3">
      <c r="A339" s="58">
        <v>1703800</v>
      </c>
      <c r="B339" s="58" t="s">
        <v>1367</v>
      </c>
      <c r="C339" s="59">
        <v>-5.3135388563891652</v>
      </c>
      <c r="D339" s="59">
        <v>-48.223250128074994</v>
      </c>
    </row>
    <row r="340" spans="1:4" x14ac:dyDescent="0.3">
      <c r="A340" s="58">
        <v>1703826</v>
      </c>
      <c r="B340" s="58" t="s">
        <v>1001</v>
      </c>
      <c r="C340" s="59">
        <v>-6.1132416465046608</v>
      </c>
      <c r="D340" s="59">
        <v>-47.914197778558957</v>
      </c>
    </row>
    <row r="341" spans="1:4" x14ac:dyDescent="0.3">
      <c r="A341" s="58">
        <v>1703842</v>
      </c>
      <c r="B341" s="58" t="s">
        <v>1368</v>
      </c>
      <c r="C341" s="59">
        <v>-7.9716813941373115</v>
      </c>
      <c r="D341" s="59">
        <v>-46.801974346706743</v>
      </c>
    </row>
    <row r="342" spans="1:4" x14ac:dyDescent="0.3">
      <c r="A342" s="58">
        <v>1703867</v>
      </c>
      <c r="B342" s="58" t="s">
        <v>1369</v>
      </c>
      <c r="C342" s="59">
        <v>-11.888997463874404</v>
      </c>
      <c r="D342" s="59">
        <v>-49.171040728988878</v>
      </c>
    </row>
    <row r="343" spans="1:4" x14ac:dyDescent="0.3">
      <c r="A343" s="58">
        <v>1703883</v>
      </c>
      <c r="B343" s="58" t="s">
        <v>1370</v>
      </c>
      <c r="C343" s="59">
        <v>-7.0314787778610564</v>
      </c>
      <c r="D343" s="59">
        <v>-48.395959930627434</v>
      </c>
    </row>
    <row r="344" spans="1:4" x14ac:dyDescent="0.3">
      <c r="A344" s="58">
        <v>1703891</v>
      </c>
      <c r="B344" s="58" t="s">
        <v>1371</v>
      </c>
      <c r="C344" s="59">
        <v>-5.3226613548580461</v>
      </c>
      <c r="D344" s="59">
        <v>-48.030633426569224</v>
      </c>
    </row>
    <row r="345" spans="1:4" x14ac:dyDescent="0.3">
      <c r="A345" s="58">
        <v>1703909</v>
      </c>
      <c r="B345" s="58" t="s">
        <v>1372</v>
      </c>
      <c r="C345" s="59">
        <v>-9.2674062189034796</v>
      </c>
      <c r="D345" s="59">
        <v>-49.948692267778718</v>
      </c>
    </row>
    <row r="346" spans="1:4" x14ac:dyDescent="0.3">
      <c r="A346" s="58">
        <v>1704105</v>
      </c>
      <c r="B346" s="58" t="s">
        <v>1373</v>
      </c>
      <c r="C346" s="59">
        <v>-8.9584636390938019</v>
      </c>
      <c r="D346" s="59">
        <v>-47.338398514587297</v>
      </c>
    </row>
    <row r="347" spans="1:4" x14ac:dyDescent="0.3">
      <c r="A347" s="58">
        <v>1704600</v>
      </c>
      <c r="B347" s="58" t="s">
        <v>1374</v>
      </c>
      <c r="C347" s="59">
        <v>-10.141988583333351</v>
      </c>
      <c r="D347" s="59">
        <v>-49.183107858031448</v>
      </c>
    </row>
    <row r="348" spans="1:4" x14ac:dyDescent="0.3">
      <c r="A348" s="58">
        <v>1705102</v>
      </c>
      <c r="B348" s="58" t="s">
        <v>1375</v>
      </c>
      <c r="C348" s="59">
        <v>-11.624267831362102</v>
      </c>
      <c r="D348" s="59">
        <v>-47.753904891856472</v>
      </c>
    </row>
    <row r="349" spans="1:4" x14ac:dyDescent="0.3">
      <c r="A349" s="58">
        <v>1705508</v>
      </c>
      <c r="B349" s="58" t="s">
        <v>1376</v>
      </c>
      <c r="C349" s="59">
        <v>-8.0546246754999515</v>
      </c>
      <c r="D349" s="59">
        <v>-48.481594543748926</v>
      </c>
    </row>
    <row r="350" spans="1:4" x14ac:dyDescent="0.3">
      <c r="A350" s="58">
        <v>1705557</v>
      </c>
      <c r="B350" s="58" t="s">
        <v>1377</v>
      </c>
      <c r="C350" s="59">
        <v>-12.818607672031101</v>
      </c>
      <c r="D350" s="59">
        <v>-46.552072340266051</v>
      </c>
    </row>
    <row r="351" spans="1:4" x14ac:dyDescent="0.3">
      <c r="A351" s="58">
        <v>1705607</v>
      </c>
      <c r="B351" s="58" t="s">
        <v>1378</v>
      </c>
      <c r="C351" s="59">
        <v>-12.217277766965402</v>
      </c>
      <c r="D351" s="59">
        <v>-47.292868810806986</v>
      </c>
    </row>
    <row r="352" spans="1:4" x14ac:dyDescent="0.3">
      <c r="A352" s="58">
        <v>1706001</v>
      </c>
      <c r="B352" s="58" t="s">
        <v>1379</v>
      </c>
      <c r="C352" s="59">
        <v>-8.3551183696352371</v>
      </c>
      <c r="D352" s="59">
        <v>-49.176571570852992</v>
      </c>
    </row>
    <row r="353" spans="1:4" x14ac:dyDescent="0.3">
      <c r="A353" s="58">
        <v>1706100</v>
      </c>
      <c r="B353" s="58" t="s">
        <v>1380</v>
      </c>
      <c r="C353" s="59">
        <v>-10.590724637117651</v>
      </c>
      <c r="D353" s="59">
        <v>-49.186300291261162</v>
      </c>
    </row>
    <row r="354" spans="1:4" x14ac:dyDescent="0.3">
      <c r="A354" s="58">
        <v>1706258</v>
      </c>
      <c r="B354" s="58" t="s">
        <v>1381</v>
      </c>
      <c r="C354" s="59">
        <v>-11.10427429360425</v>
      </c>
      <c r="D354" s="59">
        <v>-48.915513825647714</v>
      </c>
    </row>
    <row r="355" spans="1:4" x14ac:dyDescent="0.3">
      <c r="A355" s="58">
        <v>1706506</v>
      </c>
      <c r="B355" s="58" t="s">
        <v>1382</v>
      </c>
      <c r="C355" s="59">
        <v>-6.7123510014817596</v>
      </c>
      <c r="D355" s="59">
        <v>-47.752161110279935</v>
      </c>
    </row>
    <row r="356" spans="1:4" x14ac:dyDescent="0.3">
      <c r="A356" s="58">
        <v>1707009</v>
      </c>
      <c r="B356" s="58" t="s">
        <v>1383</v>
      </c>
      <c r="C356" s="59">
        <v>-11.625231878065001</v>
      </c>
      <c r="D356" s="59">
        <v>-46.820409066943476</v>
      </c>
    </row>
    <row r="357" spans="1:4" x14ac:dyDescent="0.3">
      <c r="A357" s="58">
        <v>1707108</v>
      </c>
      <c r="B357" s="58" t="s">
        <v>1384</v>
      </c>
      <c r="C357" s="59">
        <v>-9.7953011402294603</v>
      </c>
      <c r="D357" s="59">
        <v>-49.205413187350281</v>
      </c>
    </row>
    <row r="358" spans="1:4" x14ac:dyDescent="0.3">
      <c r="A358" s="58">
        <v>1707207</v>
      </c>
      <c r="B358" s="58" t="s">
        <v>1385</v>
      </c>
      <c r="C358" s="59">
        <v>-9.2612967097971115</v>
      </c>
      <c r="D358" s="59">
        <v>-49.067338644272333</v>
      </c>
    </row>
    <row r="359" spans="1:4" x14ac:dyDescent="0.3">
      <c r="A359" s="58">
        <v>1707306</v>
      </c>
      <c r="B359" s="58" t="s">
        <v>1386</v>
      </c>
      <c r="C359" s="59">
        <v>-11.341285416779815</v>
      </c>
      <c r="D359" s="59">
        <v>-49.265875916162834</v>
      </c>
    </row>
    <row r="360" spans="1:4" x14ac:dyDescent="0.3">
      <c r="A360" s="58">
        <v>1707405</v>
      </c>
      <c r="B360" s="58" t="s">
        <v>1387</v>
      </c>
      <c r="C360" s="59">
        <v>-5.3666080594045109</v>
      </c>
      <c r="D360" s="59">
        <v>-48.54414760041238</v>
      </c>
    </row>
    <row r="361" spans="1:4" x14ac:dyDescent="0.3">
      <c r="A361" s="58">
        <v>1707553</v>
      </c>
      <c r="B361" s="58" t="s">
        <v>1388</v>
      </c>
      <c r="C361" s="59">
        <v>-10.75250872808475</v>
      </c>
      <c r="D361" s="59">
        <v>-48.898982658680843</v>
      </c>
    </row>
    <row r="362" spans="1:4" x14ac:dyDescent="0.3">
      <c r="A362" s="58">
        <v>1707652</v>
      </c>
      <c r="B362" s="58" t="s">
        <v>1389</v>
      </c>
      <c r="C362" s="59">
        <v>-12.136779983222503</v>
      </c>
      <c r="D362" s="59">
        <v>-49.173846730743357</v>
      </c>
    </row>
    <row r="363" spans="1:4" x14ac:dyDescent="0.3">
      <c r="A363" s="58">
        <v>1707702</v>
      </c>
      <c r="B363" s="58" t="s">
        <v>1390</v>
      </c>
      <c r="C363" s="59">
        <v>-7.3376119059307978</v>
      </c>
      <c r="D363" s="59">
        <v>-47.484964141531954</v>
      </c>
    </row>
    <row r="364" spans="1:4" x14ac:dyDescent="0.3">
      <c r="A364" s="58">
        <v>1708205</v>
      </c>
      <c r="B364" s="58" t="s">
        <v>923</v>
      </c>
      <c r="C364" s="59">
        <v>-11.805141968649453</v>
      </c>
      <c r="D364" s="59">
        <v>-49.52686036291248</v>
      </c>
    </row>
    <row r="365" spans="1:4" x14ac:dyDescent="0.3">
      <c r="A365" s="58">
        <v>1708254</v>
      </c>
      <c r="B365" s="58" t="s">
        <v>1391</v>
      </c>
      <c r="C365" s="59">
        <v>-9.0589653011498203</v>
      </c>
      <c r="D365" s="59">
        <v>-48.517426421048775</v>
      </c>
    </row>
    <row r="366" spans="1:4" x14ac:dyDescent="0.3">
      <c r="A366" s="58">
        <v>1708304</v>
      </c>
      <c r="B366" s="58" t="s">
        <v>1392</v>
      </c>
      <c r="C366" s="59">
        <v>-8.7705208048293866</v>
      </c>
      <c r="D366" s="59">
        <v>-48.936890192361133</v>
      </c>
    </row>
    <row r="367" spans="1:4" x14ac:dyDescent="0.3">
      <c r="A367" s="58">
        <v>1709005</v>
      </c>
      <c r="B367" s="58" t="s">
        <v>1393</v>
      </c>
      <c r="C367" s="59">
        <v>-7.7091723901957003</v>
      </c>
      <c r="D367" s="59">
        <v>-47.315435489158261</v>
      </c>
    </row>
    <row r="368" spans="1:4" x14ac:dyDescent="0.3">
      <c r="A368" s="58">
        <v>1709302</v>
      </c>
      <c r="B368" s="58" t="s">
        <v>1394</v>
      </c>
      <c r="C368" s="59">
        <v>-8.8361656575044254</v>
      </c>
      <c r="D368" s="59">
        <v>-48.508640606470181</v>
      </c>
    </row>
    <row r="369" spans="1:4" x14ac:dyDescent="0.3">
      <c r="A369" s="58">
        <v>1709500</v>
      </c>
      <c r="B369" s="58" t="s">
        <v>1395</v>
      </c>
      <c r="C369" s="59">
        <v>-11.72977232285996</v>
      </c>
      <c r="D369" s="59">
        <v>-49.071477468930304</v>
      </c>
    </row>
    <row r="370" spans="1:4" x14ac:dyDescent="0.3">
      <c r="A370" s="58">
        <v>1709807</v>
      </c>
      <c r="B370" s="58" t="s">
        <v>1396</v>
      </c>
      <c r="C370" s="59">
        <v>-11.246288621591702</v>
      </c>
      <c r="D370" s="59">
        <v>-48.451926228894685</v>
      </c>
    </row>
    <row r="371" spans="1:4" x14ac:dyDescent="0.3">
      <c r="A371" s="58">
        <v>1710508</v>
      </c>
      <c r="B371" s="58" t="s">
        <v>1397</v>
      </c>
      <c r="C371" s="59">
        <v>-8.3909805523185614</v>
      </c>
      <c r="D371" s="59">
        <v>-47.768112402677964</v>
      </c>
    </row>
    <row r="372" spans="1:4" x14ac:dyDescent="0.3">
      <c r="A372" s="58">
        <v>1710706</v>
      </c>
      <c r="B372" s="58" t="s">
        <v>1398</v>
      </c>
      <c r="C372" s="59">
        <v>-5.7753850884022206</v>
      </c>
      <c r="D372" s="59">
        <v>-47.479935948983332</v>
      </c>
    </row>
    <row r="373" spans="1:4" x14ac:dyDescent="0.3">
      <c r="A373" s="58">
        <v>1710904</v>
      </c>
      <c r="B373" s="58" t="s">
        <v>1399</v>
      </c>
      <c r="C373" s="59">
        <v>-8.3843295934429651</v>
      </c>
      <c r="D373" s="59">
        <v>-48.111199609469111</v>
      </c>
    </row>
    <row r="374" spans="1:4" x14ac:dyDescent="0.3">
      <c r="A374" s="58">
        <v>1711100</v>
      </c>
      <c r="B374" s="58" t="s">
        <v>1400</v>
      </c>
      <c r="C374" s="59">
        <v>-8.5688286115605354</v>
      </c>
      <c r="D374" s="59">
        <v>-48.693263703224829</v>
      </c>
    </row>
    <row r="375" spans="1:4" x14ac:dyDescent="0.3">
      <c r="A375" s="58">
        <v>1711506</v>
      </c>
      <c r="B375" s="58" t="s">
        <v>937</v>
      </c>
      <c r="C375" s="59">
        <v>-12.652926369270553</v>
      </c>
      <c r="D375" s="59">
        <v>-48.594608292724836</v>
      </c>
    </row>
    <row r="376" spans="1:4" x14ac:dyDescent="0.3">
      <c r="A376" s="58">
        <v>1711803</v>
      </c>
      <c r="B376" s="58" t="s">
        <v>1401</v>
      </c>
      <c r="C376" s="59">
        <v>-8.1174239676067756</v>
      </c>
      <c r="D376" s="59">
        <v>-49.098643185427207</v>
      </c>
    </row>
    <row r="377" spans="1:4" x14ac:dyDescent="0.3">
      <c r="A377" s="58">
        <v>1711902</v>
      </c>
      <c r="B377" s="58" t="s">
        <v>1402</v>
      </c>
      <c r="C377" s="59">
        <v>-10.788695557589749</v>
      </c>
      <c r="D377" s="59">
        <v>-49.620085339145987</v>
      </c>
    </row>
    <row r="378" spans="1:4" x14ac:dyDescent="0.3">
      <c r="A378" s="58">
        <v>1711951</v>
      </c>
      <c r="B378" s="58" t="s">
        <v>1403</v>
      </c>
      <c r="C378" s="59">
        <v>-10.296886696999751</v>
      </c>
      <c r="D378" s="59">
        <v>-47.561446630273799</v>
      </c>
    </row>
    <row r="379" spans="1:4" x14ac:dyDescent="0.3">
      <c r="A379" s="58">
        <v>1712009</v>
      </c>
      <c r="B379" s="58" t="s">
        <v>1404</v>
      </c>
      <c r="C379" s="59">
        <v>-9.7446824357355926</v>
      </c>
      <c r="D379" s="59">
        <v>-48.358503950690121</v>
      </c>
    </row>
    <row r="380" spans="1:4" x14ac:dyDescent="0.3">
      <c r="A380" s="58">
        <v>1712157</v>
      </c>
      <c r="B380" s="58" t="s">
        <v>1405</v>
      </c>
      <c r="C380" s="59">
        <v>-12.791658787651752</v>
      </c>
      <c r="D380" s="59">
        <v>-46.506675715743548</v>
      </c>
    </row>
    <row r="381" spans="1:4" x14ac:dyDescent="0.3">
      <c r="A381" s="58">
        <v>1712405</v>
      </c>
      <c r="B381" s="58" t="s">
        <v>925</v>
      </c>
      <c r="C381" s="59">
        <v>-9.5945702878096721</v>
      </c>
      <c r="D381" s="59">
        <v>-46.675165455846134</v>
      </c>
    </row>
    <row r="382" spans="1:4" x14ac:dyDescent="0.3">
      <c r="A382" s="58">
        <v>1712454</v>
      </c>
      <c r="B382" s="58" t="s">
        <v>1406</v>
      </c>
      <c r="C382" s="59">
        <v>-6.1939896602357658</v>
      </c>
      <c r="D382" s="59">
        <v>-47.856828041414033</v>
      </c>
    </row>
    <row r="383" spans="1:4" x14ac:dyDescent="0.3">
      <c r="A383" s="58">
        <v>1712504</v>
      </c>
      <c r="B383" s="58" t="s">
        <v>1407</v>
      </c>
      <c r="C383" s="59">
        <v>-9.7988803593505818</v>
      </c>
      <c r="D383" s="59">
        <v>-49.651033994437775</v>
      </c>
    </row>
    <row r="384" spans="1:4" x14ac:dyDescent="0.3">
      <c r="A384" s="58">
        <v>1712702</v>
      </c>
      <c r="B384" s="58" t="s">
        <v>1408</v>
      </c>
      <c r="C384" s="59">
        <v>-10.544428846077752</v>
      </c>
      <c r="D384" s="59">
        <v>-46.412465743091978</v>
      </c>
    </row>
    <row r="385" spans="1:4" x14ac:dyDescent="0.3">
      <c r="A385" s="58">
        <v>1712801</v>
      </c>
      <c r="B385" s="58" t="s">
        <v>1409</v>
      </c>
      <c r="C385" s="59">
        <v>-5.9525664212104461</v>
      </c>
      <c r="D385" s="59">
        <v>-47.504879960175067</v>
      </c>
    </row>
    <row r="386" spans="1:4" x14ac:dyDescent="0.3">
      <c r="A386" s="58">
        <v>1713205</v>
      </c>
      <c r="B386" s="58" t="s">
        <v>1410</v>
      </c>
      <c r="C386" s="59">
        <v>-9.568346077646515</v>
      </c>
      <c r="D386" s="59">
        <v>-48.387991311519301</v>
      </c>
    </row>
    <row r="387" spans="1:4" x14ac:dyDescent="0.3">
      <c r="A387" s="58">
        <v>1713304</v>
      </c>
      <c r="B387" s="58" t="s">
        <v>1411</v>
      </c>
      <c r="C387" s="59">
        <v>-9.5174047310931211</v>
      </c>
      <c r="D387" s="59">
        <v>-48.592631936913925</v>
      </c>
    </row>
    <row r="388" spans="1:4" x14ac:dyDescent="0.3">
      <c r="A388" s="58">
        <v>1713601</v>
      </c>
      <c r="B388" s="58" t="s">
        <v>1412</v>
      </c>
      <c r="C388" s="59">
        <v>-10.763542194623751</v>
      </c>
      <c r="D388" s="59">
        <v>-48.110420029911239</v>
      </c>
    </row>
    <row r="389" spans="1:4" x14ac:dyDescent="0.3">
      <c r="A389" s="58">
        <v>1713700</v>
      </c>
      <c r="B389" s="58" t="s">
        <v>1413</v>
      </c>
      <c r="C389" s="59">
        <v>-10.005591431794022</v>
      </c>
      <c r="D389" s="59">
        <v>-48.990890603393531</v>
      </c>
    </row>
    <row r="390" spans="1:4" x14ac:dyDescent="0.3">
      <c r="A390" s="58">
        <v>1713809</v>
      </c>
      <c r="B390" s="58" t="s">
        <v>1414</v>
      </c>
      <c r="C390" s="59">
        <v>-6.6118623345617067</v>
      </c>
      <c r="D390" s="59">
        <v>-47.558683526282529</v>
      </c>
    </row>
    <row r="391" spans="1:4" x14ac:dyDescent="0.3">
      <c r="A391" s="58">
        <v>1713957</v>
      </c>
      <c r="B391" s="58" t="s">
        <v>1415</v>
      </c>
      <c r="C391" s="59">
        <v>-7.1385192851603314</v>
      </c>
      <c r="D391" s="59">
        <v>-48.606745277006731</v>
      </c>
    </row>
    <row r="392" spans="1:4" x14ac:dyDescent="0.3">
      <c r="A392" s="58">
        <v>1714203</v>
      </c>
      <c r="B392" s="58" t="s">
        <v>1416</v>
      </c>
      <c r="C392" s="59">
        <v>-11.705357382504202</v>
      </c>
      <c r="D392" s="59">
        <v>-47.727257533823163</v>
      </c>
    </row>
    <row r="393" spans="1:4" x14ac:dyDescent="0.3">
      <c r="A393" s="58">
        <v>1714302</v>
      </c>
      <c r="B393" s="58" t="s">
        <v>1417</v>
      </c>
      <c r="C393" s="59">
        <v>-6.3725579692856114</v>
      </c>
      <c r="D393" s="59">
        <v>-47.666977182526281</v>
      </c>
    </row>
    <row r="394" spans="1:4" x14ac:dyDescent="0.3">
      <c r="A394" s="58">
        <v>1714880</v>
      </c>
      <c r="B394" s="58" t="s">
        <v>1418</v>
      </c>
      <c r="C394" s="59">
        <v>-7.6333149106924969</v>
      </c>
      <c r="D394" s="59">
        <v>-48.424806790016405</v>
      </c>
    </row>
    <row r="395" spans="1:4" x14ac:dyDescent="0.3">
      <c r="A395" s="58">
        <v>1715002</v>
      </c>
      <c r="B395" s="58" t="s">
        <v>1419</v>
      </c>
      <c r="C395" s="59">
        <v>-10.566871139332301</v>
      </c>
      <c r="D395" s="59">
        <v>-48.906180724502264</v>
      </c>
    </row>
    <row r="396" spans="1:4" x14ac:dyDescent="0.3">
      <c r="A396" s="58">
        <v>1715101</v>
      </c>
      <c r="B396" s="58" t="s">
        <v>1420</v>
      </c>
      <c r="C396" s="59">
        <v>-9.9684864657016909</v>
      </c>
      <c r="D396" s="59">
        <v>-47.6681483922167</v>
      </c>
    </row>
    <row r="397" spans="1:4" x14ac:dyDescent="0.3">
      <c r="A397" s="58">
        <v>1715150</v>
      </c>
      <c r="B397" s="58" t="s">
        <v>1421</v>
      </c>
      <c r="C397" s="59">
        <v>-12.909938674408101</v>
      </c>
      <c r="D397" s="59">
        <v>-46.577297353667539</v>
      </c>
    </row>
    <row r="398" spans="1:4" x14ac:dyDescent="0.3">
      <c r="A398" s="58">
        <v>1715259</v>
      </c>
      <c r="B398" s="58" t="s">
        <v>1422</v>
      </c>
      <c r="C398" s="59">
        <v>-11.815875050148954</v>
      </c>
      <c r="D398" s="59">
        <v>-46.630787295889874</v>
      </c>
    </row>
    <row r="399" spans="1:4" x14ac:dyDescent="0.3">
      <c r="A399" s="58">
        <v>1715507</v>
      </c>
      <c r="B399" s="58" t="s">
        <v>1423</v>
      </c>
      <c r="C399" s="59">
        <v>-10.708362709061801</v>
      </c>
      <c r="D399" s="59">
        <v>-48.90740156890319</v>
      </c>
    </row>
    <row r="400" spans="1:4" x14ac:dyDescent="0.3">
      <c r="A400" s="58">
        <v>1715705</v>
      </c>
      <c r="B400" s="58" t="s">
        <v>1424</v>
      </c>
      <c r="C400" s="59">
        <v>-7.8575613761450462</v>
      </c>
      <c r="D400" s="59">
        <v>-47.934249708984197</v>
      </c>
    </row>
    <row r="401" spans="1:4" x14ac:dyDescent="0.3">
      <c r="A401" s="58">
        <v>1715754</v>
      </c>
      <c r="B401" s="58" t="s">
        <v>1425</v>
      </c>
      <c r="C401" s="59">
        <v>-13.039888433669203</v>
      </c>
      <c r="D401" s="59">
        <v>-48.413413955231569</v>
      </c>
    </row>
    <row r="402" spans="1:4" x14ac:dyDescent="0.3">
      <c r="A402" s="58">
        <v>1716109</v>
      </c>
      <c r="B402" s="58" t="s">
        <v>1426</v>
      </c>
      <c r="C402" s="59">
        <v>-10.171220754999901</v>
      </c>
      <c r="D402" s="59">
        <v>-48.886630084016922</v>
      </c>
    </row>
    <row r="403" spans="1:4" x14ac:dyDescent="0.3">
      <c r="A403" s="58">
        <v>1716208</v>
      </c>
      <c r="B403" s="58" t="s">
        <v>1427</v>
      </c>
      <c r="C403" s="59">
        <v>-12.620481488718251</v>
      </c>
      <c r="D403" s="59">
        <v>-47.884083728442604</v>
      </c>
    </row>
    <row r="404" spans="1:4" x14ac:dyDescent="0.3">
      <c r="A404" s="58">
        <v>1716307</v>
      </c>
      <c r="B404" s="58" t="s">
        <v>1274</v>
      </c>
      <c r="C404" s="59">
        <v>-7.5399983556999715</v>
      </c>
      <c r="D404" s="59">
        <v>-49.363306481009104</v>
      </c>
    </row>
    <row r="405" spans="1:4" x14ac:dyDescent="0.3">
      <c r="A405" s="58">
        <v>1716505</v>
      </c>
      <c r="B405" s="58" t="s">
        <v>1428</v>
      </c>
      <c r="C405" s="59">
        <v>-8.9644495924229428</v>
      </c>
      <c r="D405" s="59">
        <v>-48.17755611273865</v>
      </c>
    </row>
    <row r="406" spans="1:4" x14ac:dyDescent="0.3">
      <c r="A406" s="58">
        <v>1716604</v>
      </c>
      <c r="B406" s="58" t="s">
        <v>1429</v>
      </c>
      <c r="C406" s="59">
        <v>-12.029773830853001</v>
      </c>
      <c r="D406" s="59">
        <v>-48.537810626336032</v>
      </c>
    </row>
    <row r="407" spans="1:4" x14ac:dyDescent="0.3">
      <c r="A407" s="58">
        <v>1716653</v>
      </c>
      <c r="B407" s="58" t="s">
        <v>1430</v>
      </c>
      <c r="C407" s="59">
        <v>-8.5933406544484452</v>
      </c>
      <c r="D407" s="59">
        <v>-48.935179866915817</v>
      </c>
    </row>
    <row r="408" spans="1:4" x14ac:dyDescent="0.3">
      <c r="A408" s="58">
        <v>1716703</v>
      </c>
      <c r="B408" s="58" t="s">
        <v>1431</v>
      </c>
      <c r="C408" s="59">
        <v>-8.729371806818591</v>
      </c>
      <c r="D408" s="59">
        <v>-48.757066585694787</v>
      </c>
    </row>
    <row r="409" spans="1:4" x14ac:dyDescent="0.3">
      <c r="A409" s="58">
        <v>1717008</v>
      </c>
      <c r="B409" s="58" t="s">
        <v>1432</v>
      </c>
      <c r="C409" s="59">
        <v>-11.138202584680801</v>
      </c>
      <c r="D409" s="59">
        <v>-47.575687717287693</v>
      </c>
    </row>
    <row r="410" spans="1:4" x14ac:dyDescent="0.3">
      <c r="A410" s="58">
        <v>1717206</v>
      </c>
      <c r="B410" s="58" t="s">
        <v>1433</v>
      </c>
      <c r="C410" s="59">
        <v>-6.7697770334073457</v>
      </c>
      <c r="D410" s="59">
        <v>-48.29370739109315</v>
      </c>
    </row>
    <row r="411" spans="1:4" x14ac:dyDescent="0.3">
      <c r="A411" s="58">
        <v>1717503</v>
      </c>
      <c r="B411" s="58" t="s">
        <v>1434</v>
      </c>
      <c r="C411" s="59">
        <v>-10.440931117930452</v>
      </c>
      <c r="D411" s="59">
        <v>-49.16665801157469</v>
      </c>
    </row>
    <row r="412" spans="1:4" x14ac:dyDescent="0.3">
      <c r="A412" s="58">
        <v>1717800</v>
      </c>
      <c r="B412" s="58" t="s">
        <v>932</v>
      </c>
      <c r="C412" s="59">
        <v>-12.087812908434403</v>
      </c>
      <c r="D412" s="59">
        <v>-46.469586792395198</v>
      </c>
    </row>
    <row r="413" spans="1:4" x14ac:dyDescent="0.3">
      <c r="A413" s="58">
        <v>1717909</v>
      </c>
      <c r="B413" s="58" t="s">
        <v>939</v>
      </c>
      <c r="C413" s="59">
        <v>-10.740672848681452</v>
      </c>
      <c r="D413" s="59">
        <v>-47.541180358301936</v>
      </c>
    </row>
    <row r="414" spans="1:4" x14ac:dyDescent="0.3">
      <c r="A414" s="58">
        <v>1718006</v>
      </c>
      <c r="B414" s="58" t="s">
        <v>1435</v>
      </c>
      <c r="C414" s="59">
        <v>-11.60725909908845</v>
      </c>
      <c r="D414" s="59">
        <v>-47.047425600429513</v>
      </c>
    </row>
    <row r="415" spans="1:4" x14ac:dyDescent="0.3">
      <c r="A415" s="58">
        <v>1718204</v>
      </c>
      <c r="B415" s="58" t="s">
        <v>1436</v>
      </c>
      <c r="C415" s="59">
        <v>-10.708569916999954</v>
      </c>
      <c r="D415" s="59">
        <v>-48.4121534584309</v>
      </c>
    </row>
    <row r="416" spans="1:4" x14ac:dyDescent="0.3">
      <c r="A416" s="58">
        <v>1718303</v>
      </c>
      <c r="B416" s="58" t="s">
        <v>1437</v>
      </c>
      <c r="C416" s="59">
        <v>-5.3967128773782651</v>
      </c>
      <c r="D416" s="59">
        <v>-47.814731733342292</v>
      </c>
    </row>
    <row r="417" spans="1:4" x14ac:dyDescent="0.3">
      <c r="A417" s="58">
        <v>1718402</v>
      </c>
      <c r="B417" s="58" t="s">
        <v>1438</v>
      </c>
      <c r="C417" s="59">
        <v>-8.5299608276191758</v>
      </c>
      <c r="D417" s="59">
        <v>-48.504330670109034</v>
      </c>
    </row>
    <row r="418" spans="1:4" x14ac:dyDescent="0.3">
      <c r="A418" s="58">
        <v>1718451</v>
      </c>
      <c r="B418" s="58" t="s">
        <v>1439</v>
      </c>
      <c r="C418" s="59">
        <v>-10.424307156246753</v>
      </c>
      <c r="D418" s="59">
        <v>-48.894220448783109</v>
      </c>
    </row>
    <row r="419" spans="1:4" x14ac:dyDescent="0.3">
      <c r="A419" s="58">
        <v>1718501</v>
      </c>
      <c r="B419" s="58" t="s">
        <v>1440</v>
      </c>
      <c r="C419" s="59">
        <v>-8.7353604538801211</v>
      </c>
      <c r="D419" s="59">
        <v>-47.238041195020784</v>
      </c>
    </row>
    <row r="420" spans="1:4" x14ac:dyDescent="0.3">
      <c r="A420" s="58">
        <v>1718550</v>
      </c>
      <c r="B420" s="58" t="s">
        <v>1441</v>
      </c>
      <c r="C420" s="59">
        <v>-6.4422113876974061</v>
      </c>
      <c r="D420" s="59">
        <v>-48.141045502037962</v>
      </c>
    </row>
    <row r="421" spans="1:4" x14ac:dyDescent="0.3">
      <c r="A421" s="58">
        <v>1718659</v>
      </c>
      <c r="B421" s="58" t="s">
        <v>1442</v>
      </c>
      <c r="C421" s="59">
        <v>-11.404940023898975</v>
      </c>
      <c r="D421" s="59">
        <v>-46.880399704572184</v>
      </c>
    </row>
    <row r="422" spans="1:4" x14ac:dyDescent="0.3">
      <c r="A422" s="58">
        <v>1718709</v>
      </c>
      <c r="B422" s="58" t="s">
        <v>1443</v>
      </c>
      <c r="C422" s="59">
        <v>-9.3437422386879003</v>
      </c>
      <c r="D422" s="59">
        <v>-48.533047971601448</v>
      </c>
    </row>
    <row r="423" spans="1:4" x14ac:dyDescent="0.3">
      <c r="A423" s="58">
        <v>1718758</v>
      </c>
      <c r="B423" s="58" t="s">
        <v>977</v>
      </c>
      <c r="C423" s="59">
        <v>-9.347789334116106</v>
      </c>
      <c r="D423" s="59">
        <v>-47.89994163913947</v>
      </c>
    </row>
    <row r="424" spans="1:4" x14ac:dyDescent="0.3">
      <c r="A424" s="58">
        <v>1718808</v>
      </c>
      <c r="B424" s="58" t="s">
        <v>1444</v>
      </c>
      <c r="C424" s="59">
        <v>-5.349295616496696</v>
      </c>
      <c r="D424" s="59">
        <v>-47.875792457199381</v>
      </c>
    </row>
    <row r="425" spans="1:4" x14ac:dyDescent="0.3">
      <c r="A425" s="58">
        <v>1718840</v>
      </c>
      <c r="B425" s="58" t="s">
        <v>1445</v>
      </c>
      <c r="C425" s="59">
        <v>-12.541600167483253</v>
      </c>
      <c r="D425" s="59">
        <v>-49.933388154301184</v>
      </c>
    </row>
    <row r="426" spans="1:4" x14ac:dyDescent="0.3">
      <c r="A426" s="58">
        <v>1718865</v>
      </c>
      <c r="B426" s="58" t="s">
        <v>1446</v>
      </c>
      <c r="C426" s="59">
        <v>-7.1499363850312019</v>
      </c>
      <c r="D426" s="59">
        <v>-48.693941803437639</v>
      </c>
    </row>
    <row r="427" spans="1:4" x14ac:dyDescent="0.3">
      <c r="A427" s="58">
        <v>1718881</v>
      </c>
      <c r="B427" s="58" t="s">
        <v>1447</v>
      </c>
      <c r="C427" s="59">
        <v>-8.7749764492665108</v>
      </c>
      <c r="D427" s="59">
        <v>-47.745270419224617</v>
      </c>
    </row>
    <row r="428" spans="1:4" x14ac:dyDescent="0.3">
      <c r="A428" s="58">
        <v>1718899</v>
      </c>
      <c r="B428" s="58" t="s">
        <v>1448</v>
      </c>
      <c r="C428" s="59">
        <v>-10.866455369402901</v>
      </c>
      <c r="D428" s="59">
        <v>-48.909294007358952</v>
      </c>
    </row>
    <row r="429" spans="1:4" x14ac:dyDescent="0.3">
      <c r="A429" s="58">
        <v>1718907</v>
      </c>
      <c r="B429" s="58" t="s">
        <v>1449</v>
      </c>
      <c r="C429" s="59">
        <v>-11.4514039985494</v>
      </c>
      <c r="D429" s="59">
        <v>-48.119954221752408</v>
      </c>
    </row>
    <row r="430" spans="1:4" x14ac:dyDescent="0.3">
      <c r="A430" s="58">
        <v>1719004</v>
      </c>
      <c r="B430" s="58" t="s">
        <v>1450</v>
      </c>
      <c r="C430" s="59">
        <v>-10.282361527818702</v>
      </c>
      <c r="D430" s="59">
        <v>-47.806288321508141</v>
      </c>
    </row>
    <row r="431" spans="1:4" x14ac:dyDescent="0.3">
      <c r="A431" s="58">
        <v>1720002</v>
      </c>
      <c r="B431" s="58" t="s">
        <v>1451</v>
      </c>
      <c r="C431" s="59">
        <v>-6.4369976184442512</v>
      </c>
      <c r="D431" s="59">
        <v>-47.684285363008058</v>
      </c>
    </row>
    <row r="432" spans="1:4" x14ac:dyDescent="0.3">
      <c r="A432" s="58">
        <v>1720101</v>
      </c>
      <c r="B432" s="58" t="s">
        <v>1452</v>
      </c>
      <c r="C432" s="59">
        <v>-6.0449992571923881</v>
      </c>
      <c r="D432" s="59">
        <v>-47.919392287053363</v>
      </c>
    </row>
    <row r="433" spans="1:4" x14ac:dyDescent="0.3">
      <c r="A433" s="58">
        <v>1720150</v>
      </c>
      <c r="B433" s="58" t="s">
        <v>1453</v>
      </c>
      <c r="C433" s="59">
        <v>-10.173285853962801</v>
      </c>
      <c r="D433" s="59">
        <v>-46.654980831012253</v>
      </c>
    </row>
    <row r="434" spans="1:4" x14ac:dyDescent="0.3">
      <c r="A434" s="58">
        <v>1720200</v>
      </c>
      <c r="B434" s="58" t="s">
        <v>1454</v>
      </c>
      <c r="C434" s="59">
        <v>-5.5538195287942909</v>
      </c>
      <c r="D434" s="59">
        <v>-47.573002339373119</v>
      </c>
    </row>
    <row r="435" spans="1:4" x14ac:dyDescent="0.3">
      <c r="A435" s="58">
        <v>1720259</v>
      </c>
      <c r="B435" s="58" t="s">
        <v>1455</v>
      </c>
      <c r="C435" s="59">
        <v>-12.747433414495351</v>
      </c>
      <c r="D435" s="59">
        <v>-48.232084991681134</v>
      </c>
    </row>
    <row r="436" spans="1:4" x14ac:dyDescent="0.3">
      <c r="A436" s="58">
        <v>1720309</v>
      </c>
      <c r="B436" s="58" t="s">
        <v>1456</v>
      </c>
      <c r="C436" s="59">
        <v>-5.2589614537350657</v>
      </c>
      <c r="D436" s="59">
        <v>-48.203834149028843</v>
      </c>
    </row>
    <row r="437" spans="1:4" x14ac:dyDescent="0.3">
      <c r="A437" s="58">
        <v>1720499</v>
      </c>
      <c r="B437" s="58" t="s">
        <v>1457</v>
      </c>
      <c r="C437" s="59">
        <v>-11.973067459479651</v>
      </c>
      <c r="D437" s="59">
        <v>-48.232948433380216</v>
      </c>
    </row>
    <row r="438" spans="1:4" x14ac:dyDescent="0.3">
      <c r="A438" s="58">
        <v>1720655</v>
      </c>
      <c r="B438" s="58" t="s">
        <v>1458</v>
      </c>
      <c r="C438" s="59">
        <v>-11.149861308562802</v>
      </c>
      <c r="D438" s="59">
        <v>-48.179824135532115</v>
      </c>
    </row>
    <row r="439" spans="1:4" x14ac:dyDescent="0.3">
      <c r="A439" s="58">
        <v>1720804</v>
      </c>
      <c r="B439" s="58" t="s">
        <v>1459</v>
      </c>
      <c r="C439" s="59">
        <v>-5.604726856653091</v>
      </c>
      <c r="D439" s="59">
        <v>-47.637422650460366</v>
      </c>
    </row>
    <row r="440" spans="1:4" x14ac:dyDescent="0.3">
      <c r="A440" s="58">
        <v>1720853</v>
      </c>
      <c r="B440" s="58" t="s">
        <v>1460</v>
      </c>
      <c r="C440" s="59">
        <v>-11.98622151085995</v>
      </c>
      <c r="D440" s="59">
        <v>-48.911126282687064</v>
      </c>
    </row>
    <row r="441" spans="1:4" x14ac:dyDescent="0.3">
      <c r="A441" s="58">
        <v>1720903</v>
      </c>
      <c r="B441" s="58" t="s">
        <v>1461</v>
      </c>
      <c r="C441" s="59">
        <v>-12.396141738681251</v>
      </c>
      <c r="D441" s="59">
        <v>-46.438731700883132</v>
      </c>
    </row>
    <row r="442" spans="1:4" x14ac:dyDescent="0.3">
      <c r="A442" s="58">
        <v>1720937</v>
      </c>
      <c r="B442" s="58" t="s">
        <v>1462</v>
      </c>
      <c r="C442" s="59">
        <v>-12.192837209054202</v>
      </c>
      <c r="D442" s="59">
        <v>-46.984571795932304</v>
      </c>
    </row>
    <row r="443" spans="1:4" x14ac:dyDescent="0.3">
      <c r="A443" s="58">
        <v>1720978</v>
      </c>
      <c r="B443" s="58" t="s">
        <v>1463</v>
      </c>
      <c r="C443" s="59">
        <v>-12.787538406860252</v>
      </c>
      <c r="D443" s="59">
        <v>-49.091118433933445</v>
      </c>
    </row>
    <row r="444" spans="1:4" x14ac:dyDescent="0.3">
      <c r="A444" s="58">
        <v>1721000</v>
      </c>
      <c r="B444" s="58" t="s">
        <v>982</v>
      </c>
      <c r="C444" s="59">
        <v>-10.16325332679275</v>
      </c>
      <c r="D444" s="59">
        <v>-48.351043708246195</v>
      </c>
    </row>
    <row r="445" spans="1:4" x14ac:dyDescent="0.3">
      <c r="A445" s="58">
        <v>1721109</v>
      </c>
      <c r="B445" s="58" t="s">
        <v>1464</v>
      </c>
      <c r="C445" s="59">
        <v>-9.5581477340057219</v>
      </c>
      <c r="D445" s="59">
        <v>-48.375879671426652</v>
      </c>
    </row>
    <row r="446" spans="1:4" x14ac:dyDescent="0.3">
      <c r="A446" s="58">
        <v>1721208</v>
      </c>
      <c r="B446" s="58" t="s">
        <v>1011</v>
      </c>
      <c r="C446" s="59">
        <v>-6.3256343760279616</v>
      </c>
      <c r="D446" s="59">
        <v>-47.427412928692668</v>
      </c>
    </row>
    <row r="447" spans="1:4" x14ac:dyDescent="0.3">
      <c r="A447" s="58">
        <v>1721257</v>
      </c>
      <c r="B447" s="58" t="s">
        <v>1465</v>
      </c>
      <c r="C447" s="59">
        <v>-8.980569549417142</v>
      </c>
      <c r="D447" s="59">
        <v>-48.206684803064064</v>
      </c>
    </row>
    <row r="448" spans="1:4" x14ac:dyDescent="0.3">
      <c r="A448" s="58">
        <v>1721307</v>
      </c>
      <c r="B448" s="58" t="s">
        <v>1466</v>
      </c>
      <c r="C448" s="59">
        <v>-8.3955299969580128</v>
      </c>
      <c r="D448" s="59">
        <v>-48.122995740868774</v>
      </c>
    </row>
    <row r="449" spans="1:4" x14ac:dyDescent="0.3">
      <c r="A449" s="58">
        <v>1722081</v>
      </c>
      <c r="B449" s="58" t="s">
        <v>1467</v>
      </c>
      <c r="C449" s="59">
        <v>-6.8501255166884958</v>
      </c>
      <c r="D449" s="59">
        <v>-47.956267726028322</v>
      </c>
    </row>
    <row r="450" spans="1:4" x14ac:dyDescent="0.3">
      <c r="A450" s="58">
        <v>1722107</v>
      </c>
      <c r="B450" s="58" t="s">
        <v>1468</v>
      </c>
      <c r="C450" s="59">
        <v>-6.4118850201798407</v>
      </c>
      <c r="D450" s="59">
        <v>-48.531601072816969</v>
      </c>
    </row>
    <row r="451" spans="1:4" x14ac:dyDescent="0.3">
      <c r="A451" s="58">
        <v>2100055</v>
      </c>
      <c r="B451" s="58" t="s">
        <v>1469</v>
      </c>
      <c r="C451" s="59">
        <v>-4.9513770001624797</v>
      </c>
      <c r="D451" s="59">
        <v>-47.506664593111928</v>
      </c>
    </row>
    <row r="452" spans="1:4" x14ac:dyDescent="0.3">
      <c r="A452" s="58">
        <v>2100105</v>
      </c>
      <c r="B452" s="58" t="s">
        <v>1470</v>
      </c>
      <c r="C452" s="59">
        <v>-4.1350154768700804</v>
      </c>
      <c r="D452" s="59">
        <v>-43.32086900396849</v>
      </c>
    </row>
    <row r="453" spans="1:4" x14ac:dyDescent="0.3">
      <c r="A453" s="58">
        <v>2100154</v>
      </c>
      <c r="B453" s="58" t="s">
        <v>1471</v>
      </c>
      <c r="C453" s="59">
        <v>-2.8402782791368053</v>
      </c>
      <c r="D453" s="59">
        <v>-42.115551201721338</v>
      </c>
    </row>
    <row r="454" spans="1:4" x14ac:dyDescent="0.3">
      <c r="A454" s="58">
        <v>2100204</v>
      </c>
      <c r="B454" s="58" t="s">
        <v>1472</v>
      </c>
      <c r="C454" s="59">
        <v>-2.4032765250791708</v>
      </c>
      <c r="D454" s="59">
        <v>-44.417012537284585</v>
      </c>
    </row>
    <row r="455" spans="1:4" x14ac:dyDescent="0.3">
      <c r="A455" s="58">
        <v>2100303</v>
      </c>
      <c r="B455" s="58" t="s">
        <v>1473</v>
      </c>
      <c r="C455" s="59">
        <v>-4.6307794951520558</v>
      </c>
      <c r="D455" s="59">
        <v>-43.468734852939839</v>
      </c>
    </row>
    <row r="456" spans="1:4" x14ac:dyDescent="0.3">
      <c r="A456" s="58">
        <v>2100402</v>
      </c>
      <c r="B456" s="58" t="s">
        <v>1474</v>
      </c>
      <c r="C456" s="59">
        <v>-4.162269266853146</v>
      </c>
      <c r="D456" s="59">
        <v>-45.464675831160434</v>
      </c>
    </row>
    <row r="457" spans="1:4" x14ac:dyDescent="0.3">
      <c r="A457" s="58">
        <v>2100436</v>
      </c>
      <c r="B457" s="58" t="s">
        <v>1475</v>
      </c>
      <c r="C457" s="59">
        <v>-4.2072270000000005</v>
      </c>
      <c r="D457" s="59">
        <v>-44.448247494523237</v>
      </c>
    </row>
    <row r="458" spans="1:4" x14ac:dyDescent="0.3">
      <c r="A458" s="58">
        <v>2100477</v>
      </c>
      <c r="B458" s="58" t="s">
        <v>1476</v>
      </c>
      <c r="C458" s="59">
        <v>-3.6651703744532806</v>
      </c>
      <c r="D458" s="59">
        <v>-45.842079616170544</v>
      </c>
    </row>
    <row r="459" spans="1:4" x14ac:dyDescent="0.3">
      <c r="A459" s="58">
        <v>2100501</v>
      </c>
      <c r="B459" s="58" t="s">
        <v>1477</v>
      </c>
      <c r="C459" s="59">
        <v>-9.1083659321911163</v>
      </c>
      <c r="D459" s="59">
        <v>-45.927344013338434</v>
      </c>
    </row>
    <row r="460" spans="1:4" x14ac:dyDescent="0.3">
      <c r="A460" s="58">
        <v>2100550</v>
      </c>
      <c r="B460" s="58" t="s">
        <v>1478</v>
      </c>
      <c r="C460" s="59">
        <v>-1.6809214951217855</v>
      </c>
      <c r="D460" s="59">
        <v>-46.009179900387466</v>
      </c>
    </row>
    <row r="461" spans="1:4" x14ac:dyDescent="0.3">
      <c r="A461" s="58">
        <v>2100600</v>
      </c>
      <c r="B461" s="58" t="s">
        <v>1479</v>
      </c>
      <c r="C461" s="59">
        <v>-5.5576620001821402</v>
      </c>
      <c r="D461" s="59">
        <v>-46.750637545497248</v>
      </c>
    </row>
    <row r="462" spans="1:4" x14ac:dyDescent="0.3">
      <c r="A462" s="58">
        <v>2100709</v>
      </c>
      <c r="B462" s="58" t="s">
        <v>1480</v>
      </c>
      <c r="C462" s="59">
        <v>-3.2575548421272402</v>
      </c>
      <c r="D462" s="59">
        <v>-44.620670027762891</v>
      </c>
    </row>
    <row r="463" spans="1:4" x14ac:dyDescent="0.3">
      <c r="A463" s="58">
        <v>2100808</v>
      </c>
      <c r="B463" s="58" t="s">
        <v>1481</v>
      </c>
      <c r="C463" s="59">
        <v>-3.667034662346861</v>
      </c>
      <c r="D463" s="59">
        <v>-43.105792509689273</v>
      </c>
    </row>
    <row r="464" spans="1:4" x14ac:dyDescent="0.3">
      <c r="A464" s="58">
        <v>2100832</v>
      </c>
      <c r="B464" s="58" t="s">
        <v>1482</v>
      </c>
      <c r="C464" s="59">
        <v>-1.5305915777548553</v>
      </c>
      <c r="D464" s="59">
        <v>-45.076652073448592</v>
      </c>
    </row>
    <row r="465" spans="1:4" x14ac:dyDescent="0.3">
      <c r="A465" s="58">
        <v>2100873</v>
      </c>
      <c r="B465" s="58" t="s">
        <v>1355</v>
      </c>
      <c r="C465" s="59">
        <v>-2.9491256232770509</v>
      </c>
      <c r="D465" s="59">
        <v>-45.668794476100594</v>
      </c>
    </row>
    <row r="466" spans="1:4" x14ac:dyDescent="0.3">
      <c r="A466" s="58">
        <v>2100907</v>
      </c>
      <c r="B466" s="58" t="s">
        <v>1483</v>
      </c>
      <c r="C466" s="59">
        <v>-2.8892558464330556</v>
      </c>
      <c r="D466" s="59">
        <v>-41.899139449865409</v>
      </c>
    </row>
    <row r="467" spans="1:4" x14ac:dyDescent="0.3">
      <c r="A467" s="58">
        <v>2100956</v>
      </c>
      <c r="B467" s="58" t="s">
        <v>1484</v>
      </c>
      <c r="C467" s="59">
        <v>-4.8860815050000008</v>
      </c>
      <c r="D467" s="59">
        <v>-46.013636277835062</v>
      </c>
    </row>
    <row r="468" spans="1:4" x14ac:dyDescent="0.3">
      <c r="A468" s="58">
        <v>2101004</v>
      </c>
      <c r="B468" s="58" t="s">
        <v>1485</v>
      </c>
      <c r="C468" s="59">
        <v>-3.4591709701138051</v>
      </c>
      <c r="D468" s="59">
        <v>-44.778834654710586</v>
      </c>
    </row>
    <row r="469" spans="1:4" x14ac:dyDescent="0.3">
      <c r="A469" s="58">
        <v>2101103</v>
      </c>
      <c r="B469" s="58" t="s">
        <v>1486</v>
      </c>
      <c r="C469" s="59">
        <v>-2.8377968371321205</v>
      </c>
      <c r="D469" s="59">
        <v>-44.054585809077302</v>
      </c>
    </row>
    <row r="470" spans="1:4" x14ac:dyDescent="0.3">
      <c r="A470" s="58">
        <v>2101202</v>
      </c>
      <c r="B470" s="58" t="s">
        <v>1487</v>
      </c>
      <c r="C470" s="59">
        <v>-4.2315246297805063</v>
      </c>
      <c r="D470" s="59">
        <v>-44.781555964089058</v>
      </c>
    </row>
    <row r="471" spans="1:4" x14ac:dyDescent="0.3">
      <c r="A471" s="58">
        <v>2101251</v>
      </c>
      <c r="B471" s="58" t="s">
        <v>1488</v>
      </c>
      <c r="C471" s="59">
        <v>-2.9858247787756906</v>
      </c>
      <c r="D471" s="59">
        <v>-44.315422986567143</v>
      </c>
    </row>
    <row r="472" spans="1:4" x14ac:dyDescent="0.3">
      <c r="A472" s="58">
        <v>2101301</v>
      </c>
      <c r="B472" s="58" t="s">
        <v>1489</v>
      </c>
      <c r="C472" s="59">
        <v>-1.7240463184732253</v>
      </c>
      <c r="D472" s="59">
        <v>-45.137348939626484</v>
      </c>
    </row>
    <row r="473" spans="1:4" x14ac:dyDescent="0.3">
      <c r="A473" s="58">
        <v>2101350</v>
      </c>
      <c r="B473" s="58" t="s">
        <v>1490</v>
      </c>
      <c r="C473" s="59">
        <v>-2.7108719765206106</v>
      </c>
      <c r="D473" s="59">
        <v>-44.735742006157857</v>
      </c>
    </row>
    <row r="474" spans="1:4" x14ac:dyDescent="0.3">
      <c r="A474" s="58">
        <v>2101400</v>
      </c>
      <c r="B474" s="58" t="s">
        <v>1491</v>
      </c>
      <c r="C474" s="59">
        <v>-7.531169990245516</v>
      </c>
      <c r="D474" s="59">
        <v>-46.038992673340523</v>
      </c>
    </row>
    <row r="475" spans="1:4" x14ac:dyDescent="0.3">
      <c r="A475" s="58">
        <v>2101509</v>
      </c>
      <c r="B475" s="58" t="s">
        <v>1492</v>
      </c>
      <c r="C475" s="59">
        <v>-6.7589552055804569</v>
      </c>
      <c r="D475" s="59">
        <v>-43.026452699426912</v>
      </c>
    </row>
    <row r="476" spans="1:4" x14ac:dyDescent="0.3">
      <c r="A476" s="58">
        <v>2101608</v>
      </c>
      <c r="B476" s="58" t="s">
        <v>1493</v>
      </c>
      <c r="C476" s="59">
        <v>-5.5083395000000017</v>
      </c>
      <c r="D476" s="59">
        <v>-45.239011016110986</v>
      </c>
    </row>
    <row r="477" spans="1:4" x14ac:dyDescent="0.3">
      <c r="A477" s="58">
        <v>2101707</v>
      </c>
      <c r="B477" s="58" t="s">
        <v>1494</v>
      </c>
      <c r="C477" s="59">
        <v>-2.7500859487581102</v>
      </c>
      <c r="D477" s="59">
        <v>-42.827802513204077</v>
      </c>
    </row>
    <row r="478" spans="1:4" x14ac:dyDescent="0.3">
      <c r="A478" s="58">
        <v>2101731</v>
      </c>
      <c r="B478" s="58" t="s">
        <v>1495</v>
      </c>
      <c r="C478" s="59">
        <v>-3.1567722275296455</v>
      </c>
      <c r="D478" s="59">
        <v>-43.510061642741</v>
      </c>
    </row>
    <row r="479" spans="1:4" x14ac:dyDescent="0.3">
      <c r="A479" s="58">
        <v>2101772</v>
      </c>
      <c r="B479" s="58" t="s">
        <v>1496</v>
      </c>
      <c r="C479" s="59">
        <v>-3.7377332499082803</v>
      </c>
      <c r="D479" s="59">
        <v>-45.248245878184868</v>
      </c>
    </row>
    <row r="480" spans="1:4" x14ac:dyDescent="0.3">
      <c r="A480" s="58">
        <v>2101806</v>
      </c>
      <c r="B480" s="58" t="s">
        <v>1497</v>
      </c>
      <c r="C480" s="59">
        <v>-7.2187997953852019</v>
      </c>
      <c r="D480" s="59">
        <v>-44.559856799009523</v>
      </c>
    </row>
    <row r="481" spans="1:4" x14ac:dyDescent="0.3">
      <c r="A481" s="58">
        <v>2101905</v>
      </c>
      <c r="B481" s="58" t="s">
        <v>1498</v>
      </c>
      <c r="C481" s="59">
        <v>-2.4620629950811002</v>
      </c>
      <c r="D481" s="59">
        <v>-44.785730156867274</v>
      </c>
    </row>
    <row r="482" spans="1:4" x14ac:dyDescent="0.3">
      <c r="A482" s="58">
        <v>2101939</v>
      </c>
      <c r="B482" s="58" t="s">
        <v>1499</v>
      </c>
      <c r="C482" s="59">
        <v>-4.6302874907922904</v>
      </c>
      <c r="D482" s="59">
        <v>-44.764323103487776</v>
      </c>
    </row>
    <row r="483" spans="1:4" x14ac:dyDescent="0.3">
      <c r="A483" s="58">
        <v>2101970</v>
      </c>
      <c r="B483" s="58" t="s">
        <v>1500</v>
      </c>
      <c r="C483" s="59">
        <v>-1.7932961357987902</v>
      </c>
      <c r="D483" s="59">
        <v>-46.29871005252739</v>
      </c>
    </row>
    <row r="484" spans="1:4" x14ac:dyDescent="0.3">
      <c r="A484" s="58">
        <v>2102002</v>
      </c>
      <c r="B484" s="58" t="s">
        <v>1501</v>
      </c>
      <c r="C484" s="59">
        <v>-3.5441609778557157</v>
      </c>
      <c r="D484" s="59">
        <v>-45.601889389051095</v>
      </c>
    </row>
    <row r="485" spans="1:4" x14ac:dyDescent="0.3">
      <c r="A485" s="58">
        <v>2102036</v>
      </c>
      <c r="B485" s="58" t="s">
        <v>1502</v>
      </c>
      <c r="C485" s="59">
        <v>-4.4899683531069154</v>
      </c>
      <c r="D485" s="59">
        <v>-46.853241223148892</v>
      </c>
    </row>
    <row r="486" spans="1:4" x14ac:dyDescent="0.3">
      <c r="A486" s="58">
        <v>2102077</v>
      </c>
      <c r="B486" s="58" t="s">
        <v>1503</v>
      </c>
      <c r="C486" s="59">
        <v>-4.3755096014642358</v>
      </c>
      <c r="D486" s="59">
        <v>-45.031107856323786</v>
      </c>
    </row>
    <row r="487" spans="1:4" x14ac:dyDescent="0.3">
      <c r="A487" s="58">
        <v>2102101</v>
      </c>
      <c r="B487" s="58" t="s">
        <v>1504</v>
      </c>
      <c r="C487" s="59">
        <v>-3.6791780000000003</v>
      </c>
      <c r="D487" s="59">
        <v>-42.750847826819573</v>
      </c>
    </row>
    <row r="488" spans="1:4" x14ac:dyDescent="0.3">
      <c r="A488" s="58">
        <v>2102150</v>
      </c>
      <c r="B488" s="58" t="s">
        <v>1505</v>
      </c>
      <c r="C488" s="59">
        <v>-4.3306298974950108</v>
      </c>
      <c r="D488" s="59">
        <v>-45.582095271781348</v>
      </c>
    </row>
    <row r="489" spans="1:4" x14ac:dyDescent="0.3">
      <c r="A489" s="58">
        <v>2102200</v>
      </c>
      <c r="B489" s="58" t="s">
        <v>1506</v>
      </c>
      <c r="C489" s="59">
        <v>-3.9455715000000011</v>
      </c>
      <c r="D489" s="59">
        <v>-42.925106177780314</v>
      </c>
    </row>
    <row r="490" spans="1:4" x14ac:dyDescent="0.3">
      <c r="A490" s="58">
        <v>2102309</v>
      </c>
      <c r="B490" s="58" t="s">
        <v>1507</v>
      </c>
      <c r="C490" s="59">
        <v>-5.8352881321467418</v>
      </c>
      <c r="D490" s="59">
        <v>-43.835621541510555</v>
      </c>
    </row>
    <row r="491" spans="1:4" x14ac:dyDescent="0.3">
      <c r="A491" s="58">
        <v>2102325</v>
      </c>
      <c r="B491" s="58" t="s">
        <v>1508</v>
      </c>
      <c r="C491" s="59">
        <v>-4.3259477263015453</v>
      </c>
      <c r="D491" s="59">
        <v>-46.451495319051027</v>
      </c>
    </row>
    <row r="492" spans="1:4" x14ac:dyDescent="0.3">
      <c r="A492" s="58">
        <v>2102358</v>
      </c>
      <c r="B492" s="58" t="s">
        <v>1509</v>
      </c>
      <c r="C492" s="59">
        <v>-5.5889151417115617</v>
      </c>
      <c r="D492" s="59">
        <v>-47.017225093217654</v>
      </c>
    </row>
    <row r="493" spans="1:4" x14ac:dyDescent="0.3">
      <c r="A493" s="58">
        <v>2102374</v>
      </c>
      <c r="B493" s="58" t="s">
        <v>1510</v>
      </c>
      <c r="C493" s="59">
        <v>-2.93192103905761</v>
      </c>
      <c r="D493" s="59">
        <v>-44.059685015783202</v>
      </c>
    </row>
    <row r="494" spans="1:4" x14ac:dyDescent="0.3">
      <c r="A494" s="58">
        <v>2102408</v>
      </c>
      <c r="B494" s="58" t="s">
        <v>1511</v>
      </c>
      <c r="C494" s="59">
        <v>-2.8828822031575205</v>
      </c>
      <c r="D494" s="59">
        <v>-44.673377164586178</v>
      </c>
    </row>
    <row r="495" spans="1:4" x14ac:dyDescent="0.3">
      <c r="A495" s="58">
        <v>2102507</v>
      </c>
      <c r="B495" s="58" t="s">
        <v>1512</v>
      </c>
      <c r="C495" s="59">
        <v>-3.3238688309169206</v>
      </c>
      <c r="D495" s="59">
        <v>-45.007965334966265</v>
      </c>
    </row>
    <row r="496" spans="1:4" x14ac:dyDescent="0.3">
      <c r="A496" s="58">
        <v>2102556</v>
      </c>
      <c r="B496" s="58" t="s">
        <v>1513</v>
      </c>
      <c r="C496" s="59">
        <v>-6.1647166458351856</v>
      </c>
      <c r="D496" s="59">
        <v>-47.367632863334187</v>
      </c>
    </row>
    <row r="497" spans="1:4" x14ac:dyDescent="0.3">
      <c r="A497" s="58">
        <v>2102606</v>
      </c>
      <c r="B497" s="58" t="s">
        <v>1514</v>
      </c>
      <c r="C497" s="59">
        <v>-1.4538891085279952</v>
      </c>
      <c r="D497" s="59">
        <v>-45.737268365591746</v>
      </c>
    </row>
    <row r="498" spans="1:4" x14ac:dyDescent="0.3">
      <c r="A498" s="58">
        <v>2102705</v>
      </c>
      <c r="B498" s="58" t="s">
        <v>1515</v>
      </c>
      <c r="C498" s="59">
        <v>-3.628364311872736</v>
      </c>
      <c r="D498" s="59">
        <v>-44.381816135839024</v>
      </c>
    </row>
    <row r="499" spans="1:4" x14ac:dyDescent="0.3">
      <c r="A499" s="58">
        <v>2102754</v>
      </c>
      <c r="B499" s="58" t="s">
        <v>1516</v>
      </c>
      <c r="C499" s="59">
        <v>-4.7212453887721955</v>
      </c>
      <c r="D499" s="59">
        <v>-44.330436251995529</v>
      </c>
    </row>
    <row r="500" spans="1:4" x14ac:dyDescent="0.3">
      <c r="A500" s="58">
        <v>2102804</v>
      </c>
      <c r="B500" s="58" t="s">
        <v>1517</v>
      </c>
      <c r="C500" s="59">
        <v>-7.3307830052391321</v>
      </c>
      <c r="D500" s="59">
        <v>-47.47009180282793</v>
      </c>
    </row>
    <row r="501" spans="1:4" x14ac:dyDescent="0.3">
      <c r="A501" s="58">
        <v>2102903</v>
      </c>
      <c r="B501" s="58" t="s">
        <v>1518</v>
      </c>
      <c r="C501" s="59">
        <v>-1.2006020000000002</v>
      </c>
      <c r="D501" s="59">
        <v>-46.023150834604976</v>
      </c>
    </row>
    <row r="502" spans="1:4" x14ac:dyDescent="0.3">
      <c r="A502" s="58">
        <v>2103000</v>
      </c>
      <c r="B502" s="58" t="s">
        <v>1519</v>
      </c>
      <c r="C502" s="59">
        <v>-4.8616749901595711</v>
      </c>
      <c r="D502" s="59">
        <v>-43.358539428519173</v>
      </c>
    </row>
    <row r="503" spans="1:4" x14ac:dyDescent="0.3">
      <c r="A503" s="58">
        <v>2103109</v>
      </c>
      <c r="B503" s="58" t="s">
        <v>1520</v>
      </c>
      <c r="C503" s="59">
        <v>-1.9979159255715906</v>
      </c>
      <c r="D503" s="59">
        <v>-44.530789527805453</v>
      </c>
    </row>
    <row r="504" spans="1:4" x14ac:dyDescent="0.3">
      <c r="A504" s="58">
        <v>2103125</v>
      </c>
      <c r="B504" s="58" t="s">
        <v>1521</v>
      </c>
      <c r="C504" s="59">
        <v>-2.191313907617785</v>
      </c>
      <c r="D504" s="59">
        <v>-44.831843702498595</v>
      </c>
    </row>
    <row r="505" spans="1:4" x14ac:dyDescent="0.3">
      <c r="A505" s="58">
        <v>2103158</v>
      </c>
      <c r="B505" s="58" t="s">
        <v>1522</v>
      </c>
      <c r="C505" s="59">
        <v>-2.4569850818081953</v>
      </c>
      <c r="D505" s="59">
        <v>-46.039960113187213</v>
      </c>
    </row>
    <row r="506" spans="1:4" x14ac:dyDescent="0.3">
      <c r="A506" s="58">
        <v>2103174</v>
      </c>
      <c r="B506" s="58" t="s">
        <v>1523</v>
      </c>
      <c r="C506" s="59">
        <v>-2.1442916985583858</v>
      </c>
      <c r="D506" s="59">
        <v>-46.128408954978127</v>
      </c>
    </row>
    <row r="507" spans="1:4" x14ac:dyDescent="0.3">
      <c r="A507" s="58">
        <v>2103208</v>
      </c>
      <c r="B507" s="58" t="s">
        <v>1524</v>
      </c>
      <c r="C507" s="59">
        <v>-3.7400245200000009</v>
      </c>
      <c r="D507" s="59">
        <v>-43.361120781752</v>
      </c>
    </row>
    <row r="508" spans="1:4" x14ac:dyDescent="0.3">
      <c r="A508" s="58">
        <v>2103257</v>
      </c>
      <c r="B508" s="58" t="s">
        <v>1525</v>
      </c>
      <c r="C508" s="59">
        <v>-5.1774210472115856</v>
      </c>
      <c r="D508" s="59">
        <v>-47.784232775671612</v>
      </c>
    </row>
    <row r="509" spans="1:4" x14ac:dyDescent="0.3">
      <c r="A509" s="58">
        <v>2103307</v>
      </c>
      <c r="B509" s="58" t="s">
        <v>1526</v>
      </c>
      <c r="C509" s="59">
        <v>-4.4513375001462103</v>
      </c>
      <c r="D509" s="59">
        <v>-43.886080235032445</v>
      </c>
    </row>
    <row r="510" spans="1:4" x14ac:dyDescent="0.3">
      <c r="A510" s="58">
        <v>2103406</v>
      </c>
      <c r="B510" s="58" t="s">
        <v>1527</v>
      </c>
      <c r="C510" s="59">
        <v>-4.2547375001398064</v>
      </c>
      <c r="D510" s="59">
        <v>-43.014013615549501</v>
      </c>
    </row>
    <row r="511" spans="1:4" x14ac:dyDescent="0.3">
      <c r="A511" s="58">
        <v>2103505</v>
      </c>
      <c r="B511" s="58" t="s">
        <v>1528</v>
      </c>
      <c r="C511" s="59">
        <v>-6.0273655201973151</v>
      </c>
      <c r="D511" s="59">
        <v>-44.249780230535158</v>
      </c>
    </row>
    <row r="512" spans="1:4" x14ac:dyDescent="0.3">
      <c r="A512" s="58">
        <v>2103554</v>
      </c>
      <c r="B512" s="58" t="s">
        <v>1529</v>
      </c>
      <c r="C512" s="59">
        <v>-3.8411184578557456</v>
      </c>
      <c r="D512" s="59">
        <v>-44.903015905179593</v>
      </c>
    </row>
    <row r="513" spans="1:4" x14ac:dyDescent="0.3">
      <c r="A513" s="58">
        <v>2103604</v>
      </c>
      <c r="B513" s="58" t="s">
        <v>1530</v>
      </c>
      <c r="C513" s="59">
        <v>-4.1289760000000006</v>
      </c>
      <c r="D513" s="59">
        <v>-44.125599201464389</v>
      </c>
    </row>
    <row r="514" spans="1:4" x14ac:dyDescent="0.3">
      <c r="A514" s="58">
        <v>2103703</v>
      </c>
      <c r="B514" s="58" t="s">
        <v>1531</v>
      </c>
      <c r="C514" s="59">
        <v>-1.8255207812192953</v>
      </c>
      <c r="D514" s="59">
        <v>-44.867761616976082</v>
      </c>
    </row>
    <row r="515" spans="1:4" x14ac:dyDescent="0.3">
      <c r="A515" s="58">
        <v>2103752</v>
      </c>
      <c r="B515" s="58" t="s">
        <v>1532</v>
      </c>
      <c r="C515" s="59">
        <v>-5.5344562161063457</v>
      </c>
      <c r="D515" s="59">
        <v>-47.404996387528072</v>
      </c>
    </row>
    <row r="516" spans="1:4" x14ac:dyDescent="0.3">
      <c r="A516" s="58">
        <v>2103802</v>
      </c>
      <c r="B516" s="58" t="s">
        <v>1533</v>
      </c>
      <c r="C516" s="59">
        <v>-5.0384476351653111</v>
      </c>
      <c r="D516" s="59">
        <v>-44.440009910968946</v>
      </c>
    </row>
    <row r="517" spans="1:4" x14ac:dyDescent="0.3">
      <c r="A517" s="58">
        <v>2103901</v>
      </c>
      <c r="B517" s="58" t="s">
        <v>1534</v>
      </c>
      <c r="C517" s="59">
        <v>-4.1478190971135662</v>
      </c>
      <c r="D517" s="59">
        <v>-42.944180203607267</v>
      </c>
    </row>
    <row r="518" spans="1:4" x14ac:dyDescent="0.3">
      <c r="A518" s="58">
        <v>2104008</v>
      </c>
      <c r="B518" s="58" t="s">
        <v>1535</v>
      </c>
      <c r="C518" s="59">
        <v>-4.8703008974764304</v>
      </c>
      <c r="D518" s="59">
        <v>-44.886068699018757</v>
      </c>
    </row>
    <row r="519" spans="1:4" x14ac:dyDescent="0.3">
      <c r="A519" s="58">
        <v>2104057</v>
      </c>
      <c r="B519" s="58" t="s">
        <v>1536</v>
      </c>
      <c r="C519" s="59">
        <v>-6.5680849802147154</v>
      </c>
      <c r="D519" s="59">
        <v>-47.447882986137714</v>
      </c>
    </row>
    <row r="520" spans="1:4" x14ac:dyDescent="0.3">
      <c r="A520" s="58">
        <v>2104073</v>
      </c>
      <c r="B520" s="58" t="s">
        <v>1537</v>
      </c>
      <c r="C520" s="59">
        <v>-6.9631355406272863</v>
      </c>
      <c r="D520" s="59">
        <v>-46.687355215963777</v>
      </c>
    </row>
    <row r="521" spans="1:4" x14ac:dyDescent="0.3">
      <c r="A521" s="58">
        <v>2104081</v>
      </c>
      <c r="B521" s="58" t="s">
        <v>1538</v>
      </c>
      <c r="C521" s="59">
        <v>-6.154978462915996</v>
      </c>
      <c r="D521" s="59">
        <v>-44.91070740221312</v>
      </c>
    </row>
    <row r="522" spans="1:4" x14ac:dyDescent="0.3">
      <c r="A522" s="58">
        <v>2104099</v>
      </c>
      <c r="B522" s="58" t="s">
        <v>1539</v>
      </c>
      <c r="C522" s="59">
        <v>-6.4353041056139215</v>
      </c>
      <c r="D522" s="59">
        <v>-46.186357006886119</v>
      </c>
    </row>
    <row r="523" spans="1:4" x14ac:dyDescent="0.3">
      <c r="A523" s="58">
        <v>2104107</v>
      </c>
      <c r="B523" s="58" t="s">
        <v>1540</v>
      </c>
      <c r="C523" s="59">
        <v>-6.9659260874922957</v>
      </c>
      <c r="D523" s="59">
        <v>-46.185557541983606</v>
      </c>
    </row>
    <row r="524" spans="1:4" x14ac:dyDescent="0.3">
      <c r="A524" s="58">
        <v>2104206</v>
      </c>
      <c r="B524" s="58" t="s">
        <v>1541</v>
      </c>
      <c r="C524" s="59">
        <v>-5.7362241324770205</v>
      </c>
      <c r="D524" s="59">
        <v>-44.160628427225866</v>
      </c>
    </row>
    <row r="525" spans="1:4" x14ac:dyDescent="0.3">
      <c r="A525" s="58">
        <v>2104305</v>
      </c>
      <c r="B525" s="58" t="s">
        <v>1542</v>
      </c>
      <c r="C525" s="59">
        <v>-1.4098001867327803</v>
      </c>
      <c r="D525" s="59">
        <v>-45.771754808052272</v>
      </c>
    </row>
    <row r="526" spans="1:4" x14ac:dyDescent="0.3">
      <c r="A526" s="58">
        <v>2104404</v>
      </c>
      <c r="B526" s="58" t="s">
        <v>1543</v>
      </c>
      <c r="C526" s="59">
        <v>-5.1439555694610357</v>
      </c>
      <c r="D526" s="59">
        <v>-44.305906535937474</v>
      </c>
    </row>
    <row r="527" spans="1:4" x14ac:dyDescent="0.3">
      <c r="A527" s="58">
        <v>2104503</v>
      </c>
      <c r="B527" s="58" t="s">
        <v>1544</v>
      </c>
      <c r="C527" s="59">
        <v>-5.0253878239268355</v>
      </c>
      <c r="D527" s="59">
        <v>-44.275756526125335</v>
      </c>
    </row>
    <row r="528" spans="1:4" x14ac:dyDescent="0.3">
      <c r="A528" s="58">
        <v>2104552</v>
      </c>
      <c r="B528" s="58" t="s">
        <v>1545</v>
      </c>
      <c r="C528" s="59">
        <v>-5.7474117385125405</v>
      </c>
      <c r="D528" s="59">
        <v>-47.368935839037292</v>
      </c>
    </row>
    <row r="529" spans="1:4" x14ac:dyDescent="0.3">
      <c r="A529" s="58">
        <v>2104602</v>
      </c>
      <c r="B529" s="58" t="s">
        <v>1546</v>
      </c>
      <c r="C529" s="59">
        <v>-5.3224910015295359</v>
      </c>
      <c r="D529" s="59">
        <v>-44.246962646020386</v>
      </c>
    </row>
    <row r="530" spans="1:4" x14ac:dyDescent="0.3">
      <c r="A530" s="58">
        <v>2104628</v>
      </c>
      <c r="B530" s="58" t="s">
        <v>1547</v>
      </c>
      <c r="C530" s="59">
        <v>-5.4728646849178109</v>
      </c>
      <c r="D530" s="59">
        <v>-44.070887335516936</v>
      </c>
    </row>
    <row r="531" spans="1:4" x14ac:dyDescent="0.3">
      <c r="A531" s="58">
        <v>2104651</v>
      </c>
      <c r="B531" s="58" t="s">
        <v>1548</v>
      </c>
      <c r="C531" s="59">
        <v>-3.4297047199035653</v>
      </c>
      <c r="D531" s="59">
        <v>-45.674501797009249</v>
      </c>
    </row>
    <row r="532" spans="1:4" x14ac:dyDescent="0.3">
      <c r="A532" s="58">
        <v>2104677</v>
      </c>
      <c r="B532" s="58" t="s">
        <v>1549</v>
      </c>
      <c r="C532" s="59">
        <v>-2.1349623600000007</v>
      </c>
      <c r="D532" s="59">
        <v>-45.881481132794242</v>
      </c>
    </row>
    <row r="533" spans="1:4" x14ac:dyDescent="0.3">
      <c r="A533" s="58">
        <v>2104701</v>
      </c>
      <c r="B533" s="58" t="s">
        <v>1550</v>
      </c>
      <c r="C533" s="59">
        <v>-5.4048212130546265</v>
      </c>
      <c r="D533" s="59">
        <v>-44.335791259919979</v>
      </c>
    </row>
    <row r="534" spans="1:4" x14ac:dyDescent="0.3">
      <c r="A534" s="58">
        <v>2104800</v>
      </c>
      <c r="B534" s="58" t="s">
        <v>1551</v>
      </c>
      <c r="C534" s="59">
        <v>-5.8185484313310365</v>
      </c>
      <c r="D534" s="59">
        <v>-46.142395635993395</v>
      </c>
    </row>
    <row r="535" spans="1:4" x14ac:dyDescent="0.3">
      <c r="A535" s="58">
        <v>2104909</v>
      </c>
      <c r="B535" s="58" t="s">
        <v>1552</v>
      </c>
      <c r="C535" s="59">
        <v>-2.1350771583845156</v>
      </c>
      <c r="D535" s="59">
        <v>-44.597746456337084</v>
      </c>
    </row>
    <row r="536" spans="1:4" x14ac:dyDescent="0.3">
      <c r="A536" s="58">
        <v>2105005</v>
      </c>
      <c r="B536" s="58" t="s">
        <v>1553</v>
      </c>
      <c r="C536" s="59">
        <v>-2.5912239722608352</v>
      </c>
      <c r="D536" s="59">
        <v>-43.465092144314625</v>
      </c>
    </row>
    <row r="537" spans="1:4" x14ac:dyDescent="0.3">
      <c r="A537" s="58">
        <v>2105104</v>
      </c>
      <c r="B537" s="58" t="s">
        <v>1554</v>
      </c>
      <c r="C537" s="59">
        <v>-2.7748278630992504</v>
      </c>
      <c r="D537" s="59">
        <v>-44.065848468639985</v>
      </c>
    </row>
    <row r="538" spans="1:4" x14ac:dyDescent="0.3">
      <c r="A538" s="58">
        <v>2105153</v>
      </c>
      <c r="B538" s="58" t="s">
        <v>1555</v>
      </c>
      <c r="C538" s="59">
        <v>-3.6367085218654305</v>
      </c>
      <c r="D538" s="59">
        <v>-45.183327702170594</v>
      </c>
    </row>
    <row r="539" spans="1:4" x14ac:dyDescent="0.3">
      <c r="A539" s="58">
        <v>2105203</v>
      </c>
      <c r="B539" s="58" t="s">
        <v>1556</v>
      </c>
      <c r="C539" s="59">
        <v>-4.6608538062374505</v>
      </c>
      <c r="D539" s="59">
        <v>-44.867403345860275</v>
      </c>
    </row>
    <row r="540" spans="1:4" x14ac:dyDescent="0.3">
      <c r="A540" s="58">
        <v>2105302</v>
      </c>
      <c r="B540" s="58" t="s">
        <v>1557</v>
      </c>
      <c r="C540" s="59">
        <v>-5.5265240251811365</v>
      </c>
      <c r="D540" s="59">
        <v>-47.47981080576816</v>
      </c>
    </row>
    <row r="541" spans="1:4" x14ac:dyDescent="0.3">
      <c r="A541" s="58">
        <v>2105351</v>
      </c>
      <c r="B541" s="58" t="s">
        <v>1558</v>
      </c>
      <c r="C541" s="59">
        <v>-5.144582261769802</v>
      </c>
      <c r="D541" s="59">
        <v>-45.792682503469031</v>
      </c>
    </row>
    <row r="542" spans="1:4" x14ac:dyDescent="0.3">
      <c r="A542" s="58">
        <v>2105401</v>
      </c>
      <c r="B542" s="58" t="s">
        <v>1559</v>
      </c>
      <c r="C542" s="59">
        <v>-3.3990454801118406</v>
      </c>
      <c r="D542" s="59">
        <v>-44.354263390434021</v>
      </c>
    </row>
    <row r="543" spans="1:4" x14ac:dyDescent="0.3">
      <c r="A543" s="58">
        <v>2105427</v>
      </c>
      <c r="B543" s="58" t="s">
        <v>1560</v>
      </c>
      <c r="C543" s="59">
        <v>-4.4550039984458811</v>
      </c>
      <c r="D543" s="59">
        <v>-47.527909963757374</v>
      </c>
    </row>
    <row r="544" spans="1:4" x14ac:dyDescent="0.3">
      <c r="A544" s="58">
        <v>2105450</v>
      </c>
      <c r="B544" s="58" t="s">
        <v>1561</v>
      </c>
      <c r="C544" s="59">
        <v>-5.8196669367750369</v>
      </c>
      <c r="D544" s="59">
        <v>-44.219914769815816</v>
      </c>
    </row>
    <row r="545" spans="1:4" x14ac:dyDescent="0.3">
      <c r="A545" s="58">
        <v>2105476</v>
      </c>
      <c r="B545" s="58" t="s">
        <v>1562</v>
      </c>
      <c r="C545" s="59">
        <v>-5.3694249264333918</v>
      </c>
      <c r="D545" s="59">
        <v>-45.633379107420275</v>
      </c>
    </row>
    <row r="546" spans="1:4" x14ac:dyDescent="0.3">
      <c r="A546" s="58">
        <v>2105500</v>
      </c>
      <c r="B546" s="58" t="s">
        <v>1563</v>
      </c>
      <c r="C546" s="59">
        <v>-5.4536629415591715</v>
      </c>
      <c r="D546" s="59">
        <v>-47.405036149768392</v>
      </c>
    </row>
    <row r="547" spans="1:4" x14ac:dyDescent="0.3">
      <c r="A547" s="58">
        <v>2105609</v>
      </c>
      <c r="B547" s="58" t="s">
        <v>1564</v>
      </c>
      <c r="C547" s="59">
        <v>-4.9726933289474458</v>
      </c>
      <c r="D547" s="59">
        <v>-44.699152564500501</v>
      </c>
    </row>
    <row r="548" spans="1:4" x14ac:dyDescent="0.3">
      <c r="A548" s="58">
        <v>2105658</v>
      </c>
      <c r="B548" s="58" t="s">
        <v>1565</v>
      </c>
      <c r="C548" s="59">
        <v>-1.8746095975027603</v>
      </c>
      <c r="D548" s="59">
        <v>-46.070726073213685</v>
      </c>
    </row>
    <row r="549" spans="1:4" x14ac:dyDescent="0.3">
      <c r="A549" s="58">
        <v>2105708</v>
      </c>
      <c r="B549" s="58" t="s">
        <v>1566</v>
      </c>
      <c r="C549" s="59">
        <v>-4.564744515000001</v>
      </c>
      <c r="D549" s="59">
        <v>-45.12589135591454</v>
      </c>
    </row>
    <row r="550" spans="1:4" x14ac:dyDescent="0.3">
      <c r="A550" s="58">
        <v>2105807</v>
      </c>
      <c r="B550" s="58" t="s">
        <v>1567</v>
      </c>
      <c r="C550" s="59">
        <v>-4.6076432176836564</v>
      </c>
      <c r="D550" s="59">
        <v>-45.051344392116526</v>
      </c>
    </row>
    <row r="551" spans="1:4" x14ac:dyDescent="0.3">
      <c r="A551" s="58">
        <v>2105906</v>
      </c>
      <c r="B551" s="58" t="s">
        <v>1568</v>
      </c>
      <c r="C551" s="59">
        <v>-4.0387112952766557</v>
      </c>
      <c r="D551" s="59">
        <v>-44.937635231994236</v>
      </c>
    </row>
    <row r="552" spans="1:4" x14ac:dyDescent="0.3">
      <c r="A552" s="58">
        <v>2105922</v>
      </c>
      <c r="B552" s="58" t="s">
        <v>1569</v>
      </c>
      <c r="C552" s="59">
        <v>-6.0452772965708208</v>
      </c>
      <c r="D552" s="59">
        <v>-43.527559116562664</v>
      </c>
    </row>
    <row r="553" spans="1:4" x14ac:dyDescent="0.3">
      <c r="A553" s="58">
        <v>2105948</v>
      </c>
      <c r="B553" s="58" t="s">
        <v>1570</v>
      </c>
      <c r="C553" s="59">
        <v>-4.6123757769314802</v>
      </c>
      <c r="D553" s="59">
        <v>-44.976442325587691</v>
      </c>
    </row>
    <row r="554" spans="1:4" x14ac:dyDescent="0.3">
      <c r="A554" s="58">
        <v>2105963</v>
      </c>
      <c r="B554" s="58" t="s">
        <v>1571</v>
      </c>
      <c r="C554" s="59">
        <v>-4.9931237371371262</v>
      </c>
      <c r="D554" s="59">
        <v>-45.390614279361337</v>
      </c>
    </row>
    <row r="555" spans="1:4" x14ac:dyDescent="0.3">
      <c r="A555" s="58">
        <v>2105989</v>
      </c>
      <c r="B555" s="58" t="s">
        <v>1572</v>
      </c>
      <c r="C555" s="59">
        <v>-6.1916092266668601</v>
      </c>
      <c r="D555" s="59">
        <v>-47.032447517100366</v>
      </c>
    </row>
    <row r="556" spans="1:4" x14ac:dyDescent="0.3">
      <c r="A556" s="58">
        <v>2106003</v>
      </c>
      <c r="B556" s="58" t="s">
        <v>1573</v>
      </c>
      <c r="C556" s="59">
        <v>-4.5170459872175304</v>
      </c>
      <c r="D556" s="59">
        <v>-44.469340329223634</v>
      </c>
    </row>
    <row r="557" spans="1:4" x14ac:dyDescent="0.3">
      <c r="A557" s="58">
        <v>2106102</v>
      </c>
      <c r="B557" s="58" t="s">
        <v>1574</v>
      </c>
      <c r="C557" s="59">
        <v>-7.0944541653822215</v>
      </c>
      <c r="D557" s="59">
        <v>-45.139241637527334</v>
      </c>
    </row>
    <row r="558" spans="1:4" x14ac:dyDescent="0.3">
      <c r="A558" s="58">
        <v>2106201</v>
      </c>
      <c r="B558" s="58" t="s">
        <v>1575</v>
      </c>
      <c r="C558" s="59">
        <v>-1.3254602443530903</v>
      </c>
      <c r="D558" s="59">
        <v>-45.895331992078376</v>
      </c>
    </row>
    <row r="559" spans="1:4" x14ac:dyDescent="0.3">
      <c r="A559" s="58">
        <v>2106300</v>
      </c>
      <c r="B559" s="58" t="s">
        <v>1576</v>
      </c>
      <c r="C559" s="59">
        <v>-3.3966676742208008</v>
      </c>
      <c r="D559" s="59">
        <v>-42.201506691375052</v>
      </c>
    </row>
    <row r="560" spans="1:4" x14ac:dyDescent="0.3">
      <c r="A560" s="58">
        <v>2106326</v>
      </c>
      <c r="B560" s="58" t="s">
        <v>1577</v>
      </c>
      <c r="C560" s="59">
        <v>-2.0561645495151404</v>
      </c>
      <c r="D560" s="59">
        <v>-45.958639037167906</v>
      </c>
    </row>
    <row r="561" spans="1:4" x14ac:dyDescent="0.3">
      <c r="A561" s="58">
        <v>2106359</v>
      </c>
      <c r="B561" s="58" t="s">
        <v>1578</v>
      </c>
      <c r="C561" s="59">
        <v>-4.620313324124111</v>
      </c>
      <c r="D561" s="59">
        <v>-45.457237652578108</v>
      </c>
    </row>
    <row r="562" spans="1:4" x14ac:dyDescent="0.3">
      <c r="A562" s="58">
        <v>2106375</v>
      </c>
      <c r="B562" s="58" t="s">
        <v>1579</v>
      </c>
      <c r="C562" s="59">
        <v>-2.2356169920759954</v>
      </c>
      <c r="D562" s="59">
        <v>-45.855611454866761</v>
      </c>
    </row>
    <row r="563" spans="1:4" x14ac:dyDescent="0.3">
      <c r="A563" s="58">
        <v>2106409</v>
      </c>
      <c r="B563" s="58" t="s">
        <v>1580</v>
      </c>
      <c r="C563" s="59">
        <v>-3.6190455098937209</v>
      </c>
      <c r="D563" s="59">
        <v>-43.120389423571829</v>
      </c>
    </row>
    <row r="564" spans="1:4" x14ac:dyDescent="0.3">
      <c r="A564" s="58">
        <v>2106508</v>
      </c>
      <c r="B564" s="58" t="s">
        <v>1581</v>
      </c>
      <c r="C564" s="59">
        <v>-3.098400030000001</v>
      </c>
      <c r="D564" s="59">
        <v>-45.036428940106219</v>
      </c>
    </row>
    <row r="565" spans="1:4" x14ac:dyDescent="0.3">
      <c r="A565" s="58">
        <v>2106607</v>
      </c>
      <c r="B565" s="58" t="s">
        <v>1582</v>
      </c>
      <c r="C565" s="59">
        <v>-5.5224650194340512</v>
      </c>
      <c r="D565" s="59">
        <v>-43.201208282913008</v>
      </c>
    </row>
    <row r="566" spans="1:4" x14ac:dyDescent="0.3">
      <c r="A566" s="58">
        <v>2106631</v>
      </c>
      <c r="B566" s="58" t="s">
        <v>1583</v>
      </c>
      <c r="C566" s="59">
        <v>-3.6275187802167208</v>
      </c>
      <c r="D566" s="59">
        <v>-44.550244506940153</v>
      </c>
    </row>
    <row r="567" spans="1:4" x14ac:dyDescent="0.3">
      <c r="A567" s="58">
        <v>2106672</v>
      </c>
      <c r="B567" s="58" t="s">
        <v>1584</v>
      </c>
      <c r="C567" s="59">
        <v>-3.58220664139805</v>
      </c>
      <c r="D567" s="59">
        <v>-42.610752832510308</v>
      </c>
    </row>
    <row r="568" spans="1:4" x14ac:dyDescent="0.3">
      <c r="A568" s="58">
        <v>2106706</v>
      </c>
      <c r="B568" s="58" t="s">
        <v>1585</v>
      </c>
      <c r="C568" s="59">
        <v>-6.3775656953877506</v>
      </c>
      <c r="D568" s="59">
        <v>-44.362609793878931</v>
      </c>
    </row>
    <row r="569" spans="1:4" x14ac:dyDescent="0.3">
      <c r="A569" s="58">
        <v>2106755</v>
      </c>
      <c r="B569" s="58" t="s">
        <v>1586</v>
      </c>
      <c r="C569" s="59">
        <v>-3.5626447744298253</v>
      </c>
      <c r="D569" s="59">
        <v>-44.584275691732053</v>
      </c>
    </row>
    <row r="570" spans="1:4" x14ac:dyDescent="0.3">
      <c r="A570" s="58">
        <v>2106805</v>
      </c>
      <c r="B570" s="58" t="s">
        <v>1587</v>
      </c>
      <c r="C570" s="59">
        <v>-2.06422419159107</v>
      </c>
      <c r="D570" s="59">
        <v>-44.785755986478343</v>
      </c>
    </row>
    <row r="571" spans="1:4" x14ac:dyDescent="0.3">
      <c r="A571" s="58">
        <v>2106904</v>
      </c>
      <c r="B571" s="58" t="s">
        <v>1588</v>
      </c>
      <c r="C571" s="59">
        <v>-3.4939324800000002</v>
      </c>
      <c r="D571" s="59">
        <v>-45.247584670644109</v>
      </c>
    </row>
    <row r="572" spans="1:4" x14ac:dyDescent="0.3">
      <c r="A572" s="58">
        <v>2107001</v>
      </c>
      <c r="B572" s="58" t="s">
        <v>1589</v>
      </c>
      <c r="C572" s="59">
        <v>-5.8285625041641707</v>
      </c>
      <c r="D572" s="59">
        <v>-47.070439508014573</v>
      </c>
    </row>
    <row r="573" spans="1:4" x14ac:dyDescent="0.3">
      <c r="A573" s="58">
        <v>2107100</v>
      </c>
      <c r="B573" s="58" t="s">
        <v>1590</v>
      </c>
      <c r="C573" s="59">
        <v>-2.8614789530879055</v>
      </c>
      <c r="D573" s="59">
        <v>-44.04454454317564</v>
      </c>
    </row>
    <row r="574" spans="1:4" x14ac:dyDescent="0.3">
      <c r="A574" s="58">
        <v>2107209</v>
      </c>
      <c r="B574" s="58" t="s">
        <v>1591</v>
      </c>
      <c r="C574" s="59">
        <v>-3.4624642894470159</v>
      </c>
      <c r="D574" s="59">
        <v>-43.904484760349746</v>
      </c>
    </row>
    <row r="575" spans="1:4" x14ac:dyDescent="0.3">
      <c r="A575" s="58">
        <v>2107258</v>
      </c>
      <c r="B575" s="58" t="s">
        <v>1592</v>
      </c>
      <c r="C575" s="59">
        <v>-7.1205660035625113</v>
      </c>
      <c r="D575" s="59">
        <v>-46.259325222915322</v>
      </c>
    </row>
    <row r="576" spans="1:4" x14ac:dyDescent="0.3">
      <c r="A576" s="58">
        <v>2107308</v>
      </c>
      <c r="B576" s="58" t="s">
        <v>1593</v>
      </c>
      <c r="C576" s="59">
        <v>-6.7332033057915819</v>
      </c>
      <c r="D576" s="59">
        <v>-44.048626727101343</v>
      </c>
    </row>
    <row r="577" spans="1:4" x14ac:dyDescent="0.3">
      <c r="A577" s="58">
        <v>2107357</v>
      </c>
      <c r="B577" s="58" t="s">
        <v>1594</v>
      </c>
      <c r="C577" s="59">
        <v>-2.7998865440601155</v>
      </c>
      <c r="D577" s="59">
        <v>-45.704536040834796</v>
      </c>
    </row>
    <row r="578" spans="1:4" x14ac:dyDescent="0.3">
      <c r="A578" s="58">
        <v>2107407</v>
      </c>
      <c r="B578" s="58" t="s">
        <v>1595</v>
      </c>
      <c r="C578" s="59">
        <v>-4.1372759298054111</v>
      </c>
      <c r="D578" s="59">
        <v>-45.119579620499962</v>
      </c>
    </row>
    <row r="579" spans="1:4" x14ac:dyDescent="0.3">
      <c r="A579" s="58">
        <v>2107456</v>
      </c>
      <c r="B579" s="58" t="s">
        <v>1596</v>
      </c>
      <c r="C579" s="59">
        <v>-2.9974776154095353</v>
      </c>
      <c r="D579" s="59">
        <v>-45.003235374472673</v>
      </c>
    </row>
    <row r="580" spans="1:4" x14ac:dyDescent="0.3">
      <c r="A580" s="58">
        <v>2107506</v>
      </c>
      <c r="B580" s="58" t="s">
        <v>1597</v>
      </c>
      <c r="C580" s="59">
        <v>-2.5280630000000004</v>
      </c>
      <c r="D580" s="59">
        <v>-44.098692354840445</v>
      </c>
    </row>
    <row r="581" spans="1:4" x14ac:dyDescent="0.3">
      <c r="A581" s="58">
        <v>2107605</v>
      </c>
      <c r="B581" s="58" t="s">
        <v>1598</v>
      </c>
      <c r="C581" s="59">
        <v>-2.6477742782638853</v>
      </c>
      <c r="D581" s="59">
        <v>-44.90446389231014</v>
      </c>
    </row>
    <row r="582" spans="1:4" x14ac:dyDescent="0.3">
      <c r="A582" s="58">
        <v>2107704</v>
      </c>
      <c r="B582" s="58" t="s">
        <v>1599</v>
      </c>
      <c r="C582" s="59">
        <v>-6.4318254141389168</v>
      </c>
      <c r="D582" s="59">
        <v>-43.985762048822551</v>
      </c>
    </row>
    <row r="583" spans="1:4" x14ac:dyDescent="0.3">
      <c r="A583" s="58">
        <v>2107803</v>
      </c>
      <c r="B583" s="58" t="s">
        <v>1600</v>
      </c>
      <c r="C583" s="59">
        <v>-5.6844671764059003</v>
      </c>
      <c r="D583" s="59">
        <v>-43.090401353470149</v>
      </c>
    </row>
    <row r="584" spans="1:4" x14ac:dyDescent="0.3">
      <c r="A584" s="58">
        <v>2107902</v>
      </c>
      <c r="B584" s="58" t="s">
        <v>1601</v>
      </c>
      <c r="C584" s="59">
        <v>-6.173994425558706</v>
      </c>
      <c r="D584" s="59">
        <v>-43.781745225861997</v>
      </c>
    </row>
    <row r="585" spans="1:4" x14ac:dyDescent="0.3">
      <c r="A585" s="58">
        <v>2108009</v>
      </c>
      <c r="B585" s="58" t="s">
        <v>1602</v>
      </c>
      <c r="C585" s="59">
        <v>-6.6040277320639813</v>
      </c>
      <c r="D585" s="59">
        <v>-44.088602513371889</v>
      </c>
    </row>
    <row r="586" spans="1:4" x14ac:dyDescent="0.3">
      <c r="A586" s="58">
        <v>2108058</v>
      </c>
      <c r="B586" s="58" t="s">
        <v>1603</v>
      </c>
      <c r="C586" s="59">
        <v>-2.7182059898270756</v>
      </c>
      <c r="D586" s="59">
        <v>-42.545423980937343</v>
      </c>
    </row>
    <row r="587" spans="1:4" x14ac:dyDescent="0.3">
      <c r="A587" s="58">
        <v>2108108</v>
      </c>
      <c r="B587" s="58" t="s">
        <v>1604</v>
      </c>
      <c r="C587" s="59">
        <v>-4.4479567659363557</v>
      </c>
      <c r="D587" s="59">
        <v>-45.239980004729908</v>
      </c>
    </row>
    <row r="588" spans="1:4" x14ac:dyDescent="0.3">
      <c r="A588" s="58">
        <v>2108207</v>
      </c>
      <c r="B588" s="58" t="s">
        <v>1605</v>
      </c>
      <c r="C588" s="59">
        <v>-4.5693506880990462</v>
      </c>
      <c r="D588" s="59">
        <v>-44.603734876327053</v>
      </c>
    </row>
    <row r="589" spans="1:4" x14ac:dyDescent="0.3">
      <c r="A589" s="58">
        <v>2108256</v>
      </c>
      <c r="B589" s="58" t="s">
        <v>1606</v>
      </c>
      <c r="C589" s="59">
        <v>-2.9681146726782157</v>
      </c>
      <c r="D589" s="59">
        <v>-45.346453734141548</v>
      </c>
    </row>
    <row r="590" spans="1:4" x14ac:dyDescent="0.3">
      <c r="A590" s="58">
        <v>2108306</v>
      </c>
      <c r="B590" s="58" t="s">
        <v>1607</v>
      </c>
      <c r="C590" s="59">
        <v>-3.2932333177692206</v>
      </c>
      <c r="D590" s="59">
        <v>-45.176461688768804</v>
      </c>
    </row>
    <row r="591" spans="1:4" x14ac:dyDescent="0.3">
      <c r="A591" s="58">
        <v>2108405</v>
      </c>
      <c r="B591" s="58" t="s">
        <v>1608</v>
      </c>
      <c r="C591" s="59">
        <v>-2.5730546485060755</v>
      </c>
      <c r="D591" s="59">
        <v>-44.850290700058885</v>
      </c>
    </row>
    <row r="592" spans="1:4" x14ac:dyDescent="0.3">
      <c r="A592" s="58">
        <v>2108454</v>
      </c>
      <c r="B592" s="58" t="s">
        <v>1609</v>
      </c>
      <c r="C592" s="59">
        <v>-4.3702251176571112</v>
      </c>
      <c r="D592" s="59">
        <v>-44.32585352391488</v>
      </c>
    </row>
    <row r="593" spans="1:4" x14ac:dyDescent="0.3">
      <c r="A593" s="58">
        <v>2108504</v>
      </c>
      <c r="B593" s="58" t="s">
        <v>1610</v>
      </c>
      <c r="C593" s="59">
        <v>-3.6055005749138855</v>
      </c>
      <c r="D593" s="59">
        <v>-45.346867917843277</v>
      </c>
    </row>
    <row r="594" spans="1:4" x14ac:dyDescent="0.3">
      <c r="A594" s="58">
        <v>2108603</v>
      </c>
      <c r="B594" s="58" t="s">
        <v>1611</v>
      </c>
      <c r="C594" s="59">
        <v>-2.5227405000000007</v>
      </c>
      <c r="D594" s="59">
        <v>-45.083926601293747</v>
      </c>
    </row>
    <row r="595" spans="1:4" x14ac:dyDescent="0.3">
      <c r="A595" s="58">
        <v>2108702</v>
      </c>
      <c r="B595" s="58" t="s">
        <v>1612</v>
      </c>
      <c r="C595" s="59">
        <v>-3.8875875301278162</v>
      </c>
      <c r="D595" s="59">
        <v>-45.169960388664997</v>
      </c>
    </row>
    <row r="596" spans="1:4" x14ac:dyDescent="0.3">
      <c r="A596" s="58">
        <v>2108801</v>
      </c>
      <c r="B596" s="58" t="s">
        <v>1613</v>
      </c>
      <c r="C596" s="59">
        <v>-3.7253290661168306</v>
      </c>
      <c r="D596" s="59">
        <v>-44.228280883841535</v>
      </c>
    </row>
    <row r="597" spans="1:4" x14ac:dyDescent="0.3">
      <c r="A597" s="58">
        <v>2108900</v>
      </c>
      <c r="B597" s="58" t="s">
        <v>1614</v>
      </c>
      <c r="C597" s="59">
        <v>-4.7500252112449513</v>
      </c>
      <c r="D597" s="59">
        <v>-44.95155140031514</v>
      </c>
    </row>
    <row r="598" spans="1:4" x14ac:dyDescent="0.3">
      <c r="A598" s="58">
        <v>2109007</v>
      </c>
      <c r="B598" s="58" t="s">
        <v>1615</v>
      </c>
      <c r="C598" s="59">
        <v>-6.3541818639141416</v>
      </c>
      <c r="D598" s="59">
        <v>-47.382164901919289</v>
      </c>
    </row>
    <row r="599" spans="1:4" x14ac:dyDescent="0.3">
      <c r="A599" s="58">
        <v>2109056</v>
      </c>
      <c r="B599" s="58" t="s">
        <v>1616</v>
      </c>
      <c r="C599" s="59">
        <v>-1.8572232148441303</v>
      </c>
      <c r="D599" s="59">
        <v>-44.583747889556832</v>
      </c>
    </row>
    <row r="600" spans="1:4" x14ac:dyDescent="0.3">
      <c r="A600" s="58">
        <v>2109106</v>
      </c>
      <c r="B600" s="58" t="s">
        <v>1617</v>
      </c>
      <c r="C600" s="59">
        <v>-5.2823742577588311</v>
      </c>
      <c r="D600" s="59">
        <v>-44.492918862424638</v>
      </c>
    </row>
    <row r="601" spans="1:4" x14ac:dyDescent="0.3">
      <c r="A601" s="58">
        <v>2109205</v>
      </c>
      <c r="B601" s="58" t="s">
        <v>1618</v>
      </c>
      <c r="C601" s="59">
        <v>-2.928229246149225</v>
      </c>
      <c r="D601" s="59">
        <v>-44.076779421418465</v>
      </c>
    </row>
    <row r="602" spans="1:4" x14ac:dyDescent="0.3">
      <c r="A602" s="58">
        <v>2109239</v>
      </c>
      <c r="B602" s="58" t="s">
        <v>1053</v>
      </c>
      <c r="C602" s="59">
        <v>-2.3836640465391352</v>
      </c>
      <c r="D602" s="59">
        <v>-45.82070864755385</v>
      </c>
    </row>
    <row r="603" spans="1:4" x14ac:dyDescent="0.3">
      <c r="A603" s="58">
        <v>2109270</v>
      </c>
      <c r="B603" s="58" t="s">
        <v>1619</v>
      </c>
      <c r="C603" s="59">
        <v>-2.5955305599059852</v>
      </c>
      <c r="D603" s="59">
        <v>-45.37130226064491</v>
      </c>
    </row>
    <row r="604" spans="1:4" x14ac:dyDescent="0.3">
      <c r="A604" s="58">
        <v>2109304</v>
      </c>
      <c r="B604" s="58" t="s">
        <v>1620</v>
      </c>
      <c r="C604" s="59">
        <v>-3.4020115222065552</v>
      </c>
      <c r="D604" s="59">
        <v>-44.033401867334234</v>
      </c>
    </row>
    <row r="605" spans="1:4" x14ac:dyDescent="0.3">
      <c r="A605" s="58">
        <v>2109403</v>
      </c>
      <c r="B605" s="58" t="s">
        <v>1621</v>
      </c>
      <c r="C605" s="59">
        <v>-2.5105831719635754</v>
      </c>
      <c r="D605" s="59">
        <v>-43.442443304698685</v>
      </c>
    </row>
    <row r="606" spans="1:4" x14ac:dyDescent="0.3">
      <c r="A606" s="58">
        <v>2109452</v>
      </c>
      <c r="B606" s="58" t="s">
        <v>1622</v>
      </c>
      <c r="C606" s="59">
        <v>-2.4150749026286755</v>
      </c>
      <c r="D606" s="59">
        <v>-44.102516164203131</v>
      </c>
    </row>
    <row r="607" spans="1:4" x14ac:dyDescent="0.3">
      <c r="A607" s="58">
        <v>2109502</v>
      </c>
      <c r="B607" s="58" t="s">
        <v>1623</v>
      </c>
      <c r="C607" s="59">
        <v>-7.3645650002402068</v>
      </c>
      <c r="D607" s="59">
        <v>-46.623350142907434</v>
      </c>
    </row>
    <row r="608" spans="1:4" x14ac:dyDescent="0.3">
      <c r="A608" s="58">
        <v>2109551</v>
      </c>
      <c r="B608" s="58" t="s">
        <v>1624</v>
      </c>
      <c r="C608" s="59">
        <v>-5.9338228588185711</v>
      </c>
      <c r="D608" s="59">
        <v>-47.383477787079933</v>
      </c>
    </row>
    <row r="609" spans="1:4" x14ac:dyDescent="0.3">
      <c r="A609" s="58">
        <v>2109601</v>
      </c>
      <c r="B609" s="58" t="s">
        <v>1625</v>
      </c>
      <c r="C609" s="59">
        <v>-2.9415430350000009</v>
      </c>
      <c r="D609" s="59">
        <v>-44.247518595261518</v>
      </c>
    </row>
    <row r="610" spans="1:4" x14ac:dyDescent="0.3">
      <c r="A610" s="58">
        <v>2109700</v>
      </c>
      <c r="B610" s="58" t="s">
        <v>1626</v>
      </c>
      <c r="C610" s="59">
        <v>-7.1383508974979613</v>
      </c>
      <c r="D610" s="59">
        <v>-45.344203198013908</v>
      </c>
    </row>
    <row r="611" spans="1:4" x14ac:dyDescent="0.3">
      <c r="A611" s="58">
        <v>2109759</v>
      </c>
      <c r="B611" s="58" t="s">
        <v>1627</v>
      </c>
      <c r="C611" s="59">
        <v>-5.4997668067220955</v>
      </c>
      <c r="D611" s="59">
        <v>-44.563714040131167</v>
      </c>
    </row>
    <row r="612" spans="1:4" x14ac:dyDescent="0.3">
      <c r="A612" s="58">
        <v>2109809</v>
      </c>
      <c r="B612" s="58" t="s">
        <v>1628</v>
      </c>
      <c r="C612" s="59">
        <v>-2.2345325089267556</v>
      </c>
      <c r="D612" s="59">
        <v>-45.305161193237865</v>
      </c>
    </row>
    <row r="613" spans="1:4" x14ac:dyDescent="0.3">
      <c r="A613" s="58">
        <v>2109908</v>
      </c>
      <c r="B613" s="58" t="s">
        <v>1629</v>
      </c>
      <c r="C613" s="59">
        <v>-3.6585745200000006</v>
      </c>
      <c r="D613" s="59">
        <v>-45.378272452302404</v>
      </c>
    </row>
    <row r="614" spans="1:4" x14ac:dyDescent="0.3">
      <c r="A614" s="58">
        <v>2110005</v>
      </c>
      <c r="B614" s="58" t="s">
        <v>1630</v>
      </c>
      <c r="C614" s="59">
        <v>-3.9683914650000007</v>
      </c>
      <c r="D614" s="59">
        <v>-45.665011724937195</v>
      </c>
    </row>
    <row r="615" spans="1:4" x14ac:dyDescent="0.3">
      <c r="A615" s="58">
        <v>2110039</v>
      </c>
      <c r="B615" s="58" t="s">
        <v>1631</v>
      </c>
      <c r="C615" s="59">
        <v>-2.5461614748149053</v>
      </c>
      <c r="D615" s="59">
        <v>-45.776461561590068</v>
      </c>
    </row>
    <row r="616" spans="1:4" x14ac:dyDescent="0.3">
      <c r="A616" s="58">
        <v>2110104</v>
      </c>
      <c r="B616" s="58" t="s">
        <v>1632</v>
      </c>
      <c r="C616" s="59">
        <v>-3.4984849951150911</v>
      </c>
      <c r="D616" s="59">
        <v>-42.56287300973522</v>
      </c>
    </row>
    <row r="617" spans="1:4" x14ac:dyDescent="0.3">
      <c r="A617" s="58">
        <v>2110203</v>
      </c>
      <c r="B617" s="58" t="s">
        <v>1633</v>
      </c>
      <c r="C617" s="59">
        <v>-3.1341167656710209</v>
      </c>
      <c r="D617" s="59">
        <v>-44.319948081875737</v>
      </c>
    </row>
    <row r="618" spans="1:4" x14ac:dyDescent="0.3">
      <c r="A618" s="58">
        <v>2110237</v>
      </c>
      <c r="B618" s="58" t="s">
        <v>1634</v>
      </c>
      <c r="C618" s="59">
        <v>-3.1130683427816854</v>
      </c>
      <c r="D618" s="59">
        <v>-42.400767757189342</v>
      </c>
    </row>
    <row r="619" spans="1:4" x14ac:dyDescent="0.3">
      <c r="A619" s="58">
        <v>2110278</v>
      </c>
      <c r="B619" s="58" t="s">
        <v>1635</v>
      </c>
      <c r="C619" s="59">
        <v>-2.5027211989686955</v>
      </c>
      <c r="D619" s="59">
        <v>-43.255284942244757</v>
      </c>
    </row>
    <row r="620" spans="1:4" x14ac:dyDescent="0.3">
      <c r="A620" s="58">
        <v>2110302</v>
      </c>
      <c r="B620" s="58" t="s">
        <v>1636</v>
      </c>
      <c r="C620" s="59">
        <v>-4.8738195755970262</v>
      </c>
      <c r="D620" s="59">
        <v>-44.361447433801935</v>
      </c>
    </row>
    <row r="621" spans="1:4" x14ac:dyDescent="0.3">
      <c r="A621" s="58">
        <v>2110401</v>
      </c>
      <c r="B621" s="58" t="s">
        <v>1637</v>
      </c>
      <c r="C621" s="59">
        <v>-3.3327660037302556</v>
      </c>
      <c r="D621" s="59">
        <v>-43.529991870162931</v>
      </c>
    </row>
    <row r="622" spans="1:4" x14ac:dyDescent="0.3">
      <c r="A622" s="58">
        <v>2110500</v>
      </c>
      <c r="B622" s="58" t="s">
        <v>1638</v>
      </c>
      <c r="C622" s="59">
        <v>-2.6970075000000002</v>
      </c>
      <c r="D622" s="59">
        <v>-44.828345179924248</v>
      </c>
    </row>
    <row r="623" spans="1:4" x14ac:dyDescent="0.3">
      <c r="A623" s="58">
        <v>2110609</v>
      </c>
      <c r="B623" s="58" t="s">
        <v>1639</v>
      </c>
      <c r="C623" s="59">
        <v>-3.3654365101107353</v>
      </c>
      <c r="D623" s="59">
        <v>-42.423009660914055</v>
      </c>
    </row>
    <row r="624" spans="1:4" x14ac:dyDescent="0.3">
      <c r="A624" s="58">
        <v>2110658</v>
      </c>
      <c r="B624" s="58" t="s">
        <v>1640</v>
      </c>
      <c r="C624" s="59">
        <v>-6.8044250097513803</v>
      </c>
      <c r="D624" s="59">
        <v>-44.650423910253579</v>
      </c>
    </row>
    <row r="625" spans="1:4" x14ac:dyDescent="0.3">
      <c r="A625" s="58">
        <v>2110708</v>
      </c>
      <c r="B625" s="58" t="s">
        <v>1641</v>
      </c>
      <c r="C625" s="59">
        <v>-5.5656420001824012</v>
      </c>
      <c r="D625" s="59">
        <v>-44.392879256866571</v>
      </c>
    </row>
    <row r="626" spans="1:4" x14ac:dyDescent="0.3">
      <c r="A626" s="58">
        <v>2110807</v>
      </c>
      <c r="B626" s="58" t="s">
        <v>1642</v>
      </c>
      <c r="C626" s="59">
        <v>-7.0846851542497564</v>
      </c>
      <c r="D626" s="59">
        <v>-44.811447661475121</v>
      </c>
    </row>
    <row r="627" spans="1:4" x14ac:dyDescent="0.3">
      <c r="A627" s="58">
        <v>2110856</v>
      </c>
      <c r="B627" s="58" t="s">
        <v>1643</v>
      </c>
      <c r="C627" s="59">
        <v>-5.1302007871662711</v>
      </c>
      <c r="D627" s="59">
        <v>-47.391137398594658</v>
      </c>
    </row>
    <row r="628" spans="1:4" x14ac:dyDescent="0.3">
      <c r="A628" s="58">
        <v>2110906</v>
      </c>
      <c r="B628" s="58" t="s">
        <v>1644</v>
      </c>
      <c r="C628" s="59">
        <v>-6.2527979166509011</v>
      </c>
      <c r="D628" s="59">
        <v>-42.865321727557699</v>
      </c>
    </row>
    <row r="629" spans="1:4" x14ac:dyDescent="0.3">
      <c r="A629" s="58">
        <v>2111003</v>
      </c>
      <c r="B629" s="58" t="s">
        <v>1645</v>
      </c>
      <c r="C629" s="59">
        <v>-2.9533329124580505</v>
      </c>
      <c r="D629" s="59">
        <v>-44.81176185306483</v>
      </c>
    </row>
    <row r="630" spans="1:4" x14ac:dyDescent="0.3">
      <c r="A630" s="58">
        <v>2111029</v>
      </c>
      <c r="B630" s="58" t="s">
        <v>1646</v>
      </c>
      <c r="C630" s="59">
        <v>-3.5608034068608601</v>
      </c>
      <c r="D630" s="59">
        <v>-46.254925482726314</v>
      </c>
    </row>
    <row r="631" spans="1:4" x14ac:dyDescent="0.3">
      <c r="A631" s="58">
        <v>2111052</v>
      </c>
      <c r="B631" s="58" t="s">
        <v>1647</v>
      </c>
      <c r="C631" s="59">
        <v>-6.4662222863639762</v>
      </c>
      <c r="D631" s="59">
        <v>-47.05061042049519</v>
      </c>
    </row>
    <row r="632" spans="1:4" x14ac:dyDescent="0.3">
      <c r="A632" s="58">
        <v>2111078</v>
      </c>
      <c r="B632" s="58" t="s">
        <v>1648</v>
      </c>
      <c r="C632" s="59">
        <v>-5.1157392643699708</v>
      </c>
      <c r="D632" s="59">
        <v>-43.818181795106135</v>
      </c>
    </row>
    <row r="633" spans="1:4" x14ac:dyDescent="0.3">
      <c r="A633" s="58">
        <v>2111102</v>
      </c>
      <c r="B633" s="58" t="s">
        <v>1649</v>
      </c>
      <c r="C633" s="59">
        <v>-6.4982081521098012</v>
      </c>
      <c r="D633" s="59">
        <v>-43.702910165795821</v>
      </c>
    </row>
    <row r="634" spans="1:4" x14ac:dyDescent="0.3">
      <c r="A634" s="58">
        <v>2111201</v>
      </c>
      <c r="B634" s="58" t="s">
        <v>1650</v>
      </c>
      <c r="C634" s="59">
        <v>-2.5558585200000006</v>
      </c>
      <c r="D634" s="59">
        <v>-44.057548115053152</v>
      </c>
    </row>
    <row r="635" spans="1:4" x14ac:dyDescent="0.3">
      <c r="A635" s="58">
        <v>2111250</v>
      </c>
      <c r="B635" s="58" t="s">
        <v>1651</v>
      </c>
      <c r="C635" s="59">
        <v>-5.0486872451511706</v>
      </c>
      <c r="D635" s="59">
        <v>-44.582446517558068</v>
      </c>
    </row>
    <row r="636" spans="1:4" x14ac:dyDescent="0.3">
      <c r="A636" s="58">
        <v>2111300</v>
      </c>
      <c r="B636" s="58" t="s">
        <v>1652</v>
      </c>
      <c r="C636" s="59">
        <v>-2.5318859850833904</v>
      </c>
      <c r="D636" s="59">
        <v>-44.297918564244377</v>
      </c>
    </row>
    <row r="637" spans="1:4" x14ac:dyDescent="0.3">
      <c r="A637" s="58">
        <v>2111409</v>
      </c>
      <c r="B637" s="58" t="s">
        <v>1653</v>
      </c>
      <c r="C637" s="59">
        <v>-4.3739184905659254</v>
      </c>
      <c r="D637" s="59">
        <v>-44.662708496449802</v>
      </c>
    </row>
    <row r="638" spans="1:4" x14ac:dyDescent="0.3">
      <c r="A638" s="58">
        <v>2111508</v>
      </c>
      <c r="B638" s="58" t="s">
        <v>1654</v>
      </c>
      <c r="C638" s="59">
        <v>-4.0345505101326147</v>
      </c>
      <c r="D638" s="59">
        <v>-44.468562811094557</v>
      </c>
    </row>
    <row r="639" spans="1:4" x14ac:dyDescent="0.3">
      <c r="A639" s="58">
        <v>2111532</v>
      </c>
      <c r="B639" s="58" t="s">
        <v>1655</v>
      </c>
      <c r="C639" s="59">
        <v>-5.0889109974074058</v>
      </c>
      <c r="D639" s="59">
        <v>-48.423623593645623</v>
      </c>
    </row>
    <row r="640" spans="1:4" x14ac:dyDescent="0.3">
      <c r="A640" s="58">
        <v>2111573</v>
      </c>
      <c r="B640" s="58" t="s">
        <v>1656</v>
      </c>
      <c r="C640" s="59">
        <v>-6.8285556408383448</v>
      </c>
      <c r="D640" s="59">
        <v>-46.532580347369802</v>
      </c>
    </row>
    <row r="641" spans="1:4" x14ac:dyDescent="0.3">
      <c r="A641" s="58">
        <v>2111607</v>
      </c>
      <c r="B641" s="58" t="s">
        <v>1657</v>
      </c>
      <c r="C641" s="59">
        <v>-7.0269626571684762</v>
      </c>
      <c r="D641" s="59">
        <v>-45.484831430220225</v>
      </c>
    </row>
    <row r="642" spans="1:4" x14ac:dyDescent="0.3">
      <c r="A642" s="58">
        <v>2111631</v>
      </c>
      <c r="B642" s="58" t="s">
        <v>1658</v>
      </c>
      <c r="C642" s="59">
        <v>-5.1031818448971604</v>
      </c>
      <c r="D642" s="59">
        <v>-45.084162790278292</v>
      </c>
    </row>
    <row r="643" spans="1:4" x14ac:dyDescent="0.3">
      <c r="A643" s="58">
        <v>2111672</v>
      </c>
      <c r="B643" s="58" t="s">
        <v>1659</v>
      </c>
      <c r="C643" s="59">
        <v>-5.0173668823808866</v>
      </c>
      <c r="D643" s="59">
        <v>-44.991901159293405</v>
      </c>
    </row>
    <row r="644" spans="1:4" x14ac:dyDescent="0.3">
      <c r="A644" s="58">
        <v>2111706</v>
      </c>
      <c r="B644" s="58" t="s">
        <v>1660</v>
      </c>
      <c r="C644" s="59">
        <v>-2.8907310643779458</v>
      </c>
      <c r="D644" s="59">
        <v>-44.886904576614555</v>
      </c>
    </row>
    <row r="645" spans="1:4" x14ac:dyDescent="0.3">
      <c r="A645" s="58">
        <v>2111722</v>
      </c>
      <c r="B645" s="58" t="s">
        <v>1661</v>
      </c>
      <c r="C645" s="59">
        <v>-4.0357354948102806</v>
      </c>
      <c r="D645" s="59">
        <v>-45.233629576248077</v>
      </c>
    </row>
    <row r="646" spans="1:4" x14ac:dyDescent="0.3">
      <c r="A646" s="58">
        <v>2111748</v>
      </c>
      <c r="B646" s="58" t="s">
        <v>1662</v>
      </c>
      <c r="C646" s="59">
        <v>-5.2610765443838856</v>
      </c>
      <c r="D646" s="59">
        <v>-44.056301506417029</v>
      </c>
    </row>
    <row r="647" spans="1:4" x14ac:dyDescent="0.3">
      <c r="A647" s="58">
        <v>2111763</v>
      </c>
      <c r="B647" s="58" t="s">
        <v>1663</v>
      </c>
      <c r="C647" s="59">
        <v>-5.4418324951783861</v>
      </c>
      <c r="D647" s="59">
        <v>-47.289191423982174</v>
      </c>
    </row>
    <row r="648" spans="1:4" x14ac:dyDescent="0.3">
      <c r="A648" s="58">
        <v>2111789</v>
      </c>
      <c r="B648" s="58" t="s">
        <v>1664</v>
      </c>
      <c r="C648" s="59">
        <v>-1.8526455417275205</v>
      </c>
      <c r="D648" s="59">
        <v>-45.114640849743466</v>
      </c>
    </row>
    <row r="649" spans="1:4" x14ac:dyDescent="0.3">
      <c r="A649" s="58">
        <v>2111805</v>
      </c>
      <c r="B649" s="58" t="s">
        <v>814</v>
      </c>
      <c r="C649" s="59">
        <v>-5.8706298913123414</v>
      </c>
      <c r="D649" s="59">
        <v>-46.694983340680835</v>
      </c>
    </row>
    <row r="650" spans="1:4" x14ac:dyDescent="0.3">
      <c r="A650" s="58">
        <v>2111904</v>
      </c>
      <c r="B650" s="58" t="s">
        <v>1665</v>
      </c>
      <c r="C650" s="59">
        <v>-6.4782844476203607</v>
      </c>
      <c r="D650" s="59">
        <v>-44.18860270519027</v>
      </c>
    </row>
    <row r="651" spans="1:4" x14ac:dyDescent="0.3">
      <c r="A651" s="58">
        <v>2111953</v>
      </c>
      <c r="B651" s="58" t="s">
        <v>1666</v>
      </c>
      <c r="C651" s="59">
        <v>-6.420108405126471</v>
      </c>
      <c r="D651" s="59">
        <v>-43.545853320845154</v>
      </c>
    </row>
    <row r="652" spans="1:4" x14ac:dyDescent="0.3">
      <c r="A652" s="58">
        <v>2112001</v>
      </c>
      <c r="B652" s="58" t="s">
        <v>1667</v>
      </c>
      <c r="C652" s="59">
        <v>-8.4798310178668803</v>
      </c>
      <c r="D652" s="59">
        <v>-45.744123517510225</v>
      </c>
    </row>
    <row r="653" spans="1:4" x14ac:dyDescent="0.3">
      <c r="A653" s="58">
        <v>2112100</v>
      </c>
      <c r="B653" s="58" t="s">
        <v>1668</v>
      </c>
      <c r="C653" s="59">
        <v>-4.2538405050000012</v>
      </c>
      <c r="D653" s="59">
        <v>-43.938433973839146</v>
      </c>
    </row>
    <row r="654" spans="1:4" x14ac:dyDescent="0.3">
      <c r="A654" s="58">
        <v>2112209</v>
      </c>
      <c r="B654" s="58" t="s">
        <v>1669</v>
      </c>
      <c r="C654" s="59">
        <v>-5.1006811101293472</v>
      </c>
      <c r="D654" s="59">
        <v>-42.833727898859664</v>
      </c>
    </row>
    <row r="655" spans="1:4" x14ac:dyDescent="0.3">
      <c r="A655" s="58">
        <v>2112233</v>
      </c>
      <c r="B655" s="58" t="s">
        <v>1670</v>
      </c>
      <c r="C655" s="59">
        <v>-4.5701268566099706</v>
      </c>
      <c r="D655" s="59">
        <v>-44.610685196646109</v>
      </c>
    </row>
    <row r="656" spans="1:4" x14ac:dyDescent="0.3">
      <c r="A656" s="58">
        <v>2112274</v>
      </c>
      <c r="B656" s="58" t="s">
        <v>1671</v>
      </c>
      <c r="C656" s="59">
        <v>-3.6764041183838003</v>
      </c>
      <c r="D656" s="59">
        <v>-45.633916475681808</v>
      </c>
    </row>
    <row r="657" spans="1:4" x14ac:dyDescent="0.3">
      <c r="A657" s="58">
        <v>2112308</v>
      </c>
      <c r="B657" s="58" t="s">
        <v>1672</v>
      </c>
      <c r="C657" s="59">
        <v>-5.2496555400000009</v>
      </c>
      <c r="D657" s="59">
        <v>-44.649012151664735</v>
      </c>
    </row>
    <row r="658" spans="1:4" x14ac:dyDescent="0.3">
      <c r="A658" s="58">
        <v>2112407</v>
      </c>
      <c r="B658" s="58" t="s">
        <v>1673</v>
      </c>
      <c r="C658" s="59">
        <v>-1.6690220476817303</v>
      </c>
      <c r="D658" s="59">
        <v>-45.369152417224079</v>
      </c>
    </row>
    <row r="659" spans="1:4" x14ac:dyDescent="0.3">
      <c r="A659" s="58">
        <v>2112456</v>
      </c>
      <c r="B659" s="58" t="s">
        <v>1674</v>
      </c>
      <c r="C659" s="59">
        <v>-2.2288335249505207</v>
      </c>
      <c r="D659" s="59">
        <v>-45.306765311970011</v>
      </c>
    </row>
    <row r="660" spans="1:4" x14ac:dyDescent="0.3">
      <c r="A660" s="58">
        <v>2112506</v>
      </c>
      <c r="B660" s="58" t="s">
        <v>1675</v>
      </c>
      <c r="C660" s="59">
        <v>-2.7635501968886858</v>
      </c>
      <c r="D660" s="59">
        <v>-42.276847207694331</v>
      </c>
    </row>
    <row r="661" spans="1:4" x14ac:dyDescent="0.3">
      <c r="A661" s="58">
        <v>2112605</v>
      </c>
      <c r="B661" s="58" t="s">
        <v>1676</v>
      </c>
      <c r="C661" s="59">
        <v>-3.2084094995858652</v>
      </c>
      <c r="D661" s="59">
        <v>-43.404248472356237</v>
      </c>
    </row>
    <row r="662" spans="1:4" x14ac:dyDescent="0.3">
      <c r="A662" s="58">
        <v>2112704</v>
      </c>
      <c r="B662" s="58" t="s">
        <v>1677</v>
      </c>
      <c r="C662" s="59">
        <v>-3.5418960001165156</v>
      </c>
      <c r="D662" s="59">
        <v>-43.916664490165211</v>
      </c>
    </row>
    <row r="663" spans="1:4" x14ac:dyDescent="0.3">
      <c r="A663" s="58">
        <v>2112803</v>
      </c>
      <c r="B663" s="58" t="s">
        <v>1678</v>
      </c>
      <c r="C663" s="59">
        <v>-3.2145625130662459</v>
      </c>
      <c r="D663" s="59">
        <v>-45.001306695261597</v>
      </c>
    </row>
    <row r="664" spans="1:4" x14ac:dyDescent="0.3">
      <c r="A664" s="58">
        <v>2112852</v>
      </c>
      <c r="B664" s="58" t="s">
        <v>1679</v>
      </c>
      <c r="C664" s="59">
        <v>-5.1835115192042718</v>
      </c>
      <c r="D664" s="59">
        <v>-48.138926482600951</v>
      </c>
    </row>
    <row r="665" spans="1:4" x14ac:dyDescent="0.3">
      <c r="A665" s="58">
        <v>2112902</v>
      </c>
      <c r="B665" s="58" t="s">
        <v>1680</v>
      </c>
      <c r="C665" s="59">
        <v>-3.4820473645466108</v>
      </c>
      <c r="D665" s="59">
        <v>-44.869572240558945</v>
      </c>
    </row>
    <row r="666" spans="1:4" x14ac:dyDescent="0.3">
      <c r="A666" s="58">
        <v>2113009</v>
      </c>
      <c r="B666" s="58" t="s">
        <v>1681</v>
      </c>
      <c r="C666" s="59">
        <v>-4.2911865001409906</v>
      </c>
      <c r="D666" s="59">
        <v>-45.244185143155015</v>
      </c>
    </row>
    <row r="667" spans="1:4" x14ac:dyDescent="0.3">
      <c r="A667" s="58">
        <v>2114007</v>
      </c>
      <c r="B667" s="58" t="s">
        <v>1682</v>
      </c>
      <c r="C667" s="59">
        <v>-3.2754805</v>
      </c>
      <c r="D667" s="59">
        <v>-45.657697860604991</v>
      </c>
    </row>
    <row r="668" spans="1:4" x14ac:dyDescent="0.3">
      <c r="A668" s="58">
        <v>2200053</v>
      </c>
      <c r="B668" s="58" t="s">
        <v>1683</v>
      </c>
      <c r="C668" s="59">
        <v>-8.2207866628776216</v>
      </c>
      <c r="D668" s="59">
        <v>-41.08363781723866</v>
      </c>
    </row>
    <row r="669" spans="1:4" x14ac:dyDescent="0.3">
      <c r="A669" s="58">
        <v>2200103</v>
      </c>
      <c r="B669" s="58" t="s">
        <v>1684</v>
      </c>
      <c r="C669" s="59">
        <v>-5.7955019354348059</v>
      </c>
      <c r="D669" s="59">
        <v>-42.659183197435574</v>
      </c>
    </row>
    <row r="670" spans="1:4" x14ac:dyDescent="0.3">
      <c r="A670" s="58">
        <v>2200202</v>
      </c>
      <c r="B670" s="58" t="s">
        <v>1685</v>
      </c>
      <c r="C670" s="59">
        <v>-5.8932663379450796</v>
      </c>
      <c r="D670" s="59">
        <v>-42.635130859958537</v>
      </c>
    </row>
    <row r="671" spans="1:4" x14ac:dyDescent="0.3">
      <c r="A671" s="58">
        <v>2200251</v>
      </c>
      <c r="B671" s="58" t="s">
        <v>1686</v>
      </c>
      <c r="C671" s="59">
        <v>-7.0081752801499775</v>
      </c>
      <c r="D671" s="59">
        <v>-40.934634816919221</v>
      </c>
    </row>
    <row r="672" spans="1:4" x14ac:dyDescent="0.3">
      <c r="A672" s="58">
        <v>2200277</v>
      </c>
      <c r="B672" s="58" t="s">
        <v>1687</v>
      </c>
      <c r="C672" s="59">
        <v>-7.2453494663005005</v>
      </c>
      <c r="D672" s="59">
        <v>-40.857862989614596</v>
      </c>
    </row>
    <row r="673" spans="1:4" x14ac:dyDescent="0.3">
      <c r="A673" s="58">
        <v>2200301</v>
      </c>
      <c r="B673" s="58" t="s">
        <v>1688</v>
      </c>
      <c r="C673" s="59">
        <v>-5.2509930113512713</v>
      </c>
      <c r="D673" s="59">
        <v>-42.210321962160997</v>
      </c>
    </row>
    <row r="674" spans="1:4" x14ac:dyDescent="0.3">
      <c r="A674" s="58">
        <v>2200400</v>
      </c>
      <c r="B674" s="58" t="s">
        <v>1689</v>
      </c>
      <c r="C674" s="59">
        <v>-5.0365464343405515</v>
      </c>
      <c r="D674" s="59">
        <v>-42.460948035556832</v>
      </c>
    </row>
    <row r="675" spans="1:4" x14ac:dyDescent="0.3">
      <c r="A675" s="58">
        <v>2200459</v>
      </c>
      <c r="B675" s="58" t="s">
        <v>1690</v>
      </c>
      <c r="C675" s="59">
        <v>-8.4439590722839188</v>
      </c>
      <c r="D675" s="59">
        <v>-43.863071578921641</v>
      </c>
    </row>
    <row r="676" spans="1:4" x14ac:dyDescent="0.3">
      <c r="A676" s="58">
        <v>2200509</v>
      </c>
      <c r="B676" s="58" t="s">
        <v>1691</v>
      </c>
      <c r="C676" s="59">
        <v>-6.2466107721736659</v>
      </c>
      <c r="D676" s="59">
        <v>-42.853692823032709</v>
      </c>
    </row>
    <row r="677" spans="1:4" x14ac:dyDescent="0.3">
      <c r="A677" s="58">
        <v>2200608</v>
      </c>
      <c r="B677" s="58" t="s">
        <v>1692</v>
      </c>
      <c r="C677" s="59">
        <v>-6.0872416921295907</v>
      </c>
      <c r="D677" s="59">
        <v>-42.743865748428156</v>
      </c>
    </row>
    <row r="678" spans="1:4" x14ac:dyDescent="0.3">
      <c r="A678" s="58">
        <v>2200707</v>
      </c>
      <c r="B678" s="58" t="s">
        <v>1693</v>
      </c>
      <c r="C678" s="59">
        <v>-9.1749185309069343</v>
      </c>
      <c r="D678" s="59">
        <v>-43.03485333205456</v>
      </c>
    </row>
    <row r="679" spans="1:4" x14ac:dyDescent="0.3">
      <c r="A679" s="58">
        <v>2200806</v>
      </c>
      <c r="B679" s="58" t="s">
        <v>1694</v>
      </c>
      <c r="C679" s="59">
        <v>-7.2193558340069615</v>
      </c>
      <c r="D679" s="59">
        <v>-44.196535320018278</v>
      </c>
    </row>
    <row r="680" spans="1:4" x14ac:dyDescent="0.3">
      <c r="A680" s="58">
        <v>2200905</v>
      </c>
      <c r="B680" s="58" t="s">
        <v>1695</v>
      </c>
      <c r="C680" s="59">
        <v>-6.1128502562638154</v>
      </c>
      <c r="D680" s="59">
        <v>-41.797453338793964</v>
      </c>
    </row>
    <row r="681" spans="1:4" x14ac:dyDescent="0.3">
      <c r="A681" s="58">
        <v>2200954</v>
      </c>
      <c r="B681" s="58" t="s">
        <v>1696</v>
      </c>
      <c r="C681" s="59">
        <v>-7.2787454649721504</v>
      </c>
      <c r="D681" s="59">
        <v>-41.563204418261229</v>
      </c>
    </row>
    <row r="682" spans="1:4" x14ac:dyDescent="0.3">
      <c r="A682" s="58">
        <v>2201002</v>
      </c>
      <c r="B682" s="58" t="s">
        <v>1697</v>
      </c>
      <c r="C682" s="59">
        <v>-6.6508270274781314</v>
      </c>
      <c r="D682" s="59">
        <v>-42.536566624656899</v>
      </c>
    </row>
    <row r="683" spans="1:4" x14ac:dyDescent="0.3">
      <c r="A683" s="58">
        <v>2201051</v>
      </c>
      <c r="B683" s="58" t="s">
        <v>1698</v>
      </c>
      <c r="C683" s="59">
        <v>-5.8649144945275973</v>
      </c>
      <c r="D683" s="59">
        <v>-41.050829996482783</v>
      </c>
    </row>
    <row r="684" spans="1:4" x14ac:dyDescent="0.3">
      <c r="A684" s="58">
        <v>2201101</v>
      </c>
      <c r="B684" s="58" t="s">
        <v>1699</v>
      </c>
      <c r="C684" s="59">
        <v>-10.134745012848301</v>
      </c>
      <c r="D684" s="59">
        <v>-43.941510141795916</v>
      </c>
    </row>
    <row r="685" spans="1:4" x14ac:dyDescent="0.3">
      <c r="A685" s="58">
        <v>2201150</v>
      </c>
      <c r="B685" s="58" t="s">
        <v>1700</v>
      </c>
      <c r="C685" s="59">
        <v>-7.8533519591854866</v>
      </c>
      <c r="D685" s="59">
        <v>-45.212815292566987</v>
      </c>
    </row>
    <row r="686" spans="1:4" x14ac:dyDescent="0.3">
      <c r="A686" s="58">
        <v>2201176</v>
      </c>
      <c r="B686" s="58" t="s">
        <v>1701</v>
      </c>
      <c r="C686" s="59">
        <v>-6.5188730722938963</v>
      </c>
      <c r="D686" s="59">
        <v>-42.105002082581926</v>
      </c>
    </row>
    <row r="687" spans="1:4" x14ac:dyDescent="0.3">
      <c r="A687" s="58">
        <v>2201200</v>
      </c>
      <c r="B687" s="58" t="s">
        <v>1702</v>
      </c>
      <c r="C687" s="59">
        <v>-4.2430933543436753</v>
      </c>
      <c r="D687" s="59">
        <v>-42.295339857346384</v>
      </c>
    </row>
    <row r="688" spans="1:4" x14ac:dyDescent="0.3">
      <c r="A688" s="58">
        <v>2201309</v>
      </c>
      <c r="B688" s="58" t="s">
        <v>1703</v>
      </c>
      <c r="C688" s="59">
        <v>-9.9212468267430562</v>
      </c>
      <c r="D688" s="59">
        <v>-45.477787705450339</v>
      </c>
    </row>
    <row r="689" spans="1:4" x14ac:dyDescent="0.3">
      <c r="A689" s="58">
        <v>2201408</v>
      </c>
      <c r="B689" s="58" t="s">
        <v>1704</v>
      </c>
      <c r="C689" s="59">
        <v>-5.8123597078159204</v>
      </c>
      <c r="D689" s="59">
        <v>-42.513377822116283</v>
      </c>
    </row>
    <row r="690" spans="1:4" x14ac:dyDescent="0.3">
      <c r="A690" s="58">
        <v>2201507</v>
      </c>
      <c r="B690" s="58" t="s">
        <v>1705</v>
      </c>
      <c r="C690" s="59">
        <v>-4.0204123357539006</v>
      </c>
      <c r="D690" s="59">
        <v>-42.075218732031011</v>
      </c>
    </row>
    <row r="691" spans="1:4" x14ac:dyDescent="0.3">
      <c r="A691" s="58">
        <v>2201556</v>
      </c>
      <c r="B691" s="58" t="s">
        <v>1706</v>
      </c>
      <c r="C691" s="59">
        <v>-7.9721853195718655</v>
      </c>
      <c r="D691" s="59">
        <v>-41.871379643970897</v>
      </c>
    </row>
    <row r="692" spans="1:4" x14ac:dyDescent="0.3">
      <c r="A692" s="58">
        <v>2201572</v>
      </c>
      <c r="B692" s="58" t="s">
        <v>1707</v>
      </c>
      <c r="C692" s="59">
        <v>-7.3701396155186707</v>
      </c>
      <c r="D692" s="59">
        <v>-40.970302190694198</v>
      </c>
    </row>
    <row r="693" spans="1:4" x14ac:dyDescent="0.3">
      <c r="A693" s="58">
        <v>2201606</v>
      </c>
      <c r="B693" s="58" t="s">
        <v>1708</v>
      </c>
      <c r="C693" s="59">
        <v>-5.447602860240365</v>
      </c>
      <c r="D693" s="59">
        <v>-42.370616702474692</v>
      </c>
    </row>
    <row r="694" spans="1:4" x14ac:dyDescent="0.3">
      <c r="A694" s="58">
        <v>2201705</v>
      </c>
      <c r="B694" s="58" t="s">
        <v>1709</v>
      </c>
      <c r="C694" s="59">
        <v>-7.628624763104332</v>
      </c>
      <c r="D694" s="59">
        <v>-43.954387739102643</v>
      </c>
    </row>
    <row r="695" spans="1:4" x14ac:dyDescent="0.3">
      <c r="A695" s="58">
        <v>2201739</v>
      </c>
      <c r="B695" s="58" t="s">
        <v>1710</v>
      </c>
      <c r="C695" s="59">
        <v>-8.1456655772957607</v>
      </c>
      <c r="D695" s="59">
        <v>-40.796621928823491</v>
      </c>
    </row>
    <row r="696" spans="1:4" x14ac:dyDescent="0.3">
      <c r="A696" s="58">
        <v>2201770</v>
      </c>
      <c r="B696" s="58" t="s">
        <v>1711</v>
      </c>
      <c r="C696" s="59">
        <v>-4.409009605802356</v>
      </c>
      <c r="D696" s="59">
        <v>-42.125295735875532</v>
      </c>
    </row>
    <row r="697" spans="1:4" x14ac:dyDescent="0.3">
      <c r="A697" s="58">
        <v>2201804</v>
      </c>
      <c r="B697" s="58" t="s">
        <v>1712</v>
      </c>
      <c r="C697" s="59">
        <v>-6.954842332595577</v>
      </c>
      <c r="D697" s="59">
        <v>-41.322340682651337</v>
      </c>
    </row>
    <row r="698" spans="1:4" x14ac:dyDescent="0.3">
      <c r="A698" s="58">
        <v>2201903</v>
      </c>
      <c r="B698" s="58" t="s">
        <v>1713</v>
      </c>
      <c r="C698" s="59">
        <v>-9.0709489836737216</v>
      </c>
      <c r="D698" s="59">
        <v>-44.360525084823848</v>
      </c>
    </row>
    <row r="699" spans="1:4" x14ac:dyDescent="0.3">
      <c r="A699" s="58">
        <v>2201919</v>
      </c>
      <c r="B699" s="58" t="s">
        <v>1714</v>
      </c>
      <c r="C699" s="59">
        <v>-3.189858687605386</v>
      </c>
      <c r="D699" s="59">
        <v>-41.645209570125537</v>
      </c>
    </row>
    <row r="700" spans="1:4" x14ac:dyDescent="0.3">
      <c r="A700" s="58">
        <v>2201929</v>
      </c>
      <c r="B700" s="58" t="s">
        <v>1715</v>
      </c>
      <c r="C700" s="59">
        <v>-9.1665605392746574</v>
      </c>
      <c r="D700" s="59">
        <v>-42.879663065094313</v>
      </c>
    </row>
    <row r="701" spans="1:4" x14ac:dyDescent="0.3">
      <c r="A701" s="58">
        <v>2201945</v>
      </c>
      <c r="B701" s="58" t="s">
        <v>1716</v>
      </c>
      <c r="C701" s="59">
        <v>-4.4858196316437349</v>
      </c>
      <c r="D701" s="59">
        <v>-42.103627134747335</v>
      </c>
    </row>
    <row r="702" spans="1:4" x14ac:dyDescent="0.3">
      <c r="A702" s="58">
        <v>2201960</v>
      </c>
      <c r="B702" s="58" t="s">
        <v>1717</v>
      </c>
      <c r="C702" s="59">
        <v>-4.1378291077451612</v>
      </c>
      <c r="D702" s="59">
        <v>-41.789259643570865</v>
      </c>
    </row>
    <row r="703" spans="1:4" x14ac:dyDescent="0.3">
      <c r="A703" s="58">
        <v>2201988</v>
      </c>
      <c r="B703" s="58" t="s">
        <v>1718</v>
      </c>
      <c r="C703" s="59">
        <v>-8.2070647663720511</v>
      </c>
      <c r="D703" s="59">
        <v>-42.830301809824576</v>
      </c>
    </row>
    <row r="704" spans="1:4" x14ac:dyDescent="0.3">
      <c r="A704" s="58">
        <v>2202000</v>
      </c>
      <c r="B704" s="58" t="s">
        <v>1719</v>
      </c>
      <c r="C704" s="59">
        <v>-3.1727213350545855</v>
      </c>
      <c r="D704" s="59">
        <v>-41.869908847123078</v>
      </c>
    </row>
    <row r="705" spans="1:4" x14ac:dyDescent="0.3">
      <c r="A705" s="58">
        <v>2202026</v>
      </c>
      <c r="B705" s="58" t="s">
        <v>1720</v>
      </c>
      <c r="C705" s="59">
        <v>-5.31206678256848</v>
      </c>
      <c r="D705" s="59">
        <v>-41.101851393670323</v>
      </c>
    </row>
    <row r="706" spans="1:4" x14ac:dyDescent="0.3">
      <c r="A706" s="58">
        <v>2202059</v>
      </c>
      <c r="B706" s="58" t="s">
        <v>1721</v>
      </c>
      <c r="C706" s="59">
        <v>-4.4713312938013994</v>
      </c>
      <c r="D706" s="59">
        <v>-42.308316065312262</v>
      </c>
    </row>
    <row r="707" spans="1:4" x14ac:dyDescent="0.3">
      <c r="A707" s="58">
        <v>2202075</v>
      </c>
      <c r="B707" s="58" t="s">
        <v>1722</v>
      </c>
      <c r="C707" s="59">
        <v>-6.7941841175421311</v>
      </c>
      <c r="D707" s="59">
        <v>-42.39672729460144</v>
      </c>
    </row>
    <row r="708" spans="1:4" x14ac:dyDescent="0.3">
      <c r="A708" s="58">
        <v>2202083</v>
      </c>
      <c r="B708" s="58" t="s">
        <v>1723</v>
      </c>
      <c r="C708" s="59">
        <v>-2.9292271717717955</v>
      </c>
      <c r="D708" s="59">
        <v>-41.347150362160775</v>
      </c>
    </row>
    <row r="709" spans="1:4" x14ac:dyDescent="0.3">
      <c r="A709" s="58">
        <v>2202091</v>
      </c>
      <c r="B709" s="58" t="s">
        <v>1724</v>
      </c>
      <c r="C709" s="59">
        <v>-7.331559651784386</v>
      </c>
      <c r="D709" s="59">
        <v>-40.63741891268014</v>
      </c>
    </row>
    <row r="710" spans="1:4" x14ac:dyDescent="0.3">
      <c r="A710" s="58">
        <v>2202109</v>
      </c>
      <c r="B710" s="58" t="s">
        <v>1725</v>
      </c>
      <c r="C710" s="59">
        <v>-7.6547781279614462</v>
      </c>
      <c r="D710" s="59">
        <v>-41.880745292981786</v>
      </c>
    </row>
    <row r="711" spans="1:4" x14ac:dyDescent="0.3">
      <c r="A711" s="58">
        <v>2202117</v>
      </c>
      <c r="B711" s="58" t="s">
        <v>1726</v>
      </c>
      <c r="C711" s="59">
        <v>-8.3744803806649077</v>
      </c>
      <c r="D711" s="59">
        <v>-41.832013324157991</v>
      </c>
    </row>
    <row r="712" spans="1:4" x14ac:dyDescent="0.3">
      <c r="A712" s="58">
        <v>2202133</v>
      </c>
      <c r="B712" s="58" t="s">
        <v>1727</v>
      </c>
      <c r="C712" s="59">
        <v>-7.1359931202487363</v>
      </c>
      <c r="D712" s="59">
        <v>-41.031200960401968</v>
      </c>
    </row>
    <row r="713" spans="1:4" x14ac:dyDescent="0.3">
      <c r="A713" s="58">
        <v>2202174</v>
      </c>
      <c r="B713" s="58" t="s">
        <v>1728</v>
      </c>
      <c r="C713" s="59">
        <v>-3.8078689391976002</v>
      </c>
      <c r="D713" s="59">
        <v>-42.626041041660905</v>
      </c>
    </row>
    <row r="714" spans="1:4" x14ac:dyDescent="0.3">
      <c r="A714" s="58">
        <v>2202208</v>
      </c>
      <c r="B714" s="58" t="s">
        <v>1729</v>
      </c>
      <c r="C714" s="59">
        <v>-4.8291139265716962</v>
      </c>
      <c r="D714" s="59">
        <v>-42.166744604689953</v>
      </c>
    </row>
    <row r="715" spans="1:4" x14ac:dyDescent="0.3">
      <c r="A715" s="58">
        <v>2202251</v>
      </c>
      <c r="B715" s="58" t="s">
        <v>1730</v>
      </c>
      <c r="C715" s="59">
        <v>-7.6946215595311571</v>
      </c>
      <c r="D715" s="59">
        <v>-43.719428033365318</v>
      </c>
    </row>
    <row r="716" spans="1:4" x14ac:dyDescent="0.3">
      <c r="A716" s="58">
        <v>2202307</v>
      </c>
      <c r="B716" s="58" t="s">
        <v>1731</v>
      </c>
      <c r="C716" s="59">
        <v>-8.1082319197227619</v>
      </c>
      <c r="D716" s="59">
        <v>-42.944021021961184</v>
      </c>
    </row>
    <row r="717" spans="1:4" x14ac:dyDescent="0.3">
      <c r="A717" s="58">
        <v>2202406</v>
      </c>
      <c r="B717" s="58" t="s">
        <v>1732</v>
      </c>
      <c r="C717" s="59">
        <v>-4.4585592683976207</v>
      </c>
      <c r="D717" s="59">
        <v>-41.943521972432485</v>
      </c>
    </row>
    <row r="718" spans="1:4" x14ac:dyDescent="0.3">
      <c r="A718" s="58">
        <v>2202455</v>
      </c>
      <c r="B718" s="58" t="s">
        <v>1733</v>
      </c>
      <c r="C718" s="59">
        <v>-8.4968378683872601</v>
      </c>
      <c r="D718" s="59">
        <v>-41.816116312390498</v>
      </c>
    </row>
    <row r="719" spans="1:4" x14ac:dyDescent="0.3">
      <c r="A719" s="58">
        <v>2202505</v>
      </c>
      <c r="B719" s="58" t="s">
        <v>1734</v>
      </c>
      <c r="C719" s="59">
        <v>-9.2767652672051906</v>
      </c>
      <c r="D719" s="59">
        <v>-43.334200450751631</v>
      </c>
    </row>
    <row r="720" spans="1:4" x14ac:dyDescent="0.3">
      <c r="A720" s="58">
        <v>2202539</v>
      </c>
      <c r="B720" s="58" t="s">
        <v>1735</v>
      </c>
      <c r="C720" s="59">
        <v>-3.4785905375349602</v>
      </c>
      <c r="D720" s="59">
        <v>-41.841208125991791</v>
      </c>
    </row>
    <row r="721" spans="1:4" x14ac:dyDescent="0.3">
      <c r="A721" s="58">
        <v>2202554</v>
      </c>
      <c r="B721" s="58" t="s">
        <v>1736</v>
      </c>
      <c r="C721" s="59">
        <v>-7.7286523875636011</v>
      </c>
      <c r="D721" s="59">
        <v>-40.99033454675854</v>
      </c>
    </row>
    <row r="722" spans="1:4" x14ac:dyDescent="0.3">
      <c r="A722" s="58">
        <v>2202604</v>
      </c>
      <c r="B722" s="58" t="s">
        <v>1737</v>
      </c>
      <c r="C722" s="59">
        <v>-5.3215438708934508</v>
      </c>
      <c r="D722" s="59">
        <v>-41.547316242666092</v>
      </c>
    </row>
    <row r="723" spans="1:4" x14ac:dyDescent="0.3">
      <c r="A723" s="58">
        <v>2202653</v>
      </c>
      <c r="B723" s="58" t="s">
        <v>1738</v>
      </c>
      <c r="C723" s="59">
        <v>-3.4269384028484708</v>
      </c>
      <c r="D723" s="59">
        <v>-41.882683761064108</v>
      </c>
    </row>
    <row r="724" spans="1:4" x14ac:dyDescent="0.3">
      <c r="A724" s="58">
        <v>2202703</v>
      </c>
      <c r="B724" s="58" t="s">
        <v>1739</v>
      </c>
      <c r="C724" s="59">
        <v>-3.4704534896913311</v>
      </c>
      <c r="D724" s="59">
        <v>-41.556844834573482</v>
      </c>
    </row>
    <row r="725" spans="1:4" x14ac:dyDescent="0.3">
      <c r="A725" s="58">
        <v>2202711</v>
      </c>
      <c r="B725" s="58" t="s">
        <v>1740</v>
      </c>
      <c r="C725" s="59">
        <v>-4.5538157239161299</v>
      </c>
      <c r="D725" s="59">
        <v>-41.979047873964198</v>
      </c>
    </row>
    <row r="726" spans="1:4" x14ac:dyDescent="0.3">
      <c r="A726" s="58">
        <v>2202729</v>
      </c>
      <c r="B726" s="58" t="s">
        <v>1741</v>
      </c>
      <c r="C726" s="59">
        <v>-3.6060725907542608</v>
      </c>
      <c r="D726" s="59">
        <v>-41.455418910830502</v>
      </c>
    </row>
    <row r="727" spans="1:4" x14ac:dyDescent="0.3">
      <c r="A727" s="58">
        <v>2202737</v>
      </c>
      <c r="B727" s="58" t="s">
        <v>1742</v>
      </c>
      <c r="C727" s="59">
        <v>-5.0913083513540354</v>
      </c>
      <c r="D727" s="59">
        <v>-42.207315906284023</v>
      </c>
    </row>
    <row r="728" spans="1:4" x14ac:dyDescent="0.3">
      <c r="A728" s="58">
        <v>2202752</v>
      </c>
      <c r="B728" s="58" t="s">
        <v>1743</v>
      </c>
      <c r="C728" s="59">
        <v>-8.1875742163409413</v>
      </c>
      <c r="D728" s="59">
        <v>-43.796017156065666</v>
      </c>
    </row>
    <row r="729" spans="1:4" x14ac:dyDescent="0.3">
      <c r="A729" s="58">
        <v>2202778</v>
      </c>
      <c r="B729" s="58" t="s">
        <v>1744</v>
      </c>
      <c r="C729" s="59">
        <v>-7.2236575639522105</v>
      </c>
      <c r="D729" s="59">
        <v>-42.177118506394564</v>
      </c>
    </row>
    <row r="730" spans="1:4" x14ac:dyDescent="0.3">
      <c r="A730" s="58">
        <v>2202802</v>
      </c>
      <c r="B730" s="58" t="s">
        <v>1745</v>
      </c>
      <c r="C730" s="59">
        <v>-7.8827041538753271</v>
      </c>
      <c r="D730" s="59">
        <v>-41.596633943915812</v>
      </c>
    </row>
    <row r="731" spans="1:4" x14ac:dyDescent="0.3">
      <c r="A731" s="58">
        <v>2202851</v>
      </c>
      <c r="B731" s="58" t="s">
        <v>1746</v>
      </c>
      <c r="C731" s="59">
        <v>-8.816369411489891</v>
      </c>
      <c r="D731" s="59">
        <v>-42.470357101219236</v>
      </c>
    </row>
    <row r="732" spans="1:4" x14ac:dyDescent="0.3">
      <c r="A732" s="58">
        <v>2202901</v>
      </c>
      <c r="B732" s="58" t="s">
        <v>1747</v>
      </c>
      <c r="C732" s="59">
        <v>-10.4409360381237</v>
      </c>
      <c r="D732" s="59">
        <v>-45.163312523576742</v>
      </c>
    </row>
    <row r="733" spans="1:4" x14ac:dyDescent="0.3">
      <c r="A733" s="58">
        <v>2203008</v>
      </c>
      <c r="B733" s="58" t="s">
        <v>1748</v>
      </c>
      <c r="C733" s="59">
        <v>-10.647803751798451</v>
      </c>
      <c r="D733" s="59">
        <v>-45.186030700132576</v>
      </c>
    </row>
    <row r="734" spans="1:4" x14ac:dyDescent="0.3">
      <c r="A734" s="58">
        <v>2203107</v>
      </c>
      <c r="B734" s="58" t="s">
        <v>1749</v>
      </c>
      <c r="C734" s="59">
        <v>-8.8201862885101523</v>
      </c>
      <c r="D734" s="59">
        <v>-44.224414747345222</v>
      </c>
    </row>
    <row r="735" spans="1:4" x14ac:dyDescent="0.3">
      <c r="A735" s="58">
        <v>2203206</v>
      </c>
      <c r="B735" s="58" t="s">
        <v>1750</v>
      </c>
      <c r="C735" s="59">
        <v>-10.031292430329353</v>
      </c>
      <c r="D735" s="59">
        <v>-44.300722232874911</v>
      </c>
    </row>
    <row r="736" spans="1:4" x14ac:dyDescent="0.3">
      <c r="A736" s="58">
        <v>2203230</v>
      </c>
      <c r="B736" s="58" t="s">
        <v>1751</v>
      </c>
      <c r="C736" s="59">
        <v>-9.0124338389367864</v>
      </c>
      <c r="D736" s="59">
        <v>-44.40300215304547</v>
      </c>
    </row>
    <row r="737" spans="1:4" x14ac:dyDescent="0.3">
      <c r="A737" s="58">
        <v>2203255</v>
      </c>
      <c r="B737" s="58" t="s">
        <v>1752</v>
      </c>
      <c r="C737" s="59">
        <v>-5.6204532293569756</v>
      </c>
      <c r="D737" s="59">
        <v>-42.832210519304425</v>
      </c>
    </row>
    <row r="738" spans="1:4" x14ac:dyDescent="0.3">
      <c r="A738" s="58">
        <v>2203271</v>
      </c>
      <c r="B738" s="58" t="s">
        <v>1753</v>
      </c>
      <c r="C738" s="59">
        <v>-7.8307971883909557</v>
      </c>
      <c r="D738" s="59">
        <v>-40.901069470701479</v>
      </c>
    </row>
    <row r="739" spans="1:4" x14ac:dyDescent="0.3">
      <c r="A739" s="58">
        <v>2203305</v>
      </c>
      <c r="B739" s="58" t="s">
        <v>1754</v>
      </c>
      <c r="C739" s="59">
        <v>-5.358465465910486</v>
      </c>
      <c r="D739" s="59">
        <v>-42.674228611091159</v>
      </c>
    </row>
    <row r="740" spans="1:4" x14ac:dyDescent="0.3">
      <c r="A740" s="58">
        <v>2203354</v>
      </c>
      <c r="B740" s="58" t="s">
        <v>1755</v>
      </c>
      <c r="C740" s="59">
        <v>-9.3352000440684115</v>
      </c>
      <c r="D740" s="59">
        <v>-42.439569962008939</v>
      </c>
    </row>
    <row r="741" spans="1:4" x14ac:dyDescent="0.3">
      <c r="A741" s="58">
        <v>2203404</v>
      </c>
      <c r="B741" s="58" t="s">
        <v>1756</v>
      </c>
      <c r="C741" s="59">
        <v>-6.9579018426874164</v>
      </c>
      <c r="D741" s="59">
        <v>-41.652385211308406</v>
      </c>
    </row>
    <row r="742" spans="1:4" x14ac:dyDescent="0.3">
      <c r="A742" s="58">
        <v>2203420</v>
      </c>
      <c r="B742" s="58" t="s">
        <v>1757</v>
      </c>
      <c r="C742" s="59">
        <v>-4.2534336344923007</v>
      </c>
      <c r="D742" s="59">
        <v>-41.271881448866736</v>
      </c>
    </row>
    <row r="743" spans="1:4" x14ac:dyDescent="0.3">
      <c r="A743" s="58">
        <v>2203453</v>
      </c>
      <c r="B743" s="58" t="s">
        <v>1758</v>
      </c>
      <c r="C743" s="59">
        <v>-9.0080749434279266</v>
      </c>
      <c r="D743" s="59">
        <v>-41.976851118755086</v>
      </c>
    </row>
    <row r="744" spans="1:4" x14ac:dyDescent="0.3">
      <c r="A744" s="58">
        <v>2203503</v>
      </c>
      <c r="B744" s="58" t="s">
        <v>1759</v>
      </c>
      <c r="C744" s="59">
        <v>-6.2017194613116704</v>
      </c>
      <c r="D744" s="59">
        <v>-42.13814444950355</v>
      </c>
    </row>
    <row r="745" spans="1:4" x14ac:dyDescent="0.3">
      <c r="A745" s="58">
        <v>2203602</v>
      </c>
      <c r="B745" s="58" t="s">
        <v>1760</v>
      </c>
      <c r="C745" s="59">
        <v>-8.0964622895840925</v>
      </c>
      <c r="D745" s="59">
        <v>-43.664811131697284</v>
      </c>
    </row>
    <row r="746" spans="1:4" x14ac:dyDescent="0.3">
      <c r="A746" s="58">
        <v>2203701</v>
      </c>
      <c r="B746" s="58" t="s">
        <v>1387</v>
      </c>
      <c r="C746" s="59">
        <v>-3.8956045306383102</v>
      </c>
      <c r="D746" s="59">
        <v>-42.23536452510384</v>
      </c>
    </row>
    <row r="747" spans="1:4" x14ac:dyDescent="0.3">
      <c r="A747" s="58">
        <v>2203750</v>
      </c>
      <c r="B747" s="58" t="s">
        <v>1761</v>
      </c>
      <c r="C747" s="59">
        <v>-9.4786062862875351</v>
      </c>
      <c r="D747" s="59">
        <v>-42.794401403178156</v>
      </c>
    </row>
    <row r="748" spans="1:4" x14ac:dyDescent="0.3">
      <c r="A748" s="58">
        <v>2203800</v>
      </c>
      <c r="B748" s="58" t="s">
        <v>1762</v>
      </c>
      <c r="C748" s="59">
        <v>-7.7917756017730211</v>
      </c>
      <c r="D748" s="59">
        <v>-42.924305801985916</v>
      </c>
    </row>
    <row r="749" spans="1:4" x14ac:dyDescent="0.3">
      <c r="A749" s="58">
        <v>2203859</v>
      </c>
      <c r="B749" s="58" t="s">
        <v>1763</v>
      </c>
      <c r="C749" s="59">
        <v>-7.4667953749068712</v>
      </c>
      <c r="D749" s="59">
        <v>-41.800314291438987</v>
      </c>
    </row>
    <row r="750" spans="1:4" x14ac:dyDescent="0.3">
      <c r="A750" s="58">
        <v>2203909</v>
      </c>
      <c r="B750" s="58" t="s">
        <v>1764</v>
      </c>
      <c r="C750" s="59">
        <v>-6.7696724337863605</v>
      </c>
      <c r="D750" s="59">
        <v>-43.020644738325494</v>
      </c>
    </row>
    <row r="751" spans="1:4" x14ac:dyDescent="0.3">
      <c r="A751" s="58">
        <v>2204006</v>
      </c>
      <c r="B751" s="58" t="s">
        <v>1765</v>
      </c>
      <c r="C751" s="59">
        <v>-6.3952926225871263</v>
      </c>
      <c r="D751" s="59">
        <v>-42.263366098962415</v>
      </c>
    </row>
    <row r="752" spans="1:4" x14ac:dyDescent="0.3">
      <c r="A752" s="58">
        <v>2204105</v>
      </c>
      <c r="B752" s="58" t="s">
        <v>1766</v>
      </c>
      <c r="C752" s="59">
        <v>-6.6233435319053857</v>
      </c>
      <c r="D752" s="59">
        <v>-42.691127844808804</v>
      </c>
    </row>
    <row r="753" spans="1:4" x14ac:dyDescent="0.3">
      <c r="A753" s="58">
        <v>2204154</v>
      </c>
      <c r="B753" s="58" t="s">
        <v>1767</v>
      </c>
      <c r="C753" s="59">
        <v>-7.327871040554351</v>
      </c>
      <c r="D753" s="59">
        <v>-40.79556735413248</v>
      </c>
    </row>
    <row r="754" spans="1:4" x14ac:dyDescent="0.3">
      <c r="A754" s="58">
        <v>2204204</v>
      </c>
      <c r="B754" s="58" t="s">
        <v>1768</v>
      </c>
      <c r="C754" s="59">
        <v>-6.99417113754419</v>
      </c>
      <c r="D754" s="59">
        <v>-41.13615733650024</v>
      </c>
    </row>
    <row r="755" spans="1:4" x14ac:dyDescent="0.3">
      <c r="A755" s="58">
        <v>2204303</v>
      </c>
      <c r="B755" s="58" t="s">
        <v>1769</v>
      </c>
      <c r="C755" s="59">
        <v>-7.0884125328916303</v>
      </c>
      <c r="D755" s="59">
        <v>-40.617232930657117</v>
      </c>
    </row>
    <row r="756" spans="1:4" x14ac:dyDescent="0.3">
      <c r="A756" s="58">
        <v>2204352</v>
      </c>
      <c r="B756" s="58" t="s">
        <v>1770</v>
      </c>
      <c r="C756" s="59">
        <v>-7.1584176258898156</v>
      </c>
      <c r="D756" s="59">
        <v>-41.357579760471388</v>
      </c>
    </row>
    <row r="757" spans="1:4" x14ac:dyDescent="0.3">
      <c r="A757" s="58">
        <v>2204402</v>
      </c>
      <c r="B757" s="58" t="s">
        <v>1771</v>
      </c>
      <c r="C757" s="59">
        <v>-9.8345699055161173</v>
      </c>
      <c r="D757" s="59">
        <v>-45.346919978209172</v>
      </c>
    </row>
    <row r="758" spans="1:4" x14ac:dyDescent="0.3">
      <c r="A758" s="58">
        <v>2204501</v>
      </c>
      <c r="B758" s="58" t="s">
        <v>1772</v>
      </c>
      <c r="C758" s="59">
        <v>-6.7852469086730887</v>
      </c>
      <c r="D758" s="59">
        <v>-43.566923654532353</v>
      </c>
    </row>
    <row r="759" spans="1:4" x14ac:dyDescent="0.3">
      <c r="A759" s="58">
        <v>2204550</v>
      </c>
      <c r="B759" s="58" t="s">
        <v>1773</v>
      </c>
      <c r="C759" s="59">
        <v>-9.3951113037193057</v>
      </c>
      <c r="D759" s="59">
        <v>-43.687721027429049</v>
      </c>
    </row>
    <row r="760" spans="1:4" x14ac:dyDescent="0.3">
      <c r="A760" s="58">
        <v>2204600</v>
      </c>
      <c r="B760" s="58" t="s">
        <v>1774</v>
      </c>
      <c r="C760" s="59">
        <v>-5.9877878906995248</v>
      </c>
      <c r="D760" s="59">
        <v>-42.562563046624788</v>
      </c>
    </row>
    <row r="761" spans="1:4" x14ac:dyDescent="0.3">
      <c r="A761" s="58">
        <v>2204659</v>
      </c>
      <c r="B761" s="58" t="s">
        <v>1775</v>
      </c>
      <c r="C761" s="59">
        <v>-2.8540086071972102</v>
      </c>
      <c r="D761" s="59">
        <v>-41.819773184042411</v>
      </c>
    </row>
    <row r="762" spans="1:4" x14ac:dyDescent="0.3">
      <c r="A762" s="58">
        <v>2204709</v>
      </c>
      <c r="B762" s="58" t="s">
        <v>1776</v>
      </c>
      <c r="C762" s="59">
        <v>-6.6671203406794159</v>
      </c>
      <c r="D762" s="59">
        <v>-41.71019405649276</v>
      </c>
    </row>
    <row r="763" spans="1:4" x14ac:dyDescent="0.3">
      <c r="A763" s="58">
        <v>2204808</v>
      </c>
      <c r="B763" s="58" t="s">
        <v>1777</v>
      </c>
      <c r="C763" s="59">
        <v>-6.826932678287025</v>
      </c>
      <c r="D763" s="59">
        <v>-41.739914127943827</v>
      </c>
    </row>
    <row r="764" spans="1:4" x14ac:dyDescent="0.3">
      <c r="A764" s="58">
        <v>2204907</v>
      </c>
      <c r="B764" s="58" t="s">
        <v>1778</v>
      </c>
      <c r="C764" s="59">
        <v>-7.7343106966578308</v>
      </c>
      <c r="D764" s="59">
        <v>-41.679448082497785</v>
      </c>
    </row>
    <row r="765" spans="1:4" x14ac:dyDescent="0.3">
      <c r="A765" s="58">
        <v>2205003</v>
      </c>
      <c r="B765" s="58" t="s">
        <v>1779</v>
      </c>
      <c r="C765" s="59">
        <v>-7.4512808131422812</v>
      </c>
      <c r="D765" s="59">
        <v>-41.480025310496821</v>
      </c>
    </row>
    <row r="766" spans="1:4" x14ac:dyDescent="0.3">
      <c r="A766" s="58">
        <v>2205102</v>
      </c>
      <c r="B766" s="58" t="s">
        <v>1780</v>
      </c>
      <c r="C766" s="59">
        <v>-7.6081166325284402</v>
      </c>
      <c r="D766" s="59">
        <v>-43.025496507781661</v>
      </c>
    </row>
    <row r="767" spans="1:4" x14ac:dyDescent="0.3">
      <c r="A767" s="58">
        <v>2205151</v>
      </c>
      <c r="B767" s="58" t="s">
        <v>1781</v>
      </c>
      <c r="C767" s="59">
        <v>-7.9362644875044763</v>
      </c>
      <c r="D767" s="59">
        <v>-41.210762050670212</v>
      </c>
    </row>
    <row r="768" spans="1:4" x14ac:dyDescent="0.3">
      <c r="A768" s="58">
        <v>2205201</v>
      </c>
      <c r="B768" s="58" t="s">
        <v>1782</v>
      </c>
      <c r="C768" s="59">
        <v>-7.3531523272213359</v>
      </c>
      <c r="D768" s="59">
        <v>-41.146474813496773</v>
      </c>
    </row>
    <row r="769" spans="1:4" x14ac:dyDescent="0.3">
      <c r="A769" s="58">
        <v>2205250</v>
      </c>
      <c r="B769" s="58" t="s">
        <v>1783</v>
      </c>
      <c r="C769" s="59">
        <v>-6.0965775947566963</v>
      </c>
      <c r="D769" s="59">
        <v>-42.633959563210261</v>
      </c>
    </row>
    <row r="770" spans="1:4" x14ac:dyDescent="0.3">
      <c r="A770" s="58">
        <v>2205276</v>
      </c>
      <c r="B770" s="58" t="s">
        <v>1784</v>
      </c>
      <c r="C770" s="59">
        <v>-4.7731589442887463</v>
      </c>
      <c r="D770" s="59">
        <v>-41.81982221856709</v>
      </c>
    </row>
    <row r="771" spans="1:4" x14ac:dyDescent="0.3">
      <c r="A771" s="58">
        <v>2205300</v>
      </c>
      <c r="B771" s="58" t="s">
        <v>1785</v>
      </c>
      <c r="C771" s="59">
        <v>-7.0846321938725714</v>
      </c>
      <c r="D771" s="59">
        <v>-43.502743006402056</v>
      </c>
    </row>
    <row r="772" spans="1:4" x14ac:dyDescent="0.3">
      <c r="A772" s="58">
        <v>2205359</v>
      </c>
      <c r="B772" s="58" t="s">
        <v>1786</v>
      </c>
      <c r="C772" s="59">
        <v>-8.4891257219295717</v>
      </c>
      <c r="D772" s="59">
        <v>-42.417848580647075</v>
      </c>
    </row>
    <row r="773" spans="1:4" x14ac:dyDescent="0.3">
      <c r="A773" s="58">
        <v>2205409</v>
      </c>
      <c r="B773" s="58" t="s">
        <v>1787</v>
      </c>
      <c r="C773" s="59">
        <v>-3.5131035478766655</v>
      </c>
      <c r="D773" s="59">
        <v>-42.18768980355329</v>
      </c>
    </row>
    <row r="774" spans="1:4" x14ac:dyDescent="0.3">
      <c r="A774" s="58">
        <v>2205458</v>
      </c>
      <c r="B774" s="58" t="s">
        <v>1788</v>
      </c>
      <c r="C774" s="59">
        <v>-3.4880338255658607</v>
      </c>
      <c r="D774" s="59">
        <v>-42.427737078981387</v>
      </c>
    </row>
    <row r="775" spans="1:4" x14ac:dyDescent="0.3">
      <c r="A775" s="58">
        <v>2205508</v>
      </c>
      <c r="B775" s="58" t="s">
        <v>1789</v>
      </c>
      <c r="C775" s="59">
        <v>-4.7630506394826559</v>
      </c>
      <c r="D775" s="59">
        <v>-42.578374531545656</v>
      </c>
    </row>
    <row r="776" spans="1:4" x14ac:dyDescent="0.3">
      <c r="A776" s="58">
        <v>2205516</v>
      </c>
      <c r="B776" s="58" t="s">
        <v>1790</v>
      </c>
      <c r="C776" s="59">
        <v>-5.1613727542935104</v>
      </c>
      <c r="D776" s="59">
        <v>-41.702600759666133</v>
      </c>
    </row>
    <row r="777" spans="1:4" x14ac:dyDescent="0.3">
      <c r="A777" s="58">
        <v>2205524</v>
      </c>
      <c r="B777" s="58" t="s">
        <v>1791</v>
      </c>
      <c r="C777" s="59">
        <v>-10.326786813698952</v>
      </c>
      <c r="D777" s="59">
        <v>-44.243700632399872</v>
      </c>
    </row>
    <row r="778" spans="1:4" x14ac:dyDescent="0.3">
      <c r="A778" s="58">
        <v>2205532</v>
      </c>
      <c r="B778" s="58" t="s">
        <v>1792</v>
      </c>
      <c r="C778" s="59">
        <v>-9.2220247204558401</v>
      </c>
      <c r="D778" s="59">
        <v>-43.133109743046774</v>
      </c>
    </row>
    <row r="779" spans="1:4" x14ac:dyDescent="0.3">
      <c r="A779" s="58">
        <v>2205540</v>
      </c>
      <c r="B779" s="58" t="s">
        <v>1793</v>
      </c>
      <c r="C779" s="59">
        <v>-5.8365834406235102</v>
      </c>
      <c r="D779" s="59">
        <v>-42.627383729854863</v>
      </c>
    </row>
    <row r="780" spans="1:4" x14ac:dyDescent="0.3">
      <c r="A780" s="58">
        <v>2205557</v>
      </c>
      <c r="B780" s="58" t="s">
        <v>1794</v>
      </c>
      <c r="C780" s="59">
        <v>-4.5087297492294054</v>
      </c>
      <c r="D780" s="59">
        <v>-42.616742539048822</v>
      </c>
    </row>
    <row r="781" spans="1:4" x14ac:dyDescent="0.3">
      <c r="A781" s="58">
        <v>2205565</v>
      </c>
      <c r="B781" s="58" t="s">
        <v>1795</v>
      </c>
      <c r="C781" s="59">
        <v>-8.4824371151592661</v>
      </c>
      <c r="D781" s="59">
        <v>-41.530275405735047</v>
      </c>
    </row>
    <row r="782" spans="1:4" x14ac:dyDescent="0.3">
      <c r="A782" s="58">
        <v>2205573</v>
      </c>
      <c r="B782" s="58" t="s">
        <v>1796</v>
      </c>
      <c r="C782" s="59">
        <v>-4.3927463866533154</v>
      </c>
      <c r="D782" s="59">
        <v>-41.605468690243057</v>
      </c>
    </row>
    <row r="783" spans="1:4" x14ac:dyDescent="0.3">
      <c r="A783" s="58">
        <v>2205581</v>
      </c>
      <c r="B783" s="58" t="s">
        <v>1797</v>
      </c>
      <c r="C783" s="59">
        <v>-5.4121441696234767</v>
      </c>
      <c r="D783" s="59">
        <v>-42.6490132063022</v>
      </c>
    </row>
    <row r="784" spans="1:4" x14ac:dyDescent="0.3">
      <c r="A784" s="58">
        <v>2205599</v>
      </c>
      <c r="B784" s="58" t="s">
        <v>1798</v>
      </c>
      <c r="C784" s="59">
        <v>-6.5153476297760058</v>
      </c>
      <c r="D784" s="59">
        <v>-41.582386301286128</v>
      </c>
    </row>
    <row r="785" spans="1:4" x14ac:dyDescent="0.3">
      <c r="A785" s="58">
        <v>2205607</v>
      </c>
      <c r="B785" s="58" t="s">
        <v>1799</v>
      </c>
      <c r="C785" s="59">
        <v>-7.2665999754135155</v>
      </c>
      <c r="D785" s="59">
        <v>-43.931045515144362</v>
      </c>
    </row>
    <row r="786" spans="1:4" x14ac:dyDescent="0.3">
      <c r="A786" s="58">
        <v>2205706</v>
      </c>
      <c r="B786" s="58" t="s">
        <v>1800</v>
      </c>
      <c r="C786" s="59">
        <v>-2.8815665358482208</v>
      </c>
      <c r="D786" s="59">
        <v>-41.664567232274806</v>
      </c>
    </row>
    <row r="787" spans="1:4" x14ac:dyDescent="0.3">
      <c r="A787" s="58">
        <v>2205805</v>
      </c>
      <c r="B787" s="58" t="s">
        <v>1801</v>
      </c>
      <c r="C787" s="59">
        <v>-3.4608176351806708</v>
      </c>
      <c r="D787" s="59">
        <v>-42.371637523824553</v>
      </c>
    </row>
    <row r="788" spans="1:4" x14ac:dyDescent="0.3">
      <c r="A788" s="58">
        <v>2205854</v>
      </c>
      <c r="B788" s="58" t="s">
        <v>1802</v>
      </c>
      <c r="C788" s="59">
        <v>-3.4842120051906855</v>
      </c>
      <c r="D788" s="59">
        <v>-42.505141246490993</v>
      </c>
    </row>
    <row r="789" spans="1:4" x14ac:dyDescent="0.3">
      <c r="A789" s="58">
        <v>2205904</v>
      </c>
      <c r="B789" s="58" t="s">
        <v>1803</v>
      </c>
      <c r="C789" s="59">
        <v>-8.0113586739756908</v>
      </c>
      <c r="D789" s="59">
        <v>-43.875474671666147</v>
      </c>
    </row>
    <row r="790" spans="1:4" x14ac:dyDescent="0.3">
      <c r="A790" s="58">
        <v>2205953</v>
      </c>
      <c r="B790" s="58" t="s">
        <v>1804</v>
      </c>
      <c r="C790" s="59">
        <v>-7.4435566613610762</v>
      </c>
      <c r="D790" s="59">
        <v>-40.662854291382423</v>
      </c>
    </row>
    <row r="791" spans="1:4" x14ac:dyDescent="0.3">
      <c r="A791" s="58">
        <v>2206001</v>
      </c>
      <c r="B791" s="58" t="s">
        <v>1805</v>
      </c>
      <c r="C791" s="59">
        <v>-7.1192953774512109</v>
      </c>
      <c r="D791" s="59">
        <v>-43.888314008621251</v>
      </c>
    </row>
    <row r="792" spans="1:4" x14ac:dyDescent="0.3">
      <c r="A792" s="58">
        <v>2206050</v>
      </c>
      <c r="B792" s="58" t="s">
        <v>1806</v>
      </c>
      <c r="C792" s="59">
        <v>-7.4654826844832263</v>
      </c>
      <c r="D792" s="59">
        <v>-41.123854684618912</v>
      </c>
    </row>
    <row r="793" spans="1:4" x14ac:dyDescent="0.3">
      <c r="A793" s="58">
        <v>2206100</v>
      </c>
      <c r="B793" s="58" t="s">
        <v>1807</v>
      </c>
      <c r="C793" s="59">
        <v>-3.7110272834389253</v>
      </c>
      <c r="D793" s="59">
        <v>-42.55862890276078</v>
      </c>
    </row>
    <row r="794" spans="1:4" x14ac:dyDescent="0.3">
      <c r="A794" s="58">
        <v>2206209</v>
      </c>
      <c r="B794" s="58" t="s">
        <v>1808</v>
      </c>
      <c r="C794" s="59">
        <v>-4.1682155823206761</v>
      </c>
      <c r="D794" s="59">
        <v>-42.893166649262717</v>
      </c>
    </row>
    <row r="795" spans="1:4" x14ac:dyDescent="0.3">
      <c r="A795" s="58">
        <v>2206308</v>
      </c>
      <c r="B795" s="58" t="s">
        <v>1809</v>
      </c>
      <c r="C795" s="59">
        <v>-5.6822417804360068</v>
      </c>
      <c r="D795" s="59">
        <v>-42.735829525240298</v>
      </c>
    </row>
    <row r="796" spans="1:4" x14ac:dyDescent="0.3">
      <c r="A796" s="58">
        <v>2206357</v>
      </c>
      <c r="B796" s="58" t="s">
        <v>1810</v>
      </c>
      <c r="C796" s="59">
        <v>-4.6999534775574405</v>
      </c>
      <c r="D796" s="59">
        <v>-41.447959541232073</v>
      </c>
    </row>
    <row r="797" spans="1:4" x14ac:dyDescent="0.3">
      <c r="A797" s="58">
        <v>2206407</v>
      </c>
      <c r="B797" s="58" t="s">
        <v>1811</v>
      </c>
      <c r="C797" s="59">
        <v>-5.5514856313947147</v>
      </c>
      <c r="D797" s="59">
        <v>-42.617398915907053</v>
      </c>
    </row>
    <row r="798" spans="1:4" x14ac:dyDescent="0.3">
      <c r="A798" s="58">
        <v>2206506</v>
      </c>
      <c r="B798" s="58" t="s">
        <v>1812</v>
      </c>
      <c r="C798" s="59">
        <v>-7.0035024726463195</v>
      </c>
      <c r="D798" s="59">
        <v>-41.032893403647677</v>
      </c>
    </row>
    <row r="799" spans="1:4" x14ac:dyDescent="0.3">
      <c r="A799" s="58">
        <v>2206605</v>
      </c>
      <c r="B799" s="58" t="s">
        <v>1813</v>
      </c>
      <c r="C799" s="59">
        <v>-9.7558336680883411</v>
      </c>
      <c r="D799" s="59">
        <v>-45.295740220857503</v>
      </c>
    </row>
    <row r="800" spans="1:4" x14ac:dyDescent="0.3">
      <c r="A800" s="58">
        <v>2206654</v>
      </c>
      <c r="B800" s="58" t="s">
        <v>1814</v>
      </c>
      <c r="C800" s="59">
        <v>-9.7193194921544279</v>
      </c>
      <c r="D800" s="59">
        <v>-43.901874365361373</v>
      </c>
    </row>
    <row r="801" spans="1:4" x14ac:dyDescent="0.3">
      <c r="A801" s="58">
        <v>2206670</v>
      </c>
      <c r="B801" s="58" t="s">
        <v>1815</v>
      </c>
      <c r="C801" s="59">
        <v>-3.7422550962199401</v>
      </c>
      <c r="D801" s="59">
        <v>-42.309063394958947</v>
      </c>
    </row>
    <row r="802" spans="1:4" x14ac:dyDescent="0.3">
      <c r="A802" s="58">
        <v>2206696</v>
      </c>
      <c r="B802" s="58" t="s">
        <v>1816</v>
      </c>
      <c r="C802" s="59">
        <v>-3.3238597850735405</v>
      </c>
      <c r="D802" s="59">
        <v>-42.096769081771022</v>
      </c>
    </row>
    <row r="803" spans="1:4" x14ac:dyDescent="0.3">
      <c r="A803" s="58">
        <v>2206704</v>
      </c>
      <c r="B803" s="58" t="s">
        <v>1817</v>
      </c>
      <c r="C803" s="59">
        <v>-6.9671284910969611</v>
      </c>
      <c r="D803" s="59">
        <v>-42.668227230091667</v>
      </c>
    </row>
    <row r="804" spans="1:4" x14ac:dyDescent="0.3">
      <c r="A804" s="58">
        <v>2206720</v>
      </c>
      <c r="B804" s="58" t="s">
        <v>1818</v>
      </c>
      <c r="C804" s="59">
        <v>-5.3469250000000006</v>
      </c>
      <c r="D804" s="59">
        <v>-42.814048469576811</v>
      </c>
    </row>
    <row r="805" spans="1:4" x14ac:dyDescent="0.3">
      <c r="A805" s="58">
        <v>2206753</v>
      </c>
      <c r="B805" s="58" t="s">
        <v>1819</v>
      </c>
      <c r="C805" s="59">
        <v>-4.6269320917417085</v>
      </c>
      <c r="D805" s="59">
        <v>-42.179303078465317</v>
      </c>
    </row>
    <row r="806" spans="1:4" x14ac:dyDescent="0.3">
      <c r="A806" s="58">
        <v>2206803</v>
      </c>
      <c r="B806" s="58" t="s">
        <v>1820</v>
      </c>
      <c r="C806" s="59">
        <v>-3.9912253517845855</v>
      </c>
      <c r="D806" s="59">
        <v>-42.623951048489495</v>
      </c>
    </row>
    <row r="807" spans="1:4" x14ac:dyDescent="0.3">
      <c r="A807" s="58">
        <v>2206902</v>
      </c>
      <c r="B807" s="58" t="s">
        <v>1821</v>
      </c>
      <c r="C807" s="59">
        <v>-6.4494051369150371</v>
      </c>
      <c r="D807" s="59">
        <v>-41.92872231440203</v>
      </c>
    </row>
    <row r="808" spans="1:4" x14ac:dyDescent="0.3">
      <c r="A808" s="58">
        <v>2206951</v>
      </c>
      <c r="B808" s="58" t="s">
        <v>1822</v>
      </c>
      <c r="C808" s="59">
        <v>-5.2860576439612554</v>
      </c>
      <c r="D808" s="59">
        <v>-41.934507497855328</v>
      </c>
    </row>
    <row r="809" spans="1:4" x14ac:dyDescent="0.3">
      <c r="A809" s="58">
        <v>2207009</v>
      </c>
      <c r="B809" s="58" t="s">
        <v>1823</v>
      </c>
      <c r="C809" s="59">
        <v>-7.0164180059628869</v>
      </c>
      <c r="D809" s="59">
        <v>-42.131405660425067</v>
      </c>
    </row>
    <row r="810" spans="1:4" x14ac:dyDescent="0.3">
      <c r="A810" s="58">
        <v>2207108</v>
      </c>
      <c r="B810" s="58" t="s">
        <v>1824</v>
      </c>
      <c r="C810" s="59">
        <v>-5.8471585734454354</v>
      </c>
      <c r="D810" s="59">
        <v>-42.578551608969569</v>
      </c>
    </row>
    <row r="811" spans="1:4" x14ac:dyDescent="0.3">
      <c r="A811" s="58">
        <v>2207207</v>
      </c>
      <c r="B811" s="58" t="s">
        <v>1825</v>
      </c>
      <c r="C811" s="59">
        <v>-7.3547121155184456</v>
      </c>
      <c r="D811" s="59">
        <v>-40.905862082374163</v>
      </c>
    </row>
    <row r="812" spans="1:4" x14ac:dyDescent="0.3">
      <c r="A812" s="58">
        <v>2207306</v>
      </c>
      <c r="B812" s="58" t="s">
        <v>1826</v>
      </c>
      <c r="C812" s="59">
        <v>-7.7755629145092264</v>
      </c>
      <c r="D812" s="59">
        <v>-42.256957629424321</v>
      </c>
    </row>
    <row r="813" spans="1:4" x14ac:dyDescent="0.3">
      <c r="A813" s="58">
        <v>2207355</v>
      </c>
      <c r="B813" s="58" t="s">
        <v>1827</v>
      </c>
      <c r="C813" s="59">
        <v>-7.8525200921766416</v>
      </c>
      <c r="D813" s="59">
        <v>-42.8169360897963</v>
      </c>
    </row>
    <row r="814" spans="1:4" x14ac:dyDescent="0.3">
      <c r="A814" s="58">
        <v>2207405</v>
      </c>
      <c r="B814" s="58" t="s">
        <v>1828</v>
      </c>
      <c r="C814" s="59">
        <v>-8.7295011187650413</v>
      </c>
      <c r="D814" s="59">
        <v>-44.232568579172572</v>
      </c>
    </row>
    <row r="815" spans="1:4" x14ac:dyDescent="0.3">
      <c r="A815" s="58">
        <v>2207504</v>
      </c>
      <c r="B815" s="58" t="s">
        <v>1829</v>
      </c>
      <c r="C815" s="59">
        <v>-5.9797968360705518</v>
      </c>
      <c r="D815" s="59">
        <v>-43.061843522874945</v>
      </c>
    </row>
    <row r="816" spans="1:4" x14ac:dyDescent="0.3">
      <c r="A816" s="58">
        <v>2207553</v>
      </c>
      <c r="B816" s="58" t="s">
        <v>1830</v>
      </c>
      <c r="C816" s="59">
        <v>-7.101466244300596</v>
      </c>
      <c r="D816" s="59">
        <v>-41.701385245564914</v>
      </c>
    </row>
    <row r="817" spans="1:4" x14ac:dyDescent="0.3">
      <c r="A817" s="58">
        <v>2207603</v>
      </c>
      <c r="B817" s="58" t="s">
        <v>1831</v>
      </c>
      <c r="C817" s="59">
        <v>-10.21718097054295</v>
      </c>
      <c r="D817" s="59">
        <v>-44.634314613120154</v>
      </c>
    </row>
    <row r="818" spans="1:4" x14ac:dyDescent="0.3">
      <c r="A818" s="58">
        <v>2207702</v>
      </c>
      <c r="B818" s="58" t="s">
        <v>1832</v>
      </c>
      <c r="C818" s="59">
        <v>-2.9033601445089237</v>
      </c>
      <c r="D818" s="59">
        <v>-41.778170592024502</v>
      </c>
    </row>
    <row r="819" spans="1:4" x14ac:dyDescent="0.3">
      <c r="A819" s="58">
        <v>2207751</v>
      </c>
      <c r="B819" s="58" t="s">
        <v>1833</v>
      </c>
      <c r="C819" s="59">
        <v>-5.8562473203188103</v>
      </c>
      <c r="D819" s="59">
        <v>-42.440526746290018</v>
      </c>
    </row>
    <row r="820" spans="1:4" x14ac:dyDescent="0.3">
      <c r="A820" s="58">
        <v>2207777</v>
      </c>
      <c r="B820" s="58" t="s">
        <v>1834</v>
      </c>
      <c r="C820" s="59">
        <v>-7.680763935087465</v>
      </c>
      <c r="D820" s="59">
        <v>-41.252281396275187</v>
      </c>
    </row>
    <row r="821" spans="1:4" x14ac:dyDescent="0.3">
      <c r="A821" s="58">
        <v>2207793</v>
      </c>
      <c r="B821" s="58" t="s">
        <v>1835</v>
      </c>
      <c r="C821" s="59">
        <v>-5.2510934294111413</v>
      </c>
      <c r="D821" s="59">
        <v>-42.388865497144899</v>
      </c>
    </row>
    <row r="822" spans="1:4" x14ac:dyDescent="0.3">
      <c r="A822" s="58">
        <v>2207801</v>
      </c>
      <c r="B822" s="58" t="s">
        <v>1836</v>
      </c>
      <c r="C822" s="59">
        <v>-8.1414361348950948</v>
      </c>
      <c r="D822" s="59">
        <v>-41.147096485142406</v>
      </c>
    </row>
    <row r="823" spans="1:4" x14ac:dyDescent="0.3">
      <c r="A823" s="58">
        <v>2207850</v>
      </c>
      <c r="B823" s="58" t="s">
        <v>1837</v>
      </c>
      <c r="C823" s="59">
        <v>-7.9642869547704711</v>
      </c>
      <c r="D823" s="59">
        <v>-43.221752302613744</v>
      </c>
    </row>
    <row r="824" spans="1:4" x14ac:dyDescent="0.3">
      <c r="A824" s="58">
        <v>2207900</v>
      </c>
      <c r="B824" s="58" t="s">
        <v>1838</v>
      </c>
      <c r="C824" s="59">
        <v>-4.4270552654162305</v>
      </c>
      <c r="D824" s="59">
        <v>-41.458559933070887</v>
      </c>
    </row>
    <row r="825" spans="1:4" x14ac:dyDescent="0.3">
      <c r="A825" s="58">
        <v>2207934</v>
      </c>
      <c r="B825" s="58" t="s">
        <v>1839</v>
      </c>
      <c r="C825" s="59">
        <v>-8.0668825943877902</v>
      </c>
      <c r="D825" s="59">
        <v>-42.28607367001382</v>
      </c>
    </row>
    <row r="826" spans="1:4" x14ac:dyDescent="0.3">
      <c r="A826" s="58">
        <v>2207959</v>
      </c>
      <c r="B826" s="58" t="s">
        <v>1840</v>
      </c>
      <c r="C826" s="59">
        <v>-8.0749647181190323</v>
      </c>
      <c r="D826" s="59">
        <v>-42.048262001071059</v>
      </c>
    </row>
    <row r="827" spans="1:4" x14ac:dyDescent="0.3">
      <c r="A827" s="58">
        <v>2208007</v>
      </c>
      <c r="B827" s="58" t="s">
        <v>1841</v>
      </c>
      <c r="C827" s="59">
        <v>-7.0813739121993615</v>
      </c>
      <c r="D827" s="59">
        <v>-41.468826714667948</v>
      </c>
    </row>
    <row r="828" spans="1:4" x14ac:dyDescent="0.3">
      <c r="A828" s="58">
        <v>2208106</v>
      </c>
      <c r="B828" s="58" t="s">
        <v>1842</v>
      </c>
      <c r="C828" s="59">
        <v>-6.2416884096668648</v>
      </c>
      <c r="D828" s="59">
        <v>-41.415158607249261</v>
      </c>
    </row>
    <row r="829" spans="1:4" x14ac:dyDescent="0.3">
      <c r="A829" s="58">
        <v>2208205</v>
      </c>
      <c r="B829" s="58" t="s">
        <v>1843</v>
      </c>
      <c r="C829" s="59">
        <v>-6.8326873012450768</v>
      </c>
      <c r="D829" s="59">
        <v>-40.618272786301347</v>
      </c>
    </row>
    <row r="830" spans="1:4" x14ac:dyDescent="0.3">
      <c r="A830" s="58">
        <v>2208304</v>
      </c>
      <c r="B830" s="58" t="s">
        <v>1844</v>
      </c>
      <c r="C830" s="59">
        <v>-3.9292874935799005</v>
      </c>
      <c r="D830" s="59">
        <v>-41.70904154964979</v>
      </c>
    </row>
    <row r="831" spans="1:4" x14ac:dyDescent="0.3">
      <c r="A831" s="58">
        <v>2208403</v>
      </c>
      <c r="B831" s="58" t="s">
        <v>1845</v>
      </c>
      <c r="C831" s="59">
        <v>-4.2760686932553558</v>
      </c>
      <c r="D831" s="59">
        <v>-41.778504852353592</v>
      </c>
    </row>
    <row r="832" spans="1:4" x14ac:dyDescent="0.3">
      <c r="A832" s="58">
        <v>2208502</v>
      </c>
      <c r="B832" s="58" t="s">
        <v>1846</v>
      </c>
      <c r="C832" s="59">
        <v>-3.891422995034532</v>
      </c>
      <c r="D832" s="59">
        <v>-42.710925999347687</v>
      </c>
    </row>
    <row r="833" spans="1:4" x14ac:dyDescent="0.3">
      <c r="A833" s="58">
        <v>2208551</v>
      </c>
      <c r="B833" s="58" t="s">
        <v>1847</v>
      </c>
      <c r="C833" s="59">
        <v>-6.9717246866462812</v>
      </c>
      <c r="D833" s="59">
        <v>-44.194837101893903</v>
      </c>
    </row>
    <row r="834" spans="1:4" x14ac:dyDescent="0.3">
      <c r="A834" s="58">
        <v>2208601</v>
      </c>
      <c r="B834" s="58" t="s">
        <v>1848</v>
      </c>
      <c r="C834" s="59">
        <v>-5.6647976938027975</v>
      </c>
      <c r="D834" s="59">
        <v>-42.204223675331711</v>
      </c>
    </row>
    <row r="835" spans="1:4" x14ac:dyDescent="0.3">
      <c r="A835" s="58">
        <v>2208650</v>
      </c>
      <c r="B835" s="58" t="s">
        <v>1849</v>
      </c>
      <c r="C835" s="59">
        <v>-8.5854253469421966</v>
      </c>
      <c r="D835" s="59">
        <v>-41.41702492217933</v>
      </c>
    </row>
    <row r="836" spans="1:4" x14ac:dyDescent="0.3">
      <c r="A836" s="58">
        <v>2208700</v>
      </c>
      <c r="B836" s="58" t="s">
        <v>1850</v>
      </c>
      <c r="C836" s="59">
        <v>-9.4934482414447476</v>
      </c>
      <c r="D836" s="59">
        <v>-44.581214160560826</v>
      </c>
    </row>
    <row r="837" spans="1:4" x14ac:dyDescent="0.3">
      <c r="A837" s="58">
        <v>2208809</v>
      </c>
      <c r="B837" s="58" t="s">
        <v>1851</v>
      </c>
      <c r="C837" s="59">
        <v>-6.2401830211403411</v>
      </c>
      <c r="D837" s="59">
        <v>-42.685024231308276</v>
      </c>
    </row>
    <row r="838" spans="1:4" x14ac:dyDescent="0.3">
      <c r="A838" s="58">
        <v>2208858</v>
      </c>
      <c r="B838" s="58" t="s">
        <v>1852</v>
      </c>
      <c r="C838" s="59">
        <v>-10.128727688139501</v>
      </c>
      <c r="D838" s="59">
        <v>-44.952530048252946</v>
      </c>
    </row>
    <row r="839" spans="1:4" x14ac:dyDescent="0.3">
      <c r="A839" s="58">
        <v>2208874</v>
      </c>
      <c r="B839" s="58" t="s">
        <v>1853</v>
      </c>
      <c r="C839" s="59">
        <v>-7.6905755011573707</v>
      </c>
      <c r="D839" s="59">
        <v>-42.71404349134631</v>
      </c>
    </row>
    <row r="840" spans="1:4" x14ac:dyDescent="0.3">
      <c r="A840" s="58">
        <v>2208908</v>
      </c>
      <c r="B840" s="58" t="s">
        <v>1854</v>
      </c>
      <c r="C840" s="59">
        <v>-7.5580342449721867</v>
      </c>
      <c r="D840" s="59">
        <v>-45.24563868426015</v>
      </c>
    </row>
    <row r="841" spans="1:4" x14ac:dyDescent="0.3">
      <c r="A841" s="58">
        <v>2209005</v>
      </c>
      <c r="B841" s="58" t="s">
        <v>1855</v>
      </c>
      <c r="C841" s="59">
        <v>-7.7708571198051466</v>
      </c>
      <c r="D841" s="59">
        <v>-43.140182786010158</v>
      </c>
    </row>
    <row r="842" spans="1:4" x14ac:dyDescent="0.3">
      <c r="A842" s="58">
        <v>2209104</v>
      </c>
      <c r="B842" s="58" t="s">
        <v>1856</v>
      </c>
      <c r="C842" s="59">
        <v>-7.1776264961006158</v>
      </c>
      <c r="D842" s="59">
        <v>-41.761925689098781</v>
      </c>
    </row>
    <row r="843" spans="1:4" x14ac:dyDescent="0.3">
      <c r="A843" s="58">
        <v>2209153</v>
      </c>
      <c r="B843" s="58" t="s">
        <v>1857</v>
      </c>
      <c r="C843" s="59">
        <v>-5.8081209983530604</v>
      </c>
      <c r="D843" s="59">
        <v>-41.958445953059716</v>
      </c>
    </row>
    <row r="844" spans="1:4" x14ac:dyDescent="0.3">
      <c r="A844" s="58">
        <v>2209203</v>
      </c>
      <c r="B844" s="58" t="s">
        <v>1858</v>
      </c>
      <c r="C844" s="59">
        <v>-9.1067957053362836</v>
      </c>
      <c r="D844" s="59">
        <v>-45.920556441072613</v>
      </c>
    </row>
    <row r="845" spans="1:4" x14ac:dyDescent="0.3">
      <c r="A845" s="58">
        <v>2209302</v>
      </c>
      <c r="B845" s="58" t="s">
        <v>1859</v>
      </c>
      <c r="C845" s="59">
        <v>-8.944624216894832</v>
      </c>
      <c r="D845" s="59">
        <v>-44.129585906257411</v>
      </c>
    </row>
    <row r="846" spans="1:4" x14ac:dyDescent="0.3">
      <c r="A846" s="58">
        <v>2209351</v>
      </c>
      <c r="B846" s="58" t="s">
        <v>1860</v>
      </c>
      <c r="C846" s="59">
        <v>-6.9490717639244863</v>
      </c>
      <c r="D846" s="59">
        <v>-41.518480557974421</v>
      </c>
    </row>
    <row r="847" spans="1:4" x14ac:dyDescent="0.3">
      <c r="A847" s="58">
        <v>2209377</v>
      </c>
      <c r="B847" s="58" t="s">
        <v>1861</v>
      </c>
      <c r="C847" s="59">
        <v>-6.8014550582892257</v>
      </c>
      <c r="D847" s="59">
        <v>-42.28081387606592</v>
      </c>
    </row>
    <row r="848" spans="1:4" x14ac:dyDescent="0.3">
      <c r="A848" s="58">
        <v>2209401</v>
      </c>
      <c r="B848" s="58" t="s">
        <v>1862</v>
      </c>
      <c r="C848" s="59">
        <v>-6.9818484769769702</v>
      </c>
      <c r="D848" s="59">
        <v>-41.233764742124514</v>
      </c>
    </row>
    <row r="849" spans="1:4" x14ac:dyDescent="0.3">
      <c r="A849" s="58">
        <v>2209450</v>
      </c>
      <c r="B849" s="58" t="s">
        <v>1863</v>
      </c>
      <c r="C849" s="59">
        <v>-6.0467175962930613</v>
      </c>
      <c r="D849" s="59">
        <v>-42.71119680502381</v>
      </c>
    </row>
    <row r="850" spans="1:4" x14ac:dyDescent="0.3">
      <c r="A850" s="58">
        <v>2209500</v>
      </c>
      <c r="B850" s="58" t="s">
        <v>1864</v>
      </c>
      <c r="C850" s="59">
        <v>-7.4223368373732619</v>
      </c>
      <c r="D850" s="59">
        <v>-41.918212860020411</v>
      </c>
    </row>
    <row r="851" spans="1:4" x14ac:dyDescent="0.3">
      <c r="A851" s="58">
        <v>2209559</v>
      </c>
      <c r="B851" s="58" t="s">
        <v>1865</v>
      </c>
      <c r="C851" s="59">
        <v>-9.0625605358737307</v>
      </c>
      <c r="D851" s="59">
        <v>-42.99907251707257</v>
      </c>
    </row>
    <row r="852" spans="1:4" x14ac:dyDescent="0.3">
      <c r="A852" s="58">
        <v>2209609</v>
      </c>
      <c r="B852" s="58" t="s">
        <v>1866</v>
      </c>
      <c r="C852" s="59">
        <v>-5.9328676629867818</v>
      </c>
      <c r="D852" s="59">
        <v>-42.11350259018915</v>
      </c>
    </row>
    <row r="853" spans="1:4" x14ac:dyDescent="0.3">
      <c r="A853" s="58">
        <v>2209658</v>
      </c>
      <c r="B853" s="58" t="s">
        <v>1867</v>
      </c>
      <c r="C853" s="59">
        <v>-8.2377547497305716</v>
      </c>
      <c r="D853" s="59">
        <v>-41.689597151665744</v>
      </c>
    </row>
    <row r="854" spans="1:4" x14ac:dyDescent="0.3">
      <c r="A854" s="58">
        <v>2209708</v>
      </c>
      <c r="B854" s="58" t="s">
        <v>1868</v>
      </c>
      <c r="C854" s="59">
        <v>-7.2439761038638464</v>
      </c>
      <c r="D854" s="59">
        <v>-42.53853198700525</v>
      </c>
    </row>
    <row r="855" spans="1:4" x14ac:dyDescent="0.3">
      <c r="A855" s="58">
        <v>2209757</v>
      </c>
      <c r="B855" s="58" t="s">
        <v>1869</v>
      </c>
      <c r="C855" s="59">
        <v>-10.029940106233454</v>
      </c>
      <c r="D855" s="59">
        <v>-45.301405510563029</v>
      </c>
    </row>
    <row r="856" spans="1:4" x14ac:dyDescent="0.3">
      <c r="A856" s="58">
        <v>2209807</v>
      </c>
      <c r="B856" s="58" t="s">
        <v>1870</v>
      </c>
      <c r="C856" s="59">
        <v>-5.9896674395269667</v>
      </c>
      <c r="D856" s="59">
        <v>-42.698830984094876</v>
      </c>
    </row>
    <row r="857" spans="1:4" x14ac:dyDescent="0.3">
      <c r="A857" s="58">
        <v>2209856</v>
      </c>
      <c r="B857" s="58" t="s">
        <v>1871</v>
      </c>
      <c r="C857" s="59">
        <v>-6.8189309895029186</v>
      </c>
      <c r="D857" s="59">
        <v>-41.346053651936579</v>
      </c>
    </row>
    <row r="858" spans="1:4" x14ac:dyDescent="0.3">
      <c r="A858" s="58">
        <v>2209872</v>
      </c>
      <c r="B858" s="58" t="s">
        <v>1872</v>
      </c>
      <c r="C858" s="59">
        <v>-3.9385974341152612</v>
      </c>
      <c r="D858" s="59">
        <v>-41.256286959289049</v>
      </c>
    </row>
    <row r="859" spans="1:4" x14ac:dyDescent="0.3">
      <c r="A859" s="58">
        <v>2209906</v>
      </c>
      <c r="B859" s="58" t="s">
        <v>1873</v>
      </c>
      <c r="C859" s="59">
        <v>-5.5087975377752416</v>
      </c>
      <c r="D859" s="59">
        <v>-41.899263751096449</v>
      </c>
    </row>
    <row r="860" spans="1:4" x14ac:dyDescent="0.3">
      <c r="A860" s="58">
        <v>2209955</v>
      </c>
      <c r="B860" s="58" t="s">
        <v>1874</v>
      </c>
      <c r="C860" s="59">
        <v>-6.9190178385234118</v>
      </c>
      <c r="D860" s="59">
        <v>-41.863742204946732</v>
      </c>
    </row>
    <row r="861" spans="1:4" x14ac:dyDescent="0.3">
      <c r="A861" s="58">
        <v>2209971</v>
      </c>
      <c r="B861" s="58" t="s">
        <v>1875</v>
      </c>
      <c r="C861" s="59">
        <v>-3.8131688736188805</v>
      </c>
      <c r="D861" s="59">
        <v>-42.453126173304483</v>
      </c>
    </row>
    <row r="862" spans="1:4" x14ac:dyDescent="0.3">
      <c r="A862" s="58">
        <v>2210003</v>
      </c>
      <c r="B862" s="58" t="s">
        <v>1876</v>
      </c>
      <c r="C862" s="59">
        <v>-8.3488496879934093</v>
      </c>
      <c r="D862" s="59">
        <v>-42.256437532940609</v>
      </c>
    </row>
    <row r="863" spans="1:4" x14ac:dyDescent="0.3">
      <c r="A863" s="58">
        <v>2210052</v>
      </c>
      <c r="B863" s="58" t="s">
        <v>1877</v>
      </c>
      <c r="C863" s="59">
        <v>-3.8057163564995058</v>
      </c>
      <c r="D863" s="59">
        <v>-41.830108769217055</v>
      </c>
    </row>
    <row r="864" spans="1:4" x14ac:dyDescent="0.3">
      <c r="A864" s="58">
        <v>2210102</v>
      </c>
      <c r="B864" s="58" t="s">
        <v>1878</v>
      </c>
      <c r="C864" s="59">
        <v>-7.4930087809078207</v>
      </c>
      <c r="D864" s="59">
        <v>-42.570179415786342</v>
      </c>
    </row>
    <row r="865" spans="1:4" x14ac:dyDescent="0.3">
      <c r="A865" s="58">
        <v>2210201</v>
      </c>
      <c r="B865" s="58" t="s">
        <v>1879</v>
      </c>
      <c r="C865" s="59">
        <v>-6.8706262446521311</v>
      </c>
      <c r="D865" s="59">
        <v>-41.479407234178204</v>
      </c>
    </row>
    <row r="866" spans="1:4" x14ac:dyDescent="0.3">
      <c r="A866" s="58">
        <v>2210300</v>
      </c>
      <c r="B866" s="58" t="s">
        <v>1880</v>
      </c>
      <c r="C866" s="59">
        <v>-7.0853150045771764</v>
      </c>
      <c r="D866" s="59">
        <v>-40.836913244799817</v>
      </c>
    </row>
    <row r="867" spans="1:4" x14ac:dyDescent="0.3">
      <c r="A867" s="58">
        <v>2210359</v>
      </c>
      <c r="B867" s="58" t="s">
        <v>1881</v>
      </c>
      <c r="C867" s="59">
        <v>-9.1720018770772764</v>
      </c>
      <c r="D867" s="59">
        <v>-42.544351990386581</v>
      </c>
    </row>
    <row r="868" spans="1:4" x14ac:dyDescent="0.3">
      <c r="A868" s="58">
        <v>2210375</v>
      </c>
      <c r="B868" s="58" t="s">
        <v>1882</v>
      </c>
      <c r="C868" s="59">
        <v>-6.8281438297645467</v>
      </c>
      <c r="D868" s="59">
        <v>-41.322837819174715</v>
      </c>
    </row>
    <row r="869" spans="1:4" x14ac:dyDescent="0.3">
      <c r="A869" s="58">
        <v>2210383</v>
      </c>
      <c r="B869" s="58" t="s">
        <v>1883</v>
      </c>
      <c r="C869" s="59">
        <v>-5.8622986342878356</v>
      </c>
      <c r="D869" s="59">
        <v>-42.185377373754449</v>
      </c>
    </row>
    <row r="870" spans="1:4" x14ac:dyDescent="0.3">
      <c r="A870" s="58">
        <v>2210391</v>
      </c>
      <c r="B870" s="58" t="s">
        <v>1884</v>
      </c>
      <c r="C870" s="59">
        <v>-7.5849691189279911</v>
      </c>
      <c r="D870" s="59">
        <v>-42.370529041191155</v>
      </c>
    </row>
    <row r="871" spans="1:4" x14ac:dyDescent="0.3">
      <c r="A871" s="58">
        <v>2210409</v>
      </c>
      <c r="B871" s="58" t="s">
        <v>1885</v>
      </c>
      <c r="C871" s="59">
        <v>-5.5006636991274762</v>
      </c>
      <c r="D871" s="59">
        <v>-41.319798489524011</v>
      </c>
    </row>
    <row r="872" spans="1:4" x14ac:dyDescent="0.3">
      <c r="A872" s="58">
        <v>2210508</v>
      </c>
      <c r="B872" s="58" t="s">
        <v>1886</v>
      </c>
      <c r="C872" s="59">
        <v>-5.9139516465609665</v>
      </c>
      <c r="D872" s="59">
        <v>-42.723660172060271</v>
      </c>
    </row>
    <row r="873" spans="1:4" x14ac:dyDescent="0.3">
      <c r="A873" s="58">
        <v>2210607</v>
      </c>
      <c r="B873" s="58" t="s">
        <v>1887</v>
      </c>
      <c r="C873" s="59">
        <v>-9.0153604823547013</v>
      </c>
      <c r="D873" s="59">
        <v>-42.692285164190757</v>
      </c>
    </row>
    <row r="874" spans="1:4" x14ac:dyDescent="0.3">
      <c r="A874" s="58">
        <v>2210623</v>
      </c>
      <c r="B874" s="58" t="s">
        <v>1888</v>
      </c>
      <c r="C874" s="59">
        <v>-10.816675220601605</v>
      </c>
      <c r="D874" s="59">
        <v>-44.833284177516198</v>
      </c>
    </row>
    <row r="875" spans="1:4" x14ac:dyDescent="0.3">
      <c r="A875" s="58">
        <v>2210631</v>
      </c>
      <c r="B875" s="58" t="s">
        <v>1889</v>
      </c>
      <c r="C875" s="59">
        <v>-7.5773856301519453</v>
      </c>
      <c r="D875" s="59">
        <v>-44.067691769610377</v>
      </c>
    </row>
    <row r="876" spans="1:4" x14ac:dyDescent="0.3">
      <c r="A876" s="58">
        <v>2210656</v>
      </c>
      <c r="B876" s="58" t="s">
        <v>1890</v>
      </c>
      <c r="C876" s="59">
        <v>-4.911689164237365</v>
      </c>
      <c r="D876" s="59">
        <v>-41.727559224798988</v>
      </c>
    </row>
    <row r="877" spans="1:4" x14ac:dyDescent="0.3">
      <c r="A877" s="58">
        <v>2210706</v>
      </c>
      <c r="B877" s="58" t="s">
        <v>1891</v>
      </c>
      <c r="C877" s="59">
        <v>-7.5991371656833566</v>
      </c>
      <c r="D877" s="59">
        <v>-40.81750906835552</v>
      </c>
    </row>
    <row r="878" spans="1:4" x14ac:dyDescent="0.3">
      <c r="A878" s="58">
        <v>2210805</v>
      </c>
      <c r="B878" s="58" t="s">
        <v>1892</v>
      </c>
      <c r="C878" s="59">
        <v>-7.8579572938829871</v>
      </c>
      <c r="D878" s="59">
        <v>-41.910910361651887</v>
      </c>
    </row>
    <row r="879" spans="1:4" x14ac:dyDescent="0.3">
      <c r="A879" s="58">
        <v>2210904</v>
      </c>
      <c r="B879" s="58" t="s">
        <v>1893</v>
      </c>
      <c r="C879" s="59">
        <v>-7.864938057103906</v>
      </c>
      <c r="D879" s="59">
        <v>-42.504691723720256</v>
      </c>
    </row>
    <row r="880" spans="1:4" x14ac:dyDescent="0.3">
      <c r="A880" s="58">
        <v>2210938</v>
      </c>
      <c r="B880" s="58" t="s">
        <v>1894</v>
      </c>
      <c r="C880" s="59">
        <v>-7.0170105888280858</v>
      </c>
      <c r="D880" s="59">
        <v>-41.392267730940986</v>
      </c>
    </row>
    <row r="881" spans="1:4" x14ac:dyDescent="0.3">
      <c r="A881" s="58">
        <v>2210953</v>
      </c>
      <c r="B881" s="58" t="s">
        <v>1895</v>
      </c>
      <c r="C881" s="59">
        <v>-8.4004317800923065</v>
      </c>
      <c r="D881" s="59">
        <v>-42.909688830206953</v>
      </c>
    </row>
    <row r="882" spans="1:4" x14ac:dyDescent="0.3">
      <c r="A882" s="58">
        <v>2210979</v>
      </c>
      <c r="B882" s="58" t="s">
        <v>1896</v>
      </c>
      <c r="C882" s="59">
        <v>-6.5963534674198199</v>
      </c>
      <c r="D882" s="59">
        <v>-42.283901340488285</v>
      </c>
    </row>
    <row r="883" spans="1:4" x14ac:dyDescent="0.3">
      <c r="A883" s="58">
        <v>2211001</v>
      </c>
      <c r="B883" s="58" t="s">
        <v>1897</v>
      </c>
      <c r="C883" s="59">
        <v>-5.0863419523217006</v>
      </c>
      <c r="D883" s="59">
        <v>-42.805270458223347</v>
      </c>
    </row>
    <row r="884" spans="1:4" x14ac:dyDescent="0.3">
      <c r="A884" s="58">
        <v>2211100</v>
      </c>
      <c r="B884" s="58" t="s">
        <v>1898</v>
      </c>
      <c r="C884" s="59">
        <v>-4.5860181591400604</v>
      </c>
      <c r="D884" s="59">
        <v>-42.86292971595055</v>
      </c>
    </row>
    <row r="885" spans="1:4" x14ac:dyDescent="0.3">
      <c r="A885" s="58">
        <v>2211209</v>
      </c>
      <c r="B885" s="58" t="s">
        <v>1899</v>
      </c>
      <c r="C885" s="59">
        <v>-7.2295033445624721</v>
      </c>
      <c r="D885" s="59">
        <v>-44.56025592385253</v>
      </c>
    </row>
    <row r="886" spans="1:4" x14ac:dyDescent="0.3">
      <c r="A886" s="58">
        <v>2211308</v>
      </c>
      <c r="B886" s="58" t="s">
        <v>1900</v>
      </c>
      <c r="C886" s="59">
        <v>-6.3981960227157106</v>
      </c>
      <c r="D886" s="59">
        <v>-41.740535991329942</v>
      </c>
    </row>
    <row r="887" spans="1:4" x14ac:dyDescent="0.3">
      <c r="A887" s="58">
        <v>2211357</v>
      </c>
      <c r="B887" s="58" t="s">
        <v>1901</v>
      </c>
      <c r="C887" s="59">
        <v>-9.2365410893456303</v>
      </c>
      <c r="D887" s="59">
        <v>-42.969444535029702</v>
      </c>
    </row>
    <row r="888" spans="1:4" x14ac:dyDescent="0.3">
      <c r="A888" s="58">
        <v>2211407</v>
      </c>
      <c r="B888" s="58" t="s">
        <v>1902</v>
      </c>
      <c r="C888" s="59">
        <v>-6.5429475544246953</v>
      </c>
      <c r="D888" s="59">
        <v>-42.253101623343845</v>
      </c>
    </row>
    <row r="889" spans="1:4" x14ac:dyDescent="0.3">
      <c r="A889" s="58">
        <v>2211506</v>
      </c>
      <c r="B889" s="58" t="s">
        <v>1903</v>
      </c>
      <c r="C889" s="59">
        <v>-7.6028492828919907</v>
      </c>
      <c r="D889" s="59">
        <v>-41.479736750035364</v>
      </c>
    </row>
    <row r="890" spans="1:4" x14ac:dyDescent="0.3">
      <c r="A890" s="58">
        <v>2211605</v>
      </c>
      <c r="B890" s="58" t="s">
        <v>1904</v>
      </c>
      <c r="C890" s="59">
        <v>-7.1410464339525417</v>
      </c>
      <c r="D890" s="59">
        <v>-40.937801396493022</v>
      </c>
    </row>
    <row r="891" spans="1:4" x14ac:dyDescent="0.3">
      <c r="A891" s="58">
        <v>2211704</v>
      </c>
      <c r="B891" s="58" t="s">
        <v>1905</v>
      </c>
      <c r="C891" s="59">
        <v>-7.2357790064126455</v>
      </c>
      <c r="D891" s="59">
        <v>-41.908953620303883</v>
      </c>
    </row>
    <row r="892" spans="1:4" x14ac:dyDescent="0.3">
      <c r="A892" s="58">
        <v>2300101</v>
      </c>
      <c r="B892" s="58" t="s">
        <v>1906</v>
      </c>
      <c r="C892" s="59">
        <v>-7.3569765958983062</v>
      </c>
      <c r="D892" s="59">
        <v>-39.047546636185125</v>
      </c>
    </row>
    <row r="893" spans="1:4" x14ac:dyDescent="0.3">
      <c r="A893" s="58">
        <v>2300150</v>
      </c>
      <c r="B893" s="58" t="s">
        <v>1907</v>
      </c>
      <c r="C893" s="59">
        <v>-4.2231384093724449</v>
      </c>
      <c r="D893" s="59">
        <v>-38.705623770982641</v>
      </c>
    </row>
    <row r="894" spans="1:4" x14ac:dyDescent="0.3">
      <c r="A894" s="58">
        <v>2300200</v>
      </c>
      <c r="B894" s="58" t="s">
        <v>1908</v>
      </c>
      <c r="C894" s="59">
        <v>-2.8853105400949959</v>
      </c>
      <c r="D894" s="59">
        <v>-40.118241471165476</v>
      </c>
    </row>
    <row r="895" spans="1:4" x14ac:dyDescent="0.3">
      <c r="A895" s="58">
        <v>2300309</v>
      </c>
      <c r="B895" s="58" t="s">
        <v>1909</v>
      </c>
      <c r="C895" s="59">
        <v>-6.0927619950000009</v>
      </c>
      <c r="D895" s="59">
        <v>-39.455705276177163</v>
      </c>
    </row>
    <row r="896" spans="1:4" x14ac:dyDescent="0.3">
      <c r="A896" s="58">
        <v>2300408</v>
      </c>
      <c r="B896" s="58" t="s">
        <v>1910</v>
      </c>
      <c r="C896" s="59">
        <v>-6.5632984400516836</v>
      </c>
      <c r="D896" s="59">
        <v>-40.123160077554139</v>
      </c>
    </row>
    <row r="897" spans="1:4" x14ac:dyDescent="0.3">
      <c r="A897" s="58">
        <v>2300507</v>
      </c>
      <c r="B897" s="58" t="s">
        <v>1911</v>
      </c>
      <c r="C897" s="59">
        <v>-3.5869837692481652</v>
      </c>
      <c r="D897" s="59">
        <v>-40.544638122573851</v>
      </c>
    </row>
    <row r="898" spans="1:4" x14ac:dyDescent="0.3">
      <c r="A898" s="58">
        <v>2300606</v>
      </c>
      <c r="B898" s="58" t="s">
        <v>1912</v>
      </c>
      <c r="C898" s="59">
        <v>-6.9974983508051967</v>
      </c>
      <c r="D898" s="59">
        <v>-39.745820638942057</v>
      </c>
    </row>
    <row r="899" spans="1:4" x14ac:dyDescent="0.3">
      <c r="A899" s="58">
        <v>2300705</v>
      </c>
      <c r="B899" s="58" t="s">
        <v>1913</v>
      </c>
      <c r="C899" s="59">
        <v>-5.5220817397452322</v>
      </c>
      <c r="D899" s="59">
        <v>-38.272778148719595</v>
      </c>
    </row>
    <row r="900" spans="1:4" x14ac:dyDescent="0.3">
      <c r="A900" s="58">
        <v>2300754</v>
      </c>
      <c r="B900" s="58" t="s">
        <v>1914</v>
      </c>
      <c r="C900" s="59">
        <v>-3.3648778034773055</v>
      </c>
      <c r="D900" s="59">
        <v>-39.828822791722509</v>
      </c>
    </row>
    <row r="901" spans="1:4" x14ac:dyDescent="0.3">
      <c r="A901" s="58">
        <v>2300804</v>
      </c>
      <c r="B901" s="58" t="s">
        <v>1915</v>
      </c>
      <c r="C901" s="59">
        <v>-6.7796878471182911</v>
      </c>
      <c r="D901" s="59">
        <v>-39.982386841881926</v>
      </c>
    </row>
    <row r="902" spans="1:4" x14ac:dyDescent="0.3">
      <c r="A902" s="58">
        <v>2300903</v>
      </c>
      <c r="B902" s="58" t="s">
        <v>1916</v>
      </c>
      <c r="C902" s="59">
        <v>-3.9480185186148056</v>
      </c>
      <c r="D902" s="59">
        <v>-39.430422783300386</v>
      </c>
    </row>
    <row r="903" spans="1:4" x14ac:dyDescent="0.3">
      <c r="A903" s="58">
        <v>2301000</v>
      </c>
      <c r="B903" s="58" t="s">
        <v>1917</v>
      </c>
      <c r="C903" s="59">
        <v>-3.9061945000000002</v>
      </c>
      <c r="D903" s="59">
        <v>-38.389802958850936</v>
      </c>
    </row>
    <row r="904" spans="1:4" x14ac:dyDescent="0.3">
      <c r="A904" s="58">
        <v>2301109</v>
      </c>
      <c r="B904" s="58" t="s">
        <v>1918</v>
      </c>
      <c r="C904" s="59">
        <v>-4.5670664700000012</v>
      </c>
      <c r="D904" s="59">
        <v>-37.772752598911282</v>
      </c>
    </row>
    <row r="905" spans="1:4" x14ac:dyDescent="0.3">
      <c r="A905" s="58">
        <v>2301208</v>
      </c>
      <c r="B905" s="58" t="s">
        <v>1919</v>
      </c>
      <c r="C905" s="59">
        <v>-4.3703938069767103</v>
      </c>
      <c r="D905" s="59">
        <v>-38.809440969165934</v>
      </c>
    </row>
    <row r="906" spans="1:4" x14ac:dyDescent="0.3">
      <c r="A906" s="58">
        <v>2301257</v>
      </c>
      <c r="B906" s="58" t="s">
        <v>1920</v>
      </c>
      <c r="C906" s="59">
        <v>-4.7519382719921603</v>
      </c>
      <c r="D906" s="59">
        <v>-40.831096734981379</v>
      </c>
    </row>
    <row r="907" spans="1:4" x14ac:dyDescent="0.3">
      <c r="A907" s="58">
        <v>2301307</v>
      </c>
      <c r="B907" s="58" t="s">
        <v>1921</v>
      </c>
      <c r="C907" s="59">
        <v>-7.2061837891806864</v>
      </c>
      <c r="D907" s="59">
        <v>-40.137445809356912</v>
      </c>
    </row>
    <row r="908" spans="1:4" x14ac:dyDescent="0.3">
      <c r="A908" s="58">
        <v>2301406</v>
      </c>
      <c r="B908" s="58" t="s">
        <v>1922</v>
      </c>
      <c r="C908" s="59">
        <v>-4.4169306449925605</v>
      </c>
      <c r="D908" s="59">
        <v>-39.047554561796012</v>
      </c>
    </row>
    <row r="909" spans="1:4" x14ac:dyDescent="0.3">
      <c r="A909" s="58">
        <v>2301505</v>
      </c>
      <c r="B909" s="58" t="s">
        <v>1923</v>
      </c>
      <c r="C909" s="59">
        <v>-6.3194258030221802</v>
      </c>
      <c r="D909" s="59">
        <v>-40.16144371237403</v>
      </c>
    </row>
    <row r="910" spans="1:4" x14ac:dyDescent="0.3">
      <c r="A910" s="58">
        <v>2301604</v>
      </c>
      <c r="B910" s="58" t="s">
        <v>1924</v>
      </c>
      <c r="C910" s="59">
        <v>-6.8726071122114867</v>
      </c>
      <c r="D910" s="59">
        <v>-39.871274747492599</v>
      </c>
    </row>
    <row r="911" spans="1:4" x14ac:dyDescent="0.3">
      <c r="A911" s="58">
        <v>2301703</v>
      </c>
      <c r="B911" s="58" t="s">
        <v>1925</v>
      </c>
      <c r="C911" s="59">
        <v>-6.9403918320064522</v>
      </c>
      <c r="D911" s="59">
        <v>-38.976990876944413</v>
      </c>
    </row>
    <row r="912" spans="1:4" x14ac:dyDescent="0.3">
      <c r="A912" s="58">
        <v>2301802</v>
      </c>
      <c r="B912" s="58" t="s">
        <v>1926</v>
      </c>
      <c r="C912" s="59">
        <v>-6.7271620493216959</v>
      </c>
      <c r="D912" s="59">
        <v>-38.720125915963806</v>
      </c>
    </row>
    <row r="913" spans="1:4" x14ac:dyDescent="0.3">
      <c r="A913" s="58">
        <v>2301851</v>
      </c>
      <c r="B913" s="58" t="s">
        <v>1927</v>
      </c>
      <c r="C913" s="59">
        <v>-5.3150473039947954</v>
      </c>
      <c r="D913" s="59">
        <v>-38.925784804929826</v>
      </c>
    </row>
    <row r="914" spans="1:4" x14ac:dyDescent="0.3">
      <c r="A914" s="58">
        <v>2301901</v>
      </c>
      <c r="B914" s="58" t="s">
        <v>1928</v>
      </c>
      <c r="C914" s="59">
        <v>-7.3071721269126755</v>
      </c>
      <c r="D914" s="59">
        <v>-39.302316369225707</v>
      </c>
    </row>
    <row r="915" spans="1:4" x14ac:dyDescent="0.3">
      <c r="A915" s="58">
        <v>2301950</v>
      </c>
      <c r="B915" s="58" t="s">
        <v>1929</v>
      </c>
      <c r="C915" s="59">
        <v>-4.2887622667681802</v>
      </c>
      <c r="D915" s="59">
        <v>-38.638501829557427</v>
      </c>
    </row>
    <row r="916" spans="1:4" x14ac:dyDescent="0.3">
      <c r="A916" s="58">
        <v>2302008</v>
      </c>
      <c r="B916" s="58" t="s">
        <v>1930</v>
      </c>
      <c r="C916" s="59">
        <v>-7.168208726685231</v>
      </c>
      <c r="D916" s="59">
        <v>-38.779880646052185</v>
      </c>
    </row>
    <row r="917" spans="1:4" x14ac:dyDescent="0.3">
      <c r="A917" s="58">
        <v>2302057</v>
      </c>
      <c r="B917" s="58" t="s">
        <v>1931</v>
      </c>
      <c r="C917" s="59">
        <v>-3.0091167461919102</v>
      </c>
      <c r="D917" s="59">
        <v>-41.139481538165491</v>
      </c>
    </row>
    <row r="918" spans="1:4" x14ac:dyDescent="0.3">
      <c r="A918" s="58">
        <v>2302107</v>
      </c>
      <c r="B918" s="58" t="s">
        <v>1932</v>
      </c>
      <c r="C918" s="59">
        <v>-4.3312051564085561</v>
      </c>
      <c r="D918" s="59">
        <v>-38.880021375629106</v>
      </c>
    </row>
    <row r="919" spans="1:4" x14ac:dyDescent="0.3">
      <c r="A919" s="58">
        <v>2302206</v>
      </c>
      <c r="B919" s="58" t="s">
        <v>1933</v>
      </c>
      <c r="C919" s="59">
        <v>-4.1747632211771508</v>
      </c>
      <c r="D919" s="59">
        <v>-38.123273042146344</v>
      </c>
    </row>
    <row r="920" spans="1:4" x14ac:dyDescent="0.3">
      <c r="A920" s="58">
        <v>2302305</v>
      </c>
      <c r="B920" s="58" t="s">
        <v>1934</v>
      </c>
      <c r="C920" s="59">
        <v>-3.0551067243132652</v>
      </c>
      <c r="D920" s="59">
        <v>-40.166842907024268</v>
      </c>
    </row>
    <row r="921" spans="1:4" x14ac:dyDescent="0.3">
      <c r="A921" s="58">
        <v>2302404</v>
      </c>
      <c r="B921" s="58" t="s">
        <v>1935</v>
      </c>
      <c r="C921" s="59">
        <v>-5.1257438700567564</v>
      </c>
      <c r="D921" s="59">
        <v>-39.733282342509483</v>
      </c>
    </row>
    <row r="922" spans="1:4" x14ac:dyDescent="0.3">
      <c r="A922" s="58">
        <v>2302503</v>
      </c>
      <c r="B922" s="58" t="s">
        <v>1936</v>
      </c>
      <c r="C922" s="59">
        <v>-7.4916380086613863</v>
      </c>
      <c r="D922" s="59">
        <v>-38.985513867363494</v>
      </c>
    </row>
    <row r="923" spans="1:4" x14ac:dyDescent="0.3">
      <c r="A923" s="58">
        <v>2302602</v>
      </c>
      <c r="B923" s="58" t="s">
        <v>1937</v>
      </c>
      <c r="C923" s="59">
        <v>-2.9009665745878959</v>
      </c>
      <c r="D923" s="59">
        <v>-40.847527740937998</v>
      </c>
    </row>
    <row r="924" spans="1:4" x14ac:dyDescent="0.3">
      <c r="A924" s="58">
        <v>2302701</v>
      </c>
      <c r="B924" s="58" t="s">
        <v>1938</v>
      </c>
      <c r="C924" s="59">
        <v>-7.0733835000000012</v>
      </c>
      <c r="D924" s="59">
        <v>-40.379003130168094</v>
      </c>
    </row>
    <row r="925" spans="1:4" x14ac:dyDescent="0.3">
      <c r="A925" s="58">
        <v>2302800</v>
      </c>
      <c r="B925" s="58" t="s">
        <v>1939</v>
      </c>
      <c r="C925" s="59">
        <v>-4.3553442896918577</v>
      </c>
      <c r="D925" s="59">
        <v>-39.310342952863806</v>
      </c>
    </row>
    <row r="926" spans="1:4" x14ac:dyDescent="0.3">
      <c r="A926" s="58">
        <v>2302909</v>
      </c>
      <c r="B926" s="58" t="s">
        <v>1940</v>
      </c>
      <c r="C926" s="59">
        <v>-4.4598966121401711</v>
      </c>
      <c r="D926" s="59">
        <v>-38.901828759505356</v>
      </c>
    </row>
    <row r="927" spans="1:4" x14ac:dyDescent="0.3">
      <c r="A927" s="58">
        <v>2303006</v>
      </c>
      <c r="B927" s="58" t="s">
        <v>1941</v>
      </c>
      <c r="C927" s="59">
        <v>-4.2249600007845709</v>
      </c>
      <c r="D927" s="59">
        <v>-39.193032914995392</v>
      </c>
    </row>
    <row r="928" spans="1:4" x14ac:dyDescent="0.3">
      <c r="A928" s="58">
        <v>2303105</v>
      </c>
      <c r="B928" s="58" t="s">
        <v>1942</v>
      </c>
      <c r="C928" s="59">
        <v>-3.9516118800128104</v>
      </c>
      <c r="D928" s="59">
        <v>-40.473844807733762</v>
      </c>
    </row>
    <row r="929" spans="1:4" x14ac:dyDescent="0.3">
      <c r="A929" s="58">
        <v>2303204</v>
      </c>
      <c r="B929" s="58" t="s">
        <v>1943</v>
      </c>
      <c r="C929" s="59">
        <v>-7.0415280000000013</v>
      </c>
      <c r="D929" s="59">
        <v>-39.284372029555691</v>
      </c>
    </row>
    <row r="930" spans="1:4" x14ac:dyDescent="0.3">
      <c r="A930" s="58">
        <v>2303303</v>
      </c>
      <c r="B930" s="58" t="s">
        <v>1944</v>
      </c>
      <c r="C930" s="59">
        <v>-6.5311279378647553</v>
      </c>
      <c r="D930" s="59">
        <v>-39.497688680060499</v>
      </c>
    </row>
    <row r="931" spans="1:4" x14ac:dyDescent="0.3">
      <c r="A931" s="58">
        <v>2303402</v>
      </c>
      <c r="B931" s="58" t="s">
        <v>1945</v>
      </c>
      <c r="C931" s="59">
        <v>-4.163988562365291</v>
      </c>
      <c r="D931" s="59">
        <v>-40.935631577279018</v>
      </c>
    </row>
    <row r="932" spans="1:4" x14ac:dyDescent="0.3">
      <c r="A932" s="58">
        <v>2303501</v>
      </c>
      <c r="B932" s="58" t="s">
        <v>1946</v>
      </c>
      <c r="C932" s="59">
        <v>-4.1314336782074514</v>
      </c>
      <c r="D932" s="59">
        <v>-38.23968594067707</v>
      </c>
    </row>
    <row r="933" spans="1:4" x14ac:dyDescent="0.3">
      <c r="A933" s="58">
        <v>2303600</v>
      </c>
      <c r="B933" s="58" t="s">
        <v>1947</v>
      </c>
      <c r="C933" s="59">
        <v>-6.1275562908168411</v>
      </c>
      <c r="D933" s="59">
        <v>-39.879466228338991</v>
      </c>
    </row>
    <row r="934" spans="1:4" x14ac:dyDescent="0.3">
      <c r="A934" s="58">
        <v>2303659</v>
      </c>
      <c r="B934" s="58" t="s">
        <v>1948</v>
      </c>
      <c r="C934" s="59">
        <v>-4.6515493856597203</v>
      </c>
      <c r="D934" s="59">
        <v>-40.205803789427847</v>
      </c>
    </row>
    <row r="935" spans="1:4" x14ac:dyDescent="0.3">
      <c r="A935" s="58">
        <v>2303709</v>
      </c>
      <c r="B935" s="58" t="s">
        <v>1949</v>
      </c>
      <c r="C935" s="59">
        <v>-3.7364870000000008</v>
      </c>
      <c r="D935" s="59">
        <v>-38.664017535838411</v>
      </c>
    </row>
    <row r="936" spans="1:4" x14ac:dyDescent="0.3">
      <c r="A936" s="58">
        <v>2303808</v>
      </c>
      <c r="B936" s="58" t="s">
        <v>1950</v>
      </c>
      <c r="C936" s="59">
        <v>-6.6049605000000016</v>
      </c>
      <c r="D936" s="59">
        <v>-39.059743148029433</v>
      </c>
    </row>
    <row r="937" spans="1:4" x14ac:dyDescent="0.3">
      <c r="A937" s="58">
        <v>2303907</v>
      </c>
      <c r="B937" s="58" t="s">
        <v>1951</v>
      </c>
      <c r="C937" s="59">
        <v>-3.0389011890917752</v>
      </c>
      <c r="D937" s="59">
        <v>-41.244595821943605</v>
      </c>
    </row>
    <row r="938" spans="1:4" x14ac:dyDescent="0.3">
      <c r="A938" s="58">
        <v>2303931</v>
      </c>
      <c r="B938" s="58" t="s">
        <v>1952</v>
      </c>
      <c r="C938" s="59">
        <v>-4.8425156592867156</v>
      </c>
      <c r="D938" s="59">
        <v>-39.137467531557569</v>
      </c>
    </row>
    <row r="939" spans="1:4" x14ac:dyDescent="0.3">
      <c r="A939" s="58">
        <v>2303956</v>
      </c>
      <c r="B939" s="58" t="s">
        <v>1953</v>
      </c>
      <c r="C939" s="59">
        <v>-4.3021709139785109</v>
      </c>
      <c r="D939" s="59">
        <v>-38.501285666658653</v>
      </c>
    </row>
    <row r="940" spans="1:4" x14ac:dyDescent="0.3">
      <c r="A940" s="58">
        <v>2304004</v>
      </c>
      <c r="B940" s="58" t="s">
        <v>1954</v>
      </c>
      <c r="C940" s="59">
        <v>-3.5494878611102449</v>
      </c>
      <c r="D940" s="59">
        <v>-40.656951075754471</v>
      </c>
    </row>
    <row r="941" spans="1:4" x14ac:dyDescent="0.3">
      <c r="A941" s="58">
        <v>2304103</v>
      </c>
      <c r="B941" s="58" t="s">
        <v>1955</v>
      </c>
      <c r="C941" s="59">
        <v>-5.1769505507954507</v>
      </c>
      <c r="D941" s="59">
        <v>-40.668400130844809</v>
      </c>
    </row>
    <row r="942" spans="1:4" x14ac:dyDescent="0.3">
      <c r="A942" s="58">
        <v>2304202</v>
      </c>
      <c r="B942" s="58" t="s">
        <v>1956</v>
      </c>
      <c r="C942" s="59">
        <v>-7.2317527899304457</v>
      </c>
      <c r="D942" s="59">
        <v>-39.408390297788607</v>
      </c>
    </row>
    <row r="943" spans="1:4" x14ac:dyDescent="0.3">
      <c r="A943" s="58">
        <v>2304236</v>
      </c>
      <c r="B943" s="58" t="s">
        <v>1957</v>
      </c>
      <c r="C943" s="59">
        <v>-4.4140572655122856</v>
      </c>
      <c r="D943" s="59">
        <v>-40.909045098157833</v>
      </c>
    </row>
    <row r="944" spans="1:4" x14ac:dyDescent="0.3">
      <c r="A944" s="58">
        <v>2304251</v>
      </c>
      <c r="B944" s="58" t="s">
        <v>1958</v>
      </c>
      <c r="C944" s="59">
        <v>-2.9167080503554756</v>
      </c>
      <c r="D944" s="59">
        <v>-40.171278706541955</v>
      </c>
    </row>
    <row r="945" spans="1:4" x14ac:dyDescent="0.3">
      <c r="A945" s="58">
        <v>2304269</v>
      </c>
      <c r="B945" s="58" t="s">
        <v>1959</v>
      </c>
      <c r="C945" s="59">
        <v>-5.9089623738293611</v>
      </c>
      <c r="D945" s="59">
        <v>-39.261541765087067</v>
      </c>
    </row>
    <row r="946" spans="1:4" x14ac:dyDescent="0.3">
      <c r="A946" s="58">
        <v>2304277</v>
      </c>
      <c r="B946" s="58" t="s">
        <v>1960</v>
      </c>
      <c r="C946" s="59">
        <v>-6.031332729934463</v>
      </c>
      <c r="D946" s="59">
        <v>-38.347258962096333</v>
      </c>
    </row>
    <row r="947" spans="1:4" x14ac:dyDescent="0.3">
      <c r="A947" s="58">
        <v>2304285</v>
      </c>
      <c r="B947" s="58" t="s">
        <v>1961</v>
      </c>
      <c r="C947" s="59">
        <v>-3.8869728866781106</v>
      </c>
      <c r="D947" s="59">
        <v>-38.445121838612287</v>
      </c>
    </row>
    <row r="948" spans="1:4" x14ac:dyDescent="0.3">
      <c r="A948" s="58">
        <v>2304301</v>
      </c>
      <c r="B948" s="58" t="s">
        <v>1962</v>
      </c>
      <c r="C948" s="59">
        <v>-6.9271099806491083</v>
      </c>
      <c r="D948" s="59">
        <v>-39.570835021206641</v>
      </c>
    </row>
    <row r="949" spans="1:4" x14ac:dyDescent="0.3">
      <c r="A949" s="58">
        <v>2304350</v>
      </c>
      <c r="B949" s="58" t="s">
        <v>1963</v>
      </c>
      <c r="C949" s="59">
        <v>-3.7989577430849453</v>
      </c>
      <c r="D949" s="59">
        <v>-40.258768998108231</v>
      </c>
    </row>
    <row r="950" spans="1:4" x14ac:dyDescent="0.3">
      <c r="A950" s="58">
        <v>2304400</v>
      </c>
      <c r="B950" s="58" t="s">
        <v>1964</v>
      </c>
      <c r="C950" s="59">
        <v>-3.7238050350000007</v>
      </c>
      <c r="D950" s="59">
        <v>-38.589927555043182</v>
      </c>
    </row>
    <row r="951" spans="1:4" x14ac:dyDescent="0.3">
      <c r="A951" s="58">
        <v>2304459</v>
      </c>
      <c r="B951" s="58" t="s">
        <v>1965</v>
      </c>
      <c r="C951" s="59">
        <v>-4.4498049174128207</v>
      </c>
      <c r="D951" s="59">
        <v>-37.798975486038422</v>
      </c>
    </row>
    <row r="952" spans="1:4" x14ac:dyDescent="0.3">
      <c r="A952" s="58">
        <v>2304509</v>
      </c>
      <c r="B952" s="58" t="s">
        <v>1966</v>
      </c>
      <c r="C952" s="59">
        <v>-3.760611931452758</v>
      </c>
      <c r="D952" s="59">
        <v>-40.821405201186828</v>
      </c>
    </row>
    <row r="953" spans="1:4" x14ac:dyDescent="0.3">
      <c r="A953" s="58">
        <v>2304608</v>
      </c>
      <c r="B953" s="58" t="s">
        <v>1967</v>
      </c>
      <c r="C953" s="59">
        <v>-4.0510412746534659</v>
      </c>
      <c r="D953" s="59">
        <v>-39.453529950428646</v>
      </c>
    </row>
    <row r="954" spans="1:4" x14ac:dyDescent="0.3">
      <c r="A954" s="58">
        <v>2304657</v>
      </c>
      <c r="B954" s="58" t="s">
        <v>1968</v>
      </c>
      <c r="C954" s="59">
        <v>-4.046938793989086</v>
      </c>
      <c r="D954" s="59">
        <v>-40.755524899564001</v>
      </c>
    </row>
    <row r="955" spans="1:4" x14ac:dyDescent="0.3">
      <c r="A955" s="58">
        <v>2304707</v>
      </c>
      <c r="B955" s="58" t="s">
        <v>1969</v>
      </c>
      <c r="C955" s="59">
        <v>-3.1189521561697657</v>
      </c>
      <c r="D955" s="59">
        <v>-40.829938991021542</v>
      </c>
    </row>
    <row r="956" spans="1:4" x14ac:dyDescent="0.3">
      <c r="A956" s="58">
        <v>2304806</v>
      </c>
      <c r="B956" s="58" t="s">
        <v>1970</v>
      </c>
      <c r="C956" s="59">
        <v>-6.8888843728803142</v>
      </c>
      <c r="D956" s="59">
        <v>-39.220308885846592</v>
      </c>
    </row>
    <row r="957" spans="1:4" x14ac:dyDescent="0.3">
      <c r="A957" s="58">
        <v>2304905</v>
      </c>
      <c r="B957" s="58" t="s">
        <v>1971</v>
      </c>
      <c r="C957" s="59">
        <v>-3.9119541292039464</v>
      </c>
      <c r="D957" s="59">
        <v>-40.38214602388603</v>
      </c>
    </row>
    <row r="958" spans="1:4" x14ac:dyDescent="0.3">
      <c r="A958" s="58">
        <v>2304954</v>
      </c>
      <c r="B958" s="58" t="s">
        <v>1972</v>
      </c>
      <c r="C958" s="59">
        <v>-4.0402435005007753</v>
      </c>
      <c r="D958" s="59">
        <v>-38.634434780521296</v>
      </c>
    </row>
    <row r="959" spans="1:4" x14ac:dyDescent="0.3">
      <c r="A959" s="58">
        <v>2305001</v>
      </c>
      <c r="B959" s="58" t="s">
        <v>1973</v>
      </c>
      <c r="C959" s="59">
        <v>-4.1624510671403963</v>
      </c>
      <c r="D959" s="59">
        <v>-40.752633177911271</v>
      </c>
    </row>
    <row r="960" spans="1:4" x14ac:dyDescent="0.3">
      <c r="A960" s="58">
        <v>2305100</v>
      </c>
      <c r="B960" s="58" t="s">
        <v>1974</v>
      </c>
      <c r="C960" s="59">
        <v>-4.2620509186038706</v>
      </c>
      <c r="D960" s="59">
        <v>-38.940633285059974</v>
      </c>
    </row>
    <row r="961" spans="1:4" x14ac:dyDescent="0.3">
      <c r="A961" s="58">
        <v>2305209</v>
      </c>
      <c r="B961" s="58" t="s">
        <v>1975</v>
      </c>
      <c r="C961" s="59">
        <v>-4.4079994442595654</v>
      </c>
      <c r="D961" s="59">
        <v>-40.401817124363667</v>
      </c>
    </row>
    <row r="962" spans="1:4" x14ac:dyDescent="0.3">
      <c r="A962" s="58">
        <v>2305233</v>
      </c>
      <c r="B962" s="58" t="s">
        <v>1976</v>
      </c>
      <c r="C962" s="59">
        <v>-4.0932780000000006</v>
      </c>
      <c r="D962" s="59">
        <v>-38.494239558552088</v>
      </c>
    </row>
    <row r="963" spans="1:4" x14ac:dyDescent="0.3">
      <c r="A963" s="58">
        <v>2305266</v>
      </c>
      <c r="B963" s="58" t="s">
        <v>1977</v>
      </c>
      <c r="C963" s="59">
        <v>-4.8186515779064054</v>
      </c>
      <c r="D963" s="59">
        <v>-38.821678312729524</v>
      </c>
    </row>
    <row r="964" spans="1:4" x14ac:dyDescent="0.3">
      <c r="A964" s="58">
        <v>2305308</v>
      </c>
      <c r="B964" s="58" t="s">
        <v>1978</v>
      </c>
      <c r="C964" s="59">
        <v>-3.9361312622411413</v>
      </c>
      <c r="D964" s="59">
        <v>-40.893929019795614</v>
      </c>
    </row>
    <row r="965" spans="1:4" x14ac:dyDescent="0.3">
      <c r="A965" s="58">
        <v>2305332</v>
      </c>
      <c r="B965" s="58" t="s">
        <v>1979</v>
      </c>
      <c r="C965" s="59">
        <v>-4.9691664228245598</v>
      </c>
      <c r="D965" s="59">
        <v>-38.640863048578566</v>
      </c>
    </row>
    <row r="966" spans="1:4" x14ac:dyDescent="0.3">
      <c r="A966" s="58">
        <v>2305357</v>
      </c>
      <c r="B966" s="58" t="s">
        <v>1980</v>
      </c>
      <c r="C966" s="59">
        <v>-4.7155494878312805</v>
      </c>
      <c r="D966" s="59">
        <v>-37.353563098597085</v>
      </c>
    </row>
    <row r="967" spans="1:4" x14ac:dyDescent="0.3">
      <c r="A967" s="58">
        <v>2305407</v>
      </c>
      <c r="B967" s="58" t="s">
        <v>1981</v>
      </c>
      <c r="C967" s="59">
        <v>-6.4030312519304067</v>
      </c>
      <c r="D967" s="59">
        <v>-38.863085178879807</v>
      </c>
    </row>
    <row r="968" spans="1:4" x14ac:dyDescent="0.3">
      <c r="A968" s="58">
        <v>2305506</v>
      </c>
      <c r="B968" s="58" t="s">
        <v>1982</v>
      </c>
      <c r="C968" s="59">
        <v>-6.3605547200459158</v>
      </c>
      <c r="D968" s="59">
        <v>-39.2999056781645</v>
      </c>
    </row>
    <row r="969" spans="1:4" x14ac:dyDescent="0.3">
      <c r="A969" s="58">
        <v>2305605</v>
      </c>
      <c r="B969" s="58" t="s">
        <v>1983</v>
      </c>
      <c r="C969" s="59">
        <v>-5.3980281002608601</v>
      </c>
      <c r="D969" s="59">
        <v>-40.309348260560704</v>
      </c>
    </row>
    <row r="970" spans="1:4" x14ac:dyDescent="0.3">
      <c r="A970" s="58">
        <v>2305654</v>
      </c>
      <c r="B970" s="58" t="s">
        <v>1984</v>
      </c>
      <c r="C970" s="59">
        <v>-4.9006297857144601</v>
      </c>
      <c r="D970" s="59">
        <v>-40.757966339977315</v>
      </c>
    </row>
    <row r="971" spans="1:4" x14ac:dyDescent="0.3">
      <c r="A971" s="58">
        <v>2305704</v>
      </c>
      <c r="B971" s="58" t="s">
        <v>1985</v>
      </c>
      <c r="C971" s="59">
        <v>-6.7883612602132715</v>
      </c>
      <c r="D971" s="59">
        <v>-38.715903744122421</v>
      </c>
    </row>
    <row r="972" spans="1:4" x14ac:dyDescent="0.3">
      <c r="A972" s="58">
        <v>2305803</v>
      </c>
      <c r="B972" s="58" t="s">
        <v>1986</v>
      </c>
      <c r="C972" s="59">
        <v>-4.313431685177215</v>
      </c>
      <c r="D972" s="59">
        <v>-40.71872614473012</v>
      </c>
    </row>
    <row r="973" spans="1:4" x14ac:dyDescent="0.3">
      <c r="A973" s="58">
        <v>2305902</v>
      </c>
      <c r="B973" s="58" t="s">
        <v>1396</v>
      </c>
      <c r="C973" s="59">
        <v>-4.5437854950000007</v>
      </c>
      <c r="D973" s="59">
        <v>-40.71569651059378</v>
      </c>
    </row>
    <row r="974" spans="1:4" x14ac:dyDescent="0.3">
      <c r="A974" s="58">
        <v>2306009</v>
      </c>
      <c r="B974" s="58" t="s">
        <v>77</v>
      </c>
      <c r="C974" s="59">
        <v>-5.8098425528637554</v>
      </c>
      <c r="D974" s="59">
        <v>-38.30466165569883</v>
      </c>
    </row>
    <row r="975" spans="1:4" x14ac:dyDescent="0.3">
      <c r="A975" s="58">
        <v>2306108</v>
      </c>
      <c r="B975" s="58" t="s">
        <v>1987</v>
      </c>
      <c r="C975" s="59">
        <v>-3.7454188017037704</v>
      </c>
      <c r="D975" s="59">
        <v>-39.792238115085652</v>
      </c>
    </row>
    <row r="976" spans="1:4" x14ac:dyDescent="0.3">
      <c r="A976" s="58">
        <v>2306207</v>
      </c>
      <c r="B976" s="58" t="s">
        <v>1988</v>
      </c>
      <c r="C976" s="59">
        <v>-4.6834047118556112</v>
      </c>
      <c r="D976" s="59">
        <v>-37.82162951368597</v>
      </c>
    </row>
    <row r="977" spans="1:4" x14ac:dyDescent="0.3">
      <c r="A977" s="58">
        <v>2306256</v>
      </c>
      <c r="B977" s="58" t="s">
        <v>1989</v>
      </c>
      <c r="C977" s="59">
        <v>-3.9704590163054458</v>
      </c>
      <c r="D977" s="59">
        <v>-38.526405149490792</v>
      </c>
    </row>
    <row r="978" spans="1:4" x14ac:dyDescent="0.3">
      <c r="A978" s="58">
        <v>2306306</v>
      </c>
      <c r="B978" s="58" t="s">
        <v>1990</v>
      </c>
      <c r="C978" s="59">
        <v>-3.6856731098419906</v>
      </c>
      <c r="D978" s="59">
        <v>-39.583533238622174</v>
      </c>
    </row>
    <row r="979" spans="1:4" x14ac:dyDescent="0.3">
      <c r="A979" s="58">
        <v>2306405</v>
      </c>
      <c r="B979" s="58" t="s">
        <v>1991</v>
      </c>
      <c r="C979" s="59">
        <v>-3.4994355000000006</v>
      </c>
      <c r="D979" s="59">
        <v>-39.583481575770968</v>
      </c>
    </row>
    <row r="980" spans="1:4" x14ac:dyDescent="0.3">
      <c r="A980" s="58">
        <v>2306504</v>
      </c>
      <c r="B980" s="58" t="s">
        <v>1992</v>
      </c>
      <c r="C980" s="59">
        <v>-4.5547401746512506</v>
      </c>
      <c r="D980" s="59">
        <v>-38.920673955925217</v>
      </c>
    </row>
    <row r="981" spans="1:4" x14ac:dyDescent="0.3">
      <c r="A981" s="58">
        <v>2306553</v>
      </c>
      <c r="B981" s="58" t="s">
        <v>1993</v>
      </c>
      <c r="C981" s="59">
        <v>-2.9233480000000007</v>
      </c>
      <c r="D981" s="59">
        <v>-39.915677748929006</v>
      </c>
    </row>
    <row r="982" spans="1:4" x14ac:dyDescent="0.3">
      <c r="A982" s="58">
        <v>2306603</v>
      </c>
      <c r="B982" s="58" t="s">
        <v>1994</v>
      </c>
      <c r="C982" s="59">
        <v>-4.5289225623329656</v>
      </c>
      <c r="D982" s="59">
        <v>-39.617904015884484</v>
      </c>
    </row>
    <row r="983" spans="1:4" x14ac:dyDescent="0.3">
      <c r="A983" s="58">
        <v>2306702</v>
      </c>
      <c r="B983" s="58" t="s">
        <v>1995</v>
      </c>
      <c r="C983" s="59">
        <v>-5.6108895632261513</v>
      </c>
      <c r="D983" s="59">
        <v>-38.762526297907399</v>
      </c>
    </row>
    <row r="984" spans="1:4" x14ac:dyDescent="0.3">
      <c r="A984" s="58">
        <v>2306801</v>
      </c>
      <c r="B984" s="58" t="s">
        <v>1996</v>
      </c>
      <c r="C984" s="59">
        <v>-5.4575020339634914</v>
      </c>
      <c r="D984" s="59">
        <v>-38.463097295550789</v>
      </c>
    </row>
    <row r="985" spans="1:4" x14ac:dyDescent="0.3">
      <c r="A985" s="58">
        <v>2306900</v>
      </c>
      <c r="B985" s="58" t="s">
        <v>1997</v>
      </c>
      <c r="C985" s="59">
        <v>-5.8864590450000014</v>
      </c>
      <c r="D985" s="59">
        <v>-38.623005049266844</v>
      </c>
    </row>
    <row r="986" spans="1:4" x14ac:dyDescent="0.3">
      <c r="A986" s="58">
        <v>2307007</v>
      </c>
      <c r="B986" s="58" t="s">
        <v>1998</v>
      </c>
      <c r="C986" s="59">
        <v>-4.8395551682976059</v>
      </c>
      <c r="D986" s="59">
        <v>-37.782391480958637</v>
      </c>
    </row>
    <row r="987" spans="1:4" x14ac:dyDescent="0.3">
      <c r="A987" s="58">
        <v>2307106</v>
      </c>
      <c r="B987" s="58" t="s">
        <v>1999</v>
      </c>
      <c r="C987" s="59">
        <v>-7.5855364656784268</v>
      </c>
      <c r="D987" s="59">
        <v>-39.284164457366103</v>
      </c>
    </row>
    <row r="988" spans="1:4" x14ac:dyDescent="0.3">
      <c r="A988" s="58">
        <v>2307205</v>
      </c>
      <c r="B988" s="58" t="s">
        <v>2000</v>
      </c>
      <c r="C988" s="59">
        <v>-7.6927415947833309</v>
      </c>
      <c r="D988" s="59">
        <v>-39.005138761229425</v>
      </c>
    </row>
    <row r="989" spans="1:4" x14ac:dyDescent="0.3">
      <c r="A989" s="58">
        <v>2307254</v>
      </c>
      <c r="B989" s="58" t="s">
        <v>2001</v>
      </c>
      <c r="C989" s="59">
        <v>-2.8996827088705555</v>
      </c>
      <c r="D989" s="59">
        <v>-40.438735401872727</v>
      </c>
    </row>
    <row r="990" spans="1:4" x14ac:dyDescent="0.3">
      <c r="A990" s="58">
        <v>2307304</v>
      </c>
      <c r="B990" s="58" t="s">
        <v>2002</v>
      </c>
      <c r="C990" s="59">
        <v>-7.2107660000000005</v>
      </c>
      <c r="D990" s="59">
        <v>-39.316993355614301</v>
      </c>
    </row>
    <row r="991" spans="1:4" x14ac:dyDescent="0.3">
      <c r="A991" s="58">
        <v>2307403</v>
      </c>
      <c r="B991" s="58" t="s">
        <v>2003</v>
      </c>
      <c r="C991" s="59">
        <v>-6.5225492730586261</v>
      </c>
      <c r="D991" s="59">
        <v>-39.526776243430291</v>
      </c>
    </row>
    <row r="992" spans="1:4" x14ac:dyDescent="0.3">
      <c r="A992" s="58">
        <v>2307502</v>
      </c>
      <c r="B992" s="58" t="s">
        <v>2004</v>
      </c>
      <c r="C992" s="59">
        <v>-6.7547479768401351</v>
      </c>
      <c r="D992" s="59">
        <v>-38.967275053927743</v>
      </c>
    </row>
    <row r="993" spans="1:4" x14ac:dyDescent="0.3">
      <c r="A993" s="58">
        <v>2307601</v>
      </c>
      <c r="B993" s="58" t="s">
        <v>2005</v>
      </c>
      <c r="C993" s="59">
        <v>-5.1502390200000008</v>
      </c>
      <c r="D993" s="59">
        <v>-38.099094870452923</v>
      </c>
    </row>
    <row r="994" spans="1:4" x14ac:dyDescent="0.3">
      <c r="A994" s="58">
        <v>2307635</v>
      </c>
      <c r="B994" s="58" t="s">
        <v>2006</v>
      </c>
      <c r="C994" s="59">
        <v>-4.8524341766019807</v>
      </c>
      <c r="D994" s="59">
        <v>-39.575788682600333</v>
      </c>
    </row>
    <row r="995" spans="1:4" x14ac:dyDescent="0.3">
      <c r="A995" s="58">
        <v>2307650</v>
      </c>
      <c r="B995" s="58" t="s">
        <v>2007</v>
      </c>
      <c r="C995" s="59">
        <v>-3.8769644510203611</v>
      </c>
      <c r="D995" s="59">
        <v>-38.624418646586491</v>
      </c>
    </row>
    <row r="996" spans="1:4" x14ac:dyDescent="0.3">
      <c r="A996" s="58">
        <v>2307700</v>
      </c>
      <c r="B996" s="58" t="s">
        <v>2008</v>
      </c>
      <c r="C996" s="59">
        <v>-3.8918694600000006</v>
      </c>
      <c r="D996" s="59">
        <v>-38.685851247687332</v>
      </c>
    </row>
    <row r="997" spans="1:4" x14ac:dyDescent="0.3">
      <c r="A997" s="58">
        <v>2307809</v>
      </c>
      <c r="B997" s="58" t="s">
        <v>2009</v>
      </c>
      <c r="C997" s="59">
        <v>-3.1207070250000002</v>
      </c>
      <c r="D997" s="59">
        <v>-40.151643642749626</v>
      </c>
    </row>
    <row r="998" spans="1:4" x14ac:dyDescent="0.3">
      <c r="A998" s="58">
        <v>2307908</v>
      </c>
      <c r="B998" s="58" t="s">
        <v>2010</v>
      </c>
      <c r="C998" s="59">
        <v>-3.2250122274421562</v>
      </c>
      <c r="D998" s="59">
        <v>-40.699355175069122</v>
      </c>
    </row>
    <row r="999" spans="1:4" x14ac:dyDescent="0.3">
      <c r="A999" s="58">
        <v>2308005</v>
      </c>
      <c r="B999" s="58" t="s">
        <v>2011</v>
      </c>
      <c r="C999" s="59">
        <v>-3.5238705842824922</v>
      </c>
      <c r="D999" s="59">
        <v>-40.342134864801253</v>
      </c>
    </row>
    <row r="1000" spans="1:4" x14ac:dyDescent="0.3">
      <c r="A1000" s="58">
        <v>2308104</v>
      </c>
      <c r="B1000" s="58" t="s">
        <v>2012</v>
      </c>
      <c r="C1000" s="59">
        <v>-7.3873980000000001</v>
      </c>
      <c r="D1000" s="59">
        <v>-38.77279543803099</v>
      </c>
    </row>
    <row r="1001" spans="1:4" x14ac:dyDescent="0.3">
      <c r="A1001" s="58">
        <v>2308203</v>
      </c>
      <c r="B1001" s="58" t="s">
        <v>2013</v>
      </c>
      <c r="C1001" s="59">
        <v>-3.5390066623198786</v>
      </c>
      <c r="D1001" s="59">
        <v>-40.450880956786129</v>
      </c>
    </row>
    <row r="1002" spans="1:4" x14ac:dyDescent="0.3">
      <c r="A1002" s="58">
        <v>2308302</v>
      </c>
      <c r="B1002" s="58" t="s">
        <v>2014</v>
      </c>
      <c r="C1002" s="59">
        <v>-7.3104277967818909</v>
      </c>
      <c r="D1002" s="59">
        <v>-38.943156766207615</v>
      </c>
    </row>
    <row r="1003" spans="1:4" x14ac:dyDescent="0.3">
      <c r="A1003" s="58">
        <v>2308351</v>
      </c>
      <c r="B1003" s="58" t="s">
        <v>2015</v>
      </c>
      <c r="C1003" s="59">
        <v>-5.6795641008869655</v>
      </c>
      <c r="D1003" s="59">
        <v>-39.203574181643575</v>
      </c>
    </row>
    <row r="1004" spans="1:4" x14ac:dyDescent="0.3">
      <c r="A1004" s="58">
        <v>2308377</v>
      </c>
      <c r="B1004" s="58" t="s">
        <v>2016</v>
      </c>
      <c r="C1004" s="59">
        <v>-3.5685999065573752</v>
      </c>
      <c r="D1004" s="59">
        <v>-39.970064882002113</v>
      </c>
    </row>
    <row r="1005" spans="1:4" x14ac:dyDescent="0.3">
      <c r="A1005" s="58">
        <v>2308401</v>
      </c>
      <c r="B1005" s="58" t="s">
        <v>2017</v>
      </c>
      <c r="C1005" s="59">
        <v>-7.2432315137851564</v>
      </c>
      <c r="D1005" s="59">
        <v>-39.145197707865272</v>
      </c>
    </row>
    <row r="1006" spans="1:4" x14ac:dyDescent="0.3">
      <c r="A1006" s="58">
        <v>2308500</v>
      </c>
      <c r="B1006" s="58" t="s">
        <v>2018</v>
      </c>
      <c r="C1006" s="59">
        <v>-5.7470045400000025</v>
      </c>
      <c r="D1006" s="59">
        <v>-39.624405247857176</v>
      </c>
    </row>
    <row r="1007" spans="1:4" x14ac:dyDescent="0.3">
      <c r="A1007" s="58">
        <v>2308609</v>
      </c>
      <c r="B1007" s="58" t="s">
        <v>2019</v>
      </c>
      <c r="C1007" s="59">
        <v>-4.7830912914587325</v>
      </c>
      <c r="D1007" s="59">
        <v>-40.07006746159287</v>
      </c>
    </row>
    <row r="1008" spans="1:4" x14ac:dyDescent="0.3">
      <c r="A1008" s="58">
        <v>2308708</v>
      </c>
      <c r="B1008" s="58" t="s">
        <v>2020</v>
      </c>
      <c r="C1008" s="59">
        <v>-5.0969520001672057</v>
      </c>
      <c r="D1008" s="59">
        <v>-38.364907345073121</v>
      </c>
    </row>
    <row r="1009" spans="1:4" x14ac:dyDescent="0.3">
      <c r="A1009" s="58">
        <v>2308807</v>
      </c>
      <c r="B1009" s="58" t="s">
        <v>2021</v>
      </c>
      <c r="C1009" s="59">
        <v>-3.4663632743992454</v>
      </c>
      <c r="D1009" s="59">
        <v>-40.683598927119768</v>
      </c>
    </row>
    <row r="1010" spans="1:4" x14ac:dyDescent="0.3">
      <c r="A1010" s="58">
        <v>2308906</v>
      </c>
      <c r="B1010" s="58" t="s">
        <v>2022</v>
      </c>
      <c r="C1010" s="59">
        <v>-3.2288305342538908</v>
      </c>
      <c r="D1010" s="59">
        <v>-40.124178892933124</v>
      </c>
    </row>
    <row r="1011" spans="1:4" x14ac:dyDescent="0.3">
      <c r="A1011" s="58">
        <v>2309003</v>
      </c>
      <c r="B1011" s="58" t="s">
        <v>2023</v>
      </c>
      <c r="C1011" s="59">
        <v>-3.9060299795982059</v>
      </c>
      <c r="D1011" s="59">
        <v>-40.745280465159304</v>
      </c>
    </row>
    <row r="1012" spans="1:4" x14ac:dyDescent="0.3">
      <c r="A1012" s="58">
        <v>2309102</v>
      </c>
      <c r="B1012" s="58" t="s">
        <v>2024</v>
      </c>
      <c r="C1012" s="59">
        <v>-4.2995283200776511</v>
      </c>
      <c r="D1012" s="59">
        <v>-38.993065923926785</v>
      </c>
    </row>
    <row r="1013" spans="1:4" x14ac:dyDescent="0.3">
      <c r="A1013" s="58">
        <v>2309201</v>
      </c>
      <c r="B1013" s="58" t="s">
        <v>1418</v>
      </c>
      <c r="C1013" s="59">
        <v>-7.0841028113890401</v>
      </c>
      <c r="D1013" s="59">
        <v>-39.679485472664418</v>
      </c>
    </row>
    <row r="1014" spans="1:4" x14ac:dyDescent="0.3">
      <c r="A1014" s="58">
        <v>2309300</v>
      </c>
      <c r="B1014" s="58" t="s">
        <v>2025</v>
      </c>
      <c r="C1014" s="59">
        <v>-4.7068083499366002</v>
      </c>
      <c r="D1014" s="59">
        <v>-40.565303354882495</v>
      </c>
    </row>
    <row r="1015" spans="1:4" x14ac:dyDescent="0.3">
      <c r="A1015" s="58">
        <v>2309409</v>
      </c>
      <c r="B1015" s="58" t="s">
        <v>2026</v>
      </c>
      <c r="C1015" s="59">
        <v>-5.5338648355461162</v>
      </c>
      <c r="D1015" s="59">
        <v>-40.77476726821174</v>
      </c>
    </row>
    <row r="1016" spans="1:4" x14ac:dyDescent="0.3">
      <c r="A1016" s="58">
        <v>2309458</v>
      </c>
      <c r="B1016" s="58" t="s">
        <v>2027</v>
      </c>
      <c r="C1016" s="59">
        <v>-4.4850665445477853</v>
      </c>
      <c r="D1016" s="59">
        <v>-38.598537982790198</v>
      </c>
    </row>
    <row r="1017" spans="1:4" x14ac:dyDescent="0.3">
      <c r="A1017" s="58">
        <v>2309508</v>
      </c>
      <c r="B1017" s="58" t="s">
        <v>2028</v>
      </c>
      <c r="C1017" s="59">
        <v>-6.2427987836876166</v>
      </c>
      <c r="D1017" s="59">
        <v>-38.913595984548714</v>
      </c>
    </row>
    <row r="1018" spans="1:4" x14ac:dyDescent="0.3">
      <c r="A1018" s="58">
        <v>2309607</v>
      </c>
      <c r="B1018" s="58" t="s">
        <v>2029</v>
      </c>
      <c r="C1018" s="59">
        <v>-4.1705405100000013</v>
      </c>
      <c r="D1018" s="59">
        <v>-38.46702226489348</v>
      </c>
    </row>
    <row r="1019" spans="1:4" x14ac:dyDescent="0.3">
      <c r="A1019" s="58">
        <v>2309706</v>
      </c>
      <c r="B1019" s="58" t="s">
        <v>2030</v>
      </c>
      <c r="C1019" s="59">
        <v>-3.9861200222938704</v>
      </c>
      <c r="D1019" s="59">
        <v>-38.618299312032484</v>
      </c>
    </row>
    <row r="1020" spans="1:4" x14ac:dyDescent="0.3">
      <c r="A1020" s="58">
        <v>2309805</v>
      </c>
      <c r="B1020" s="58" t="s">
        <v>2031</v>
      </c>
      <c r="C1020" s="59">
        <v>-4.2247654330706608</v>
      </c>
      <c r="D1020" s="59">
        <v>-38.925888938665857</v>
      </c>
    </row>
    <row r="1021" spans="1:4" x14ac:dyDescent="0.3">
      <c r="A1021" s="58">
        <v>2309904</v>
      </c>
      <c r="B1021" s="58" t="s">
        <v>2032</v>
      </c>
      <c r="C1021" s="59">
        <v>-3.9783943860571558</v>
      </c>
      <c r="D1021" s="59">
        <v>-40.696736107254218</v>
      </c>
    </row>
    <row r="1022" spans="1:4" x14ac:dyDescent="0.3">
      <c r="A1022" s="58">
        <v>2310001</v>
      </c>
      <c r="B1022" s="58" t="s">
        <v>2033</v>
      </c>
      <c r="C1022" s="59">
        <v>-4.7439450767732856</v>
      </c>
      <c r="D1022" s="59">
        <v>-37.966235161097387</v>
      </c>
    </row>
    <row r="1023" spans="1:4" x14ac:dyDescent="0.3">
      <c r="A1023" s="58">
        <v>2310100</v>
      </c>
      <c r="B1023" s="58" t="s">
        <v>2034</v>
      </c>
      <c r="C1023" s="59">
        <v>-4.1489817745243709</v>
      </c>
      <c r="D1023" s="59">
        <v>-38.845029066310282</v>
      </c>
    </row>
    <row r="1024" spans="1:4" x14ac:dyDescent="0.3">
      <c r="A1024" s="58">
        <v>2310209</v>
      </c>
      <c r="B1024" s="58" t="s">
        <v>2035</v>
      </c>
      <c r="C1024" s="59">
        <v>-3.4116350091571102</v>
      </c>
      <c r="D1024" s="59">
        <v>-39.029545344122454</v>
      </c>
    </row>
    <row r="1025" spans="1:4" x14ac:dyDescent="0.3">
      <c r="A1025" s="58">
        <v>2310258</v>
      </c>
      <c r="B1025" s="58" t="s">
        <v>2036</v>
      </c>
      <c r="C1025" s="59">
        <v>-3.4361967278710654</v>
      </c>
      <c r="D1025" s="59">
        <v>-39.14811552721234</v>
      </c>
    </row>
    <row r="1026" spans="1:4" x14ac:dyDescent="0.3">
      <c r="A1026" s="58">
        <v>2310308</v>
      </c>
      <c r="B1026" s="58" t="s">
        <v>2037</v>
      </c>
      <c r="C1026" s="59">
        <v>-6.2103360017224363</v>
      </c>
      <c r="D1026" s="59">
        <v>-40.694207241345701</v>
      </c>
    </row>
    <row r="1027" spans="1:4" x14ac:dyDescent="0.3">
      <c r="A1027" s="58">
        <v>2310407</v>
      </c>
      <c r="B1027" s="58" t="s">
        <v>2038</v>
      </c>
      <c r="C1027" s="59">
        <v>-4.0974323319734252</v>
      </c>
      <c r="D1027" s="59">
        <v>-39.239466495031287</v>
      </c>
    </row>
    <row r="1028" spans="1:4" x14ac:dyDescent="0.3">
      <c r="A1028" s="58">
        <v>2310506</v>
      </c>
      <c r="B1028" s="58" t="s">
        <v>2039</v>
      </c>
      <c r="C1028" s="59">
        <v>-5.454685500000001</v>
      </c>
      <c r="D1028" s="59">
        <v>-39.713937644703599</v>
      </c>
    </row>
    <row r="1029" spans="1:4" x14ac:dyDescent="0.3">
      <c r="A1029" s="58">
        <v>2310605</v>
      </c>
      <c r="B1029" s="58" t="s">
        <v>2040</v>
      </c>
      <c r="C1029" s="59">
        <v>-7.8299146120556662</v>
      </c>
      <c r="D1029" s="59">
        <v>-39.074127524080168</v>
      </c>
    </row>
    <row r="1030" spans="1:4" x14ac:dyDescent="0.3">
      <c r="A1030" s="58">
        <v>2310704</v>
      </c>
      <c r="B1030" s="58" t="s">
        <v>2041</v>
      </c>
      <c r="C1030" s="59">
        <v>-3.7962667361544349</v>
      </c>
      <c r="D1030" s="59">
        <v>-39.267008731469012</v>
      </c>
    </row>
    <row r="1031" spans="1:4" x14ac:dyDescent="0.3">
      <c r="A1031" s="58">
        <v>2310803</v>
      </c>
      <c r="B1031" s="58" t="s">
        <v>2042</v>
      </c>
      <c r="C1031" s="59">
        <v>-6.0450769020301465</v>
      </c>
      <c r="D1031" s="59">
        <v>-38.459136038954135</v>
      </c>
    </row>
    <row r="1032" spans="1:4" x14ac:dyDescent="0.3">
      <c r="A1032" s="58">
        <v>2310852</v>
      </c>
      <c r="B1032" s="58" t="s">
        <v>2043</v>
      </c>
      <c r="C1032" s="59">
        <v>-4.0278039927411848</v>
      </c>
      <c r="D1032" s="59">
        <v>-38.300087976256066</v>
      </c>
    </row>
    <row r="1033" spans="1:4" x14ac:dyDescent="0.3">
      <c r="A1033" s="58">
        <v>2310902</v>
      </c>
      <c r="B1033" s="58" t="s">
        <v>2044</v>
      </c>
      <c r="C1033" s="59">
        <v>-5.8085695597734306</v>
      </c>
      <c r="D1033" s="59">
        <v>-39.419406255537986</v>
      </c>
    </row>
    <row r="1034" spans="1:4" x14ac:dyDescent="0.3">
      <c r="A1034" s="58">
        <v>2310951</v>
      </c>
      <c r="B1034" s="58" t="s">
        <v>2045</v>
      </c>
      <c r="C1034" s="59">
        <v>-4.2421541432344156</v>
      </c>
      <c r="D1034" s="59">
        <v>-40.646541247752744</v>
      </c>
    </row>
    <row r="1035" spans="1:4" x14ac:dyDescent="0.3">
      <c r="A1035" s="58">
        <v>2311009</v>
      </c>
      <c r="B1035" s="58" t="s">
        <v>2046</v>
      </c>
      <c r="C1035" s="59">
        <v>-4.7439507319411698</v>
      </c>
      <c r="D1035" s="59">
        <v>-40.926379510265342</v>
      </c>
    </row>
    <row r="1036" spans="1:4" x14ac:dyDescent="0.3">
      <c r="A1036" s="58">
        <v>2311108</v>
      </c>
      <c r="B1036" s="58" t="s">
        <v>2047</v>
      </c>
      <c r="C1036" s="59">
        <v>-7.5357464416067055</v>
      </c>
      <c r="D1036" s="59">
        <v>-39.115331461482853</v>
      </c>
    </row>
    <row r="1037" spans="1:4" x14ac:dyDescent="0.3">
      <c r="A1037" s="58">
        <v>2311207</v>
      </c>
      <c r="B1037" s="58" t="s">
        <v>2048</v>
      </c>
      <c r="C1037" s="59">
        <v>-7.0901794696070706</v>
      </c>
      <c r="D1037" s="59">
        <v>-40.032132535687765</v>
      </c>
    </row>
    <row r="1038" spans="1:4" x14ac:dyDescent="0.3">
      <c r="A1038" s="58">
        <v>2311231</v>
      </c>
      <c r="B1038" s="58" t="s">
        <v>2049</v>
      </c>
      <c r="C1038" s="59">
        <v>-5.7216679037421914</v>
      </c>
      <c r="D1038" s="59">
        <v>-38.157917853164754</v>
      </c>
    </row>
    <row r="1039" spans="1:4" x14ac:dyDescent="0.3">
      <c r="A1039" s="58">
        <v>2311264</v>
      </c>
      <c r="B1039" s="58" t="s">
        <v>2050</v>
      </c>
      <c r="C1039" s="59">
        <v>-5.8470092293281954</v>
      </c>
      <c r="D1039" s="59">
        <v>-40.704488846833073</v>
      </c>
    </row>
    <row r="1040" spans="1:4" x14ac:dyDescent="0.3">
      <c r="A1040" s="58">
        <v>2311306</v>
      </c>
      <c r="B1040" s="58" t="s">
        <v>2051</v>
      </c>
      <c r="C1040" s="59">
        <v>-4.9637000000000002</v>
      </c>
      <c r="D1040" s="59">
        <v>-39.011744675830364</v>
      </c>
    </row>
    <row r="1041" spans="1:4" x14ac:dyDescent="0.3">
      <c r="A1041" s="58">
        <v>2311355</v>
      </c>
      <c r="B1041" s="58" t="s">
        <v>2052</v>
      </c>
      <c r="C1041" s="59">
        <v>-6.2512119003795323</v>
      </c>
      <c r="D1041" s="59">
        <v>-39.202294366455035</v>
      </c>
    </row>
    <row r="1042" spans="1:4" x14ac:dyDescent="0.3">
      <c r="A1042" s="58">
        <v>2311405</v>
      </c>
      <c r="B1042" s="58" t="s">
        <v>2053</v>
      </c>
      <c r="C1042" s="59">
        <v>-5.1984048374255751</v>
      </c>
      <c r="D1042" s="59">
        <v>-39.294354226963527</v>
      </c>
    </row>
    <row r="1043" spans="1:4" x14ac:dyDescent="0.3">
      <c r="A1043" s="58">
        <v>2311504</v>
      </c>
      <c r="B1043" s="58" t="s">
        <v>2054</v>
      </c>
      <c r="C1043" s="59">
        <v>-5.0687289544406715</v>
      </c>
      <c r="D1043" s="59">
        <v>-37.990522225086302</v>
      </c>
    </row>
    <row r="1044" spans="1:4" x14ac:dyDescent="0.3">
      <c r="A1044" s="58">
        <v>2311603</v>
      </c>
      <c r="B1044" s="58" t="s">
        <v>1284</v>
      </c>
      <c r="C1044" s="59">
        <v>-4.2229581502009905</v>
      </c>
      <c r="D1044" s="59">
        <v>-38.729570750590447</v>
      </c>
    </row>
    <row r="1045" spans="1:4" x14ac:dyDescent="0.3">
      <c r="A1045" s="58">
        <v>2311702</v>
      </c>
      <c r="B1045" s="58" t="s">
        <v>2055</v>
      </c>
      <c r="C1045" s="59">
        <v>-4.1415676008306104</v>
      </c>
      <c r="D1045" s="59">
        <v>-40.58461200365452</v>
      </c>
    </row>
    <row r="1046" spans="1:4" x14ac:dyDescent="0.3">
      <c r="A1046" s="58">
        <v>2311801</v>
      </c>
      <c r="B1046" s="58" t="s">
        <v>2056</v>
      </c>
      <c r="C1046" s="59">
        <v>-4.9397378153640199</v>
      </c>
      <c r="D1046" s="59">
        <v>-37.97543129690105</v>
      </c>
    </row>
    <row r="1047" spans="1:4" x14ac:dyDescent="0.3">
      <c r="A1047" s="58">
        <v>2311900</v>
      </c>
      <c r="B1047" s="58" t="s">
        <v>2057</v>
      </c>
      <c r="C1047" s="59">
        <v>-6.5364333524808291</v>
      </c>
      <c r="D1047" s="59">
        <v>-39.90458069841771</v>
      </c>
    </row>
    <row r="1048" spans="1:4" x14ac:dyDescent="0.3">
      <c r="A1048" s="58">
        <v>2311959</v>
      </c>
      <c r="B1048" s="58" t="s">
        <v>2058</v>
      </c>
      <c r="C1048" s="59">
        <v>-7.2845286849737159</v>
      </c>
      <c r="D1048" s="59">
        <v>-40.464752064629963</v>
      </c>
    </row>
    <row r="1049" spans="1:4" x14ac:dyDescent="0.3">
      <c r="A1049" s="58">
        <v>2312007</v>
      </c>
      <c r="B1049" s="58" t="s">
        <v>2059</v>
      </c>
      <c r="C1049" s="59">
        <v>-3.459775341731135</v>
      </c>
      <c r="D1049" s="59">
        <v>-40.209462859812668</v>
      </c>
    </row>
    <row r="1050" spans="1:4" x14ac:dyDescent="0.3">
      <c r="A1050" s="58">
        <v>2312106</v>
      </c>
      <c r="B1050" s="58" t="s">
        <v>2060</v>
      </c>
      <c r="C1050" s="59">
        <v>-7.1808977832821785</v>
      </c>
      <c r="D1050" s="59">
        <v>-39.737979781546649</v>
      </c>
    </row>
    <row r="1051" spans="1:4" x14ac:dyDescent="0.3">
      <c r="A1051" s="58">
        <v>2312205</v>
      </c>
      <c r="B1051" s="58" t="s">
        <v>2061</v>
      </c>
      <c r="C1051" s="59">
        <v>-4.3332705000000002</v>
      </c>
      <c r="D1051" s="59">
        <v>-40.153507813582017</v>
      </c>
    </row>
    <row r="1052" spans="1:4" x14ac:dyDescent="0.3">
      <c r="A1052" s="58">
        <v>2312304</v>
      </c>
      <c r="B1052" s="58" t="s">
        <v>2062</v>
      </c>
      <c r="C1052" s="59">
        <v>-4.0447269900000009</v>
      </c>
      <c r="D1052" s="59">
        <v>-40.864489875761059</v>
      </c>
    </row>
    <row r="1053" spans="1:4" x14ac:dyDescent="0.3">
      <c r="A1053" s="58">
        <v>2312403</v>
      </c>
      <c r="B1053" s="58" t="s">
        <v>2063</v>
      </c>
      <c r="C1053" s="59">
        <v>-3.6056325</v>
      </c>
      <c r="D1053" s="59">
        <v>-38.972075865280296</v>
      </c>
    </row>
    <row r="1054" spans="1:4" x14ac:dyDescent="0.3">
      <c r="A1054" s="58">
        <v>2312502</v>
      </c>
      <c r="B1054" s="58" t="s">
        <v>2064</v>
      </c>
      <c r="C1054" s="59">
        <v>-5.2686305504859101</v>
      </c>
      <c r="D1054" s="59">
        <v>-38.271940704379773</v>
      </c>
    </row>
    <row r="1055" spans="1:4" x14ac:dyDescent="0.3">
      <c r="A1055" s="58">
        <v>2312601</v>
      </c>
      <c r="B1055" s="58" t="s">
        <v>2065</v>
      </c>
      <c r="C1055" s="59">
        <v>-3.6730092532286358</v>
      </c>
      <c r="D1055" s="59">
        <v>-39.241606184971339</v>
      </c>
    </row>
    <row r="1056" spans="1:4" x14ac:dyDescent="0.3">
      <c r="A1056" s="58">
        <v>2312700</v>
      </c>
      <c r="B1056" s="58" t="s">
        <v>2066</v>
      </c>
      <c r="C1056" s="59">
        <v>-5.5893437521311204</v>
      </c>
      <c r="D1056" s="59">
        <v>-39.37532533084174</v>
      </c>
    </row>
    <row r="1057" spans="1:4" x14ac:dyDescent="0.3">
      <c r="A1057" s="58">
        <v>2312809</v>
      </c>
      <c r="B1057" s="58" t="s">
        <v>2067</v>
      </c>
      <c r="C1057" s="59">
        <v>-3.3517896280369808</v>
      </c>
      <c r="D1057" s="59">
        <v>-40.463792004414444</v>
      </c>
    </row>
    <row r="1058" spans="1:4" x14ac:dyDescent="0.3">
      <c r="A1058" s="58">
        <v>2312908</v>
      </c>
      <c r="B1058" s="58" t="s">
        <v>2068</v>
      </c>
      <c r="C1058" s="59">
        <v>-3.6880376837644202</v>
      </c>
      <c r="D1058" s="59">
        <v>-40.3486680336582</v>
      </c>
    </row>
    <row r="1059" spans="1:4" x14ac:dyDescent="0.3">
      <c r="A1059" s="58">
        <v>2313005</v>
      </c>
      <c r="B1059" s="58" t="s">
        <v>2069</v>
      </c>
      <c r="C1059" s="59">
        <v>-5.7263512910078305</v>
      </c>
      <c r="D1059" s="59">
        <v>-39.008224913244597</v>
      </c>
    </row>
    <row r="1060" spans="1:4" x14ac:dyDescent="0.3">
      <c r="A1060" s="58">
        <v>2313104</v>
      </c>
      <c r="B1060" s="58" t="s">
        <v>2070</v>
      </c>
      <c r="C1060" s="59">
        <v>-5.2438038698773513</v>
      </c>
      <c r="D1060" s="59">
        <v>-38.129737128172025</v>
      </c>
    </row>
    <row r="1061" spans="1:4" x14ac:dyDescent="0.3">
      <c r="A1061" s="58">
        <v>2313203</v>
      </c>
      <c r="B1061" s="58" t="s">
        <v>2071</v>
      </c>
      <c r="C1061" s="59">
        <v>-4.8339285831558811</v>
      </c>
      <c r="D1061" s="59">
        <v>-40.319068513295953</v>
      </c>
    </row>
    <row r="1062" spans="1:4" x14ac:dyDescent="0.3">
      <c r="A1062" s="58">
        <v>2313252</v>
      </c>
      <c r="B1062" s="58" t="s">
        <v>2072</v>
      </c>
      <c r="C1062" s="59">
        <v>-6.6825903147373662</v>
      </c>
      <c r="D1062" s="59">
        <v>-39.758494194865278</v>
      </c>
    </row>
    <row r="1063" spans="1:4" x14ac:dyDescent="0.3">
      <c r="A1063" s="58">
        <v>2313302</v>
      </c>
      <c r="B1063" s="58" t="s">
        <v>2073</v>
      </c>
      <c r="C1063" s="59">
        <v>-6.00299893985789</v>
      </c>
      <c r="D1063" s="59">
        <v>-40.292624655104945</v>
      </c>
    </row>
    <row r="1064" spans="1:4" x14ac:dyDescent="0.3">
      <c r="A1064" s="58">
        <v>2313351</v>
      </c>
      <c r="B1064" s="58" t="s">
        <v>2074</v>
      </c>
      <c r="C1064" s="59">
        <v>-3.9897118085937118</v>
      </c>
      <c r="D1064" s="59">
        <v>-39.576826361710559</v>
      </c>
    </row>
    <row r="1065" spans="1:4" x14ac:dyDescent="0.3">
      <c r="A1065" s="58">
        <v>2313401</v>
      </c>
      <c r="B1065" s="58" t="s">
        <v>2075</v>
      </c>
      <c r="C1065" s="59">
        <v>-3.7226740000000009</v>
      </c>
      <c r="D1065" s="59">
        <v>-40.99170562269159</v>
      </c>
    </row>
    <row r="1066" spans="1:4" x14ac:dyDescent="0.3">
      <c r="A1066" s="58">
        <v>2313500</v>
      </c>
      <c r="B1066" s="58" t="s">
        <v>2076</v>
      </c>
      <c r="C1066" s="59">
        <v>-3.2644201691338703</v>
      </c>
      <c r="D1066" s="59">
        <v>-39.272231872632958</v>
      </c>
    </row>
    <row r="1067" spans="1:4" x14ac:dyDescent="0.3">
      <c r="A1067" s="58">
        <v>2313559</v>
      </c>
      <c r="B1067" s="58" t="s">
        <v>2077</v>
      </c>
      <c r="C1067" s="59">
        <v>-3.5955952354998262</v>
      </c>
      <c r="D1067" s="59">
        <v>-39.434363536954059</v>
      </c>
    </row>
    <row r="1068" spans="1:4" x14ac:dyDescent="0.3">
      <c r="A1068" s="58">
        <v>2313609</v>
      </c>
      <c r="B1068" s="58" t="s">
        <v>2078</v>
      </c>
      <c r="C1068" s="59">
        <v>-3.8484914352165456</v>
      </c>
      <c r="D1068" s="59">
        <v>-40.90714392797144</v>
      </c>
    </row>
    <row r="1069" spans="1:4" x14ac:dyDescent="0.3">
      <c r="A1069" s="58">
        <v>2313708</v>
      </c>
      <c r="B1069" s="58" t="s">
        <v>2079</v>
      </c>
      <c r="C1069" s="59">
        <v>-6.6472443752098123</v>
      </c>
      <c r="D1069" s="59">
        <v>-38.701325715854288</v>
      </c>
    </row>
    <row r="1070" spans="1:4" x14ac:dyDescent="0.3">
      <c r="A1070" s="58">
        <v>2313757</v>
      </c>
      <c r="B1070" s="58" t="s">
        <v>2080</v>
      </c>
      <c r="C1070" s="59">
        <v>-3.6755618980980502</v>
      </c>
      <c r="D1070" s="59">
        <v>-39.342384404295522</v>
      </c>
    </row>
    <row r="1071" spans="1:4" x14ac:dyDescent="0.3">
      <c r="A1071" s="58">
        <v>2313807</v>
      </c>
      <c r="B1071" s="58" t="s">
        <v>2081</v>
      </c>
      <c r="C1071" s="59">
        <v>-3.6230168336817208</v>
      </c>
      <c r="D1071" s="59">
        <v>-39.508178069754209</v>
      </c>
    </row>
    <row r="1072" spans="1:4" x14ac:dyDescent="0.3">
      <c r="A1072" s="58">
        <v>2313906</v>
      </c>
      <c r="B1072" s="58" t="s">
        <v>2082</v>
      </c>
      <c r="C1072" s="59">
        <v>-3.3132306604292903</v>
      </c>
      <c r="D1072" s="59">
        <v>-40.561163027679619</v>
      </c>
    </row>
    <row r="1073" spans="1:4" x14ac:dyDescent="0.3">
      <c r="A1073" s="58">
        <v>2313955</v>
      </c>
      <c r="B1073" s="58" t="s">
        <v>2083</v>
      </c>
      <c r="C1073" s="59">
        <v>-4.1828222827599406</v>
      </c>
      <c r="D1073" s="59">
        <v>-40.478993274070099</v>
      </c>
    </row>
    <row r="1074" spans="1:4" x14ac:dyDescent="0.3">
      <c r="A1074" s="58">
        <v>2314003</v>
      </c>
      <c r="B1074" s="58" t="s">
        <v>2084</v>
      </c>
      <c r="C1074" s="59">
        <v>-6.7918458556432117</v>
      </c>
      <c r="D1074" s="59">
        <v>-39.298932997113688</v>
      </c>
    </row>
    <row r="1075" spans="1:4" x14ac:dyDescent="0.3">
      <c r="A1075" s="58">
        <v>2314102</v>
      </c>
      <c r="B1075" s="58" t="s">
        <v>2085</v>
      </c>
      <c r="C1075" s="59">
        <v>-3.5660127532006256</v>
      </c>
      <c r="D1075" s="59">
        <v>-41.091629075033559</v>
      </c>
    </row>
    <row r="1076" spans="1:4" x14ac:dyDescent="0.3">
      <c r="A1076" s="58">
        <v>2400109</v>
      </c>
      <c r="B1076" s="58" t="s">
        <v>2086</v>
      </c>
      <c r="C1076" s="59">
        <v>-6.4420850889338519</v>
      </c>
      <c r="D1076" s="59">
        <v>-36.643738869998323</v>
      </c>
    </row>
    <row r="1077" spans="1:4" x14ac:dyDescent="0.3">
      <c r="A1077" s="58">
        <v>2400208</v>
      </c>
      <c r="B1077" s="58" t="s">
        <v>2087</v>
      </c>
      <c r="C1077" s="59">
        <v>-5.5719459992466609</v>
      </c>
      <c r="D1077" s="59">
        <v>-36.917923219958936</v>
      </c>
    </row>
    <row r="1078" spans="1:4" x14ac:dyDescent="0.3">
      <c r="A1078" s="58">
        <v>2400307</v>
      </c>
      <c r="B1078" s="58" t="s">
        <v>2088</v>
      </c>
      <c r="C1078" s="59">
        <v>-5.498734268130816</v>
      </c>
      <c r="D1078" s="59">
        <v>-36.509148233959557</v>
      </c>
    </row>
    <row r="1079" spans="1:4" x14ac:dyDescent="0.3">
      <c r="A1079" s="58">
        <v>2400406</v>
      </c>
      <c r="B1079" s="58" t="s">
        <v>2089</v>
      </c>
      <c r="C1079" s="59">
        <v>-6.2047167188350061</v>
      </c>
      <c r="D1079" s="59">
        <v>-38.29082495422805</v>
      </c>
    </row>
    <row r="1080" spans="1:4" x14ac:dyDescent="0.3">
      <c r="A1080" s="58">
        <v>2400505</v>
      </c>
      <c r="B1080" s="58" t="s">
        <v>2090</v>
      </c>
      <c r="C1080" s="59">
        <v>-6.417136337944287</v>
      </c>
      <c r="D1080" s="59">
        <v>-38.01928889130636</v>
      </c>
    </row>
    <row r="1081" spans="1:4" x14ac:dyDescent="0.3">
      <c r="A1081" s="58">
        <v>2400604</v>
      </c>
      <c r="B1081" s="58" t="s">
        <v>2091</v>
      </c>
      <c r="C1081" s="59">
        <v>-6.1574206925253643</v>
      </c>
      <c r="D1081" s="59">
        <v>-37.763125302364898</v>
      </c>
    </row>
    <row r="1082" spans="1:4" x14ac:dyDescent="0.3">
      <c r="A1082" s="58">
        <v>2400703</v>
      </c>
      <c r="B1082" s="58" t="s">
        <v>2092</v>
      </c>
      <c r="C1082" s="59">
        <v>-5.293807787638003</v>
      </c>
      <c r="D1082" s="59">
        <v>-36.759492614210657</v>
      </c>
    </row>
    <row r="1083" spans="1:4" x14ac:dyDescent="0.3">
      <c r="A1083" s="58">
        <v>2400802</v>
      </c>
      <c r="B1083" s="58" t="s">
        <v>2093</v>
      </c>
      <c r="C1083" s="59">
        <v>-5.6603653290862903</v>
      </c>
      <c r="D1083" s="59">
        <v>-36.605432873779229</v>
      </c>
    </row>
    <row r="1084" spans="1:4" x14ac:dyDescent="0.3">
      <c r="A1084" s="58">
        <v>2400901</v>
      </c>
      <c r="B1084" s="58" t="s">
        <v>2094</v>
      </c>
      <c r="C1084" s="59">
        <v>-6.2160044547073614</v>
      </c>
      <c r="D1084" s="59">
        <v>-37.885734565639517</v>
      </c>
    </row>
    <row r="1085" spans="1:4" x14ac:dyDescent="0.3">
      <c r="A1085" s="58">
        <v>2401008</v>
      </c>
      <c r="B1085" s="58" t="s">
        <v>2095</v>
      </c>
      <c r="C1085" s="59">
        <v>-5.6637698192272152</v>
      </c>
      <c r="D1085" s="59">
        <v>-37.797784476271012</v>
      </c>
    </row>
    <row r="1086" spans="1:4" x14ac:dyDescent="0.3">
      <c r="A1086" s="58">
        <v>2401107</v>
      </c>
      <c r="B1086" s="58" t="s">
        <v>2096</v>
      </c>
      <c r="C1086" s="59">
        <v>-4.9528976305617007</v>
      </c>
      <c r="D1086" s="59">
        <v>-37.13127171569554</v>
      </c>
    </row>
    <row r="1087" spans="1:4" x14ac:dyDescent="0.3">
      <c r="A1087" s="58">
        <v>2401206</v>
      </c>
      <c r="B1087" s="58" t="s">
        <v>2097</v>
      </c>
      <c r="C1087" s="59">
        <v>-6.1937122744826061</v>
      </c>
      <c r="D1087" s="59">
        <v>-35.160636095941776</v>
      </c>
    </row>
    <row r="1088" spans="1:4" x14ac:dyDescent="0.3">
      <c r="A1088" s="58">
        <v>2401305</v>
      </c>
      <c r="B1088" s="58" t="s">
        <v>2098</v>
      </c>
      <c r="C1088" s="59">
        <v>-5.8581144240470655</v>
      </c>
      <c r="D1088" s="59">
        <v>-37.308872564224309</v>
      </c>
    </row>
    <row r="1089" spans="1:4" x14ac:dyDescent="0.3">
      <c r="A1089" s="58">
        <v>2401404</v>
      </c>
      <c r="B1089" s="58" t="s">
        <v>2099</v>
      </c>
      <c r="C1089" s="59">
        <v>-6.3699923041887425</v>
      </c>
      <c r="D1089" s="59">
        <v>-35.009036181788638</v>
      </c>
    </row>
    <row r="1090" spans="1:4" x14ac:dyDescent="0.3">
      <c r="A1090" s="58">
        <v>2401453</v>
      </c>
      <c r="B1090" s="58" t="s">
        <v>2100</v>
      </c>
      <c r="C1090" s="59">
        <v>-5.0766181048046857</v>
      </c>
      <c r="D1090" s="59">
        <v>-37.61818019506277</v>
      </c>
    </row>
    <row r="1091" spans="1:4" x14ac:dyDescent="0.3">
      <c r="A1091" s="58">
        <v>2401503</v>
      </c>
      <c r="B1091" s="58" t="s">
        <v>2101</v>
      </c>
      <c r="C1091" s="59">
        <v>-5.9481318482858958</v>
      </c>
      <c r="D1091" s="59">
        <v>-35.926794527953099</v>
      </c>
    </row>
    <row r="1092" spans="1:4" x14ac:dyDescent="0.3">
      <c r="A1092" s="58">
        <v>2401602</v>
      </c>
      <c r="B1092" s="58" t="s">
        <v>2102</v>
      </c>
      <c r="C1092" s="59">
        <v>-5.6923833176941319</v>
      </c>
      <c r="D1092" s="59">
        <v>-35.821698890706344</v>
      </c>
    </row>
    <row r="1093" spans="1:4" x14ac:dyDescent="0.3">
      <c r="A1093" s="58">
        <v>2401651</v>
      </c>
      <c r="B1093" s="58" t="s">
        <v>2103</v>
      </c>
      <c r="C1093" s="59">
        <v>-5.9880452499410461</v>
      </c>
      <c r="D1093" s="59">
        <v>-36.413837702334014</v>
      </c>
    </row>
    <row r="1094" spans="1:4" x14ac:dyDescent="0.3">
      <c r="A1094" s="58">
        <v>2401701</v>
      </c>
      <c r="B1094" s="58" t="s">
        <v>1713</v>
      </c>
      <c r="C1094" s="59">
        <v>-5.9863188523411406</v>
      </c>
      <c r="D1094" s="59">
        <v>-35.588803289795131</v>
      </c>
    </row>
    <row r="1095" spans="1:4" x14ac:dyDescent="0.3">
      <c r="A1095" s="58">
        <v>2401800</v>
      </c>
      <c r="B1095" s="58" t="s">
        <v>2104</v>
      </c>
      <c r="C1095" s="59">
        <v>-6.1925790587000407</v>
      </c>
      <c r="D1095" s="59">
        <v>-35.357354054041778</v>
      </c>
    </row>
    <row r="1096" spans="1:4" x14ac:dyDescent="0.3">
      <c r="A1096" s="58">
        <v>2401859</v>
      </c>
      <c r="B1096" s="58" t="s">
        <v>2105</v>
      </c>
      <c r="C1096" s="59">
        <v>-5.0629944093631654</v>
      </c>
      <c r="D1096" s="59">
        <v>-36.055857153845139</v>
      </c>
    </row>
    <row r="1097" spans="1:4" x14ac:dyDescent="0.3">
      <c r="A1097" s="58">
        <v>2401909</v>
      </c>
      <c r="B1097" s="58" t="s">
        <v>2106</v>
      </c>
      <c r="C1097" s="59">
        <v>-5.7590871427765453</v>
      </c>
      <c r="D1097" s="59">
        <v>-35.99979041108616</v>
      </c>
    </row>
    <row r="1098" spans="1:4" x14ac:dyDescent="0.3">
      <c r="A1098" s="58">
        <v>2402006</v>
      </c>
      <c r="B1098" s="58" t="s">
        <v>2107</v>
      </c>
      <c r="C1098" s="59">
        <v>-6.4591388313932807</v>
      </c>
      <c r="D1098" s="59">
        <v>-37.096488771192227</v>
      </c>
    </row>
    <row r="1099" spans="1:4" x14ac:dyDescent="0.3">
      <c r="A1099" s="58">
        <v>2402105</v>
      </c>
      <c r="B1099" s="58" t="s">
        <v>2108</v>
      </c>
      <c r="C1099" s="59">
        <v>-6.2433830531733854</v>
      </c>
      <c r="D1099" s="59">
        <v>-36.182504569409588</v>
      </c>
    </row>
    <row r="1100" spans="1:4" x14ac:dyDescent="0.3">
      <c r="A1100" s="58">
        <v>2402204</v>
      </c>
      <c r="B1100" s="58" t="s">
        <v>2109</v>
      </c>
      <c r="C1100" s="59">
        <v>-6.3749252157203165</v>
      </c>
      <c r="D1100" s="59">
        <v>-35.12853966399306</v>
      </c>
    </row>
    <row r="1101" spans="1:4" x14ac:dyDescent="0.3">
      <c r="A1101" s="58">
        <v>2402303</v>
      </c>
      <c r="B1101" s="58" t="s">
        <v>2110</v>
      </c>
      <c r="C1101" s="59">
        <v>-5.7911761028586808</v>
      </c>
      <c r="D1101" s="59">
        <v>-37.55370219784713</v>
      </c>
    </row>
    <row r="1102" spans="1:4" x14ac:dyDescent="0.3">
      <c r="A1102" s="58">
        <v>2402402</v>
      </c>
      <c r="B1102" s="58" t="s">
        <v>2111</v>
      </c>
      <c r="C1102" s="59">
        <v>-6.560732517366807</v>
      </c>
      <c r="D1102" s="59">
        <v>-36.595251921466442</v>
      </c>
    </row>
    <row r="1103" spans="1:4" x14ac:dyDescent="0.3">
      <c r="A1103" s="58">
        <v>2402501</v>
      </c>
      <c r="B1103" s="58" t="s">
        <v>2112</v>
      </c>
      <c r="C1103" s="59">
        <v>-5.3397853943190361</v>
      </c>
      <c r="D1103" s="59">
        <v>-36.834642356449677</v>
      </c>
    </row>
    <row r="1104" spans="1:4" x14ac:dyDescent="0.3">
      <c r="A1104" s="58">
        <v>2402600</v>
      </c>
      <c r="B1104" s="58" t="s">
        <v>2113</v>
      </c>
      <c r="C1104" s="59">
        <v>-5.640983591911751</v>
      </c>
      <c r="D1104" s="59">
        <v>-35.424486928530015</v>
      </c>
    </row>
    <row r="1105" spans="1:4" x14ac:dyDescent="0.3">
      <c r="A1105" s="58">
        <v>2402709</v>
      </c>
      <c r="B1105" s="58" t="s">
        <v>2114</v>
      </c>
      <c r="C1105" s="59">
        <v>-6.0348271931366009</v>
      </c>
      <c r="D1105" s="59">
        <v>-36.345741441450322</v>
      </c>
    </row>
    <row r="1106" spans="1:4" x14ac:dyDescent="0.3">
      <c r="A1106" s="58">
        <v>2402808</v>
      </c>
      <c r="B1106" s="58" t="s">
        <v>2115</v>
      </c>
      <c r="C1106" s="59">
        <v>-6.3834023902944121</v>
      </c>
      <c r="D1106" s="59">
        <v>-36.21477104442463</v>
      </c>
    </row>
    <row r="1107" spans="1:4" x14ac:dyDescent="0.3">
      <c r="A1107" s="58">
        <v>2402907</v>
      </c>
      <c r="B1107" s="58" t="s">
        <v>2116</v>
      </c>
      <c r="C1107" s="59">
        <v>-6.2601122113907781</v>
      </c>
      <c r="D1107" s="59">
        <v>-38.44025816271256</v>
      </c>
    </row>
    <row r="1108" spans="1:4" x14ac:dyDescent="0.3">
      <c r="A1108" s="58">
        <v>2403004</v>
      </c>
      <c r="B1108" s="58" t="s">
        <v>2117</v>
      </c>
      <c r="C1108" s="59">
        <v>-6.4131764069556665</v>
      </c>
      <c r="D1108" s="59">
        <v>-36.791705320315522</v>
      </c>
    </row>
    <row r="1109" spans="1:4" x14ac:dyDescent="0.3">
      <c r="A1109" s="58">
        <v>2403103</v>
      </c>
      <c r="B1109" s="58" t="s">
        <v>2118</v>
      </c>
      <c r="C1109" s="59">
        <v>-6.2646722189555826</v>
      </c>
      <c r="D1109" s="59">
        <v>-36.516219220959293</v>
      </c>
    </row>
    <row r="1110" spans="1:4" x14ac:dyDescent="0.3">
      <c r="A1110" s="58">
        <v>2403202</v>
      </c>
      <c r="B1110" s="58" t="s">
        <v>2119</v>
      </c>
      <c r="C1110" s="59">
        <v>-6.0936873705590857</v>
      </c>
      <c r="D1110" s="59">
        <v>-38.373683078822182</v>
      </c>
    </row>
    <row r="1111" spans="1:4" x14ac:dyDescent="0.3">
      <c r="A1111" s="58">
        <v>2403251</v>
      </c>
      <c r="B1111" s="58" t="s">
        <v>2120</v>
      </c>
      <c r="C1111" s="59">
        <v>-5.9103697582539363</v>
      </c>
      <c r="D1111" s="59">
        <v>-35.25920907386174</v>
      </c>
    </row>
    <row r="1112" spans="1:4" x14ac:dyDescent="0.3">
      <c r="A1112" s="58">
        <v>2403301</v>
      </c>
      <c r="B1112" s="58" t="s">
        <v>2121</v>
      </c>
      <c r="C1112" s="59">
        <v>-6.1111342006328968</v>
      </c>
      <c r="D1112" s="59">
        <v>-38.304878990651638</v>
      </c>
    </row>
    <row r="1113" spans="1:4" x14ac:dyDescent="0.3">
      <c r="A1113" s="58">
        <v>2403400</v>
      </c>
      <c r="B1113" s="58" t="s">
        <v>2122</v>
      </c>
      <c r="C1113" s="59">
        <v>-6.9458427490748251</v>
      </c>
      <c r="D1113" s="59">
        <v>-36.716412428859861</v>
      </c>
    </row>
    <row r="1114" spans="1:4" x14ac:dyDescent="0.3">
      <c r="A1114" s="58">
        <v>2403509</v>
      </c>
      <c r="B1114" s="58" t="s">
        <v>2123</v>
      </c>
      <c r="C1114" s="59">
        <v>-6.3355717032011567</v>
      </c>
      <c r="D1114" s="59">
        <v>-35.317090789228622</v>
      </c>
    </row>
    <row r="1115" spans="1:4" x14ac:dyDescent="0.3">
      <c r="A1115" s="58">
        <v>2403608</v>
      </c>
      <c r="B1115" s="58" t="s">
        <v>2124</v>
      </c>
      <c r="C1115" s="59">
        <v>-5.7027099362087403</v>
      </c>
      <c r="D1115" s="59">
        <v>-35.314025432023236</v>
      </c>
    </row>
    <row r="1116" spans="1:4" x14ac:dyDescent="0.3">
      <c r="A1116" s="58">
        <v>2403707</v>
      </c>
      <c r="B1116" s="58" t="s">
        <v>2125</v>
      </c>
      <c r="C1116" s="59">
        <v>-5.6019617698082138</v>
      </c>
      <c r="D1116" s="59">
        <v>-37.691385055714584</v>
      </c>
    </row>
    <row r="1117" spans="1:4" x14ac:dyDescent="0.3">
      <c r="A1117" s="58">
        <v>2403756</v>
      </c>
      <c r="B1117" s="58" t="s">
        <v>2126</v>
      </c>
      <c r="C1117" s="59">
        <v>-5.6960157814673851</v>
      </c>
      <c r="D1117" s="59">
        <v>-36.532453535365242</v>
      </c>
    </row>
    <row r="1118" spans="1:4" x14ac:dyDescent="0.3">
      <c r="A1118" s="58">
        <v>2403806</v>
      </c>
      <c r="B1118" s="58" t="s">
        <v>2127</v>
      </c>
      <c r="C1118" s="59">
        <v>-6.1269519550115454</v>
      </c>
      <c r="D1118" s="59">
        <v>-36.814076298810598</v>
      </c>
    </row>
    <row r="1119" spans="1:4" x14ac:dyDescent="0.3">
      <c r="A1119" s="58">
        <v>2403905</v>
      </c>
      <c r="B1119" s="58" t="s">
        <v>2128</v>
      </c>
      <c r="C1119" s="59">
        <v>-6.0880967167432605</v>
      </c>
      <c r="D1119" s="59">
        <v>-38.125649755418529</v>
      </c>
    </row>
    <row r="1120" spans="1:4" x14ac:dyDescent="0.3">
      <c r="A1120" s="58">
        <v>2404002</v>
      </c>
      <c r="B1120" s="58" t="s">
        <v>2129</v>
      </c>
      <c r="C1120" s="59">
        <v>-6.1562327992920141</v>
      </c>
      <c r="D1120" s="59">
        <v>-37.840960754041909</v>
      </c>
    </row>
    <row r="1121" spans="1:4" x14ac:dyDescent="0.3">
      <c r="A1121" s="58">
        <v>2404101</v>
      </c>
      <c r="B1121" s="58" t="s">
        <v>2130</v>
      </c>
      <c r="C1121" s="59">
        <v>-5.091689778411487</v>
      </c>
      <c r="D1121" s="59">
        <v>-36.274640069977941</v>
      </c>
    </row>
    <row r="1122" spans="1:4" x14ac:dyDescent="0.3">
      <c r="A1122" s="58">
        <v>2404200</v>
      </c>
      <c r="B1122" s="58" t="s">
        <v>2131</v>
      </c>
      <c r="C1122" s="59">
        <v>-6.2505903899506707</v>
      </c>
      <c r="D1122" s="59">
        <v>-35.217786124543487</v>
      </c>
    </row>
    <row r="1123" spans="1:4" x14ac:dyDescent="0.3">
      <c r="A1123" s="58">
        <v>2404309</v>
      </c>
      <c r="B1123" s="58" t="s">
        <v>2132</v>
      </c>
      <c r="C1123" s="59">
        <v>-5.4589138421059724</v>
      </c>
      <c r="D1123" s="59">
        <v>-37.52191184302179</v>
      </c>
    </row>
    <row r="1124" spans="1:4" x14ac:dyDescent="0.3">
      <c r="A1124" s="58">
        <v>2404408</v>
      </c>
      <c r="B1124" s="58" t="s">
        <v>2133</v>
      </c>
      <c r="C1124" s="59">
        <v>-4.975514807074136</v>
      </c>
      <c r="D1124" s="59">
        <v>-37.157484160026236</v>
      </c>
    </row>
    <row r="1125" spans="1:4" x14ac:dyDescent="0.3">
      <c r="A1125" s="58">
        <v>2404507</v>
      </c>
      <c r="B1125" s="58" t="s">
        <v>2134</v>
      </c>
      <c r="C1125" s="59">
        <v>-5.1073629545917756</v>
      </c>
      <c r="D1125" s="59">
        <v>-36.318144377396877</v>
      </c>
    </row>
    <row r="1126" spans="1:4" x14ac:dyDescent="0.3">
      <c r="A1126" s="58">
        <v>2404606</v>
      </c>
      <c r="B1126" s="58" t="s">
        <v>2135</v>
      </c>
      <c r="C1126" s="59">
        <v>-5.8153150382762213</v>
      </c>
      <c r="D1126" s="59">
        <v>-35.552829375062537</v>
      </c>
    </row>
    <row r="1127" spans="1:4" x14ac:dyDescent="0.3">
      <c r="A1127" s="58">
        <v>2404705</v>
      </c>
      <c r="B1127" s="58" t="s">
        <v>2136</v>
      </c>
      <c r="C1127" s="59">
        <v>-5.4971483533049605</v>
      </c>
      <c r="D1127" s="59">
        <v>-36.852874604654247</v>
      </c>
    </row>
    <row r="1128" spans="1:4" x14ac:dyDescent="0.3">
      <c r="A1128" s="58">
        <v>2404804</v>
      </c>
      <c r="B1128" s="58" t="s">
        <v>2137</v>
      </c>
      <c r="C1128" s="59">
        <v>-6.8155507618851363</v>
      </c>
      <c r="D1128" s="59">
        <v>-37.197856129886112</v>
      </c>
    </row>
    <row r="1129" spans="1:4" x14ac:dyDescent="0.3">
      <c r="A1129" s="58">
        <v>2404853</v>
      </c>
      <c r="B1129" s="58" t="s">
        <v>2138</v>
      </c>
      <c r="C1129" s="59">
        <v>-5.6435476089681549</v>
      </c>
      <c r="D1129" s="59">
        <v>-36.869818105335298</v>
      </c>
    </row>
    <row r="1130" spans="1:4" x14ac:dyDescent="0.3">
      <c r="A1130" s="58">
        <v>2404903</v>
      </c>
      <c r="B1130" s="58" t="s">
        <v>2139</v>
      </c>
      <c r="C1130" s="59">
        <v>-5.8379360734251211</v>
      </c>
      <c r="D1130" s="59">
        <v>-37.988268625690196</v>
      </c>
    </row>
    <row r="1131" spans="1:4" x14ac:dyDescent="0.3">
      <c r="A1131" s="58">
        <v>2405009</v>
      </c>
      <c r="B1131" s="58" t="s">
        <v>2140</v>
      </c>
      <c r="C1131" s="59">
        <v>-6.4249733473657713</v>
      </c>
      <c r="D1131" s="59">
        <v>-36.205592907733539</v>
      </c>
    </row>
    <row r="1132" spans="1:4" x14ac:dyDescent="0.3">
      <c r="A1132" s="58">
        <v>2405108</v>
      </c>
      <c r="B1132" s="58" t="s">
        <v>2141</v>
      </c>
      <c r="C1132" s="59">
        <v>-5.3552800000000005</v>
      </c>
      <c r="D1132" s="59">
        <v>-36.130585271942643</v>
      </c>
    </row>
    <row r="1133" spans="1:4" x14ac:dyDescent="0.3">
      <c r="A1133" s="58">
        <v>2405207</v>
      </c>
      <c r="B1133" s="58" t="s">
        <v>2142</v>
      </c>
      <c r="C1133" s="59">
        <v>-6.0160927028583169</v>
      </c>
      <c r="D1133" s="59">
        <v>-37.409211108913063</v>
      </c>
    </row>
    <row r="1134" spans="1:4" x14ac:dyDescent="0.3">
      <c r="A1134" s="58">
        <v>2405306</v>
      </c>
      <c r="B1134" s="58" t="s">
        <v>2143</v>
      </c>
      <c r="C1134" s="59">
        <v>-6.1560980225527908</v>
      </c>
      <c r="D1134" s="59">
        <v>-35.600891962574998</v>
      </c>
    </row>
    <row r="1135" spans="1:4" x14ac:dyDescent="0.3">
      <c r="A1135" s="58">
        <v>2405405</v>
      </c>
      <c r="B1135" s="58" t="s">
        <v>2144</v>
      </c>
      <c r="C1135" s="59">
        <v>-6.460566013316047</v>
      </c>
      <c r="D1135" s="59">
        <v>-35.945934828045601</v>
      </c>
    </row>
    <row r="1136" spans="1:4" x14ac:dyDescent="0.3">
      <c r="A1136" s="58">
        <v>2405504</v>
      </c>
      <c r="B1136" s="58" t="s">
        <v>2145</v>
      </c>
      <c r="C1136" s="59">
        <v>-5.6526312123533957</v>
      </c>
      <c r="D1136" s="59">
        <v>-35.969954329802015</v>
      </c>
    </row>
    <row r="1137" spans="1:4" x14ac:dyDescent="0.3">
      <c r="A1137" s="58">
        <v>2405603</v>
      </c>
      <c r="B1137" s="58" t="s">
        <v>2146</v>
      </c>
      <c r="C1137" s="59">
        <v>-6.3800975491907943</v>
      </c>
      <c r="D1137" s="59">
        <v>-37.349217852269192</v>
      </c>
    </row>
    <row r="1138" spans="1:4" x14ac:dyDescent="0.3">
      <c r="A1138" s="58">
        <v>2405702</v>
      </c>
      <c r="B1138" s="58" t="s">
        <v>2147</v>
      </c>
      <c r="C1138" s="59">
        <v>-6.5863362516830088</v>
      </c>
      <c r="D1138" s="59">
        <v>-36.774581523379965</v>
      </c>
    </row>
    <row r="1139" spans="1:4" x14ac:dyDescent="0.3">
      <c r="A1139" s="58">
        <v>2405801</v>
      </c>
      <c r="B1139" s="58" t="s">
        <v>2148</v>
      </c>
      <c r="C1139" s="59">
        <v>-5.5384233833633321</v>
      </c>
      <c r="D1139" s="59">
        <v>-35.816787873855304</v>
      </c>
    </row>
    <row r="1140" spans="1:4" x14ac:dyDescent="0.3">
      <c r="A1140" s="58">
        <v>2405900</v>
      </c>
      <c r="B1140" s="58" t="s">
        <v>2149</v>
      </c>
      <c r="C1140" s="59">
        <v>-6.2761140978430605</v>
      </c>
      <c r="D1140" s="59">
        <v>-37.796960782004774</v>
      </c>
    </row>
    <row r="1141" spans="1:4" x14ac:dyDescent="0.3">
      <c r="A1141" s="58">
        <v>2406007</v>
      </c>
      <c r="B1141" s="58" t="s">
        <v>2150</v>
      </c>
      <c r="C1141" s="59">
        <v>-6.3126884427709165</v>
      </c>
      <c r="D1141" s="59">
        <v>-38.284403070454445</v>
      </c>
    </row>
    <row r="1142" spans="1:4" x14ac:dyDescent="0.3">
      <c r="A1142" s="58">
        <v>2406106</v>
      </c>
      <c r="B1142" s="58" t="s">
        <v>2151</v>
      </c>
      <c r="C1142" s="59">
        <v>-6.0334187841274707</v>
      </c>
      <c r="D1142" s="59">
        <v>-37.020225829412965</v>
      </c>
    </row>
    <row r="1143" spans="1:4" x14ac:dyDescent="0.3">
      <c r="A1143" s="58">
        <v>2406155</v>
      </c>
      <c r="B1143" s="58" t="s">
        <v>2152</v>
      </c>
      <c r="C1143" s="59">
        <v>-6.2691693310890804</v>
      </c>
      <c r="D1143" s="59">
        <v>-35.327788521859631</v>
      </c>
    </row>
    <row r="1144" spans="1:4" x14ac:dyDescent="0.3">
      <c r="A1144" s="58">
        <v>2406205</v>
      </c>
      <c r="B1144" s="58" t="s">
        <v>2153</v>
      </c>
      <c r="C1144" s="59">
        <v>-6.3915023234988313</v>
      </c>
      <c r="D1144" s="59">
        <v>-35.599795177732808</v>
      </c>
    </row>
    <row r="1145" spans="1:4" x14ac:dyDescent="0.3">
      <c r="A1145" s="58">
        <v>2406304</v>
      </c>
      <c r="B1145" s="58" t="s">
        <v>2154</v>
      </c>
      <c r="C1145" s="59">
        <v>-6.1497391019905674</v>
      </c>
      <c r="D1145" s="59">
        <v>-35.433482732193198</v>
      </c>
    </row>
    <row r="1146" spans="1:4" x14ac:dyDescent="0.3">
      <c r="A1146" s="58">
        <v>2406403</v>
      </c>
      <c r="B1146" s="58" t="s">
        <v>2155</v>
      </c>
      <c r="C1146" s="59">
        <v>-5.9999155193028058</v>
      </c>
      <c r="D1146" s="59">
        <v>-35.870698833138398</v>
      </c>
    </row>
    <row r="1147" spans="1:4" x14ac:dyDescent="0.3">
      <c r="A1147" s="58">
        <v>2406502</v>
      </c>
      <c r="B1147" s="58" t="s">
        <v>2156</v>
      </c>
      <c r="C1147" s="59">
        <v>-6.0976692963938257</v>
      </c>
      <c r="D1147" s="59">
        <v>-36.458960669581735</v>
      </c>
    </row>
    <row r="1148" spans="1:4" x14ac:dyDescent="0.3">
      <c r="A1148" s="58">
        <v>2406601</v>
      </c>
      <c r="B1148" s="58" t="s">
        <v>2157</v>
      </c>
      <c r="C1148" s="59">
        <v>-6.1258182618582069</v>
      </c>
      <c r="D1148" s="59">
        <v>-35.472497567610297</v>
      </c>
    </row>
    <row r="1149" spans="1:4" x14ac:dyDescent="0.3">
      <c r="A1149" s="58">
        <v>2406700</v>
      </c>
      <c r="B1149" s="58" t="s">
        <v>2158</v>
      </c>
      <c r="C1149" s="59">
        <v>-5.6988303587816498</v>
      </c>
      <c r="D1149" s="59">
        <v>-36.242735126412981</v>
      </c>
    </row>
    <row r="1150" spans="1:4" x14ac:dyDescent="0.3">
      <c r="A1150" s="58">
        <v>2406809</v>
      </c>
      <c r="B1150" s="58" t="s">
        <v>2159</v>
      </c>
      <c r="C1150" s="59">
        <v>-6.1514320720581104</v>
      </c>
      <c r="D1150" s="59">
        <v>-36.118441792903418</v>
      </c>
    </row>
    <row r="1151" spans="1:4" x14ac:dyDescent="0.3">
      <c r="A1151" s="58">
        <v>2406908</v>
      </c>
      <c r="B1151" s="58" t="s">
        <v>2160</v>
      </c>
      <c r="C1151" s="59">
        <v>-6.1169236352247944</v>
      </c>
      <c r="D1151" s="59">
        <v>-37.815632847702808</v>
      </c>
    </row>
    <row r="1152" spans="1:4" x14ac:dyDescent="0.3">
      <c r="A1152" s="58">
        <v>2407005</v>
      </c>
      <c r="B1152" s="58" t="s">
        <v>2161</v>
      </c>
      <c r="C1152" s="59">
        <v>-6.4140281424327359</v>
      </c>
      <c r="D1152" s="59">
        <v>-38.386420375102965</v>
      </c>
    </row>
    <row r="1153" spans="1:4" x14ac:dyDescent="0.3">
      <c r="A1153" s="58">
        <v>2407104</v>
      </c>
      <c r="B1153" s="58" t="s">
        <v>2162</v>
      </c>
      <c r="C1153" s="59">
        <v>-5.8572366196262307</v>
      </c>
      <c r="D1153" s="59">
        <v>-35.355237133581603</v>
      </c>
    </row>
    <row r="1154" spans="1:4" x14ac:dyDescent="0.3">
      <c r="A1154" s="58">
        <v>2407203</v>
      </c>
      <c r="B1154" s="58" t="s">
        <v>2163</v>
      </c>
      <c r="C1154" s="59">
        <v>-5.1133676503086818</v>
      </c>
      <c r="D1154" s="59">
        <v>-36.63497318190101</v>
      </c>
    </row>
    <row r="1155" spans="1:4" x14ac:dyDescent="0.3">
      <c r="A1155" s="58">
        <v>2407252</v>
      </c>
      <c r="B1155" s="58" t="s">
        <v>2164</v>
      </c>
      <c r="C1155" s="59">
        <v>-6.40375656574908</v>
      </c>
      <c r="D1155" s="59">
        <v>-38.323455021228732</v>
      </c>
    </row>
    <row r="1156" spans="1:4" x14ac:dyDescent="0.3">
      <c r="A1156" s="58">
        <v>2407302</v>
      </c>
      <c r="B1156" s="58" t="s">
        <v>2165</v>
      </c>
      <c r="C1156" s="59">
        <v>-6.2935497877900302</v>
      </c>
      <c r="D1156" s="59">
        <v>-38.166612618735641</v>
      </c>
    </row>
    <row r="1157" spans="1:4" x14ac:dyDescent="0.3">
      <c r="A1157" s="58">
        <v>2407401</v>
      </c>
      <c r="B1157" s="58" t="s">
        <v>2166</v>
      </c>
      <c r="C1157" s="59">
        <v>-6.0963474928714758</v>
      </c>
      <c r="D1157" s="59">
        <v>-37.911327395668103</v>
      </c>
    </row>
    <row r="1158" spans="1:4" x14ac:dyDescent="0.3">
      <c r="A1158" s="58">
        <v>2407500</v>
      </c>
      <c r="B1158" s="58" t="s">
        <v>2167</v>
      </c>
      <c r="C1158" s="59">
        <v>-5.5054562657738204</v>
      </c>
      <c r="D1158" s="59">
        <v>-35.262074868072013</v>
      </c>
    </row>
    <row r="1159" spans="1:4" x14ac:dyDescent="0.3">
      <c r="A1159" s="58">
        <v>2407609</v>
      </c>
      <c r="B1159" s="58" t="s">
        <v>2168</v>
      </c>
      <c r="C1159" s="59">
        <v>-6.0764975053297769</v>
      </c>
      <c r="D1159" s="59">
        <v>-37.512058930159291</v>
      </c>
    </row>
    <row r="1160" spans="1:4" x14ac:dyDescent="0.3">
      <c r="A1160" s="58">
        <v>2407708</v>
      </c>
      <c r="B1160" s="58" t="s">
        <v>2169</v>
      </c>
      <c r="C1160" s="59">
        <v>-6.482242938935701</v>
      </c>
      <c r="D1160" s="59">
        <v>-35.287691957556454</v>
      </c>
    </row>
    <row r="1161" spans="1:4" x14ac:dyDescent="0.3">
      <c r="A1161" s="58">
        <v>2407807</v>
      </c>
      <c r="B1161" s="58" t="s">
        <v>1258</v>
      </c>
      <c r="C1161" s="59">
        <v>-6.0678766241082203</v>
      </c>
      <c r="D1161" s="59">
        <v>-35.332099269254265</v>
      </c>
    </row>
    <row r="1162" spans="1:4" x14ac:dyDescent="0.3">
      <c r="A1162" s="58">
        <v>2407906</v>
      </c>
      <c r="B1162" s="58" t="s">
        <v>2170</v>
      </c>
      <c r="C1162" s="59">
        <v>-6.4394660165221467</v>
      </c>
      <c r="D1162" s="59">
        <v>-35.786607123466588</v>
      </c>
    </row>
    <row r="1163" spans="1:4" x14ac:dyDescent="0.3">
      <c r="A1163" s="58">
        <v>2408003</v>
      </c>
      <c r="B1163" s="58" t="s">
        <v>2171</v>
      </c>
      <c r="C1163" s="59">
        <v>-5.1938012347086806</v>
      </c>
      <c r="D1163" s="59">
        <v>-37.356874136704278</v>
      </c>
    </row>
    <row r="1164" spans="1:4" x14ac:dyDescent="0.3">
      <c r="A1164" s="58">
        <v>2408102</v>
      </c>
      <c r="B1164" s="58" t="s">
        <v>2172</v>
      </c>
      <c r="C1164" s="59">
        <v>-5.7508985376120609</v>
      </c>
      <c r="D1164" s="59">
        <v>-35.252254728054304</v>
      </c>
    </row>
    <row r="1165" spans="1:4" x14ac:dyDescent="0.3">
      <c r="A1165" s="58">
        <v>2408201</v>
      </c>
      <c r="B1165" s="58" t="s">
        <v>2173</v>
      </c>
      <c r="C1165" s="59">
        <v>-6.0907141459034611</v>
      </c>
      <c r="D1165" s="59">
        <v>-35.211309564485006</v>
      </c>
    </row>
    <row r="1166" spans="1:4" x14ac:dyDescent="0.3">
      <c r="A1166" s="58">
        <v>2408300</v>
      </c>
      <c r="B1166" s="58" t="s">
        <v>2174</v>
      </c>
      <c r="C1166" s="59">
        <v>-6.4800647920147707</v>
      </c>
      <c r="D1166" s="59">
        <v>-35.432300394586875</v>
      </c>
    </row>
    <row r="1167" spans="1:4" x14ac:dyDescent="0.3">
      <c r="A1167" s="58">
        <v>2408409</v>
      </c>
      <c r="B1167" s="58" t="s">
        <v>2175</v>
      </c>
      <c r="C1167" s="59">
        <v>-5.9592583875311167</v>
      </c>
      <c r="D1167" s="59">
        <v>-37.711820978555934</v>
      </c>
    </row>
    <row r="1168" spans="1:4" x14ac:dyDescent="0.3">
      <c r="A1168" s="58">
        <v>2408508</v>
      </c>
      <c r="B1168" s="58" t="s">
        <v>2176</v>
      </c>
      <c r="C1168" s="59">
        <v>-6.6996589474255464</v>
      </c>
      <c r="D1168" s="59">
        <v>-36.946295076690063</v>
      </c>
    </row>
    <row r="1169" spans="1:4" x14ac:dyDescent="0.3">
      <c r="A1169" s="58">
        <v>2408607</v>
      </c>
      <c r="B1169" s="58" t="s">
        <v>1427</v>
      </c>
      <c r="C1169" s="59">
        <v>-6.4853305013424869</v>
      </c>
      <c r="D1169" s="59">
        <v>-38.311128850110499</v>
      </c>
    </row>
    <row r="1170" spans="1:4" x14ac:dyDescent="0.3">
      <c r="A1170" s="58">
        <v>2408706</v>
      </c>
      <c r="B1170" s="58" t="s">
        <v>2177</v>
      </c>
      <c r="C1170" s="59">
        <v>-5.7770555176126406</v>
      </c>
      <c r="D1170" s="59">
        <v>-37.10165013526764</v>
      </c>
    </row>
    <row r="1171" spans="1:4" x14ac:dyDescent="0.3">
      <c r="A1171" s="58">
        <v>2408805</v>
      </c>
      <c r="B1171" s="58" t="s">
        <v>2178</v>
      </c>
      <c r="C1171" s="59">
        <v>-5.2307807344903852</v>
      </c>
      <c r="D1171" s="59">
        <v>-35.844989522357807</v>
      </c>
    </row>
    <row r="1172" spans="1:4" x14ac:dyDescent="0.3">
      <c r="A1172" s="58">
        <v>2408904</v>
      </c>
      <c r="B1172" s="58" t="s">
        <v>2179</v>
      </c>
      <c r="C1172" s="59">
        <v>-6.6887551971745731</v>
      </c>
      <c r="D1172" s="59">
        <v>-36.657804856204855</v>
      </c>
    </row>
    <row r="1173" spans="1:4" x14ac:dyDescent="0.3">
      <c r="A1173" s="58">
        <v>2408953</v>
      </c>
      <c r="B1173" s="58" t="s">
        <v>2180</v>
      </c>
      <c r="C1173" s="59">
        <v>-5.2715586595912063</v>
      </c>
      <c r="D1173" s="59">
        <v>-35.384872042220941</v>
      </c>
    </row>
    <row r="1174" spans="1:4" x14ac:dyDescent="0.3">
      <c r="A1174" s="58">
        <v>2409100</v>
      </c>
      <c r="B1174" s="58" t="s">
        <v>2181</v>
      </c>
      <c r="C1174" s="59">
        <v>-6.4291154936536259</v>
      </c>
      <c r="D1174" s="59">
        <v>-35.6473522143433</v>
      </c>
    </row>
    <row r="1175" spans="1:4" x14ac:dyDescent="0.3">
      <c r="A1175" s="58">
        <v>2409209</v>
      </c>
      <c r="B1175" s="58" t="s">
        <v>2182</v>
      </c>
      <c r="C1175" s="59">
        <v>-6.2744422129560764</v>
      </c>
      <c r="D1175" s="59">
        <v>-35.375565714069623</v>
      </c>
    </row>
    <row r="1176" spans="1:4" x14ac:dyDescent="0.3">
      <c r="A1176" s="58">
        <v>2409308</v>
      </c>
      <c r="B1176" s="58" t="s">
        <v>2183</v>
      </c>
      <c r="C1176" s="59">
        <v>-6.1015320672853015</v>
      </c>
      <c r="D1176" s="59">
        <v>-37.640102399473101</v>
      </c>
    </row>
    <row r="1177" spans="1:4" x14ac:dyDescent="0.3">
      <c r="A1177" s="58">
        <v>2409332</v>
      </c>
      <c r="B1177" s="58" t="s">
        <v>2184</v>
      </c>
      <c r="C1177" s="59">
        <v>-5.8385187010894564</v>
      </c>
      <c r="D1177" s="59">
        <v>-35.690363855315631</v>
      </c>
    </row>
    <row r="1178" spans="1:4" x14ac:dyDescent="0.3">
      <c r="A1178" s="58">
        <v>2409407</v>
      </c>
      <c r="B1178" s="58" t="s">
        <v>2185</v>
      </c>
      <c r="C1178" s="59">
        <v>-6.1147318386501306</v>
      </c>
      <c r="D1178" s="59">
        <v>-38.203261520083622</v>
      </c>
    </row>
    <row r="1179" spans="1:4" x14ac:dyDescent="0.3">
      <c r="A1179" s="58">
        <v>2409506</v>
      </c>
      <c r="B1179" s="58" t="s">
        <v>2186</v>
      </c>
      <c r="C1179" s="59">
        <v>-5.1493874334980054</v>
      </c>
      <c r="D1179" s="59">
        <v>-35.875990640061808</v>
      </c>
    </row>
    <row r="1180" spans="1:4" x14ac:dyDescent="0.3">
      <c r="A1180" s="58">
        <v>2409605</v>
      </c>
      <c r="B1180" s="58" t="s">
        <v>2187</v>
      </c>
      <c r="C1180" s="59">
        <v>-5.5819091562030714</v>
      </c>
      <c r="D1180" s="59">
        <v>-36.103135818964596</v>
      </c>
    </row>
    <row r="1181" spans="1:4" x14ac:dyDescent="0.3">
      <c r="A1181" s="58">
        <v>2409704</v>
      </c>
      <c r="B1181" s="58" t="s">
        <v>2188</v>
      </c>
      <c r="C1181" s="59">
        <v>-5.524002182052306</v>
      </c>
      <c r="D1181" s="59">
        <v>-36.385229255873519</v>
      </c>
    </row>
    <row r="1182" spans="1:4" x14ac:dyDescent="0.3">
      <c r="A1182" s="58">
        <v>2409803</v>
      </c>
      <c r="B1182" s="58" t="s">
        <v>2189</v>
      </c>
      <c r="C1182" s="59">
        <v>-6.4331894882037677</v>
      </c>
      <c r="D1182" s="59">
        <v>-35.22293924167068</v>
      </c>
    </row>
    <row r="1183" spans="1:4" x14ac:dyDescent="0.3">
      <c r="A1183" s="58">
        <v>2409902</v>
      </c>
      <c r="B1183" s="58" t="s">
        <v>2190</v>
      </c>
      <c r="C1183" s="59">
        <v>-5.2567881709424453</v>
      </c>
      <c r="D1183" s="59">
        <v>-36.719146040250756</v>
      </c>
    </row>
    <row r="1184" spans="1:4" x14ac:dyDescent="0.3">
      <c r="A1184" s="58">
        <v>2410009</v>
      </c>
      <c r="B1184" s="58" t="s">
        <v>2191</v>
      </c>
      <c r="C1184" s="59">
        <v>-6.2657224402408653</v>
      </c>
      <c r="D1184" s="59">
        <v>-38.044443155502812</v>
      </c>
    </row>
    <row r="1185" spans="1:4" x14ac:dyDescent="0.3">
      <c r="A1185" s="58">
        <v>2410108</v>
      </c>
      <c r="B1185" s="58" t="s">
        <v>2192</v>
      </c>
      <c r="C1185" s="59">
        <v>-5.6188515040917055</v>
      </c>
      <c r="D1185" s="59">
        <v>-35.655011769957888</v>
      </c>
    </row>
    <row r="1186" spans="1:4" x14ac:dyDescent="0.3">
      <c r="A1186" s="58">
        <v>2410207</v>
      </c>
      <c r="B1186" s="58" t="s">
        <v>2193</v>
      </c>
      <c r="C1186" s="59">
        <v>-6.0243280134918704</v>
      </c>
      <c r="D1186" s="59">
        <v>-37.985194825717869</v>
      </c>
    </row>
    <row r="1187" spans="1:4" x14ac:dyDescent="0.3">
      <c r="A1187" s="58">
        <v>2410256</v>
      </c>
      <c r="B1187" s="58" t="s">
        <v>2194</v>
      </c>
      <c r="C1187" s="59">
        <v>-5.06967015221064</v>
      </c>
      <c r="D1187" s="59">
        <v>-36.780538066725676</v>
      </c>
    </row>
    <row r="1188" spans="1:4" x14ac:dyDescent="0.3">
      <c r="A1188" s="58">
        <v>2410306</v>
      </c>
      <c r="B1188" s="58" t="s">
        <v>1618</v>
      </c>
      <c r="C1188" s="59">
        <v>-6.1049127856498613</v>
      </c>
      <c r="D1188" s="59">
        <v>-35.705605322390504</v>
      </c>
    </row>
    <row r="1189" spans="1:4" x14ac:dyDescent="0.3">
      <c r="A1189" s="58">
        <v>2410405</v>
      </c>
      <c r="B1189" s="58" t="s">
        <v>2195</v>
      </c>
      <c r="C1189" s="59">
        <v>-5.4659185859134114</v>
      </c>
      <c r="D1189" s="59">
        <v>-35.562268232137804</v>
      </c>
    </row>
    <row r="1190" spans="1:4" x14ac:dyDescent="0.3">
      <c r="A1190" s="58">
        <v>2410504</v>
      </c>
      <c r="B1190" s="58" t="s">
        <v>2196</v>
      </c>
      <c r="C1190" s="59">
        <v>-6.1864951980845904</v>
      </c>
      <c r="D1190" s="59">
        <v>-38.222502885689728</v>
      </c>
    </row>
    <row r="1191" spans="1:4" x14ac:dyDescent="0.3">
      <c r="A1191" s="58">
        <v>2410603</v>
      </c>
      <c r="B1191" s="58" t="s">
        <v>2197</v>
      </c>
      <c r="C1191" s="59">
        <v>-6.0782966477649758</v>
      </c>
      <c r="D1191" s="59">
        <v>-37.715974068236072</v>
      </c>
    </row>
    <row r="1192" spans="1:4" x14ac:dyDescent="0.3">
      <c r="A1192" s="58">
        <v>2410702</v>
      </c>
      <c r="B1192" s="58" t="s">
        <v>2198</v>
      </c>
      <c r="C1192" s="59">
        <v>-5.9358025220238817</v>
      </c>
      <c r="D1192" s="59">
        <v>-37.950274709943415</v>
      </c>
    </row>
    <row r="1193" spans="1:4" x14ac:dyDescent="0.3">
      <c r="A1193" s="58">
        <v>2410801</v>
      </c>
      <c r="B1193" s="58" t="s">
        <v>2199</v>
      </c>
      <c r="C1193" s="59">
        <v>-6.2647305468081811</v>
      </c>
      <c r="D1193" s="59">
        <v>-38.314833029379258</v>
      </c>
    </row>
    <row r="1194" spans="1:4" x14ac:dyDescent="0.3">
      <c r="A1194" s="58">
        <v>2410900</v>
      </c>
      <c r="B1194" s="58" t="s">
        <v>2200</v>
      </c>
      <c r="C1194" s="59">
        <v>-5.8139469647120849</v>
      </c>
      <c r="D1194" s="59">
        <v>-35.826274763902482</v>
      </c>
    </row>
    <row r="1195" spans="1:4" x14ac:dyDescent="0.3">
      <c r="A1195" s="58">
        <v>2411007</v>
      </c>
      <c r="B1195" s="58" t="s">
        <v>2201</v>
      </c>
      <c r="C1195" s="59">
        <v>-5.7879936117113902</v>
      </c>
      <c r="D1195" s="59">
        <v>-38.062874329134075</v>
      </c>
    </row>
    <row r="1196" spans="1:4" x14ac:dyDescent="0.3">
      <c r="A1196" s="58">
        <v>2411056</v>
      </c>
      <c r="B1196" s="58" t="s">
        <v>2202</v>
      </c>
      <c r="C1196" s="59">
        <v>-4.8414374104414444</v>
      </c>
      <c r="D1196" s="59">
        <v>-37.251302668135835</v>
      </c>
    </row>
    <row r="1197" spans="1:4" x14ac:dyDescent="0.3">
      <c r="A1197" s="58">
        <v>2411106</v>
      </c>
      <c r="B1197" s="58" t="s">
        <v>2203</v>
      </c>
      <c r="C1197" s="59">
        <v>-5.8794289409581229</v>
      </c>
      <c r="D1197" s="59">
        <v>-35.935484163241142</v>
      </c>
    </row>
    <row r="1198" spans="1:4" x14ac:dyDescent="0.3">
      <c r="A1198" s="58">
        <v>2411205</v>
      </c>
      <c r="B1198" s="58" t="s">
        <v>2204</v>
      </c>
      <c r="C1198" s="59">
        <v>-6.2300756233865551</v>
      </c>
      <c r="D1198" s="59">
        <v>-36.020516570344675</v>
      </c>
    </row>
    <row r="1199" spans="1:4" x14ac:dyDescent="0.3">
      <c r="A1199" s="58">
        <v>2411403</v>
      </c>
      <c r="B1199" s="58" t="s">
        <v>2205</v>
      </c>
      <c r="C1199" s="59">
        <v>-5.9577271554017814</v>
      </c>
      <c r="D1199" s="59">
        <v>-36.654104965082162</v>
      </c>
    </row>
    <row r="1200" spans="1:4" x14ac:dyDescent="0.3">
      <c r="A1200" s="58">
        <v>2411429</v>
      </c>
      <c r="B1200" s="58" t="s">
        <v>2206</v>
      </c>
      <c r="C1200" s="59">
        <v>-6.7701517528995465</v>
      </c>
      <c r="D1200" s="59">
        <v>-36.736851641873578</v>
      </c>
    </row>
    <row r="1201" spans="1:4" x14ac:dyDescent="0.3">
      <c r="A1201" s="58">
        <v>2411502</v>
      </c>
      <c r="B1201" s="58" t="s">
        <v>2207</v>
      </c>
      <c r="C1201" s="59">
        <v>-6.3051739212975164</v>
      </c>
      <c r="D1201" s="59">
        <v>-35.475136983998176</v>
      </c>
    </row>
    <row r="1202" spans="1:4" x14ac:dyDescent="0.3">
      <c r="A1202" s="58">
        <v>2411601</v>
      </c>
      <c r="B1202" s="58" t="s">
        <v>2208</v>
      </c>
      <c r="C1202" s="59">
        <v>-5.0595010600826154</v>
      </c>
      <c r="D1202" s="59">
        <v>-36.035431353395929</v>
      </c>
    </row>
    <row r="1203" spans="1:4" x14ac:dyDescent="0.3">
      <c r="A1203" s="58">
        <v>2411700</v>
      </c>
      <c r="B1203" s="58" t="s">
        <v>2209</v>
      </c>
      <c r="C1203" s="59">
        <v>-6.3444812167406068</v>
      </c>
      <c r="D1203" s="59">
        <v>-36.08688750142052</v>
      </c>
    </row>
    <row r="1204" spans="1:4" x14ac:dyDescent="0.3">
      <c r="A1204" s="58">
        <v>2411809</v>
      </c>
      <c r="B1204" s="58" t="s">
        <v>2210</v>
      </c>
      <c r="C1204" s="59">
        <v>-6.3838610730284504</v>
      </c>
      <c r="D1204" s="59">
        <v>-37.185403039837546</v>
      </c>
    </row>
    <row r="1205" spans="1:4" x14ac:dyDescent="0.3">
      <c r="A1205" s="58">
        <v>2411908</v>
      </c>
      <c r="B1205" s="58" t="s">
        <v>2211</v>
      </c>
      <c r="C1205" s="59">
        <v>-6.0006365705398208</v>
      </c>
      <c r="D1205" s="59">
        <v>-38.169296180755801</v>
      </c>
    </row>
    <row r="1206" spans="1:4" x14ac:dyDescent="0.3">
      <c r="A1206" s="58">
        <v>2412005</v>
      </c>
      <c r="B1206" s="58" t="s">
        <v>2063</v>
      </c>
      <c r="C1206" s="59">
        <v>-5.7895555402052805</v>
      </c>
      <c r="D1206" s="59">
        <v>-35.331156093085205</v>
      </c>
    </row>
    <row r="1207" spans="1:4" x14ac:dyDescent="0.3">
      <c r="A1207" s="58">
        <v>2412104</v>
      </c>
      <c r="B1207" s="58" t="s">
        <v>2212</v>
      </c>
      <c r="C1207" s="59">
        <v>-6.7112243500155762</v>
      </c>
      <c r="D1207" s="59">
        <v>-37.2041396579503</v>
      </c>
    </row>
    <row r="1208" spans="1:4" x14ac:dyDescent="0.3">
      <c r="A1208" s="58">
        <v>2412203</v>
      </c>
      <c r="B1208" s="58" t="s">
        <v>2213</v>
      </c>
      <c r="C1208" s="59">
        <v>-6.0704657116056957</v>
      </c>
      <c r="D1208" s="59">
        <v>-35.240274648712941</v>
      </c>
    </row>
    <row r="1209" spans="1:4" x14ac:dyDescent="0.3">
      <c r="A1209" s="58">
        <v>2412302</v>
      </c>
      <c r="B1209" s="58" t="s">
        <v>2214</v>
      </c>
      <c r="C1209" s="59">
        <v>-6.3155639806483057</v>
      </c>
      <c r="D1209" s="59">
        <v>-35.71211503312108</v>
      </c>
    </row>
    <row r="1210" spans="1:4" x14ac:dyDescent="0.3">
      <c r="A1210" s="58">
        <v>2412401</v>
      </c>
      <c r="B1210" s="58" t="s">
        <v>2215</v>
      </c>
      <c r="C1210" s="59">
        <v>-6.4487985346451104</v>
      </c>
      <c r="D1210" s="59">
        <v>-36.883258892933959</v>
      </c>
    </row>
    <row r="1211" spans="1:4" x14ac:dyDescent="0.3">
      <c r="A1211" s="58">
        <v>2412500</v>
      </c>
      <c r="B1211" s="58" t="s">
        <v>2216</v>
      </c>
      <c r="C1211" s="59">
        <v>-6.2123429186061001</v>
      </c>
      <c r="D1211" s="59">
        <v>-38.496343973653943</v>
      </c>
    </row>
    <row r="1212" spans="1:4" x14ac:dyDescent="0.3">
      <c r="A1212" s="58">
        <v>2412559</v>
      </c>
      <c r="B1212" s="58" t="s">
        <v>2217</v>
      </c>
      <c r="C1212" s="59">
        <v>-5.122857116311601</v>
      </c>
      <c r="D1212" s="59">
        <v>-35.641283511205238</v>
      </c>
    </row>
    <row r="1213" spans="1:4" x14ac:dyDescent="0.3">
      <c r="A1213" s="58">
        <v>2412609</v>
      </c>
      <c r="B1213" s="58" t="s">
        <v>2218</v>
      </c>
      <c r="C1213" s="59">
        <v>-5.8998203337798349</v>
      </c>
      <c r="D1213" s="59">
        <v>-35.764369636949361</v>
      </c>
    </row>
    <row r="1214" spans="1:4" x14ac:dyDescent="0.3">
      <c r="A1214" s="58">
        <v>2412708</v>
      </c>
      <c r="B1214" s="58" t="s">
        <v>2219</v>
      </c>
      <c r="C1214" s="59">
        <v>-5.897980282512977</v>
      </c>
      <c r="D1214" s="59">
        <v>-35.640311030227274</v>
      </c>
    </row>
    <row r="1215" spans="1:4" x14ac:dyDescent="0.3">
      <c r="A1215" s="58">
        <v>2412807</v>
      </c>
      <c r="B1215" s="58" t="s">
        <v>2220</v>
      </c>
      <c r="C1215" s="59">
        <v>-5.8009342265910062</v>
      </c>
      <c r="D1215" s="59">
        <v>-36.890397564100276</v>
      </c>
    </row>
    <row r="1216" spans="1:4" x14ac:dyDescent="0.3">
      <c r="A1216" s="58">
        <v>2412906</v>
      </c>
      <c r="B1216" s="58" t="s">
        <v>2221</v>
      </c>
      <c r="C1216" s="59">
        <v>-5.973022347096788</v>
      </c>
      <c r="D1216" s="59">
        <v>-36.073663148571889</v>
      </c>
    </row>
    <row r="1217" spans="1:4" x14ac:dyDescent="0.3">
      <c r="A1217" s="58">
        <v>2413003</v>
      </c>
      <c r="B1217" s="58" t="s">
        <v>2222</v>
      </c>
      <c r="C1217" s="59">
        <v>-6.2149638781653964</v>
      </c>
      <c r="D1217" s="59">
        <v>-36.688661851682077</v>
      </c>
    </row>
    <row r="1218" spans="1:4" x14ac:dyDescent="0.3">
      <c r="A1218" s="58">
        <v>2413102</v>
      </c>
      <c r="B1218" s="58" t="s">
        <v>2223</v>
      </c>
      <c r="C1218" s="59">
        <v>-6.0362264287732463</v>
      </c>
      <c r="D1218" s="59">
        <v>-35.695663775161698</v>
      </c>
    </row>
    <row r="1219" spans="1:4" x14ac:dyDescent="0.3">
      <c r="A1219" s="58">
        <v>2413201</v>
      </c>
      <c r="B1219" s="58" t="s">
        <v>2224</v>
      </c>
      <c r="C1219" s="59">
        <v>-6.1586943343692253</v>
      </c>
      <c r="D1219" s="59">
        <v>-35.124176227956816</v>
      </c>
    </row>
    <row r="1220" spans="1:4" x14ac:dyDescent="0.3">
      <c r="A1220" s="58">
        <v>2413300</v>
      </c>
      <c r="B1220" s="58" t="s">
        <v>2225</v>
      </c>
      <c r="C1220" s="59">
        <v>-6.4153669923303216</v>
      </c>
      <c r="D1220" s="59">
        <v>-35.703489819886677</v>
      </c>
    </row>
    <row r="1221" spans="1:4" x14ac:dyDescent="0.3">
      <c r="A1221" s="58">
        <v>2413359</v>
      </c>
      <c r="B1221" s="58" t="s">
        <v>2226</v>
      </c>
      <c r="C1221" s="59">
        <v>-5.1652413482018353</v>
      </c>
      <c r="D1221" s="59">
        <v>-37.041301345229094</v>
      </c>
    </row>
    <row r="1222" spans="1:4" x14ac:dyDescent="0.3">
      <c r="A1222" s="58">
        <v>2413409</v>
      </c>
      <c r="B1222" s="58" t="s">
        <v>2227</v>
      </c>
      <c r="C1222" s="59">
        <v>-6.6639843363730504</v>
      </c>
      <c r="D1222" s="59">
        <v>-37.394973010582746</v>
      </c>
    </row>
    <row r="1223" spans="1:4" x14ac:dyDescent="0.3">
      <c r="A1223" s="58">
        <v>2413508</v>
      </c>
      <c r="B1223" s="58" t="s">
        <v>2228</v>
      </c>
      <c r="C1223" s="59">
        <v>-6.2770915257477062</v>
      </c>
      <c r="D1223" s="59">
        <v>-35.50134323404064</v>
      </c>
    </row>
    <row r="1224" spans="1:4" x14ac:dyDescent="0.3">
      <c r="A1224" s="58">
        <v>2413557</v>
      </c>
      <c r="B1224" s="58" t="s">
        <v>2229</v>
      </c>
      <c r="C1224" s="59">
        <v>-6.1141293698225008</v>
      </c>
      <c r="D1224" s="59">
        <v>-37.961579048869851</v>
      </c>
    </row>
    <row r="1225" spans="1:4" x14ac:dyDescent="0.3">
      <c r="A1225" s="58">
        <v>2413607</v>
      </c>
      <c r="B1225" s="58" t="s">
        <v>2230</v>
      </c>
      <c r="C1225" s="59">
        <v>-5.7781877652875622</v>
      </c>
      <c r="D1225" s="59">
        <v>-37.956580705983932</v>
      </c>
    </row>
    <row r="1226" spans="1:4" x14ac:dyDescent="0.3">
      <c r="A1226" s="58">
        <v>2413706</v>
      </c>
      <c r="B1226" s="58" t="s">
        <v>814</v>
      </c>
      <c r="C1226" s="59">
        <v>-6.1040915827819804</v>
      </c>
      <c r="D1226" s="59">
        <v>-35.910449179859903</v>
      </c>
    </row>
    <row r="1227" spans="1:4" x14ac:dyDescent="0.3">
      <c r="A1227" s="58">
        <v>2413805</v>
      </c>
      <c r="B1227" s="58" t="s">
        <v>2231</v>
      </c>
      <c r="C1227" s="59">
        <v>-5.9267522922491205</v>
      </c>
      <c r="D1227" s="59">
        <v>-38.043567540577634</v>
      </c>
    </row>
    <row r="1228" spans="1:4" x14ac:dyDescent="0.3">
      <c r="A1228" s="58">
        <v>2413904</v>
      </c>
      <c r="B1228" s="58" t="s">
        <v>2232</v>
      </c>
      <c r="C1228" s="59">
        <v>-5.6196666752727911</v>
      </c>
      <c r="D1228" s="59">
        <v>-35.598846561255058</v>
      </c>
    </row>
    <row r="1229" spans="1:4" x14ac:dyDescent="0.3">
      <c r="A1229" s="58">
        <v>2414001</v>
      </c>
      <c r="B1229" s="58" t="s">
        <v>2233</v>
      </c>
      <c r="C1229" s="59">
        <v>-6.1973573683105654</v>
      </c>
      <c r="D1229" s="59">
        <v>-35.800189598309075</v>
      </c>
    </row>
    <row r="1230" spans="1:4" x14ac:dyDescent="0.3">
      <c r="A1230" s="58">
        <v>2414100</v>
      </c>
      <c r="B1230" s="58" t="s">
        <v>2234</v>
      </c>
      <c r="C1230" s="59">
        <v>-6.4775437121866508</v>
      </c>
      <c r="D1230" s="59">
        <v>-38.179297889705246</v>
      </c>
    </row>
    <row r="1231" spans="1:4" x14ac:dyDescent="0.3">
      <c r="A1231" s="58">
        <v>2414159</v>
      </c>
      <c r="B1231" s="58" t="s">
        <v>2235</v>
      </c>
      <c r="C1231" s="59">
        <v>-6.1472301594895411</v>
      </c>
      <c r="D1231" s="59">
        <v>-36.720660144886075</v>
      </c>
    </row>
    <row r="1232" spans="1:4" x14ac:dyDescent="0.3">
      <c r="A1232" s="58">
        <v>2414209</v>
      </c>
      <c r="B1232" s="58" t="s">
        <v>2236</v>
      </c>
      <c r="C1232" s="59">
        <v>-6.1880717592903567</v>
      </c>
      <c r="D1232" s="59">
        <v>-35.092600367173567</v>
      </c>
    </row>
    <row r="1233" spans="1:4" x14ac:dyDescent="0.3">
      <c r="A1233" s="58">
        <v>2414308</v>
      </c>
      <c r="B1233" s="58" t="s">
        <v>2237</v>
      </c>
      <c r="C1233" s="59">
        <v>-6.4632892630581864</v>
      </c>
      <c r="D1233" s="59">
        <v>-37.271339906440062</v>
      </c>
    </row>
    <row r="1234" spans="1:4" x14ac:dyDescent="0.3">
      <c r="A1234" s="58">
        <v>2414407</v>
      </c>
      <c r="B1234" s="58" t="s">
        <v>2238</v>
      </c>
      <c r="C1234" s="59">
        <v>-5.2026068013967564</v>
      </c>
      <c r="D1234" s="59">
        <v>-35.455293165720569</v>
      </c>
    </row>
    <row r="1235" spans="1:4" x14ac:dyDescent="0.3">
      <c r="A1235" s="58">
        <v>2414456</v>
      </c>
      <c r="B1235" s="58" t="s">
        <v>2239</v>
      </c>
      <c r="C1235" s="59">
        <v>-5.8669590186348861</v>
      </c>
      <c r="D1235" s="59">
        <v>-37.183796850557464</v>
      </c>
    </row>
    <row r="1236" spans="1:4" x14ac:dyDescent="0.3">
      <c r="A1236" s="58">
        <v>2414506</v>
      </c>
      <c r="B1236" s="58" t="s">
        <v>2240</v>
      </c>
      <c r="C1236" s="59">
        <v>-5.9899019795618651</v>
      </c>
      <c r="D1236" s="59">
        <v>-37.813258490085445</v>
      </c>
    </row>
    <row r="1237" spans="1:4" x14ac:dyDescent="0.3">
      <c r="A1237" s="58">
        <v>2414605</v>
      </c>
      <c r="B1237" s="58" t="s">
        <v>2241</v>
      </c>
      <c r="C1237" s="59">
        <v>-5.6417976592702308</v>
      </c>
      <c r="D1237" s="59">
        <v>-37.260146941986385</v>
      </c>
    </row>
    <row r="1238" spans="1:4" x14ac:dyDescent="0.3">
      <c r="A1238" s="58">
        <v>2414704</v>
      </c>
      <c r="B1238" s="58" t="s">
        <v>2242</v>
      </c>
      <c r="C1238" s="59">
        <v>-6.3487998907306764</v>
      </c>
      <c r="D1238" s="59">
        <v>-35.374790664390986</v>
      </c>
    </row>
    <row r="1239" spans="1:4" x14ac:dyDescent="0.3">
      <c r="A1239" s="58">
        <v>2414753</v>
      </c>
      <c r="B1239" s="58" t="s">
        <v>2243</v>
      </c>
      <c r="C1239" s="59">
        <v>-6.3194228368955159</v>
      </c>
      <c r="D1239" s="59">
        <v>-38.491230167664717</v>
      </c>
    </row>
    <row r="1240" spans="1:4" x14ac:dyDescent="0.3">
      <c r="A1240" s="58">
        <v>2414803</v>
      </c>
      <c r="B1240" s="58" t="s">
        <v>2244</v>
      </c>
      <c r="C1240" s="59">
        <v>-6.0456084817929563</v>
      </c>
      <c r="D1240" s="59">
        <v>-35.428109527208953</v>
      </c>
    </row>
    <row r="1241" spans="1:4" x14ac:dyDescent="0.3">
      <c r="A1241" s="58">
        <v>2414902</v>
      </c>
      <c r="B1241" s="58" t="s">
        <v>2245</v>
      </c>
      <c r="C1241" s="59">
        <v>-5.9918571747343448</v>
      </c>
      <c r="D1241" s="59">
        <v>-37.94740901596915</v>
      </c>
    </row>
    <row r="1242" spans="1:4" x14ac:dyDescent="0.3">
      <c r="A1242" s="58">
        <v>2415008</v>
      </c>
      <c r="B1242" s="58" t="s">
        <v>2246</v>
      </c>
      <c r="C1242" s="59">
        <v>-6.3127918709358459</v>
      </c>
      <c r="D1242" s="59">
        <v>-35.076127495445455</v>
      </c>
    </row>
    <row r="1243" spans="1:4" x14ac:dyDescent="0.3">
      <c r="A1243" s="58">
        <v>2500106</v>
      </c>
      <c r="B1243" s="58" t="s">
        <v>1685</v>
      </c>
      <c r="C1243" s="59">
        <v>-7.5110701505576456</v>
      </c>
      <c r="D1243" s="59">
        <v>-37.642209044257221</v>
      </c>
    </row>
    <row r="1244" spans="1:4" x14ac:dyDescent="0.3">
      <c r="A1244" s="58">
        <v>2500205</v>
      </c>
      <c r="B1244" s="58" t="s">
        <v>2247</v>
      </c>
      <c r="C1244" s="59">
        <v>-7.0948057624530714</v>
      </c>
      <c r="D1244" s="59">
        <v>-38.177581844637366</v>
      </c>
    </row>
    <row r="1245" spans="1:4" x14ac:dyDescent="0.3">
      <c r="A1245" s="58">
        <v>2500304</v>
      </c>
      <c r="B1245" s="58" t="s">
        <v>2248</v>
      </c>
      <c r="C1245" s="59">
        <v>-7.0367750000000004</v>
      </c>
      <c r="D1245" s="59">
        <v>-35.633891982749482</v>
      </c>
    </row>
    <row r="1246" spans="1:4" x14ac:dyDescent="0.3">
      <c r="A1246" s="58">
        <v>2500403</v>
      </c>
      <c r="B1246" s="58" t="s">
        <v>2249</v>
      </c>
      <c r="C1246" s="59">
        <v>-7.0577988253335509</v>
      </c>
      <c r="D1246" s="59">
        <v>-35.759456539819958</v>
      </c>
    </row>
    <row r="1247" spans="1:4" x14ac:dyDescent="0.3">
      <c r="A1247" s="58">
        <v>2500502</v>
      </c>
      <c r="B1247" s="58" t="s">
        <v>2250</v>
      </c>
      <c r="C1247" s="59">
        <v>-6.9481404046324053</v>
      </c>
      <c r="D1247" s="59">
        <v>-35.545491350615912</v>
      </c>
    </row>
    <row r="1248" spans="1:4" x14ac:dyDescent="0.3">
      <c r="A1248" s="58">
        <v>2500536</v>
      </c>
      <c r="B1248" s="58" t="s">
        <v>2251</v>
      </c>
      <c r="C1248" s="59">
        <v>-7.7414770382965417</v>
      </c>
      <c r="D1248" s="59">
        <v>-36.060604330886449</v>
      </c>
    </row>
    <row r="1249" spans="1:4" x14ac:dyDescent="0.3">
      <c r="A1249" s="58">
        <v>2500577</v>
      </c>
      <c r="B1249" s="58" t="s">
        <v>2252</v>
      </c>
      <c r="C1249" s="59">
        <v>-6.9046940377675607</v>
      </c>
      <c r="D1249" s="59">
        <v>-36.00609339878941</v>
      </c>
    </row>
    <row r="1250" spans="1:4" x14ac:dyDescent="0.3">
      <c r="A1250" s="58">
        <v>2500601</v>
      </c>
      <c r="B1250" s="58" t="s">
        <v>2253</v>
      </c>
      <c r="C1250" s="59">
        <v>-7.4329953021858612</v>
      </c>
      <c r="D1250" s="59">
        <v>-34.911985155449166</v>
      </c>
    </row>
    <row r="1251" spans="1:4" x14ac:dyDescent="0.3">
      <c r="A1251" s="58">
        <v>2500700</v>
      </c>
      <c r="B1251" s="58" t="s">
        <v>2254</v>
      </c>
      <c r="C1251" s="59">
        <v>-6.7344308283205159</v>
      </c>
      <c r="D1251" s="59">
        <v>-38.445453570848024</v>
      </c>
    </row>
    <row r="1252" spans="1:4" x14ac:dyDescent="0.3">
      <c r="A1252" s="58">
        <v>2500734</v>
      </c>
      <c r="B1252" s="58" t="s">
        <v>2255</v>
      </c>
      <c r="C1252" s="59">
        <v>-7.5672115216128004</v>
      </c>
      <c r="D1252" s="59">
        <v>-37.064775248121187</v>
      </c>
    </row>
    <row r="1253" spans="1:4" x14ac:dyDescent="0.3">
      <c r="A1253" s="58">
        <v>2500775</v>
      </c>
      <c r="B1253" s="58" t="s">
        <v>2256</v>
      </c>
      <c r="C1253" s="59">
        <v>-6.783695141518562</v>
      </c>
      <c r="D1253" s="59">
        <v>-38.08333825454185</v>
      </c>
    </row>
    <row r="1254" spans="1:4" x14ac:dyDescent="0.3">
      <c r="A1254" s="58">
        <v>2500809</v>
      </c>
      <c r="B1254" s="58" t="s">
        <v>2257</v>
      </c>
      <c r="C1254" s="59">
        <v>-6.8516966174830909</v>
      </c>
      <c r="D1254" s="59">
        <v>-35.383299088305712</v>
      </c>
    </row>
    <row r="1255" spans="1:4" x14ac:dyDescent="0.3">
      <c r="A1255" s="58">
        <v>2500908</v>
      </c>
      <c r="B1255" s="58" t="s">
        <v>2258</v>
      </c>
      <c r="C1255" s="59">
        <v>-6.8261917212095806</v>
      </c>
      <c r="D1255" s="59">
        <v>-35.759541721550406</v>
      </c>
    </row>
    <row r="1256" spans="1:4" x14ac:dyDescent="0.3">
      <c r="A1256" s="58">
        <v>2501005</v>
      </c>
      <c r="B1256" s="58" t="s">
        <v>2259</v>
      </c>
      <c r="C1256" s="59">
        <v>-6.5314470213167208</v>
      </c>
      <c r="D1256" s="59">
        <v>-35.735980511943737</v>
      </c>
    </row>
    <row r="1257" spans="1:4" x14ac:dyDescent="0.3">
      <c r="A1257" s="58">
        <v>2501104</v>
      </c>
      <c r="B1257" s="58" t="s">
        <v>2260</v>
      </c>
      <c r="C1257" s="59">
        <v>-6.9655150000000017</v>
      </c>
      <c r="D1257" s="59">
        <v>-35.703391401107233</v>
      </c>
    </row>
    <row r="1258" spans="1:4" x14ac:dyDescent="0.3">
      <c r="A1258" s="58">
        <v>2501153</v>
      </c>
      <c r="B1258" s="58" t="s">
        <v>2261</v>
      </c>
      <c r="C1258" s="59">
        <v>-7.123695013023565</v>
      </c>
      <c r="D1258" s="59">
        <v>-36.943507958378738</v>
      </c>
    </row>
    <row r="1259" spans="1:4" x14ac:dyDescent="0.3">
      <c r="A1259" s="58">
        <v>2501203</v>
      </c>
      <c r="B1259" s="58" t="s">
        <v>2262</v>
      </c>
      <c r="C1259" s="59">
        <v>-7.0499610886938111</v>
      </c>
      <c r="D1259" s="59">
        <v>-35.922809431286552</v>
      </c>
    </row>
    <row r="1260" spans="1:4" x14ac:dyDescent="0.3">
      <c r="A1260" s="58">
        <v>2501302</v>
      </c>
      <c r="B1260" s="58" t="s">
        <v>2263</v>
      </c>
      <c r="C1260" s="59">
        <v>-7.5484620227072261</v>
      </c>
      <c r="D1260" s="59">
        <v>-35.715592948914839</v>
      </c>
    </row>
    <row r="1261" spans="1:4" x14ac:dyDescent="0.3">
      <c r="A1261" s="58">
        <v>2501351</v>
      </c>
      <c r="B1261" s="58" t="s">
        <v>2264</v>
      </c>
      <c r="C1261" s="59">
        <v>-7.0763269436714014</v>
      </c>
      <c r="D1261" s="59">
        <v>-36.733187476057232</v>
      </c>
    </row>
    <row r="1262" spans="1:4" x14ac:dyDescent="0.3">
      <c r="A1262" s="58">
        <v>2501401</v>
      </c>
      <c r="B1262" s="58" t="s">
        <v>2265</v>
      </c>
      <c r="C1262" s="59">
        <v>-6.6795291230305756</v>
      </c>
      <c r="D1262" s="59">
        <v>-34.949931094965542</v>
      </c>
    </row>
    <row r="1263" spans="1:4" x14ac:dyDescent="0.3">
      <c r="A1263" s="58">
        <v>2501500</v>
      </c>
      <c r="B1263" s="58" t="s">
        <v>2266</v>
      </c>
      <c r="C1263" s="59">
        <v>-6.749637274999956</v>
      </c>
      <c r="D1263" s="59">
        <v>-35.631599902768521</v>
      </c>
    </row>
    <row r="1264" spans="1:4" x14ac:dyDescent="0.3">
      <c r="A1264" s="58">
        <v>2501534</v>
      </c>
      <c r="B1264" s="58" t="s">
        <v>2100</v>
      </c>
      <c r="C1264" s="59">
        <v>-6.6424050352378812</v>
      </c>
      <c r="D1264" s="59">
        <v>-36.253041353042775</v>
      </c>
    </row>
    <row r="1265" spans="1:4" x14ac:dyDescent="0.3">
      <c r="A1265" s="58">
        <v>2501575</v>
      </c>
      <c r="B1265" s="58" t="s">
        <v>2267</v>
      </c>
      <c r="C1265" s="59">
        <v>-7.522833780639016</v>
      </c>
      <c r="D1265" s="59">
        <v>-35.996314081117625</v>
      </c>
    </row>
    <row r="1266" spans="1:4" x14ac:dyDescent="0.3">
      <c r="A1266" s="58">
        <v>2501609</v>
      </c>
      <c r="B1266" s="58" t="s">
        <v>2268</v>
      </c>
      <c r="C1266" s="59">
        <v>-6.7202526775558109</v>
      </c>
      <c r="D1266" s="59">
        <v>-36.05977264221832</v>
      </c>
    </row>
    <row r="1267" spans="1:4" x14ac:dyDescent="0.3">
      <c r="A1267" s="58">
        <v>2501708</v>
      </c>
      <c r="B1267" s="58" t="s">
        <v>2269</v>
      </c>
      <c r="C1267" s="59">
        <v>-7.7526706261965357</v>
      </c>
      <c r="D1267" s="59">
        <v>-36.321535967756468</v>
      </c>
    </row>
    <row r="1268" spans="1:4" x14ac:dyDescent="0.3">
      <c r="A1268" s="58">
        <v>2501807</v>
      </c>
      <c r="B1268" s="58" t="s">
        <v>2270</v>
      </c>
      <c r="C1268" s="59">
        <v>-7.132276485000002</v>
      </c>
      <c r="D1268" s="59">
        <v>-34.929185820085713</v>
      </c>
    </row>
    <row r="1269" spans="1:4" x14ac:dyDescent="0.3">
      <c r="A1269" s="58">
        <v>2501906</v>
      </c>
      <c r="B1269" s="58" t="s">
        <v>1203</v>
      </c>
      <c r="C1269" s="59">
        <v>-6.6940426097774068</v>
      </c>
      <c r="D1269" s="59">
        <v>-35.536274082062512</v>
      </c>
    </row>
    <row r="1270" spans="1:4" x14ac:dyDescent="0.3">
      <c r="A1270" s="58">
        <v>2502003</v>
      </c>
      <c r="B1270" s="58" t="s">
        <v>2271</v>
      </c>
      <c r="C1270" s="59">
        <v>-6.1885749976700861</v>
      </c>
      <c r="D1270" s="59">
        <v>-37.53950248225641</v>
      </c>
    </row>
    <row r="1271" spans="1:4" x14ac:dyDescent="0.3">
      <c r="A1271" s="58">
        <v>2502052</v>
      </c>
      <c r="B1271" s="58" t="s">
        <v>2272</v>
      </c>
      <c r="C1271" s="59">
        <v>-6.4535477932165115</v>
      </c>
      <c r="D1271" s="59">
        <v>-38.548869221246242</v>
      </c>
    </row>
    <row r="1272" spans="1:4" x14ac:dyDescent="0.3">
      <c r="A1272" s="58">
        <v>2502102</v>
      </c>
      <c r="B1272" s="58" t="s">
        <v>2273</v>
      </c>
      <c r="C1272" s="59">
        <v>-7.422282145285326</v>
      </c>
      <c r="D1272" s="59">
        <v>-38.218950876506703</v>
      </c>
    </row>
    <row r="1273" spans="1:4" x14ac:dyDescent="0.3">
      <c r="A1273" s="58">
        <v>2502151</v>
      </c>
      <c r="B1273" s="58" t="s">
        <v>1173</v>
      </c>
      <c r="C1273" s="59">
        <v>-7.2579130805796659</v>
      </c>
      <c r="D1273" s="59">
        <v>-36.23537365875351</v>
      </c>
    </row>
    <row r="1274" spans="1:4" x14ac:dyDescent="0.3">
      <c r="A1274" s="58">
        <v>2502201</v>
      </c>
      <c r="B1274" s="58" t="s">
        <v>1713</v>
      </c>
      <c r="C1274" s="59">
        <v>-6.8179576511972</v>
      </c>
      <c r="D1274" s="59">
        <v>-38.655142807045131</v>
      </c>
    </row>
    <row r="1275" spans="1:4" x14ac:dyDescent="0.3">
      <c r="A1275" s="58">
        <v>2502300</v>
      </c>
      <c r="B1275" s="58" t="s">
        <v>2274</v>
      </c>
      <c r="C1275" s="59">
        <v>-6.4450467229880912</v>
      </c>
      <c r="D1275" s="59">
        <v>-37.930023697388357</v>
      </c>
    </row>
    <row r="1276" spans="1:4" x14ac:dyDescent="0.3">
      <c r="A1276" s="58">
        <v>2502409</v>
      </c>
      <c r="B1276" s="58" t="s">
        <v>2275</v>
      </c>
      <c r="C1276" s="59">
        <v>-7.3107630818579059</v>
      </c>
      <c r="D1276" s="59">
        <v>-38.51649530506787</v>
      </c>
    </row>
    <row r="1277" spans="1:4" x14ac:dyDescent="0.3">
      <c r="A1277" s="58">
        <v>2502508</v>
      </c>
      <c r="B1277" s="58" t="s">
        <v>2276</v>
      </c>
      <c r="C1277" s="59">
        <v>-7.4826479198713116</v>
      </c>
      <c r="D1277" s="59">
        <v>-36.133404750711009</v>
      </c>
    </row>
    <row r="1278" spans="1:4" x14ac:dyDescent="0.3">
      <c r="A1278" s="58">
        <v>2502607</v>
      </c>
      <c r="B1278" s="58" t="s">
        <v>2277</v>
      </c>
      <c r="C1278" s="59">
        <v>-7.1793192913795263</v>
      </c>
      <c r="D1278" s="59">
        <v>-38.146694644825182</v>
      </c>
    </row>
    <row r="1279" spans="1:4" x14ac:dyDescent="0.3">
      <c r="A1279" s="58">
        <v>2502706</v>
      </c>
      <c r="B1279" s="58" t="s">
        <v>2278</v>
      </c>
      <c r="C1279" s="59">
        <v>-6.8043058831009313</v>
      </c>
      <c r="D1279" s="59">
        <v>-35.599375965600501</v>
      </c>
    </row>
    <row r="1280" spans="1:4" x14ac:dyDescent="0.3">
      <c r="A1280" s="58">
        <v>2502805</v>
      </c>
      <c r="B1280" s="58" t="s">
        <v>2279</v>
      </c>
      <c r="C1280" s="59">
        <v>-6.3477076067962965</v>
      </c>
      <c r="D1280" s="59">
        <v>-37.50016264167531</v>
      </c>
    </row>
    <row r="1281" spans="1:4" x14ac:dyDescent="0.3">
      <c r="A1281" s="58">
        <v>2502904</v>
      </c>
      <c r="B1281" s="58" t="s">
        <v>2280</v>
      </c>
      <c r="C1281" s="59">
        <v>-6.3761833082128572</v>
      </c>
      <c r="D1281" s="59">
        <v>-37.823710175121256</v>
      </c>
    </row>
    <row r="1282" spans="1:4" x14ac:dyDescent="0.3">
      <c r="A1282" s="58">
        <v>2503001</v>
      </c>
      <c r="B1282" s="58" t="s">
        <v>2281</v>
      </c>
      <c r="C1282" s="59">
        <v>-7.5142876413723307</v>
      </c>
      <c r="D1282" s="59">
        <v>-34.917850143955356</v>
      </c>
    </row>
    <row r="1283" spans="1:4" x14ac:dyDescent="0.3">
      <c r="A1283" s="58">
        <v>2503100</v>
      </c>
      <c r="B1283" s="58" t="s">
        <v>2282</v>
      </c>
      <c r="C1283" s="59">
        <v>-7.4906698737099777</v>
      </c>
      <c r="D1283" s="59">
        <v>-36.28434188980146</v>
      </c>
    </row>
    <row r="1284" spans="1:4" x14ac:dyDescent="0.3">
      <c r="A1284" s="58">
        <v>2503209</v>
      </c>
      <c r="B1284" s="58" t="s">
        <v>2283</v>
      </c>
      <c r="C1284" s="59">
        <v>-6.966983063279641</v>
      </c>
      <c r="D1284" s="59">
        <v>-34.839430020804777</v>
      </c>
    </row>
    <row r="1285" spans="1:4" x14ac:dyDescent="0.3">
      <c r="A1285" s="58">
        <v>2503308</v>
      </c>
      <c r="B1285" s="58" t="s">
        <v>2284</v>
      </c>
      <c r="C1285" s="59">
        <v>-6.9239358528037105</v>
      </c>
      <c r="D1285" s="59">
        <v>-38.67830319165585</v>
      </c>
    </row>
    <row r="1286" spans="1:4" x14ac:dyDescent="0.3">
      <c r="A1286" s="58">
        <v>2503407</v>
      </c>
      <c r="B1286" s="58" t="s">
        <v>2285</v>
      </c>
      <c r="C1286" s="59">
        <v>-7.1284733769427815</v>
      </c>
      <c r="D1286" s="59">
        <v>-37.158216954222418</v>
      </c>
    </row>
    <row r="1287" spans="1:4" x14ac:dyDescent="0.3">
      <c r="A1287" s="58">
        <v>2503506</v>
      </c>
      <c r="B1287" s="58" t="s">
        <v>2286</v>
      </c>
      <c r="C1287" s="59">
        <v>-6.6400167470410763</v>
      </c>
      <c r="D1287" s="59">
        <v>-35.792820901379727</v>
      </c>
    </row>
    <row r="1288" spans="1:4" x14ac:dyDescent="0.3">
      <c r="A1288" s="58">
        <v>2503555</v>
      </c>
      <c r="B1288" s="58" t="s">
        <v>2287</v>
      </c>
      <c r="C1288" s="59">
        <v>-7.212359302649916</v>
      </c>
      <c r="D1288" s="59">
        <v>-37.060402109353412</v>
      </c>
    </row>
    <row r="1289" spans="1:4" x14ac:dyDescent="0.3">
      <c r="A1289" s="58">
        <v>2503605</v>
      </c>
      <c r="B1289" s="58" t="s">
        <v>2288</v>
      </c>
      <c r="C1289" s="59">
        <v>-6.6174697909199613</v>
      </c>
      <c r="D1289" s="59">
        <v>-35.469114282099596</v>
      </c>
    </row>
    <row r="1290" spans="1:4" x14ac:dyDescent="0.3">
      <c r="A1290" s="58">
        <v>2503704</v>
      </c>
      <c r="B1290" s="58" t="s">
        <v>2289</v>
      </c>
      <c r="C1290" s="59">
        <v>-6.8904645000000011</v>
      </c>
      <c r="D1290" s="59">
        <v>-38.560530371840933</v>
      </c>
    </row>
    <row r="1291" spans="1:4" x14ac:dyDescent="0.3">
      <c r="A1291" s="58">
        <v>2503753</v>
      </c>
      <c r="B1291" s="58" t="s">
        <v>2290</v>
      </c>
      <c r="C1291" s="59">
        <v>-6.9626928131821755</v>
      </c>
      <c r="D1291" s="59">
        <v>-37.799184334111303</v>
      </c>
    </row>
    <row r="1292" spans="1:4" x14ac:dyDescent="0.3">
      <c r="A1292" s="58">
        <v>2503803</v>
      </c>
      <c r="B1292" s="58" t="s">
        <v>2291</v>
      </c>
      <c r="C1292" s="59">
        <v>-7.1717514370430751</v>
      </c>
      <c r="D1292" s="59">
        <v>-35.342382091959671</v>
      </c>
    </row>
    <row r="1293" spans="1:4" x14ac:dyDescent="0.3">
      <c r="A1293" s="58">
        <v>2503902</v>
      </c>
      <c r="B1293" s="58" t="s">
        <v>2292</v>
      </c>
      <c r="C1293" s="59">
        <v>-7.8912420951265903</v>
      </c>
      <c r="D1293" s="59">
        <v>-36.831610581485783</v>
      </c>
    </row>
    <row r="1294" spans="1:4" x14ac:dyDescent="0.3">
      <c r="A1294" s="58">
        <v>2504009</v>
      </c>
      <c r="B1294" s="58" t="s">
        <v>2293</v>
      </c>
      <c r="C1294" s="59">
        <v>-7.2214970400000018</v>
      </c>
      <c r="D1294" s="59">
        <v>-35.883859114781465</v>
      </c>
    </row>
    <row r="1295" spans="1:4" x14ac:dyDescent="0.3">
      <c r="A1295" s="58">
        <v>2504033</v>
      </c>
      <c r="B1295" s="58" t="s">
        <v>2294</v>
      </c>
      <c r="C1295" s="59">
        <v>-6.9108443748681614</v>
      </c>
      <c r="D1295" s="59">
        <v>-35.16773871405119</v>
      </c>
    </row>
    <row r="1296" spans="1:4" x14ac:dyDescent="0.3">
      <c r="A1296" s="58">
        <v>2504074</v>
      </c>
      <c r="B1296" s="58" t="s">
        <v>2110</v>
      </c>
      <c r="C1296" s="59">
        <v>-7.7310993724081705</v>
      </c>
      <c r="D1296" s="59">
        <v>-36.49547807269429</v>
      </c>
    </row>
    <row r="1297" spans="1:4" x14ac:dyDescent="0.3">
      <c r="A1297" s="58">
        <v>2504108</v>
      </c>
      <c r="B1297" s="58" t="s">
        <v>2295</v>
      </c>
      <c r="C1297" s="59">
        <v>-7.0396542414521663</v>
      </c>
      <c r="D1297" s="59">
        <v>-38.344216725334157</v>
      </c>
    </row>
    <row r="1298" spans="1:4" x14ac:dyDescent="0.3">
      <c r="A1298" s="58">
        <v>2504157</v>
      </c>
      <c r="B1298" s="58" t="s">
        <v>2296</v>
      </c>
      <c r="C1298" s="59">
        <v>-6.7837603257346801</v>
      </c>
      <c r="D1298" s="59">
        <v>-35.816304829465622</v>
      </c>
    </row>
    <row r="1299" spans="1:4" x14ac:dyDescent="0.3">
      <c r="A1299" s="58">
        <v>2504207</v>
      </c>
      <c r="B1299" s="58" t="s">
        <v>2297</v>
      </c>
      <c r="C1299" s="59">
        <v>-7.1252097835617603</v>
      </c>
      <c r="D1299" s="59">
        <v>-37.610719903324174</v>
      </c>
    </row>
    <row r="1300" spans="1:4" x14ac:dyDescent="0.3">
      <c r="A1300" s="58">
        <v>2504306</v>
      </c>
      <c r="B1300" s="58" t="s">
        <v>2298</v>
      </c>
      <c r="C1300" s="59">
        <v>-6.346752995000001</v>
      </c>
      <c r="D1300" s="59">
        <v>-37.748500090593929</v>
      </c>
    </row>
    <row r="1301" spans="1:4" x14ac:dyDescent="0.3">
      <c r="A1301" s="58">
        <v>2504355</v>
      </c>
      <c r="B1301" s="58" t="s">
        <v>2299</v>
      </c>
      <c r="C1301" s="59">
        <v>-7.4196183207303212</v>
      </c>
      <c r="D1301" s="59">
        <v>-36.020658824068924</v>
      </c>
    </row>
    <row r="1302" spans="1:4" x14ac:dyDescent="0.3">
      <c r="A1302" s="58">
        <v>2504405</v>
      </c>
      <c r="B1302" s="58" t="s">
        <v>2300</v>
      </c>
      <c r="C1302" s="59">
        <v>-7.5602250866248406</v>
      </c>
      <c r="D1302" s="59">
        <v>-38.509157959530363</v>
      </c>
    </row>
    <row r="1303" spans="1:4" x14ac:dyDescent="0.3">
      <c r="A1303" s="58">
        <v>2504504</v>
      </c>
      <c r="B1303" s="58" t="s">
        <v>2301</v>
      </c>
      <c r="C1303" s="59">
        <v>-6.9123067772907625</v>
      </c>
      <c r="D1303" s="59">
        <v>-37.603971334628717</v>
      </c>
    </row>
    <row r="1304" spans="1:4" x14ac:dyDescent="0.3">
      <c r="A1304" s="58">
        <v>2504603</v>
      </c>
      <c r="B1304" s="58" t="s">
        <v>2302</v>
      </c>
      <c r="C1304" s="59">
        <v>-7.2635718267159861</v>
      </c>
      <c r="D1304" s="59">
        <v>-34.907151337073337</v>
      </c>
    </row>
    <row r="1305" spans="1:4" x14ac:dyDescent="0.3">
      <c r="A1305" s="58">
        <v>2504702</v>
      </c>
      <c r="B1305" s="58" t="s">
        <v>2303</v>
      </c>
      <c r="C1305" s="59">
        <v>-7.7925707775036912</v>
      </c>
      <c r="D1305" s="59">
        <v>-36.661532855169881</v>
      </c>
    </row>
    <row r="1306" spans="1:4" x14ac:dyDescent="0.3">
      <c r="A1306" s="58">
        <v>2504801</v>
      </c>
      <c r="B1306" s="58" t="s">
        <v>2304</v>
      </c>
      <c r="C1306" s="59">
        <v>-7.0169182841834212</v>
      </c>
      <c r="D1306" s="59">
        <v>-37.945537275175049</v>
      </c>
    </row>
    <row r="1307" spans="1:4" x14ac:dyDescent="0.3">
      <c r="A1307" s="58">
        <v>2504850</v>
      </c>
      <c r="B1307" s="58" t="s">
        <v>2305</v>
      </c>
      <c r="C1307" s="59">
        <v>-7.6287969606279464</v>
      </c>
      <c r="D1307" s="59">
        <v>-36.604829521877569</v>
      </c>
    </row>
    <row r="1308" spans="1:4" x14ac:dyDescent="0.3">
      <c r="A1308" s="58">
        <v>2504900</v>
      </c>
      <c r="B1308" s="58" t="s">
        <v>2306</v>
      </c>
      <c r="C1308" s="59">
        <v>-7.1413369618883262</v>
      </c>
      <c r="D1308" s="59">
        <v>-35.091489126158564</v>
      </c>
    </row>
    <row r="1309" spans="1:4" x14ac:dyDescent="0.3">
      <c r="A1309" s="58">
        <v>2505006</v>
      </c>
      <c r="B1309" s="58" t="s">
        <v>2307</v>
      </c>
      <c r="C1309" s="59">
        <v>-6.8623606092026366</v>
      </c>
      <c r="D1309" s="59">
        <v>-36.347929716177077</v>
      </c>
    </row>
    <row r="1310" spans="1:4" x14ac:dyDescent="0.3">
      <c r="A1310" s="58">
        <v>2505105</v>
      </c>
      <c r="B1310" s="58" t="s">
        <v>2308</v>
      </c>
      <c r="C1310" s="59">
        <v>-6.4855553011542861</v>
      </c>
      <c r="D1310" s="59">
        <v>-36.153208165500153</v>
      </c>
    </row>
    <row r="1311" spans="1:4" x14ac:dyDescent="0.3">
      <c r="A1311" s="58">
        <v>2505204</v>
      </c>
      <c r="B1311" s="58" t="s">
        <v>2309</v>
      </c>
      <c r="C1311" s="59">
        <v>-6.8958137426149122</v>
      </c>
      <c r="D1311" s="59">
        <v>-35.525741232665915</v>
      </c>
    </row>
    <row r="1312" spans="1:4" x14ac:dyDescent="0.3">
      <c r="A1312" s="58">
        <v>2505238</v>
      </c>
      <c r="B1312" s="58" t="s">
        <v>2310</v>
      </c>
      <c r="C1312" s="59">
        <v>-6.9141574733744822</v>
      </c>
      <c r="D1312" s="59">
        <v>-35.252824892539671</v>
      </c>
    </row>
    <row r="1313" spans="1:4" x14ac:dyDescent="0.3">
      <c r="A1313" s="58">
        <v>2505279</v>
      </c>
      <c r="B1313" s="58" t="s">
        <v>2311</v>
      </c>
      <c r="C1313" s="59">
        <v>-6.7174300292473319</v>
      </c>
      <c r="D1313" s="59">
        <v>-35.267057268786402</v>
      </c>
    </row>
    <row r="1314" spans="1:4" x14ac:dyDescent="0.3">
      <c r="A1314" s="58">
        <v>2505303</v>
      </c>
      <c r="B1314" s="58" t="s">
        <v>2312</v>
      </c>
      <c r="C1314" s="59">
        <v>-7.5380851076558404</v>
      </c>
      <c r="D1314" s="59">
        <v>-38.200391446244652</v>
      </c>
    </row>
    <row r="1315" spans="1:4" x14ac:dyDescent="0.3">
      <c r="A1315" s="58">
        <v>2505352</v>
      </c>
      <c r="B1315" s="58" t="s">
        <v>2313</v>
      </c>
      <c r="C1315" s="59">
        <v>-6.6318974073481209</v>
      </c>
      <c r="D1315" s="59">
        <v>-35.90994253576617</v>
      </c>
    </row>
    <row r="1316" spans="1:4" x14ac:dyDescent="0.3">
      <c r="A1316" s="58">
        <v>2505402</v>
      </c>
      <c r="B1316" s="58" t="s">
        <v>2314</v>
      </c>
      <c r="C1316" s="59">
        <v>-7.2914475304320163</v>
      </c>
      <c r="D1316" s="59">
        <v>-37.092169322525628</v>
      </c>
    </row>
    <row r="1317" spans="1:4" x14ac:dyDescent="0.3">
      <c r="A1317" s="58">
        <v>2505501</v>
      </c>
      <c r="B1317" s="58" t="s">
        <v>2315</v>
      </c>
      <c r="C1317" s="59">
        <v>-6.7406872724242071</v>
      </c>
      <c r="D1317" s="59">
        <v>-37.56791453274635</v>
      </c>
    </row>
    <row r="1318" spans="1:4" x14ac:dyDescent="0.3">
      <c r="A1318" s="58">
        <v>2505600</v>
      </c>
      <c r="B1318" s="58" t="s">
        <v>2316</v>
      </c>
      <c r="C1318" s="59">
        <v>-7.4235834211502461</v>
      </c>
      <c r="D1318" s="59">
        <v>-38.265044208643509</v>
      </c>
    </row>
    <row r="1319" spans="1:4" x14ac:dyDescent="0.3">
      <c r="A1319" s="58">
        <v>2505709</v>
      </c>
      <c r="B1319" s="58" t="s">
        <v>2317</v>
      </c>
      <c r="C1319" s="59">
        <v>-6.6021227351518768</v>
      </c>
      <c r="D1319" s="59">
        <v>-35.622540650604122</v>
      </c>
    </row>
    <row r="1320" spans="1:4" x14ac:dyDescent="0.3">
      <c r="A1320" s="58">
        <v>2505808</v>
      </c>
      <c r="B1320" s="58" t="s">
        <v>2318</v>
      </c>
      <c r="C1320" s="59">
        <v>-6.6881329546835913</v>
      </c>
      <c r="D1320" s="59">
        <v>-35.418176804799231</v>
      </c>
    </row>
    <row r="1321" spans="1:4" x14ac:dyDescent="0.3">
      <c r="A1321" s="58">
        <v>2505907</v>
      </c>
      <c r="B1321" s="58" t="s">
        <v>2319</v>
      </c>
      <c r="C1321" s="59">
        <v>-7.1079922323689217</v>
      </c>
      <c r="D1321" s="59">
        <v>-37.714585975077718</v>
      </c>
    </row>
    <row r="1322" spans="1:4" x14ac:dyDescent="0.3">
      <c r="A1322" s="58">
        <v>2506004</v>
      </c>
      <c r="B1322" s="58" t="s">
        <v>2320</v>
      </c>
      <c r="C1322" s="59">
        <v>-7.0206850000000012</v>
      </c>
      <c r="D1322" s="59">
        <v>-35.858593286969516</v>
      </c>
    </row>
    <row r="1323" spans="1:4" x14ac:dyDescent="0.3">
      <c r="A1323" s="58">
        <v>2506103</v>
      </c>
      <c r="B1323" s="58" t="s">
        <v>2321</v>
      </c>
      <c r="C1323" s="59">
        <v>-7.3630616044485206</v>
      </c>
      <c r="D1323" s="59">
        <v>-35.784608875770168</v>
      </c>
    </row>
    <row r="1324" spans="1:4" x14ac:dyDescent="0.3">
      <c r="A1324" s="58">
        <v>2506202</v>
      </c>
      <c r="B1324" s="58" t="s">
        <v>2322</v>
      </c>
      <c r="C1324" s="59">
        <v>-6.4045158523545762</v>
      </c>
      <c r="D1324" s="59">
        <v>-36.452044061905596</v>
      </c>
    </row>
    <row r="1325" spans="1:4" x14ac:dyDescent="0.3">
      <c r="A1325" s="58">
        <v>2506251</v>
      </c>
      <c r="B1325" s="58" t="s">
        <v>2323</v>
      </c>
      <c r="C1325" s="59">
        <v>-7.5829411773176965</v>
      </c>
      <c r="D1325" s="59">
        <v>-35.790650903452139</v>
      </c>
    </row>
    <row r="1326" spans="1:4" x14ac:dyDescent="0.3">
      <c r="A1326" s="58">
        <v>2506301</v>
      </c>
      <c r="B1326" s="58" t="s">
        <v>2324</v>
      </c>
      <c r="C1326" s="59">
        <v>-6.8527150000000017</v>
      </c>
      <c r="D1326" s="59">
        <v>-35.489964984884928</v>
      </c>
    </row>
    <row r="1327" spans="1:4" x14ac:dyDescent="0.3">
      <c r="A1327" s="58">
        <v>2506400</v>
      </c>
      <c r="B1327" s="58" t="s">
        <v>2325</v>
      </c>
      <c r="C1327" s="59">
        <v>-7.1232156684333701</v>
      </c>
      <c r="D1327" s="59">
        <v>-35.428186062428885</v>
      </c>
    </row>
    <row r="1328" spans="1:4" x14ac:dyDescent="0.3">
      <c r="A1328" s="58">
        <v>2506509</v>
      </c>
      <c r="B1328" s="58" t="s">
        <v>2326</v>
      </c>
      <c r="C1328" s="59">
        <v>-7.2462216609321812</v>
      </c>
      <c r="D1328" s="59">
        <v>-36.486276121764895</v>
      </c>
    </row>
    <row r="1329" spans="1:4" x14ac:dyDescent="0.3">
      <c r="A1329" s="58">
        <v>2506608</v>
      </c>
      <c r="B1329" s="58" t="s">
        <v>2327</v>
      </c>
      <c r="C1329" s="59">
        <v>-7.4978512245458919</v>
      </c>
      <c r="D1329" s="59">
        <v>-38.405567857502838</v>
      </c>
    </row>
    <row r="1330" spans="1:4" x14ac:dyDescent="0.3">
      <c r="A1330" s="58">
        <v>2506707</v>
      </c>
      <c r="B1330" s="58" t="s">
        <v>2328</v>
      </c>
      <c r="C1330" s="59">
        <v>-7.3885372613222797</v>
      </c>
      <c r="D1330" s="59">
        <v>-37.510074856399797</v>
      </c>
    </row>
    <row r="1331" spans="1:4" x14ac:dyDescent="0.3">
      <c r="A1331" s="58">
        <v>2506806</v>
      </c>
      <c r="B1331" s="58" t="s">
        <v>2329</v>
      </c>
      <c r="C1331" s="59">
        <v>-7.2950269135101919</v>
      </c>
      <c r="D1331" s="59">
        <v>-35.617689216818654</v>
      </c>
    </row>
    <row r="1332" spans="1:4" x14ac:dyDescent="0.3">
      <c r="A1332" s="58">
        <v>2506905</v>
      </c>
      <c r="B1332" s="58" t="s">
        <v>2330</v>
      </c>
      <c r="C1332" s="59">
        <v>-7.3309315000000019</v>
      </c>
      <c r="D1332" s="59">
        <v>-35.337533385872696</v>
      </c>
    </row>
    <row r="1333" spans="1:4" x14ac:dyDescent="0.3">
      <c r="A1333" s="58">
        <v>2507002</v>
      </c>
      <c r="B1333" s="58" t="s">
        <v>2331</v>
      </c>
      <c r="C1333" s="59">
        <v>-7.3039804631169156</v>
      </c>
      <c r="D1333" s="59">
        <v>-38.152573106685558</v>
      </c>
    </row>
    <row r="1334" spans="1:4" x14ac:dyDescent="0.3">
      <c r="A1334" s="58">
        <v>2507101</v>
      </c>
      <c r="B1334" s="58" t="s">
        <v>2332</v>
      </c>
      <c r="C1334" s="59">
        <v>-6.8299201630413968</v>
      </c>
      <c r="D1334" s="59">
        <v>-35.24629571460499</v>
      </c>
    </row>
    <row r="1335" spans="1:4" x14ac:dyDescent="0.3">
      <c r="A1335" s="58">
        <v>2507200</v>
      </c>
      <c r="B1335" s="58" t="s">
        <v>2333</v>
      </c>
      <c r="C1335" s="59">
        <v>-7.374957755023515</v>
      </c>
      <c r="D1335" s="59">
        <v>-35.628161250003942</v>
      </c>
    </row>
    <row r="1336" spans="1:4" x14ac:dyDescent="0.3">
      <c r="A1336" s="58">
        <v>2507309</v>
      </c>
      <c r="B1336" s="58" t="s">
        <v>2334</v>
      </c>
      <c r="C1336" s="59">
        <v>-6.6129685867326007</v>
      </c>
      <c r="D1336" s="59">
        <v>-35.294282448402477</v>
      </c>
    </row>
    <row r="1337" spans="1:4" x14ac:dyDescent="0.3">
      <c r="A1337" s="58">
        <v>2507408</v>
      </c>
      <c r="B1337" s="58" t="s">
        <v>2335</v>
      </c>
      <c r="C1337" s="59">
        <v>-6.5561949909407815</v>
      </c>
      <c r="D1337" s="59">
        <v>-37.808641377421047</v>
      </c>
    </row>
    <row r="1338" spans="1:4" x14ac:dyDescent="0.3">
      <c r="A1338" s="58">
        <v>2507507</v>
      </c>
      <c r="B1338" s="58" t="s">
        <v>2336</v>
      </c>
      <c r="C1338" s="59">
        <v>-7.1493820200000018</v>
      </c>
      <c r="D1338" s="59">
        <v>-34.873384813538557</v>
      </c>
    </row>
    <row r="1339" spans="1:4" x14ac:dyDescent="0.3">
      <c r="A1339" s="58">
        <v>2507606</v>
      </c>
      <c r="B1339" s="58" t="s">
        <v>2337</v>
      </c>
      <c r="C1339" s="59">
        <v>-7.1663446273335962</v>
      </c>
      <c r="D1339" s="59">
        <v>-35.591178106713784</v>
      </c>
    </row>
    <row r="1340" spans="1:4" x14ac:dyDescent="0.3">
      <c r="A1340" s="58">
        <v>2507705</v>
      </c>
      <c r="B1340" s="58" t="s">
        <v>2338</v>
      </c>
      <c r="C1340" s="59">
        <v>-7.0653683106355469</v>
      </c>
      <c r="D1340" s="59">
        <v>-36.570701005517094</v>
      </c>
    </row>
    <row r="1341" spans="1:4" x14ac:dyDescent="0.3">
      <c r="A1341" s="58">
        <v>2507804</v>
      </c>
      <c r="B1341" s="58" t="s">
        <v>2339</v>
      </c>
      <c r="C1341" s="59">
        <v>-6.9933376488560954</v>
      </c>
      <c r="D1341" s="59">
        <v>-36.716441226085969</v>
      </c>
    </row>
    <row r="1342" spans="1:4" x14ac:dyDescent="0.3">
      <c r="A1342" s="58">
        <v>2507903</v>
      </c>
      <c r="B1342" s="58" t="s">
        <v>2340</v>
      </c>
      <c r="C1342" s="59">
        <v>-7.3702907731824912</v>
      </c>
      <c r="D1342" s="59">
        <v>-35.239454048646913</v>
      </c>
    </row>
    <row r="1343" spans="1:4" x14ac:dyDescent="0.3">
      <c r="A1343" s="58">
        <v>2508000</v>
      </c>
      <c r="B1343" s="58" t="s">
        <v>2341</v>
      </c>
      <c r="C1343" s="59">
        <v>-7.5343071384346301</v>
      </c>
      <c r="D1343" s="59">
        <v>-37.819264489007963</v>
      </c>
    </row>
    <row r="1344" spans="1:4" x14ac:dyDescent="0.3">
      <c r="A1344" s="58">
        <v>2508109</v>
      </c>
      <c r="B1344" s="58" t="s">
        <v>2342</v>
      </c>
      <c r="C1344" s="59">
        <v>-6.5942086133348612</v>
      </c>
      <c r="D1344" s="59">
        <v>-37.915090070102885</v>
      </c>
    </row>
    <row r="1345" spans="1:4" x14ac:dyDescent="0.3">
      <c r="A1345" s="58">
        <v>2508208</v>
      </c>
      <c r="B1345" s="58" t="s">
        <v>2343</v>
      </c>
      <c r="C1345" s="59">
        <v>-6.6705990496535055</v>
      </c>
      <c r="D1345" s="59">
        <v>-35.377043648235691</v>
      </c>
    </row>
    <row r="1346" spans="1:4" x14ac:dyDescent="0.3">
      <c r="A1346" s="58">
        <v>2508307</v>
      </c>
      <c r="B1346" s="58" t="s">
        <v>2344</v>
      </c>
      <c r="C1346" s="59">
        <v>-7.1584124885585609</v>
      </c>
      <c r="D1346" s="59">
        <v>-35.851440135146341</v>
      </c>
    </row>
    <row r="1347" spans="1:4" x14ac:dyDescent="0.3">
      <c r="A1347" s="58">
        <v>2508406</v>
      </c>
      <c r="B1347" s="58" t="s">
        <v>2345</v>
      </c>
      <c r="C1347" s="59">
        <v>-6.5165306257842222</v>
      </c>
      <c r="D1347" s="59">
        <v>-38.179218492831147</v>
      </c>
    </row>
    <row r="1348" spans="1:4" x14ac:dyDescent="0.3">
      <c r="A1348" s="58">
        <v>2508505</v>
      </c>
      <c r="B1348" s="58" t="s">
        <v>2346</v>
      </c>
      <c r="C1348" s="59">
        <v>-7.3790028227583013</v>
      </c>
      <c r="D1348" s="59">
        <v>-36.948629303969959</v>
      </c>
    </row>
    <row r="1349" spans="1:4" x14ac:dyDescent="0.3">
      <c r="A1349" s="58">
        <v>2508554</v>
      </c>
      <c r="B1349" s="58" t="s">
        <v>2347</v>
      </c>
      <c r="C1349" s="59">
        <v>-6.6153714222873354</v>
      </c>
      <c r="D1349" s="59">
        <v>-35.443299355594483</v>
      </c>
    </row>
    <row r="1350" spans="1:4" x14ac:dyDescent="0.3">
      <c r="A1350" s="58">
        <v>2508604</v>
      </c>
      <c r="B1350" s="58" t="s">
        <v>2348</v>
      </c>
      <c r="C1350" s="59">
        <v>-6.8988493384136618</v>
      </c>
      <c r="D1350" s="59">
        <v>-34.874609097393751</v>
      </c>
    </row>
    <row r="1351" spans="1:4" x14ac:dyDescent="0.3">
      <c r="A1351" s="58">
        <v>2508703</v>
      </c>
      <c r="B1351" s="58" t="s">
        <v>2349</v>
      </c>
      <c r="C1351" s="59">
        <v>-7.257049092697061</v>
      </c>
      <c r="D1351" s="59">
        <v>-37.428160994959008</v>
      </c>
    </row>
    <row r="1352" spans="1:4" x14ac:dyDescent="0.3">
      <c r="A1352" s="58">
        <v>2508802</v>
      </c>
      <c r="B1352" s="58" t="s">
        <v>2350</v>
      </c>
      <c r="C1352" s="59">
        <v>-6.907185123490466</v>
      </c>
      <c r="D1352" s="59">
        <v>-37.517775710380157</v>
      </c>
    </row>
    <row r="1353" spans="1:4" x14ac:dyDescent="0.3">
      <c r="A1353" s="58">
        <v>2508901</v>
      </c>
      <c r="B1353" s="58" t="s">
        <v>2351</v>
      </c>
      <c r="C1353" s="59">
        <v>-6.8337151469331872</v>
      </c>
      <c r="D1353" s="59">
        <v>-35.123893202090066</v>
      </c>
    </row>
    <row r="1354" spans="1:4" x14ac:dyDescent="0.3">
      <c r="A1354" s="58">
        <v>2509008</v>
      </c>
      <c r="B1354" s="58" t="s">
        <v>2352</v>
      </c>
      <c r="C1354" s="59">
        <v>-7.7046141415636766</v>
      </c>
      <c r="D1354" s="59">
        <v>-38.153071666080251</v>
      </c>
    </row>
    <row r="1355" spans="1:4" x14ac:dyDescent="0.3">
      <c r="A1355" s="58">
        <v>2509057</v>
      </c>
      <c r="B1355" s="58" t="s">
        <v>2353</v>
      </c>
      <c r="C1355" s="59">
        <v>-6.7700541740474103</v>
      </c>
      <c r="D1355" s="59">
        <v>-35.013924393469601</v>
      </c>
    </row>
    <row r="1356" spans="1:4" x14ac:dyDescent="0.3">
      <c r="A1356" s="58">
        <v>2509107</v>
      </c>
      <c r="B1356" s="58" t="s">
        <v>2354</v>
      </c>
      <c r="C1356" s="59">
        <v>-7.0563840000000013</v>
      </c>
      <c r="D1356" s="59">
        <v>-35.318542416640334</v>
      </c>
    </row>
    <row r="1357" spans="1:4" x14ac:dyDescent="0.3">
      <c r="A1357" s="58">
        <v>2509156</v>
      </c>
      <c r="B1357" s="58" t="s">
        <v>2355</v>
      </c>
      <c r="C1357" s="59">
        <v>-6.8446742770250308</v>
      </c>
      <c r="D1357" s="59">
        <v>-38.355396130376874</v>
      </c>
    </row>
    <row r="1358" spans="1:4" x14ac:dyDescent="0.3">
      <c r="A1358" s="58">
        <v>2509206</v>
      </c>
      <c r="B1358" s="58" t="s">
        <v>2356</v>
      </c>
      <c r="C1358" s="59">
        <v>-7.1801994710816084</v>
      </c>
      <c r="D1358" s="59">
        <v>-35.737515207689619</v>
      </c>
    </row>
    <row r="1359" spans="1:4" x14ac:dyDescent="0.3">
      <c r="A1359" s="58">
        <v>2509305</v>
      </c>
      <c r="B1359" s="58" t="s">
        <v>2357</v>
      </c>
      <c r="C1359" s="59">
        <v>-6.6005186543500471</v>
      </c>
      <c r="D1359" s="59">
        <v>-35.048557673837671</v>
      </c>
    </row>
    <row r="1360" spans="1:4" x14ac:dyDescent="0.3">
      <c r="A1360" s="58">
        <v>2509339</v>
      </c>
      <c r="B1360" s="58" t="s">
        <v>2358</v>
      </c>
      <c r="C1360" s="59">
        <v>-7.1211683437425464</v>
      </c>
      <c r="D1360" s="59">
        <v>-35.770937416211076</v>
      </c>
    </row>
    <row r="1361" spans="1:4" x14ac:dyDescent="0.3">
      <c r="A1361" s="58">
        <v>2509370</v>
      </c>
      <c r="B1361" s="58" t="s">
        <v>2359</v>
      </c>
      <c r="C1361" s="59">
        <v>-6.5426334911733957</v>
      </c>
      <c r="D1361" s="59">
        <v>-37.71157269822131</v>
      </c>
    </row>
    <row r="1362" spans="1:4" x14ac:dyDescent="0.3">
      <c r="A1362" s="58">
        <v>2509396</v>
      </c>
      <c r="B1362" s="58" t="s">
        <v>2360</v>
      </c>
      <c r="C1362" s="59">
        <v>-7.2659300019374511</v>
      </c>
      <c r="D1362" s="59">
        <v>-37.350433885062785</v>
      </c>
    </row>
    <row r="1363" spans="1:4" x14ac:dyDescent="0.3">
      <c r="A1363" s="58">
        <v>2509404</v>
      </c>
      <c r="B1363" s="58" t="s">
        <v>2361</v>
      </c>
      <c r="C1363" s="59">
        <v>-7.309480532304292</v>
      </c>
      <c r="D1363" s="59">
        <v>-35.482424602005921</v>
      </c>
    </row>
    <row r="1364" spans="1:4" x14ac:dyDescent="0.3">
      <c r="A1364" s="58">
        <v>2509503</v>
      </c>
      <c r="B1364" s="58" t="s">
        <v>2362</v>
      </c>
      <c r="C1364" s="59">
        <v>-7.0890963384549766</v>
      </c>
      <c r="D1364" s="59">
        <v>-35.958275429266926</v>
      </c>
    </row>
    <row r="1365" spans="1:4" x14ac:dyDescent="0.3">
      <c r="A1365" s="58">
        <v>2509602</v>
      </c>
      <c r="B1365" s="58" t="s">
        <v>2363</v>
      </c>
      <c r="C1365" s="59">
        <v>-7.2095264022604697</v>
      </c>
      <c r="D1365" s="59">
        <v>-38.583657494415554</v>
      </c>
    </row>
    <row r="1366" spans="1:4" x14ac:dyDescent="0.3">
      <c r="A1366" s="58">
        <v>2509701</v>
      </c>
      <c r="B1366" s="58" t="s">
        <v>2364</v>
      </c>
      <c r="C1366" s="59">
        <v>-7.8922170000000005</v>
      </c>
      <c r="D1366" s="59">
        <v>-37.122680680560357</v>
      </c>
    </row>
    <row r="1367" spans="1:4" x14ac:dyDescent="0.3">
      <c r="A1367" s="58">
        <v>2509800</v>
      </c>
      <c r="B1367" s="58" t="s">
        <v>2024</v>
      </c>
      <c r="C1367" s="59">
        <v>-7.0278860316056218</v>
      </c>
      <c r="D1367" s="59">
        <v>-35.465143424314654</v>
      </c>
    </row>
    <row r="1368" spans="1:4" x14ac:dyDescent="0.3">
      <c r="A1368" s="58">
        <v>2509909</v>
      </c>
      <c r="B1368" s="58" t="s">
        <v>2365</v>
      </c>
      <c r="C1368" s="59">
        <v>-7.6409788247866253</v>
      </c>
      <c r="D1368" s="59">
        <v>-35.556144682612853</v>
      </c>
    </row>
    <row r="1369" spans="1:4" x14ac:dyDescent="0.3">
      <c r="A1369" s="58">
        <v>2510006</v>
      </c>
      <c r="B1369" s="58" t="s">
        <v>2366</v>
      </c>
      <c r="C1369" s="59">
        <v>-6.9127009191105016</v>
      </c>
      <c r="D1369" s="59">
        <v>-38.318912578607915</v>
      </c>
    </row>
    <row r="1370" spans="1:4" x14ac:dyDescent="0.3">
      <c r="A1370" s="58">
        <v>2510105</v>
      </c>
      <c r="B1370" s="58" t="s">
        <v>2367</v>
      </c>
      <c r="C1370" s="59">
        <v>-6.4561399418328307</v>
      </c>
      <c r="D1370" s="59">
        <v>-36.20249542553487</v>
      </c>
    </row>
    <row r="1371" spans="1:4" x14ac:dyDescent="0.3">
      <c r="A1371" s="58">
        <v>2510204</v>
      </c>
      <c r="B1371" s="58" t="s">
        <v>1418</v>
      </c>
      <c r="C1371" s="59">
        <v>-7.4768427807537918</v>
      </c>
      <c r="D1371" s="59">
        <v>-38.041050200787318</v>
      </c>
    </row>
    <row r="1372" spans="1:4" x14ac:dyDescent="0.3">
      <c r="A1372" s="58">
        <v>2510303</v>
      </c>
      <c r="B1372" s="58" t="s">
        <v>2368</v>
      </c>
      <c r="C1372" s="59">
        <v>-6.6766058426447863</v>
      </c>
      <c r="D1372" s="59">
        <v>-36.418712974352324</v>
      </c>
    </row>
    <row r="1373" spans="1:4" x14ac:dyDescent="0.3">
      <c r="A1373" s="58">
        <v>2510402</v>
      </c>
      <c r="B1373" s="58" t="s">
        <v>2369</v>
      </c>
      <c r="C1373" s="59">
        <v>-7.2249726485492562</v>
      </c>
      <c r="D1373" s="59">
        <v>-37.752685528560384</v>
      </c>
    </row>
    <row r="1374" spans="1:4" x14ac:dyDescent="0.3">
      <c r="A1374" s="58">
        <v>2510501</v>
      </c>
      <c r="B1374" s="58" t="s">
        <v>2370</v>
      </c>
      <c r="C1374" s="59">
        <v>-6.988225622290277</v>
      </c>
      <c r="D1374" s="59">
        <v>-36.243665219357929</v>
      </c>
    </row>
    <row r="1375" spans="1:4" x14ac:dyDescent="0.3">
      <c r="A1375" s="58">
        <v>2510600</v>
      </c>
      <c r="B1375" s="58" t="s">
        <v>2371</v>
      </c>
      <c r="C1375" s="59">
        <v>-7.6186521245103167</v>
      </c>
      <c r="D1375" s="59">
        <v>-37.154378942513198</v>
      </c>
    </row>
    <row r="1376" spans="1:4" x14ac:dyDescent="0.3">
      <c r="A1376" s="58">
        <v>2510659</v>
      </c>
      <c r="B1376" s="58" t="s">
        <v>2372</v>
      </c>
      <c r="C1376" s="59">
        <v>-7.3167001007781867</v>
      </c>
      <c r="D1376" s="59">
        <v>-36.658324443925103</v>
      </c>
    </row>
    <row r="1377" spans="1:4" x14ac:dyDescent="0.3">
      <c r="A1377" s="58">
        <v>2510709</v>
      </c>
      <c r="B1377" s="58" t="s">
        <v>2182</v>
      </c>
      <c r="C1377" s="59">
        <v>-7.1328195966624355</v>
      </c>
      <c r="D1377" s="59">
        <v>-37.054391943650266</v>
      </c>
    </row>
    <row r="1378" spans="1:4" x14ac:dyDescent="0.3">
      <c r="A1378" s="58">
        <v>2510808</v>
      </c>
      <c r="B1378" s="58" t="s">
        <v>2373</v>
      </c>
      <c r="C1378" s="59">
        <v>-7.0244916682192455</v>
      </c>
      <c r="D1378" s="59">
        <v>-37.276913337292591</v>
      </c>
    </row>
    <row r="1379" spans="1:4" x14ac:dyDescent="0.3">
      <c r="A1379" s="58">
        <v>2510907</v>
      </c>
      <c r="B1379" s="58" t="s">
        <v>2374</v>
      </c>
      <c r="C1379" s="59">
        <v>-6.594061579762112</v>
      </c>
      <c r="D1379" s="59">
        <v>-37.62105567398725</v>
      </c>
    </row>
    <row r="1380" spans="1:4" x14ac:dyDescent="0.3">
      <c r="A1380" s="58">
        <v>2511004</v>
      </c>
      <c r="B1380" s="58" t="s">
        <v>2039</v>
      </c>
      <c r="C1380" s="59">
        <v>-7.4265644261301151</v>
      </c>
      <c r="D1380" s="59">
        <v>-38.072246307819164</v>
      </c>
    </row>
    <row r="1381" spans="1:4" x14ac:dyDescent="0.3">
      <c r="A1381" s="58">
        <v>2511103</v>
      </c>
      <c r="B1381" s="58" t="s">
        <v>2375</v>
      </c>
      <c r="C1381" s="59">
        <v>-6.7578814606451862</v>
      </c>
      <c r="D1381" s="59">
        <v>-36.472050363846201</v>
      </c>
    </row>
    <row r="1382" spans="1:4" x14ac:dyDescent="0.3">
      <c r="A1382" s="58">
        <v>2511202</v>
      </c>
      <c r="B1382" s="58" t="s">
        <v>2376</v>
      </c>
      <c r="C1382" s="59">
        <v>-7.4015385000000009</v>
      </c>
      <c r="D1382" s="59">
        <v>-35.113177982706539</v>
      </c>
    </row>
    <row r="1383" spans="1:4" x14ac:dyDescent="0.3">
      <c r="A1383" s="58">
        <v>2511301</v>
      </c>
      <c r="B1383" s="58" t="s">
        <v>2377</v>
      </c>
      <c r="C1383" s="59">
        <v>-7.192569875997302</v>
      </c>
      <c r="D1383" s="59">
        <v>-37.926519001178043</v>
      </c>
    </row>
    <row r="1384" spans="1:4" x14ac:dyDescent="0.3">
      <c r="A1384" s="58">
        <v>2511400</v>
      </c>
      <c r="B1384" s="58" t="s">
        <v>2378</v>
      </c>
      <c r="C1384" s="59">
        <v>-6.5101356574065417</v>
      </c>
      <c r="D1384" s="59">
        <v>-36.347046025145701</v>
      </c>
    </row>
    <row r="1385" spans="1:4" x14ac:dyDescent="0.3">
      <c r="A1385" s="58">
        <v>2511509</v>
      </c>
      <c r="B1385" s="58" t="s">
        <v>2379</v>
      </c>
      <c r="C1385" s="59">
        <v>-7.2598879849164364</v>
      </c>
      <c r="D1385" s="59">
        <v>-35.259880407624841</v>
      </c>
    </row>
    <row r="1386" spans="1:4" x14ac:dyDescent="0.3">
      <c r="A1386" s="58">
        <v>2511608</v>
      </c>
      <c r="B1386" s="58" t="s">
        <v>2191</v>
      </c>
      <c r="C1386" s="59">
        <v>-6.8692205282491452</v>
      </c>
      <c r="D1386" s="59">
        <v>-35.615540594699418</v>
      </c>
    </row>
    <row r="1387" spans="1:4" x14ac:dyDescent="0.3">
      <c r="A1387" s="58">
        <v>2511707</v>
      </c>
      <c r="B1387" s="58" t="s">
        <v>2380</v>
      </c>
      <c r="C1387" s="59">
        <v>-6.8405687830432766</v>
      </c>
      <c r="D1387" s="59">
        <v>-35.530585704033037</v>
      </c>
    </row>
    <row r="1388" spans="1:4" x14ac:dyDescent="0.3">
      <c r="A1388" s="58">
        <v>2511806</v>
      </c>
      <c r="B1388" s="58" t="s">
        <v>2381</v>
      </c>
      <c r="C1388" s="59">
        <v>-6.7808000984550905</v>
      </c>
      <c r="D1388" s="59">
        <v>-35.497715792750689</v>
      </c>
    </row>
    <row r="1389" spans="1:4" x14ac:dyDescent="0.3">
      <c r="A1389" s="58">
        <v>2511905</v>
      </c>
      <c r="B1389" s="58" t="s">
        <v>2382</v>
      </c>
      <c r="C1389" s="59">
        <v>-7.4824133960312711</v>
      </c>
      <c r="D1389" s="59">
        <v>-34.813930414268299</v>
      </c>
    </row>
    <row r="1390" spans="1:4" x14ac:dyDescent="0.3">
      <c r="A1390" s="58">
        <v>2512002</v>
      </c>
      <c r="B1390" s="58" t="s">
        <v>2383</v>
      </c>
      <c r="C1390" s="59">
        <v>-7.078617269369861</v>
      </c>
      <c r="D1390" s="59">
        <v>-36.056442281010057</v>
      </c>
    </row>
    <row r="1391" spans="1:4" x14ac:dyDescent="0.3">
      <c r="A1391" s="58">
        <v>2512036</v>
      </c>
      <c r="B1391" s="58" t="s">
        <v>2384</v>
      </c>
      <c r="C1391" s="59">
        <v>-6.4071756420216959</v>
      </c>
      <c r="D1391" s="59">
        <v>-38.497165533239887</v>
      </c>
    </row>
    <row r="1392" spans="1:4" x14ac:dyDescent="0.3">
      <c r="A1392" s="58">
        <v>2512077</v>
      </c>
      <c r="B1392" s="58" t="s">
        <v>2385</v>
      </c>
      <c r="C1392" s="59">
        <v>-6.5769188158549863</v>
      </c>
      <c r="D1392" s="59">
        <v>-38.509999991319553</v>
      </c>
    </row>
    <row r="1393" spans="1:4" x14ac:dyDescent="0.3">
      <c r="A1393" s="58">
        <v>2512101</v>
      </c>
      <c r="B1393" s="58" t="s">
        <v>2386</v>
      </c>
      <c r="C1393" s="59">
        <v>-6.7698554850000017</v>
      </c>
      <c r="D1393" s="59">
        <v>-37.798267271362953</v>
      </c>
    </row>
    <row r="1394" spans="1:4" x14ac:dyDescent="0.3">
      <c r="A1394" s="58">
        <v>2512200</v>
      </c>
      <c r="B1394" s="58" t="s">
        <v>2387</v>
      </c>
      <c r="C1394" s="59">
        <v>-7.6969830843449554</v>
      </c>
      <c r="D1394" s="59">
        <v>-37.082333975187062</v>
      </c>
    </row>
    <row r="1395" spans="1:4" x14ac:dyDescent="0.3">
      <c r="A1395" s="58">
        <v>2512309</v>
      </c>
      <c r="B1395" s="58" t="s">
        <v>2388</v>
      </c>
      <c r="C1395" s="59">
        <v>-7.7338664589849602</v>
      </c>
      <c r="D1395" s="59">
        <v>-37.993664009616211</v>
      </c>
    </row>
    <row r="1396" spans="1:4" x14ac:dyDescent="0.3">
      <c r="A1396" s="58">
        <v>2512408</v>
      </c>
      <c r="B1396" s="58" t="s">
        <v>2389</v>
      </c>
      <c r="C1396" s="59">
        <v>-7.1489066440628966</v>
      </c>
      <c r="D1396" s="59">
        <v>-35.958494073124633</v>
      </c>
    </row>
    <row r="1397" spans="1:4" x14ac:dyDescent="0.3">
      <c r="A1397" s="58">
        <v>2512507</v>
      </c>
      <c r="B1397" s="58" t="s">
        <v>2390</v>
      </c>
      <c r="C1397" s="59">
        <v>-7.3607915000000013</v>
      </c>
      <c r="D1397" s="59">
        <v>-35.899433911222914</v>
      </c>
    </row>
    <row r="1398" spans="1:4" x14ac:dyDescent="0.3">
      <c r="A1398" s="58">
        <v>2512606</v>
      </c>
      <c r="B1398" s="58" t="s">
        <v>2391</v>
      </c>
      <c r="C1398" s="59">
        <v>-7.0308176065739554</v>
      </c>
      <c r="D1398" s="59">
        <v>-37.147098704348636</v>
      </c>
    </row>
    <row r="1399" spans="1:4" x14ac:dyDescent="0.3">
      <c r="A1399" s="58">
        <v>2512705</v>
      </c>
      <c r="B1399" s="58" t="s">
        <v>2392</v>
      </c>
      <c r="C1399" s="59">
        <v>-6.966292951988966</v>
      </c>
      <c r="D1399" s="59">
        <v>-35.795833190124931</v>
      </c>
    </row>
    <row r="1400" spans="1:4" x14ac:dyDescent="0.3">
      <c r="A1400" s="58">
        <v>2512721</v>
      </c>
      <c r="B1400" s="58" t="s">
        <v>2393</v>
      </c>
      <c r="C1400" s="59">
        <v>-6.6444714972660766</v>
      </c>
      <c r="D1400" s="59">
        <v>-35.293005853809603</v>
      </c>
    </row>
    <row r="1401" spans="1:4" x14ac:dyDescent="0.3">
      <c r="A1401" s="58">
        <v>2512747</v>
      </c>
      <c r="B1401" s="58" t="s">
        <v>1623</v>
      </c>
      <c r="C1401" s="59">
        <v>-6.542676527889931</v>
      </c>
      <c r="D1401" s="59">
        <v>-35.662721694353472</v>
      </c>
    </row>
    <row r="1402" spans="1:4" x14ac:dyDescent="0.3">
      <c r="A1402" s="58">
        <v>2512754</v>
      </c>
      <c r="B1402" s="58" t="s">
        <v>2394</v>
      </c>
      <c r="C1402" s="59">
        <v>-7.2505947732792402</v>
      </c>
      <c r="D1402" s="59">
        <v>-35.65538765832914</v>
      </c>
    </row>
    <row r="1403" spans="1:4" x14ac:dyDescent="0.3">
      <c r="A1403" s="58">
        <v>2512762</v>
      </c>
      <c r="B1403" s="58" t="s">
        <v>2395</v>
      </c>
      <c r="C1403" s="59">
        <v>-7.1515036157402569</v>
      </c>
      <c r="D1403" s="59">
        <v>-35.261242692012154</v>
      </c>
    </row>
    <row r="1404" spans="1:4" x14ac:dyDescent="0.3">
      <c r="A1404" s="58">
        <v>2512788</v>
      </c>
      <c r="B1404" s="58" t="s">
        <v>2396</v>
      </c>
      <c r="C1404" s="59">
        <v>-7.690295344540182</v>
      </c>
      <c r="D1404" s="59">
        <v>-36.156709772741841</v>
      </c>
    </row>
    <row r="1405" spans="1:4" x14ac:dyDescent="0.3">
      <c r="A1405" s="58">
        <v>2512804</v>
      </c>
      <c r="B1405" s="58" t="s">
        <v>2397</v>
      </c>
      <c r="C1405" s="59">
        <v>-6.4364942491411403</v>
      </c>
      <c r="D1405" s="59">
        <v>-37.653835391034661</v>
      </c>
    </row>
    <row r="1406" spans="1:4" x14ac:dyDescent="0.3">
      <c r="A1406" s="58">
        <v>2512903</v>
      </c>
      <c r="B1406" s="58" t="s">
        <v>2398</v>
      </c>
      <c r="C1406" s="59">
        <v>-6.8084485000000008</v>
      </c>
      <c r="D1406" s="59">
        <v>-35.078852225951543</v>
      </c>
    </row>
    <row r="1407" spans="1:4" x14ac:dyDescent="0.3">
      <c r="A1407" s="58">
        <v>2513000</v>
      </c>
      <c r="B1407" s="58" t="s">
        <v>2399</v>
      </c>
      <c r="C1407" s="59">
        <v>-7.1030347330887107</v>
      </c>
      <c r="D1407" s="59">
        <v>-36.845502894286234</v>
      </c>
    </row>
    <row r="1408" spans="1:4" x14ac:dyDescent="0.3">
      <c r="A1408" s="58">
        <v>2513109</v>
      </c>
      <c r="B1408" s="58" t="s">
        <v>2400</v>
      </c>
      <c r="C1408" s="59">
        <v>-7.3553573137170565</v>
      </c>
      <c r="D1408" s="59">
        <v>-35.443301739497123</v>
      </c>
    </row>
    <row r="1409" spans="1:4" x14ac:dyDescent="0.3">
      <c r="A1409" s="58">
        <v>2513158</v>
      </c>
      <c r="B1409" s="58" t="s">
        <v>2401</v>
      </c>
      <c r="C1409" s="59">
        <v>-7.742905962215981</v>
      </c>
      <c r="D1409" s="59">
        <v>-35.87747446662798</v>
      </c>
    </row>
    <row r="1410" spans="1:4" x14ac:dyDescent="0.3">
      <c r="A1410" s="58">
        <v>2513208</v>
      </c>
      <c r="B1410" s="58" t="s">
        <v>2204</v>
      </c>
      <c r="C1410" s="59">
        <v>-6.5350141675178257</v>
      </c>
      <c r="D1410" s="59">
        <v>-38.060555592009699</v>
      </c>
    </row>
    <row r="1411" spans="1:4" x14ac:dyDescent="0.3">
      <c r="A1411" s="58">
        <v>2513307</v>
      </c>
      <c r="B1411" s="58" t="s">
        <v>1628</v>
      </c>
      <c r="C1411" s="59">
        <v>-6.7186941996429308</v>
      </c>
      <c r="D1411" s="59">
        <v>-38.642789670655581</v>
      </c>
    </row>
    <row r="1412" spans="1:4" x14ac:dyDescent="0.3">
      <c r="A1412" s="58">
        <v>2513356</v>
      </c>
      <c r="B1412" s="58" t="s">
        <v>1629</v>
      </c>
      <c r="C1412" s="59">
        <v>-7.6277797185430449</v>
      </c>
      <c r="D1412" s="59">
        <v>-38.559599929631823</v>
      </c>
    </row>
    <row r="1413" spans="1:4" x14ac:dyDescent="0.3">
      <c r="A1413" s="58">
        <v>2513406</v>
      </c>
      <c r="B1413" s="58" t="s">
        <v>1630</v>
      </c>
      <c r="C1413" s="59">
        <v>-6.8718632618825213</v>
      </c>
      <c r="D1413" s="59">
        <v>-36.921678330044664</v>
      </c>
    </row>
    <row r="1414" spans="1:4" x14ac:dyDescent="0.3">
      <c r="A1414" s="58">
        <v>2513505</v>
      </c>
      <c r="B1414" s="58" t="s">
        <v>2402</v>
      </c>
      <c r="C1414" s="59">
        <v>-7.5512134095287351</v>
      </c>
      <c r="D1414" s="59">
        <v>-38.332581153941653</v>
      </c>
    </row>
    <row r="1415" spans="1:4" x14ac:dyDescent="0.3">
      <c r="A1415" s="58">
        <v>2513604</v>
      </c>
      <c r="B1415" s="58" t="s">
        <v>2403</v>
      </c>
      <c r="C1415" s="59">
        <v>-7.3876444597283655</v>
      </c>
      <c r="D1415" s="59">
        <v>-37.985043099929555</v>
      </c>
    </row>
    <row r="1416" spans="1:4" x14ac:dyDescent="0.3">
      <c r="A1416" s="58">
        <v>2513653</v>
      </c>
      <c r="B1416" s="58" t="s">
        <v>1297</v>
      </c>
      <c r="C1416" s="59">
        <v>-6.4840552966912766</v>
      </c>
      <c r="D1416" s="59">
        <v>-38.479152214244884</v>
      </c>
    </row>
    <row r="1417" spans="1:4" x14ac:dyDescent="0.3">
      <c r="A1417" s="58">
        <v>2513703</v>
      </c>
      <c r="B1417" s="58" t="s">
        <v>1633</v>
      </c>
      <c r="C1417" s="59">
        <v>-7.1380845000000006</v>
      </c>
      <c r="D1417" s="59">
        <v>-34.965839278270877</v>
      </c>
    </row>
    <row r="1418" spans="1:4" x14ac:dyDescent="0.3">
      <c r="A1418" s="58">
        <v>2513802</v>
      </c>
      <c r="B1418" s="58" t="s">
        <v>2404</v>
      </c>
      <c r="C1418" s="59">
        <v>-7.0841917052624659</v>
      </c>
      <c r="D1418" s="59">
        <v>-37.44171779546982</v>
      </c>
    </row>
    <row r="1419" spans="1:4" x14ac:dyDescent="0.3">
      <c r="A1419" s="58">
        <v>2513851</v>
      </c>
      <c r="B1419" s="58" t="s">
        <v>2405</v>
      </c>
      <c r="C1419" s="59">
        <v>-7.2204891228331611</v>
      </c>
      <c r="D1419" s="59">
        <v>-36.630975433054594</v>
      </c>
    </row>
    <row r="1420" spans="1:4" x14ac:dyDescent="0.3">
      <c r="A1420" s="58">
        <v>2513901</v>
      </c>
      <c r="B1420" s="58" t="s">
        <v>1638</v>
      </c>
      <c r="C1420" s="59">
        <v>-6.4893075407914109</v>
      </c>
      <c r="D1420" s="59">
        <v>-37.449349664422037</v>
      </c>
    </row>
    <row r="1421" spans="1:4" x14ac:dyDescent="0.3">
      <c r="A1421" s="58">
        <v>2513927</v>
      </c>
      <c r="B1421" s="58" t="s">
        <v>2406</v>
      </c>
      <c r="C1421" s="59">
        <v>-6.890308508997542</v>
      </c>
      <c r="D1421" s="59">
        <v>-37.722721300565418</v>
      </c>
    </row>
    <row r="1422" spans="1:4" x14ac:dyDescent="0.3">
      <c r="A1422" s="58">
        <v>2513943</v>
      </c>
      <c r="B1422" s="58" t="s">
        <v>2407</v>
      </c>
      <c r="C1422" s="59">
        <v>-7.6329907025031352</v>
      </c>
      <c r="D1422" s="59">
        <v>-36.435929400505621</v>
      </c>
    </row>
    <row r="1423" spans="1:4" x14ac:dyDescent="0.3">
      <c r="A1423" s="58">
        <v>2513968</v>
      </c>
      <c r="B1423" s="58" t="s">
        <v>2408</v>
      </c>
      <c r="C1423" s="59">
        <v>-6.8159249809165265</v>
      </c>
      <c r="D1423" s="59">
        <v>-37.942602747444603</v>
      </c>
    </row>
    <row r="1424" spans="1:4" x14ac:dyDescent="0.3">
      <c r="A1424" s="58">
        <v>2513984</v>
      </c>
      <c r="B1424" s="58" t="s">
        <v>2409</v>
      </c>
      <c r="C1424" s="59">
        <v>-6.6192799824053115</v>
      </c>
      <c r="D1424" s="59">
        <v>-38.097141233912716</v>
      </c>
    </row>
    <row r="1425" spans="1:4" x14ac:dyDescent="0.3">
      <c r="A1425" s="58">
        <v>2514008</v>
      </c>
      <c r="B1425" s="58" t="s">
        <v>2410</v>
      </c>
      <c r="C1425" s="59">
        <v>-7.3902013357551208</v>
      </c>
      <c r="D1425" s="59">
        <v>-36.53152093588718</v>
      </c>
    </row>
    <row r="1426" spans="1:4" x14ac:dyDescent="0.3">
      <c r="A1426" s="58">
        <v>2514107</v>
      </c>
      <c r="B1426" s="58" t="s">
        <v>2411</v>
      </c>
      <c r="C1426" s="59">
        <v>-8.0810428893647472</v>
      </c>
      <c r="D1426" s="59">
        <v>-36.845743321568506</v>
      </c>
    </row>
    <row r="1427" spans="1:4" x14ac:dyDescent="0.3">
      <c r="A1427" s="58">
        <v>2514206</v>
      </c>
      <c r="B1427" s="58" t="s">
        <v>2412</v>
      </c>
      <c r="C1427" s="59">
        <v>-6.9442314894139807</v>
      </c>
      <c r="D1427" s="59">
        <v>-38.157770189267374</v>
      </c>
    </row>
    <row r="1428" spans="1:4" x14ac:dyDescent="0.3">
      <c r="A1428" s="58">
        <v>2514305</v>
      </c>
      <c r="B1428" s="58" t="s">
        <v>2413</v>
      </c>
      <c r="C1428" s="59">
        <v>-7.2491596310836517</v>
      </c>
      <c r="D1428" s="59">
        <v>-38.297823370235356</v>
      </c>
    </row>
    <row r="1429" spans="1:4" x14ac:dyDescent="0.3">
      <c r="A1429" s="58">
        <v>2514404</v>
      </c>
      <c r="B1429" s="58" t="s">
        <v>2414</v>
      </c>
      <c r="C1429" s="59">
        <v>-6.8441796084635707</v>
      </c>
      <c r="D1429" s="59">
        <v>-37.325114839978873</v>
      </c>
    </row>
    <row r="1430" spans="1:4" x14ac:dyDescent="0.3">
      <c r="A1430" s="58">
        <v>2514453</v>
      </c>
      <c r="B1430" s="58" t="s">
        <v>2415</v>
      </c>
      <c r="C1430" s="59">
        <v>-7.2471273572163168</v>
      </c>
      <c r="D1430" s="59">
        <v>-35.377961054487372</v>
      </c>
    </row>
    <row r="1431" spans="1:4" x14ac:dyDescent="0.3">
      <c r="A1431" s="58">
        <v>2514503</v>
      </c>
      <c r="B1431" s="58" t="s">
        <v>2416</v>
      </c>
      <c r="C1431" s="59">
        <v>-7.1208699574437819</v>
      </c>
      <c r="D1431" s="59">
        <v>-38.501074820649684</v>
      </c>
    </row>
    <row r="1432" spans="1:4" x14ac:dyDescent="0.3">
      <c r="A1432" s="58">
        <v>2514552</v>
      </c>
      <c r="B1432" s="58" t="s">
        <v>2417</v>
      </c>
      <c r="C1432" s="59">
        <v>-7.7429694507639013</v>
      </c>
      <c r="D1432" s="59">
        <v>-38.098802720255868</v>
      </c>
    </row>
    <row r="1433" spans="1:4" x14ac:dyDescent="0.3">
      <c r="A1433" s="58">
        <v>2514602</v>
      </c>
      <c r="B1433" s="58" t="s">
        <v>2418</v>
      </c>
      <c r="C1433" s="59">
        <v>-7.1609149773589662</v>
      </c>
      <c r="D1433" s="59">
        <v>-37.309244728481517</v>
      </c>
    </row>
    <row r="1434" spans="1:4" x14ac:dyDescent="0.3">
      <c r="A1434" s="58">
        <v>2514651</v>
      </c>
      <c r="B1434" s="58" t="s">
        <v>2419</v>
      </c>
      <c r="C1434" s="59">
        <v>-6.2129153407398157</v>
      </c>
      <c r="D1434" s="59">
        <v>-37.353829676178371</v>
      </c>
    </row>
    <row r="1435" spans="1:4" x14ac:dyDescent="0.3">
      <c r="A1435" s="58">
        <v>2514701</v>
      </c>
      <c r="B1435" s="58" t="s">
        <v>2420</v>
      </c>
      <c r="C1435" s="59">
        <v>-6.775531406837116</v>
      </c>
      <c r="D1435" s="59">
        <v>-36.797493218197182</v>
      </c>
    </row>
    <row r="1436" spans="1:4" x14ac:dyDescent="0.3">
      <c r="A1436" s="58">
        <v>2514800</v>
      </c>
      <c r="B1436" s="58" t="s">
        <v>2421</v>
      </c>
      <c r="C1436" s="59">
        <v>-7.3926426969583865</v>
      </c>
      <c r="D1436" s="59">
        <v>-36.802777819506453</v>
      </c>
    </row>
    <row r="1437" spans="1:4" x14ac:dyDescent="0.3">
      <c r="A1437" s="58">
        <v>2514909</v>
      </c>
      <c r="B1437" s="58" t="s">
        <v>2422</v>
      </c>
      <c r="C1437" s="59">
        <v>-6.9302283713901609</v>
      </c>
      <c r="D1437" s="59">
        <v>-37.094857385240125</v>
      </c>
    </row>
    <row r="1438" spans="1:4" x14ac:dyDescent="0.3">
      <c r="A1438" s="58">
        <v>2515005</v>
      </c>
      <c r="B1438" s="58" t="s">
        <v>2423</v>
      </c>
      <c r="C1438" s="59">
        <v>-7.2492335303870501</v>
      </c>
      <c r="D1438" s="59">
        <v>-35.210451391879751</v>
      </c>
    </row>
    <row r="1439" spans="1:4" x14ac:dyDescent="0.3">
      <c r="A1439" s="58">
        <v>2515104</v>
      </c>
      <c r="B1439" s="58" t="s">
        <v>2424</v>
      </c>
      <c r="C1439" s="59">
        <v>-7.1009459552440362</v>
      </c>
      <c r="D1439" s="59">
        <v>-35.866413911522308</v>
      </c>
    </row>
    <row r="1440" spans="1:4" x14ac:dyDescent="0.3">
      <c r="A1440" s="58">
        <v>2515203</v>
      </c>
      <c r="B1440" s="58" t="s">
        <v>2425</v>
      </c>
      <c r="C1440" s="59">
        <v>-8.1571187546847419</v>
      </c>
      <c r="D1440" s="59">
        <v>-37.00841697800216</v>
      </c>
    </row>
    <row r="1441" spans="1:4" x14ac:dyDescent="0.3">
      <c r="A1441" s="58">
        <v>2515302</v>
      </c>
      <c r="B1441" s="58" t="s">
        <v>2426</v>
      </c>
      <c r="C1441" s="59">
        <v>-7.0871110000000019</v>
      </c>
      <c r="D1441" s="59">
        <v>-35.230432616549699</v>
      </c>
    </row>
    <row r="1442" spans="1:4" x14ac:dyDescent="0.3">
      <c r="A1442" s="58">
        <v>2515401</v>
      </c>
      <c r="B1442" s="58" t="s">
        <v>2427</v>
      </c>
      <c r="C1442" s="59">
        <v>-6.8569085631729161</v>
      </c>
      <c r="D1442" s="59">
        <v>-36.410764109556794</v>
      </c>
    </row>
    <row r="1443" spans="1:4" x14ac:dyDescent="0.3">
      <c r="A1443" s="58">
        <v>2515500</v>
      </c>
      <c r="B1443" s="58" t="s">
        <v>2428</v>
      </c>
      <c r="C1443" s="59">
        <v>-7.4805025244756003</v>
      </c>
      <c r="D1443" s="59">
        <v>-36.655666862922942</v>
      </c>
    </row>
    <row r="1444" spans="1:4" x14ac:dyDescent="0.3">
      <c r="A1444" s="58">
        <v>2515609</v>
      </c>
      <c r="B1444" s="58" t="s">
        <v>2429</v>
      </c>
      <c r="C1444" s="59">
        <v>-6.6855176500536855</v>
      </c>
      <c r="D1444" s="59">
        <v>-35.442738836884921</v>
      </c>
    </row>
    <row r="1445" spans="1:4" x14ac:dyDescent="0.3">
      <c r="A1445" s="58">
        <v>2515708</v>
      </c>
      <c r="B1445" s="58" t="s">
        <v>2430</v>
      </c>
      <c r="C1445" s="59">
        <v>-7.2141477578402862</v>
      </c>
      <c r="D1445" s="59">
        <v>-38.374894787041946</v>
      </c>
    </row>
    <row r="1446" spans="1:4" x14ac:dyDescent="0.3">
      <c r="A1446" s="58">
        <v>2515807</v>
      </c>
      <c r="B1446" s="58" t="s">
        <v>2431</v>
      </c>
      <c r="C1446" s="59">
        <v>-7.1825494246827208</v>
      </c>
      <c r="D1446" s="59">
        <v>-35.674270497244301</v>
      </c>
    </row>
    <row r="1447" spans="1:4" x14ac:dyDescent="0.3">
      <c r="A1447" s="58">
        <v>2515906</v>
      </c>
      <c r="B1447" s="58" t="s">
        <v>2432</v>
      </c>
      <c r="C1447" s="59">
        <v>-6.8170889428473114</v>
      </c>
      <c r="D1447" s="59">
        <v>-35.644142570757118</v>
      </c>
    </row>
    <row r="1448" spans="1:4" x14ac:dyDescent="0.3">
      <c r="A1448" s="58">
        <v>2515930</v>
      </c>
      <c r="B1448" s="58" t="s">
        <v>2433</v>
      </c>
      <c r="C1448" s="59">
        <v>-6.75079754596171</v>
      </c>
      <c r="D1448" s="59">
        <v>-35.441750745704503</v>
      </c>
    </row>
    <row r="1449" spans="1:4" x14ac:dyDescent="0.3">
      <c r="A1449" s="58">
        <v>2515971</v>
      </c>
      <c r="B1449" s="58" t="s">
        <v>2434</v>
      </c>
      <c r="C1449" s="59">
        <v>-7.1445756136373468</v>
      </c>
      <c r="D1449" s="59">
        <v>-35.238195479031269</v>
      </c>
    </row>
    <row r="1450" spans="1:4" x14ac:dyDescent="0.3">
      <c r="A1450" s="58">
        <v>2516003</v>
      </c>
      <c r="B1450" s="58" t="s">
        <v>2435</v>
      </c>
      <c r="C1450" s="59">
        <v>-6.7598975000000001</v>
      </c>
      <c r="D1450" s="59">
        <v>-35.656158407725528</v>
      </c>
    </row>
    <row r="1451" spans="1:4" x14ac:dyDescent="0.3">
      <c r="A1451" s="58">
        <v>2516102</v>
      </c>
      <c r="B1451" s="58" t="s">
        <v>2436</v>
      </c>
      <c r="C1451" s="59">
        <v>-7.0587413777762507</v>
      </c>
      <c r="D1451" s="59">
        <v>-36.36266486037696</v>
      </c>
    </row>
    <row r="1452" spans="1:4" x14ac:dyDescent="0.3">
      <c r="A1452" s="58">
        <v>2516151</v>
      </c>
      <c r="B1452" s="58" t="s">
        <v>2437</v>
      </c>
      <c r="C1452" s="59">
        <v>-6.7675275288826704</v>
      </c>
      <c r="D1452" s="59">
        <v>-36.248223878838282</v>
      </c>
    </row>
    <row r="1453" spans="1:4" x14ac:dyDescent="0.3">
      <c r="A1453" s="58">
        <v>2516201</v>
      </c>
      <c r="B1453" s="58" t="s">
        <v>2438</v>
      </c>
      <c r="C1453" s="59">
        <v>-6.7633780050000016</v>
      </c>
      <c r="D1453" s="59">
        <v>-38.229605080601061</v>
      </c>
    </row>
    <row r="1454" spans="1:4" x14ac:dyDescent="0.3">
      <c r="A1454" s="58">
        <v>2516300</v>
      </c>
      <c r="B1454" s="58" t="s">
        <v>2439</v>
      </c>
      <c r="C1454" s="59">
        <v>-7.6710536151470512</v>
      </c>
      <c r="D1454" s="59">
        <v>-36.880276145732061</v>
      </c>
    </row>
    <row r="1455" spans="1:4" x14ac:dyDescent="0.3">
      <c r="A1455" s="58">
        <v>2516409</v>
      </c>
      <c r="B1455" s="58" t="s">
        <v>2440</v>
      </c>
      <c r="C1455" s="59">
        <v>-6.4889169424547219</v>
      </c>
      <c r="D1455" s="59">
        <v>-35.638836656494199</v>
      </c>
    </row>
    <row r="1456" spans="1:4" x14ac:dyDescent="0.3">
      <c r="A1456" s="58">
        <v>2516508</v>
      </c>
      <c r="B1456" s="58" t="s">
        <v>2441</v>
      </c>
      <c r="C1456" s="59">
        <v>-7.2095393509968764</v>
      </c>
      <c r="D1456" s="59">
        <v>-36.828998534281759</v>
      </c>
    </row>
    <row r="1457" spans="1:4" x14ac:dyDescent="0.3">
      <c r="A1457" s="58">
        <v>2516607</v>
      </c>
      <c r="B1457" s="58" t="s">
        <v>2442</v>
      </c>
      <c r="C1457" s="59">
        <v>-7.6357084461941618</v>
      </c>
      <c r="D1457" s="59">
        <v>-37.878591932460473</v>
      </c>
    </row>
    <row r="1458" spans="1:4" x14ac:dyDescent="0.3">
      <c r="A1458" s="58">
        <v>2516706</v>
      </c>
      <c r="B1458" s="58" t="s">
        <v>2443</v>
      </c>
      <c r="C1458" s="59">
        <v>-7.2237029086147562</v>
      </c>
      <c r="D1458" s="59">
        <v>-37.251561577626696</v>
      </c>
    </row>
    <row r="1459" spans="1:4" x14ac:dyDescent="0.3">
      <c r="A1459" s="58">
        <v>2516755</v>
      </c>
      <c r="B1459" s="58" t="s">
        <v>2444</v>
      </c>
      <c r="C1459" s="59">
        <v>-6.9382604029317063</v>
      </c>
      <c r="D1459" s="59">
        <v>-36.627999874408509</v>
      </c>
    </row>
    <row r="1460" spans="1:4" x14ac:dyDescent="0.3">
      <c r="A1460" s="58">
        <v>2516805</v>
      </c>
      <c r="B1460" s="58" t="s">
        <v>2445</v>
      </c>
      <c r="C1460" s="59">
        <v>-6.5768355073857014</v>
      </c>
      <c r="D1460" s="59">
        <v>-38.598098331275033</v>
      </c>
    </row>
    <row r="1461" spans="1:4" x14ac:dyDescent="0.3">
      <c r="A1461" s="58">
        <v>2516904</v>
      </c>
      <c r="B1461" s="58" t="s">
        <v>2446</v>
      </c>
      <c r="C1461" s="59">
        <v>-6.5249270951308116</v>
      </c>
      <c r="D1461" s="59">
        <v>-38.407027010152767</v>
      </c>
    </row>
    <row r="1462" spans="1:4" x14ac:dyDescent="0.3">
      <c r="A1462" s="58">
        <v>2517001</v>
      </c>
      <c r="B1462" s="58" t="s">
        <v>2447</v>
      </c>
      <c r="C1462" s="59">
        <v>-7.6982063293552461</v>
      </c>
      <c r="D1462" s="59">
        <v>-35.671470822887827</v>
      </c>
    </row>
    <row r="1463" spans="1:4" x14ac:dyDescent="0.3">
      <c r="A1463" s="58">
        <v>2517100</v>
      </c>
      <c r="B1463" s="58" t="s">
        <v>2242</v>
      </c>
      <c r="C1463" s="59">
        <v>-6.7708072467828266</v>
      </c>
      <c r="D1463" s="59">
        <v>-36.992721004331507</v>
      </c>
    </row>
    <row r="1464" spans="1:4" x14ac:dyDescent="0.3">
      <c r="A1464" s="58">
        <v>2517209</v>
      </c>
      <c r="B1464" s="58" t="s">
        <v>2448</v>
      </c>
      <c r="C1464" s="59">
        <v>-6.5457135516857807</v>
      </c>
      <c r="D1464" s="59">
        <v>-38.277843498065337</v>
      </c>
    </row>
    <row r="1465" spans="1:4" x14ac:dyDescent="0.3">
      <c r="A1465" s="58">
        <v>2517407</v>
      </c>
      <c r="B1465" s="58" t="s">
        <v>2449</v>
      </c>
      <c r="C1465" s="59">
        <v>-8.0768741972494009</v>
      </c>
      <c r="D1465" s="59">
        <v>-37.093551972888577</v>
      </c>
    </row>
    <row r="1466" spans="1:4" x14ac:dyDescent="0.3">
      <c r="A1466" s="58">
        <v>2600054</v>
      </c>
      <c r="B1466" s="58" t="s">
        <v>2450</v>
      </c>
      <c r="C1466" s="59">
        <v>-7.9044489900000015</v>
      </c>
      <c r="D1466" s="59">
        <v>-34.899130584730386</v>
      </c>
    </row>
    <row r="1467" spans="1:4" x14ac:dyDescent="0.3">
      <c r="A1467" s="58">
        <v>2600104</v>
      </c>
      <c r="B1467" s="58" t="s">
        <v>2451</v>
      </c>
      <c r="C1467" s="59">
        <v>-7.748327585831511</v>
      </c>
      <c r="D1467" s="59">
        <v>-37.637686018102173</v>
      </c>
    </row>
    <row r="1468" spans="1:4" x14ac:dyDescent="0.3">
      <c r="A1468" s="58">
        <v>2600203</v>
      </c>
      <c r="B1468" s="58" t="s">
        <v>2452</v>
      </c>
      <c r="C1468" s="59">
        <v>-8.5110912837551709</v>
      </c>
      <c r="D1468" s="59">
        <v>-41.005797341094869</v>
      </c>
    </row>
    <row r="1469" spans="1:4" x14ac:dyDescent="0.3">
      <c r="A1469" s="58">
        <v>2600302</v>
      </c>
      <c r="B1469" s="58" t="s">
        <v>2453</v>
      </c>
      <c r="C1469" s="59">
        <v>-8.455973000000002</v>
      </c>
      <c r="D1469" s="59">
        <v>-35.94677683746</v>
      </c>
    </row>
    <row r="1470" spans="1:4" x14ac:dyDescent="0.3">
      <c r="A1470" s="58">
        <v>2600401</v>
      </c>
      <c r="B1470" s="58" t="s">
        <v>2454</v>
      </c>
      <c r="C1470" s="59">
        <v>-8.7091225523117419</v>
      </c>
      <c r="D1470" s="59">
        <v>-35.518557351191895</v>
      </c>
    </row>
    <row r="1471" spans="1:4" x14ac:dyDescent="0.3">
      <c r="A1471" s="58">
        <v>2600500</v>
      </c>
      <c r="B1471" s="58" t="s">
        <v>2455</v>
      </c>
      <c r="C1471" s="59">
        <v>-9.1145895000000028</v>
      </c>
      <c r="D1471" s="59">
        <v>-37.121957168560606</v>
      </c>
    </row>
    <row r="1472" spans="1:4" x14ac:dyDescent="0.3">
      <c r="A1472" s="58">
        <v>2600609</v>
      </c>
      <c r="B1472" s="58" t="s">
        <v>2250</v>
      </c>
      <c r="C1472" s="59">
        <v>-8.4662705229846775</v>
      </c>
      <c r="D1472" s="59">
        <v>-36.775456008316617</v>
      </c>
    </row>
    <row r="1473" spans="1:4" x14ac:dyDescent="0.3">
      <c r="A1473" s="58">
        <v>2600708</v>
      </c>
      <c r="B1473" s="58" t="s">
        <v>2456</v>
      </c>
      <c r="C1473" s="59">
        <v>-7.6047298084634063</v>
      </c>
      <c r="D1473" s="59">
        <v>-35.228501497065018</v>
      </c>
    </row>
    <row r="1474" spans="1:4" x14ac:dyDescent="0.3">
      <c r="A1474" s="58">
        <v>2600807</v>
      </c>
      <c r="B1474" s="58" t="s">
        <v>2457</v>
      </c>
      <c r="C1474" s="59">
        <v>-8.4895925000000023</v>
      </c>
      <c r="D1474" s="59">
        <v>-36.059699758583228</v>
      </c>
    </row>
    <row r="1475" spans="1:4" x14ac:dyDescent="0.3">
      <c r="A1475" s="58">
        <v>2600906</v>
      </c>
      <c r="B1475" s="58" t="s">
        <v>2458</v>
      </c>
      <c r="C1475" s="59">
        <v>-8.3784870000000016</v>
      </c>
      <c r="D1475" s="59">
        <v>-35.450772920995739</v>
      </c>
    </row>
    <row r="1476" spans="1:4" x14ac:dyDescent="0.3">
      <c r="A1476" s="58">
        <v>2601003</v>
      </c>
      <c r="B1476" s="58" t="s">
        <v>2459</v>
      </c>
      <c r="C1476" s="59">
        <v>-8.8903742079099448</v>
      </c>
      <c r="D1476" s="59">
        <v>-36.28481435549832</v>
      </c>
    </row>
    <row r="1477" spans="1:4" x14ac:dyDescent="0.3">
      <c r="A1477" s="58">
        <v>2601052</v>
      </c>
      <c r="B1477" s="58" t="s">
        <v>1919</v>
      </c>
      <c r="C1477" s="59">
        <v>-7.7856418725145069</v>
      </c>
      <c r="D1477" s="59">
        <v>-35.09396652753815</v>
      </c>
    </row>
    <row r="1478" spans="1:4" x14ac:dyDescent="0.3">
      <c r="A1478" s="58">
        <v>2601102</v>
      </c>
      <c r="B1478" s="58" t="s">
        <v>2460</v>
      </c>
      <c r="C1478" s="59">
        <v>-7.578141500000001</v>
      </c>
      <c r="D1478" s="59">
        <v>-40.502460574994096</v>
      </c>
    </row>
    <row r="1479" spans="1:4" x14ac:dyDescent="0.3">
      <c r="A1479" s="58">
        <v>2601201</v>
      </c>
      <c r="B1479" s="58" t="s">
        <v>2461</v>
      </c>
      <c r="C1479" s="59">
        <v>-8.4239405000000023</v>
      </c>
      <c r="D1479" s="59">
        <v>-37.056505564624523</v>
      </c>
    </row>
    <row r="1480" spans="1:4" x14ac:dyDescent="0.3">
      <c r="A1480" s="58">
        <v>2601300</v>
      </c>
      <c r="B1480" s="58" t="s">
        <v>2462</v>
      </c>
      <c r="C1480" s="59">
        <v>-8.4209350375797207</v>
      </c>
      <c r="D1480" s="59">
        <v>-35.662818885824471</v>
      </c>
    </row>
    <row r="1481" spans="1:4" x14ac:dyDescent="0.3">
      <c r="A1481" s="58">
        <v>2601409</v>
      </c>
      <c r="B1481" s="58" t="s">
        <v>2463</v>
      </c>
      <c r="C1481" s="59">
        <v>-8.8141379901068451</v>
      </c>
      <c r="D1481" s="59">
        <v>-35.199085987317339</v>
      </c>
    </row>
    <row r="1482" spans="1:4" x14ac:dyDescent="0.3">
      <c r="A1482" s="58">
        <v>2601508</v>
      </c>
      <c r="B1482" s="58" t="s">
        <v>2464</v>
      </c>
      <c r="C1482" s="59">
        <v>-8.6212019106172963</v>
      </c>
      <c r="D1482" s="59">
        <v>-35.839924090131653</v>
      </c>
    </row>
    <row r="1483" spans="1:4" x14ac:dyDescent="0.3">
      <c r="A1483" s="58">
        <v>2601607</v>
      </c>
      <c r="B1483" s="58" t="s">
        <v>2465</v>
      </c>
      <c r="C1483" s="59">
        <v>-8.751462780085852</v>
      </c>
      <c r="D1483" s="59">
        <v>-38.961599564972566</v>
      </c>
    </row>
    <row r="1484" spans="1:4" x14ac:dyDescent="0.3">
      <c r="A1484" s="58">
        <v>2601706</v>
      </c>
      <c r="B1484" s="58" t="s">
        <v>2466</v>
      </c>
      <c r="C1484" s="59">
        <v>-8.3352954393582959</v>
      </c>
      <c r="D1484" s="59">
        <v>-36.420035083017986</v>
      </c>
    </row>
    <row r="1485" spans="1:4" x14ac:dyDescent="0.3">
      <c r="A1485" s="58">
        <v>2601805</v>
      </c>
      <c r="B1485" s="58" t="s">
        <v>2467</v>
      </c>
      <c r="C1485" s="59">
        <v>-8.2698407896266755</v>
      </c>
      <c r="D1485" s="59">
        <v>-38.038738136647105</v>
      </c>
    </row>
    <row r="1486" spans="1:4" x14ac:dyDescent="0.3">
      <c r="A1486" s="58">
        <v>2601904</v>
      </c>
      <c r="B1486" s="58" t="s">
        <v>2468</v>
      </c>
      <c r="C1486" s="59">
        <v>-8.2353595000000013</v>
      </c>
      <c r="D1486" s="59">
        <v>-35.754487945877969</v>
      </c>
    </row>
    <row r="1487" spans="1:4" x14ac:dyDescent="0.3">
      <c r="A1487" s="58">
        <v>2602001</v>
      </c>
      <c r="B1487" s="58" t="s">
        <v>2469</v>
      </c>
      <c r="C1487" s="59">
        <v>-7.7793426269913661</v>
      </c>
      <c r="D1487" s="59">
        <v>-39.936163185039426</v>
      </c>
    </row>
    <row r="1488" spans="1:4" x14ac:dyDescent="0.3">
      <c r="A1488" s="58">
        <v>2602100</v>
      </c>
      <c r="B1488" s="58" t="s">
        <v>2470</v>
      </c>
      <c r="C1488" s="59">
        <v>-9.1633829848854678</v>
      </c>
      <c r="D1488" s="59">
        <v>-36.679314385707023</v>
      </c>
    </row>
    <row r="1489" spans="1:4" x14ac:dyDescent="0.3">
      <c r="A1489" s="58">
        <v>2602209</v>
      </c>
      <c r="B1489" s="58" t="s">
        <v>1501</v>
      </c>
      <c r="C1489" s="59">
        <v>-7.7995121807400247</v>
      </c>
      <c r="D1489" s="59">
        <v>-35.587139502287805</v>
      </c>
    </row>
    <row r="1490" spans="1:4" x14ac:dyDescent="0.3">
      <c r="A1490" s="58">
        <v>2602308</v>
      </c>
      <c r="B1490" s="58" t="s">
        <v>1207</v>
      </c>
      <c r="C1490" s="59">
        <v>-8.4722605000000026</v>
      </c>
      <c r="D1490" s="59">
        <v>-35.728527925927516</v>
      </c>
    </row>
    <row r="1491" spans="1:4" x14ac:dyDescent="0.3">
      <c r="A1491" s="58">
        <v>2602407</v>
      </c>
      <c r="B1491" s="58" t="s">
        <v>2471</v>
      </c>
      <c r="C1491" s="59">
        <v>-9.0272491507204808</v>
      </c>
      <c r="D1491" s="59">
        <v>-36.564696659267263</v>
      </c>
    </row>
    <row r="1492" spans="1:4" x14ac:dyDescent="0.3">
      <c r="A1492" s="58">
        <v>2602506</v>
      </c>
      <c r="B1492" s="58" t="s">
        <v>2104</v>
      </c>
      <c r="C1492" s="59">
        <v>-7.3456712759663008</v>
      </c>
      <c r="D1492" s="59">
        <v>-37.287334553979754</v>
      </c>
    </row>
    <row r="1493" spans="1:4" x14ac:dyDescent="0.3">
      <c r="A1493" s="58">
        <v>2602605</v>
      </c>
      <c r="B1493" s="58" t="s">
        <v>2472</v>
      </c>
      <c r="C1493" s="59">
        <v>-8.1489565000000024</v>
      </c>
      <c r="D1493" s="59">
        <v>-36.370391441331925</v>
      </c>
    </row>
    <row r="1494" spans="1:4" x14ac:dyDescent="0.3">
      <c r="A1494" s="58">
        <v>2602704</v>
      </c>
      <c r="B1494" s="58" t="s">
        <v>2473</v>
      </c>
      <c r="C1494" s="59">
        <v>-7.7243722100353907</v>
      </c>
      <c r="D1494" s="59">
        <v>-35.329570414200639</v>
      </c>
    </row>
    <row r="1495" spans="1:4" x14ac:dyDescent="0.3">
      <c r="A1495" s="58">
        <v>2602803</v>
      </c>
      <c r="B1495" s="58" t="s">
        <v>2474</v>
      </c>
      <c r="C1495" s="59">
        <v>-8.6220590406823163</v>
      </c>
      <c r="D1495" s="59">
        <v>-37.156988114844999</v>
      </c>
    </row>
    <row r="1496" spans="1:4" x14ac:dyDescent="0.3">
      <c r="A1496" s="58">
        <v>2602902</v>
      </c>
      <c r="B1496" s="58" t="s">
        <v>2475</v>
      </c>
      <c r="C1496" s="59">
        <v>-8.2898642302978818</v>
      </c>
      <c r="D1496" s="59">
        <v>-35.038488971813102</v>
      </c>
    </row>
    <row r="1497" spans="1:4" x14ac:dyDescent="0.3">
      <c r="A1497" s="58">
        <v>2603009</v>
      </c>
      <c r="B1497" s="58" t="s">
        <v>2476</v>
      </c>
      <c r="C1497" s="59">
        <v>-8.5151054832690836</v>
      </c>
      <c r="D1497" s="59">
        <v>-39.30984133797071</v>
      </c>
    </row>
    <row r="1498" spans="1:4" x14ac:dyDescent="0.3">
      <c r="A1498" s="58">
        <v>2603108</v>
      </c>
      <c r="B1498" s="58" t="s">
        <v>1001</v>
      </c>
      <c r="C1498" s="59">
        <v>-8.4868310730386529</v>
      </c>
      <c r="D1498" s="59">
        <v>-36.235991411789072</v>
      </c>
    </row>
    <row r="1499" spans="1:4" x14ac:dyDescent="0.3">
      <c r="A1499" s="58">
        <v>2603207</v>
      </c>
      <c r="B1499" s="58" t="s">
        <v>2477</v>
      </c>
      <c r="C1499" s="59">
        <v>-8.7755948447888219</v>
      </c>
      <c r="D1499" s="59">
        <v>-36.624804007612376</v>
      </c>
    </row>
    <row r="1500" spans="1:4" x14ac:dyDescent="0.3">
      <c r="A1500" s="58">
        <v>2603306</v>
      </c>
      <c r="B1500" s="58" t="s">
        <v>2478</v>
      </c>
      <c r="C1500" s="59">
        <v>-8.7383779437323206</v>
      </c>
      <c r="D1500" s="59">
        <v>-36.333288079536366</v>
      </c>
    </row>
    <row r="1501" spans="1:4" x14ac:dyDescent="0.3">
      <c r="A1501" s="58">
        <v>2603405</v>
      </c>
      <c r="B1501" s="58" t="s">
        <v>2479</v>
      </c>
      <c r="C1501" s="59">
        <v>-7.9384273266750354</v>
      </c>
      <c r="D1501" s="59">
        <v>-38.153745924279079</v>
      </c>
    </row>
    <row r="1502" spans="1:4" x14ac:dyDescent="0.3">
      <c r="A1502" s="58">
        <v>2603454</v>
      </c>
      <c r="B1502" s="58" t="s">
        <v>2480</v>
      </c>
      <c r="C1502" s="59">
        <v>-8.0205217674976002</v>
      </c>
      <c r="D1502" s="59">
        <v>-34.99572135638558</v>
      </c>
    </row>
    <row r="1503" spans="1:4" x14ac:dyDescent="0.3">
      <c r="A1503" s="58">
        <v>2603504</v>
      </c>
      <c r="B1503" s="58" t="s">
        <v>2481</v>
      </c>
      <c r="C1503" s="59">
        <v>-8.3621380400622503</v>
      </c>
      <c r="D1503" s="59">
        <v>-35.76519472655378</v>
      </c>
    </row>
    <row r="1504" spans="1:4" x14ac:dyDescent="0.3">
      <c r="A1504" s="58">
        <v>2603603</v>
      </c>
      <c r="B1504" s="58" t="s">
        <v>2482</v>
      </c>
      <c r="C1504" s="59">
        <v>-7.4070824199390666</v>
      </c>
      <c r="D1504" s="59">
        <v>-35.282790643847726</v>
      </c>
    </row>
    <row r="1505" spans="1:4" x14ac:dyDescent="0.3">
      <c r="A1505" s="58">
        <v>2603702</v>
      </c>
      <c r="B1505" s="58" t="s">
        <v>2483</v>
      </c>
      <c r="C1505" s="59">
        <v>-8.8838705621561864</v>
      </c>
      <c r="D1505" s="59">
        <v>-36.193574878073974</v>
      </c>
    </row>
    <row r="1506" spans="1:4" x14ac:dyDescent="0.3">
      <c r="A1506" s="58">
        <v>2603801</v>
      </c>
      <c r="B1506" s="58" t="s">
        <v>2484</v>
      </c>
      <c r="C1506" s="59">
        <v>-8.7361426797425619</v>
      </c>
      <c r="D1506" s="59">
        <v>-36.623798017292849</v>
      </c>
    </row>
    <row r="1507" spans="1:4" x14ac:dyDescent="0.3">
      <c r="A1507" s="58">
        <v>2603900</v>
      </c>
      <c r="B1507" s="58" t="s">
        <v>2485</v>
      </c>
      <c r="C1507" s="59">
        <v>-7.8030582189056616</v>
      </c>
      <c r="D1507" s="59">
        <v>-37.793398902550969</v>
      </c>
    </row>
    <row r="1508" spans="1:4" x14ac:dyDescent="0.3">
      <c r="A1508" s="58">
        <v>2603926</v>
      </c>
      <c r="B1508" s="58" t="s">
        <v>2486</v>
      </c>
      <c r="C1508" s="59">
        <v>-8.3206079646765065</v>
      </c>
      <c r="D1508" s="59">
        <v>-38.743421946946505</v>
      </c>
    </row>
    <row r="1509" spans="1:4" x14ac:dyDescent="0.3">
      <c r="A1509" s="58">
        <v>2604007</v>
      </c>
      <c r="B1509" s="58" t="s">
        <v>2487</v>
      </c>
      <c r="C1509" s="59">
        <v>-7.8468867164173153</v>
      </c>
      <c r="D1509" s="59">
        <v>-35.258060605913066</v>
      </c>
    </row>
    <row r="1510" spans="1:4" x14ac:dyDescent="0.3">
      <c r="A1510" s="58">
        <v>2604106</v>
      </c>
      <c r="B1510" s="58" t="s">
        <v>2488</v>
      </c>
      <c r="C1510" s="59">
        <v>-8.2858980000000013</v>
      </c>
      <c r="D1510" s="59">
        <v>-35.967073360053526</v>
      </c>
    </row>
    <row r="1511" spans="1:4" x14ac:dyDescent="0.3">
      <c r="A1511" s="58">
        <v>2604155</v>
      </c>
      <c r="B1511" s="58" t="s">
        <v>2489</v>
      </c>
      <c r="C1511" s="59">
        <v>-7.7432065679199811</v>
      </c>
      <c r="D1511" s="59">
        <v>-35.725323103355542</v>
      </c>
    </row>
    <row r="1512" spans="1:4" x14ac:dyDescent="0.3">
      <c r="A1512" s="58">
        <v>2604205</v>
      </c>
      <c r="B1512" s="58" t="s">
        <v>2490</v>
      </c>
      <c r="C1512" s="59">
        <v>-8.6703075000000016</v>
      </c>
      <c r="D1512" s="59">
        <v>-35.721666657348727</v>
      </c>
    </row>
    <row r="1513" spans="1:4" x14ac:dyDescent="0.3">
      <c r="A1513" s="58">
        <v>2604304</v>
      </c>
      <c r="B1513" s="58" t="s">
        <v>1950</v>
      </c>
      <c r="C1513" s="59">
        <v>-7.7174692333034116</v>
      </c>
      <c r="D1513" s="59">
        <v>-39.237138215337822</v>
      </c>
    </row>
    <row r="1514" spans="1:4" x14ac:dyDescent="0.3">
      <c r="A1514" s="58">
        <v>2604403</v>
      </c>
      <c r="B1514" s="58" t="s">
        <v>2491</v>
      </c>
      <c r="C1514" s="59">
        <v>-7.9979007801744304</v>
      </c>
      <c r="D1514" s="59">
        <v>-35.213726736210965</v>
      </c>
    </row>
    <row r="1515" spans="1:4" x14ac:dyDescent="0.3">
      <c r="A1515" s="58">
        <v>2604502</v>
      </c>
      <c r="B1515" s="58" t="s">
        <v>2492</v>
      </c>
      <c r="C1515" s="59">
        <v>-8.2401127765139872</v>
      </c>
      <c r="D1515" s="59">
        <v>-35.464740812514052</v>
      </c>
    </row>
    <row r="1516" spans="1:4" x14ac:dyDescent="0.3">
      <c r="A1516" s="58">
        <v>2604601</v>
      </c>
      <c r="B1516" s="58" t="s">
        <v>2301</v>
      </c>
      <c r="C1516" s="59">
        <v>-7.5893822550000021</v>
      </c>
      <c r="D1516" s="59">
        <v>-35.104118490651494</v>
      </c>
    </row>
    <row r="1517" spans="1:4" x14ac:dyDescent="0.3">
      <c r="A1517" s="58">
        <v>2604700</v>
      </c>
      <c r="B1517" s="58" t="s">
        <v>2493</v>
      </c>
      <c r="C1517" s="59">
        <v>-9.1286655015190465</v>
      </c>
      <c r="D1517" s="59">
        <v>-36.329701895313683</v>
      </c>
    </row>
    <row r="1518" spans="1:4" x14ac:dyDescent="0.3">
      <c r="A1518" s="58">
        <v>2604809</v>
      </c>
      <c r="B1518" s="58" t="s">
        <v>2494</v>
      </c>
      <c r="C1518" s="59">
        <v>-8.4751512172918009</v>
      </c>
      <c r="D1518" s="59">
        <v>-35.541586900002279</v>
      </c>
    </row>
    <row r="1519" spans="1:4" x14ac:dyDescent="0.3">
      <c r="A1519" s="58">
        <v>2604908</v>
      </c>
      <c r="B1519" s="58" t="s">
        <v>2495</v>
      </c>
      <c r="C1519" s="59">
        <v>-8.0150324428642818</v>
      </c>
      <c r="D1519" s="59">
        <v>-35.694698963115449</v>
      </c>
    </row>
    <row r="1520" spans="1:4" x14ac:dyDescent="0.3">
      <c r="A1520" s="58">
        <v>2605004</v>
      </c>
      <c r="B1520" s="58" t="s">
        <v>2496</v>
      </c>
      <c r="C1520" s="59">
        <v>-8.6112826601639458</v>
      </c>
      <c r="D1520" s="59">
        <v>-35.950257366416729</v>
      </c>
    </row>
    <row r="1521" spans="1:4" x14ac:dyDescent="0.3">
      <c r="A1521" s="58">
        <v>2605103</v>
      </c>
      <c r="B1521" s="58" t="s">
        <v>2497</v>
      </c>
      <c r="C1521" s="59">
        <v>-8.0890020000000007</v>
      </c>
      <c r="D1521" s="59">
        <v>-37.641096590666805</v>
      </c>
    </row>
    <row r="1522" spans="1:4" x14ac:dyDescent="0.3">
      <c r="A1522" s="58">
        <v>2605152</v>
      </c>
      <c r="B1522" s="58" t="s">
        <v>2498</v>
      </c>
      <c r="C1522" s="59">
        <v>-8.4486569865154113</v>
      </c>
      <c r="D1522" s="59">
        <v>-40.770735813096572</v>
      </c>
    </row>
    <row r="1523" spans="1:4" x14ac:dyDescent="0.3">
      <c r="A1523" s="58">
        <v>2605202</v>
      </c>
      <c r="B1523" s="58" t="s">
        <v>2499</v>
      </c>
      <c r="C1523" s="59">
        <v>-8.362521990000003</v>
      </c>
      <c r="D1523" s="59">
        <v>-35.236157424447562</v>
      </c>
    </row>
    <row r="1524" spans="1:4" x14ac:dyDescent="0.3">
      <c r="A1524" s="58">
        <v>2605301</v>
      </c>
      <c r="B1524" s="58" t="s">
        <v>2500</v>
      </c>
      <c r="C1524" s="59">
        <v>-7.5163070000000012</v>
      </c>
      <c r="D1524" s="59">
        <v>-39.722728339267626</v>
      </c>
    </row>
    <row r="1525" spans="1:4" x14ac:dyDescent="0.3">
      <c r="A1525" s="58">
        <v>2605400</v>
      </c>
      <c r="B1525" s="58" t="s">
        <v>2501</v>
      </c>
      <c r="C1525" s="59">
        <v>-7.9487277421647766</v>
      </c>
      <c r="D1525" s="59">
        <v>-35.390597986463987</v>
      </c>
    </row>
    <row r="1526" spans="1:4" x14ac:dyDescent="0.3">
      <c r="A1526" s="58">
        <v>2605459</v>
      </c>
      <c r="B1526" s="58" t="s">
        <v>2502</v>
      </c>
      <c r="C1526" s="59">
        <v>-3.852021400781811</v>
      </c>
      <c r="D1526" s="59">
        <v>-32.435186328052943</v>
      </c>
    </row>
    <row r="1527" spans="1:4" x14ac:dyDescent="0.3">
      <c r="A1527" s="58">
        <v>2605509</v>
      </c>
      <c r="B1527" s="58" t="s">
        <v>2503</v>
      </c>
      <c r="C1527" s="59">
        <v>-7.4454942052589415</v>
      </c>
      <c r="D1527" s="59">
        <v>-35.244070212435112</v>
      </c>
    </row>
    <row r="1528" spans="1:4" x14ac:dyDescent="0.3">
      <c r="A1528" s="58">
        <v>2605608</v>
      </c>
      <c r="B1528" s="58" t="s">
        <v>2504</v>
      </c>
      <c r="C1528" s="59">
        <v>-7.8617144749307908</v>
      </c>
      <c r="D1528" s="59">
        <v>-37.971456113778231</v>
      </c>
    </row>
    <row r="1529" spans="1:4" x14ac:dyDescent="0.3">
      <c r="A1529" s="58">
        <v>2605707</v>
      </c>
      <c r="B1529" s="58" t="s">
        <v>2505</v>
      </c>
      <c r="C1529" s="59">
        <v>-8.6008265000000019</v>
      </c>
      <c r="D1529" s="59">
        <v>-38.571239341987187</v>
      </c>
    </row>
    <row r="1530" spans="1:4" x14ac:dyDescent="0.3">
      <c r="A1530" s="58">
        <v>2605806</v>
      </c>
      <c r="B1530" s="58" t="s">
        <v>2506</v>
      </c>
      <c r="C1530" s="59">
        <v>-7.9444582474013261</v>
      </c>
      <c r="D1530" s="59">
        <v>-35.923127641937548</v>
      </c>
    </row>
    <row r="1531" spans="1:4" x14ac:dyDescent="0.3">
      <c r="A1531" s="58">
        <v>2605905</v>
      </c>
      <c r="B1531" s="58" t="s">
        <v>2507</v>
      </c>
      <c r="C1531" s="59">
        <v>-8.5838357705433754</v>
      </c>
      <c r="D1531" s="59">
        <v>-35.386610783455907</v>
      </c>
    </row>
    <row r="1532" spans="1:4" x14ac:dyDescent="0.3">
      <c r="A1532" s="58">
        <v>2606002</v>
      </c>
      <c r="B1532" s="58" t="s">
        <v>2508</v>
      </c>
      <c r="C1532" s="59">
        <v>-8.8889055300000006</v>
      </c>
      <c r="D1532" s="59">
        <v>-36.493050282100462</v>
      </c>
    </row>
    <row r="1533" spans="1:4" x14ac:dyDescent="0.3">
      <c r="A1533" s="58">
        <v>2606101</v>
      </c>
      <c r="B1533" s="58" t="s">
        <v>2509</v>
      </c>
      <c r="C1533" s="59">
        <v>-7.9996084721272398</v>
      </c>
      <c r="D1533" s="59">
        <v>-35.292322392262271</v>
      </c>
    </row>
    <row r="1534" spans="1:4" x14ac:dyDescent="0.3">
      <c r="A1534" s="58">
        <v>2606200</v>
      </c>
      <c r="B1534" s="58" t="s">
        <v>2510</v>
      </c>
      <c r="C1534" s="59">
        <v>-7.559231854867166</v>
      </c>
      <c r="D1534" s="59">
        <v>-34.99837629715276</v>
      </c>
    </row>
    <row r="1535" spans="1:4" x14ac:dyDescent="0.3">
      <c r="A1535" s="58">
        <v>2606309</v>
      </c>
      <c r="B1535" s="58" t="s">
        <v>2511</v>
      </c>
      <c r="C1535" s="59">
        <v>-7.7092532823497315</v>
      </c>
      <c r="D1535" s="59">
        <v>-39.619286343202113</v>
      </c>
    </row>
    <row r="1536" spans="1:4" x14ac:dyDescent="0.3">
      <c r="A1536" s="58">
        <v>2606408</v>
      </c>
      <c r="B1536" s="58" t="s">
        <v>2512</v>
      </c>
      <c r="C1536" s="59">
        <v>-8.2059995000000008</v>
      </c>
      <c r="D1536" s="59">
        <v>-35.571492393837325</v>
      </c>
    </row>
    <row r="1537" spans="1:4" x14ac:dyDescent="0.3">
      <c r="A1537" s="58">
        <v>2606507</v>
      </c>
      <c r="B1537" s="58" t="s">
        <v>2513</v>
      </c>
      <c r="C1537" s="59">
        <v>-9.0457092508795309</v>
      </c>
      <c r="D1537" s="59">
        <v>-36.847275968433664</v>
      </c>
    </row>
    <row r="1538" spans="1:4" x14ac:dyDescent="0.3">
      <c r="A1538" s="58">
        <v>2606606</v>
      </c>
      <c r="B1538" s="58" t="s">
        <v>2514</v>
      </c>
      <c r="C1538" s="59">
        <v>-8.538762208249727</v>
      </c>
      <c r="D1538" s="59">
        <v>-37.690046689683278</v>
      </c>
    </row>
    <row r="1539" spans="1:4" x14ac:dyDescent="0.3">
      <c r="A1539" s="58">
        <v>2606705</v>
      </c>
      <c r="B1539" s="58" t="s">
        <v>2515</v>
      </c>
      <c r="C1539" s="59">
        <v>-8.5805349356059057</v>
      </c>
      <c r="D1539" s="59">
        <v>-36.180463092386461</v>
      </c>
    </row>
    <row r="1540" spans="1:4" x14ac:dyDescent="0.3">
      <c r="A1540" s="58">
        <v>2606804</v>
      </c>
      <c r="B1540" s="58" t="s">
        <v>2516</v>
      </c>
      <c r="C1540" s="59">
        <v>-7.8283719900000017</v>
      </c>
      <c r="D1540" s="59">
        <v>-34.910583387587494</v>
      </c>
    </row>
    <row r="1541" spans="1:4" x14ac:dyDescent="0.3">
      <c r="A1541" s="58">
        <v>2606903</v>
      </c>
      <c r="B1541" s="58" t="s">
        <v>2517</v>
      </c>
      <c r="C1541" s="59">
        <v>-7.8447743013053506</v>
      </c>
      <c r="D1541" s="59">
        <v>-37.518821118496177</v>
      </c>
    </row>
    <row r="1542" spans="1:4" x14ac:dyDescent="0.3">
      <c r="A1542" s="58">
        <v>2607000</v>
      </c>
      <c r="B1542" s="58" t="s">
        <v>2518</v>
      </c>
      <c r="C1542" s="59">
        <v>-8.9020460788759852</v>
      </c>
      <c r="D1542" s="59">
        <v>-37.824485111230395</v>
      </c>
    </row>
    <row r="1543" spans="1:4" x14ac:dyDescent="0.3">
      <c r="A1543" s="58">
        <v>2607109</v>
      </c>
      <c r="B1543" s="58" t="s">
        <v>2519</v>
      </c>
      <c r="C1543" s="59">
        <v>-7.6777971945152963</v>
      </c>
      <c r="D1543" s="59">
        <v>-37.45767047435627</v>
      </c>
    </row>
    <row r="1544" spans="1:4" x14ac:dyDescent="0.3">
      <c r="A1544" s="58">
        <v>2607208</v>
      </c>
      <c r="B1544" s="58" t="s">
        <v>2520</v>
      </c>
      <c r="C1544" s="59">
        <v>-8.3969865000000024</v>
      </c>
      <c r="D1544" s="59">
        <v>-35.063471937937074</v>
      </c>
    </row>
    <row r="1545" spans="1:4" x14ac:dyDescent="0.3">
      <c r="A1545" s="58">
        <v>2607307</v>
      </c>
      <c r="B1545" s="58" t="s">
        <v>2521</v>
      </c>
      <c r="C1545" s="59">
        <v>-7.6497045000000012</v>
      </c>
      <c r="D1545" s="59">
        <v>-40.150208750167202</v>
      </c>
    </row>
    <row r="1546" spans="1:4" x14ac:dyDescent="0.3">
      <c r="A1546" s="58">
        <v>2607406</v>
      </c>
      <c r="B1546" s="58" t="s">
        <v>2522</v>
      </c>
      <c r="C1546" s="59">
        <v>-8.7245150647897116</v>
      </c>
      <c r="D1546" s="59">
        <v>-38.686341689312364</v>
      </c>
    </row>
    <row r="1547" spans="1:4" x14ac:dyDescent="0.3">
      <c r="A1547" s="58">
        <v>2607505</v>
      </c>
      <c r="B1547" s="58" t="s">
        <v>2523</v>
      </c>
      <c r="C1547" s="59">
        <v>-8.9400544003599016</v>
      </c>
      <c r="D1547" s="59">
        <v>-37.418948458927382</v>
      </c>
    </row>
    <row r="1548" spans="1:4" x14ac:dyDescent="0.3">
      <c r="A1548" s="58">
        <v>2607604</v>
      </c>
      <c r="B1548" s="58" t="s">
        <v>2524</v>
      </c>
      <c r="C1548" s="59">
        <v>-7.7465733176638816</v>
      </c>
      <c r="D1548" s="59">
        <v>-34.823950567034011</v>
      </c>
    </row>
    <row r="1549" spans="1:4" x14ac:dyDescent="0.3">
      <c r="A1549" s="58">
        <v>2607653</v>
      </c>
      <c r="B1549" s="58" t="s">
        <v>2525</v>
      </c>
      <c r="C1549" s="59">
        <v>-7.4092638600000011</v>
      </c>
      <c r="D1549" s="59">
        <v>-35.110627357431717</v>
      </c>
    </row>
    <row r="1550" spans="1:4" x14ac:dyDescent="0.3">
      <c r="A1550" s="58">
        <v>2607703</v>
      </c>
      <c r="B1550" s="58" t="s">
        <v>2526</v>
      </c>
      <c r="C1550" s="59">
        <v>-7.3784285284219866</v>
      </c>
      <c r="D1550" s="59">
        <v>-37.188439310960469</v>
      </c>
    </row>
    <row r="1551" spans="1:4" x14ac:dyDescent="0.3">
      <c r="A1551" s="58">
        <v>2607752</v>
      </c>
      <c r="B1551" s="58" t="s">
        <v>2527</v>
      </c>
      <c r="C1551" s="59">
        <v>-7.7740347647465367</v>
      </c>
      <c r="D1551" s="59">
        <v>-34.889271048723465</v>
      </c>
    </row>
    <row r="1552" spans="1:4" x14ac:dyDescent="0.3">
      <c r="A1552" s="58">
        <v>2607802</v>
      </c>
      <c r="B1552" s="58" t="s">
        <v>2528</v>
      </c>
      <c r="C1552" s="59">
        <v>-7.6663936085022959</v>
      </c>
      <c r="D1552" s="59">
        <v>-35.102614569503764</v>
      </c>
    </row>
    <row r="1553" spans="1:4" x14ac:dyDescent="0.3">
      <c r="A1553" s="58">
        <v>2607901</v>
      </c>
      <c r="B1553" s="58" t="s">
        <v>2529</v>
      </c>
      <c r="C1553" s="59">
        <v>-8.1653914673574501</v>
      </c>
      <c r="D1553" s="59">
        <v>-34.921173467260282</v>
      </c>
    </row>
    <row r="1554" spans="1:4" x14ac:dyDescent="0.3">
      <c r="A1554" s="58">
        <v>2607950</v>
      </c>
      <c r="B1554" s="58" t="s">
        <v>2530</v>
      </c>
      <c r="C1554" s="59">
        <v>-8.7279698780459505</v>
      </c>
      <c r="D1554" s="59">
        <v>-35.797395213759941</v>
      </c>
    </row>
    <row r="1555" spans="1:4" x14ac:dyDescent="0.3">
      <c r="A1555" s="58">
        <v>2608008</v>
      </c>
      <c r="B1555" s="58" t="s">
        <v>2531</v>
      </c>
      <c r="C1555" s="59">
        <v>-7.9872577772456115</v>
      </c>
      <c r="D1555" s="59">
        <v>-36.498828548416292</v>
      </c>
    </row>
    <row r="1556" spans="1:4" x14ac:dyDescent="0.3">
      <c r="A1556" s="58">
        <v>2608057</v>
      </c>
      <c r="B1556" s="58" t="s">
        <v>1561</v>
      </c>
      <c r="C1556" s="59">
        <v>-9.1850699925214307</v>
      </c>
      <c r="D1556" s="59">
        <v>-38.275037662384285</v>
      </c>
    </row>
    <row r="1557" spans="1:4" x14ac:dyDescent="0.3">
      <c r="A1557" s="58">
        <v>2608107</v>
      </c>
      <c r="B1557" s="58" t="s">
        <v>2532</v>
      </c>
      <c r="C1557" s="59">
        <v>-7.860188727039862</v>
      </c>
      <c r="D1557" s="59">
        <v>-35.591502368990326</v>
      </c>
    </row>
    <row r="1558" spans="1:4" x14ac:dyDescent="0.3">
      <c r="A1558" s="58">
        <v>2608206</v>
      </c>
      <c r="B1558" s="58" t="s">
        <v>2533</v>
      </c>
      <c r="C1558" s="59">
        <v>-8.6268982994563466</v>
      </c>
      <c r="D1558" s="59">
        <v>-35.529241826161439</v>
      </c>
    </row>
    <row r="1559" spans="1:4" x14ac:dyDescent="0.3">
      <c r="A1559" s="58">
        <v>2608255</v>
      </c>
      <c r="B1559" s="58" t="s">
        <v>2534</v>
      </c>
      <c r="C1559" s="59">
        <v>-8.7070289643745813</v>
      </c>
      <c r="D1559" s="59">
        <v>-36.490386523677195</v>
      </c>
    </row>
    <row r="1560" spans="1:4" x14ac:dyDescent="0.3">
      <c r="A1560" s="58">
        <v>2608305</v>
      </c>
      <c r="B1560" s="58" t="s">
        <v>2535</v>
      </c>
      <c r="C1560" s="59">
        <v>-8.7060968527933866</v>
      </c>
      <c r="D1560" s="59">
        <v>-36.411733738465465</v>
      </c>
    </row>
    <row r="1561" spans="1:4" x14ac:dyDescent="0.3">
      <c r="A1561" s="58">
        <v>2608404</v>
      </c>
      <c r="B1561" s="58" t="s">
        <v>1792</v>
      </c>
      <c r="C1561" s="59">
        <v>-8.7196671740285012</v>
      </c>
      <c r="D1561" s="59">
        <v>-36.135954490622851</v>
      </c>
    </row>
    <row r="1562" spans="1:4" x14ac:dyDescent="0.3">
      <c r="A1562" s="58">
        <v>2608453</v>
      </c>
      <c r="B1562" s="58" t="s">
        <v>2536</v>
      </c>
      <c r="C1562" s="59">
        <v>-7.8442324952026192</v>
      </c>
      <c r="D1562" s="59">
        <v>-35.312601923425596</v>
      </c>
    </row>
    <row r="1563" spans="1:4" x14ac:dyDescent="0.3">
      <c r="A1563" s="58">
        <v>2608503</v>
      </c>
      <c r="B1563" s="58" t="s">
        <v>2537</v>
      </c>
      <c r="C1563" s="59">
        <v>-7.9323781785401462</v>
      </c>
      <c r="D1563" s="59">
        <v>-35.292803652527077</v>
      </c>
    </row>
    <row r="1564" spans="1:4" x14ac:dyDescent="0.3">
      <c r="A1564" s="58">
        <v>2608602</v>
      </c>
      <c r="B1564" s="58" t="s">
        <v>2538</v>
      </c>
      <c r="C1564" s="59">
        <v>-9.1241718379250454</v>
      </c>
      <c r="D1564" s="59">
        <v>-36.464316931829622</v>
      </c>
    </row>
    <row r="1565" spans="1:4" x14ac:dyDescent="0.3">
      <c r="A1565" s="58">
        <v>2608701</v>
      </c>
      <c r="B1565" s="58" t="s">
        <v>2539</v>
      </c>
      <c r="C1565" s="59">
        <v>-8.6492548645764611</v>
      </c>
      <c r="D1565" s="59">
        <v>-35.907121044324541</v>
      </c>
    </row>
    <row r="1566" spans="1:4" x14ac:dyDescent="0.3">
      <c r="A1566" s="58">
        <v>2608750</v>
      </c>
      <c r="B1566" s="58" t="s">
        <v>2540</v>
      </c>
      <c r="C1566" s="59">
        <v>-8.995051485000003</v>
      </c>
      <c r="D1566" s="59">
        <v>-40.270725126483711</v>
      </c>
    </row>
    <row r="1567" spans="1:4" x14ac:dyDescent="0.3">
      <c r="A1567" s="58">
        <v>2608800</v>
      </c>
      <c r="B1567" s="58" t="s">
        <v>2541</v>
      </c>
      <c r="C1567" s="59">
        <v>-8.6628568658394212</v>
      </c>
      <c r="D1567" s="59">
        <v>-36.321496617530784</v>
      </c>
    </row>
    <row r="1568" spans="1:4" x14ac:dyDescent="0.3">
      <c r="A1568" s="58">
        <v>2608909</v>
      </c>
      <c r="B1568" s="58" t="s">
        <v>2542</v>
      </c>
      <c r="C1568" s="59">
        <v>-7.8801980000000018</v>
      </c>
      <c r="D1568" s="59">
        <v>-35.455261050959727</v>
      </c>
    </row>
    <row r="1569" spans="1:4" x14ac:dyDescent="0.3">
      <c r="A1569" s="58">
        <v>2609006</v>
      </c>
      <c r="B1569" s="58" t="s">
        <v>2543</v>
      </c>
      <c r="C1569" s="59">
        <v>-7.5556806987471452</v>
      </c>
      <c r="D1569" s="59">
        <v>-35.449874978674934</v>
      </c>
    </row>
    <row r="1570" spans="1:4" x14ac:dyDescent="0.3">
      <c r="A1570" s="58">
        <v>2609105</v>
      </c>
      <c r="B1570" s="58" t="s">
        <v>2544</v>
      </c>
      <c r="C1570" s="59">
        <v>-7.6885724856258806</v>
      </c>
      <c r="D1570" s="59">
        <v>-35.514140562335534</v>
      </c>
    </row>
    <row r="1571" spans="1:4" x14ac:dyDescent="0.3">
      <c r="A1571" s="58">
        <v>2609154</v>
      </c>
      <c r="B1571" s="58" t="s">
        <v>2545</v>
      </c>
      <c r="C1571" s="59">
        <v>-8.9601081446340061</v>
      </c>
      <c r="D1571" s="59">
        <v>-37.626822945483028</v>
      </c>
    </row>
    <row r="1572" spans="1:4" x14ac:dyDescent="0.3">
      <c r="A1572" s="58">
        <v>2609204</v>
      </c>
      <c r="B1572" s="58" t="s">
        <v>2546</v>
      </c>
      <c r="C1572" s="59">
        <v>-8.7830776013349858</v>
      </c>
      <c r="D1572" s="59">
        <v>-35.814117572459239</v>
      </c>
    </row>
    <row r="1573" spans="1:4" x14ac:dyDescent="0.3">
      <c r="A1573" s="58">
        <v>2609303</v>
      </c>
      <c r="B1573" s="58" t="s">
        <v>2547</v>
      </c>
      <c r="C1573" s="59">
        <v>-8.1202438021545191</v>
      </c>
      <c r="D1573" s="59">
        <v>-38.734564582276697</v>
      </c>
    </row>
    <row r="1574" spans="1:4" x14ac:dyDescent="0.3">
      <c r="A1574" s="58">
        <v>2609402</v>
      </c>
      <c r="B1574" s="58" t="s">
        <v>2548</v>
      </c>
      <c r="C1574" s="59">
        <v>-8.1186945300000009</v>
      </c>
      <c r="D1574" s="59">
        <v>-35.094869099883859</v>
      </c>
    </row>
    <row r="1575" spans="1:4" x14ac:dyDescent="0.3">
      <c r="A1575" s="58">
        <v>2609501</v>
      </c>
      <c r="B1575" s="58" t="s">
        <v>2549</v>
      </c>
      <c r="C1575" s="59">
        <v>-7.7376880000000012</v>
      </c>
      <c r="D1575" s="59">
        <v>-35.221338696174378</v>
      </c>
    </row>
    <row r="1576" spans="1:4" x14ac:dyDescent="0.3">
      <c r="A1576" s="58">
        <v>2609600</v>
      </c>
      <c r="B1576" s="58" t="s">
        <v>2550</v>
      </c>
      <c r="C1576" s="59">
        <v>-7.992660075322922</v>
      </c>
      <c r="D1576" s="59">
        <v>-34.861310389823508</v>
      </c>
    </row>
    <row r="1577" spans="1:4" x14ac:dyDescent="0.3">
      <c r="A1577" s="58">
        <v>2609709</v>
      </c>
      <c r="B1577" s="58" t="s">
        <v>2551</v>
      </c>
      <c r="C1577" s="59">
        <v>-7.7378951336654618</v>
      </c>
      <c r="D1577" s="59">
        <v>-35.602982096685516</v>
      </c>
    </row>
    <row r="1578" spans="1:4" x14ac:dyDescent="0.3">
      <c r="A1578" s="58">
        <v>2609808</v>
      </c>
      <c r="B1578" s="58" t="s">
        <v>2552</v>
      </c>
      <c r="C1578" s="59">
        <v>-8.6179456461377395</v>
      </c>
      <c r="D1578" s="59">
        <v>-39.595245776105266</v>
      </c>
    </row>
    <row r="1579" spans="1:4" x14ac:dyDescent="0.3">
      <c r="A1579" s="58">
        <v>2609907</v>
      </c>
      <c r="B1579" s="58" t="s">
        <v>2553</v>
      </c>
      <c r="C1579" s="59">
        <v>-7.8831519750000014</v>
      </c>
      <c r="D1579" s="59">
        <v>-40.081462576736811</v>
      </c>
    </row>
    <row r="1580" spans="1:4" x14ac:dyDescent="0.3">
      <c r="A1580" s="58">
        <v>2610004</v>
      </c>
      <c r="B1580" s="58" t="s">
        <v>2554</v>
      </c>
      <c r="C1580" s="59">
        <v>-8.6790825000000016</v>
      </c>
      <c r="D1580" s="59">
        <v>-35.588335993758072</v>
      </c>
    </row>
    <row r="1581" spans="1:4" x14ac:dyDescent="0.3">
      <c r="A1581" s="58">
        <v>2610103</v>
      </c>
      <c r="B1581" s="58" t="s">
        <v>2555</v>
      </c>
      <c r="C1581" s="59">
        <v>-9.0016832851432458</v>
      </c>
      <c r="D1581" s="59">
        <v>-36.32731099872327</v>
      </c>
    </row>
    <row r="1582" spans="1:4" x14ac:dyDescent="0.3">
      <c r="A1582" s="58">
        <v>2610202</v>
      </c>
      <c r="B1582" s="58" t="s">
        <v>2556</v>
      </c>
      <c r="C1582" s="59">
        <v>-8.667242284974817</v>
      </c>
      <c r="D1582" s="59">
        <v>-36.001575798734628</v>
      </c>
    </row>
    <row r="1583" spans="1:4" x14ac:dyDescent="0.3">
      <c r="A1583" s="58">
        <v>2610301</v>
      </c>
      <c r="B1583" s="58" t="s">
        <v>2557</v>
      </c>
      <c r="C1583" s="59">
        <v>-8.9201453380000562</v>
      </c>
      <c r="D1583" s="59">
        <v>-36.658429268060139</v>
      </c>
    </row>
    <row r="1584" spans="1:4" x14ac:dyDescent="0.3">
      <c r="A1584" s="58">
        <v>2610400</v>
      </c>
      <c r="B1584" s="58" t="s">
        <v>2120</v>
      </c>
      <c r="C1584" s="59">
        <v>-8.0901383271690914</v>
      </c>
      <c r="D1584" s="59">
        <v>-39.57578682297256</v>
      </c>
    </row>
    <row r="1585" spans="1:4" x14ac:dyDescent="0.3">
      <c r="A1585" s="58">
        <v>2610509</v>
      </c>
      <c r="B1585" s="58" t="s">
        <v>2558</v>
      </c>
      <c r="C1585" s="59">
        <v>-7.9788839418341277</v>
      </c>
      <c r="D1585" s="59">
        <v>-35.581684995222652</v>
      </c>
    </row>
    <row r="1586" spans="1:4" x14ac:dyDescent="0.3">
      <c r="A1586" s="58">
        <v>2610608</v>
      </c>
      <c r="B1586" s="58" t="s">
        <v>2559</v>
      </c>
      <c r="C1586" s="59">
        <v>-7.8971350050000009</v>
      </c>
      <c r="D1586" s="59">
        <v>-35.179151062385458</v>
      </c>
    </row>
    <row r="1587" spans="1:4" x14ac:dyDescent="0.3">
      <c r="A1587" s="58">
        <v>2610707</v>
      </c>
      <c r="B1587" s="58" t="s">
        <v>2374</v>
      </c>
      <c r="C1587" s="59">
        <v>-7.943188000000001</v>
      </c>
      <c r="D1587" s="59">
        <v>-34.884791619736845</v>
      </c>
    </row>
    <row r="1588" spans="1:4" x14ac:dyDescent="0.3">
      <c r="A1588" s="58">
        <v>2610806</v>
      </c>
      <c r="B1588" s="58" t="s">
        <v>2560</v>
      </c>
      <c r="C1588" s="59">
        <v>-8.4984765000000007</v>
      </c>
      <c r="D1588" s="59">
        <v>-36.942798148887071</v>
      </c>
    </row>
    <row r="1589" spans="1:4" x14ac:dyDescent="0.3">
      <c r="A1589" s="58">
        <v>2610905</v>
      </c>
      <c r="B1589" s="58" t="s">
        <v>2561</v>
      </c>
      <c r="C1589" s="59">
        <v>-8.3554561078349661</v>
      </c>
      <c r="D1589" s="59">
        <v>-36.695514721897943</v>
      </c>
    </row>
    <row r="1590" spans="1:4" x14ac:dyDescent="0.3">
      <c r="A1590" s="58">
        <v>2611002</v>
      </c>
      <c r="B1590" s="58" t="s">
        <v>2562</v>
      </c>
      <c r="C1590" s="59">
        <v>-8.9773434643833205</v>
      </c>
      <c r="D1590" s="59">
        <v>-38.220733545300099</v>
      </c>
    </row>
    <row r="1591" spans="1:4" x14ac:dyDescent="0.3">
      <c r="A1591" s="58">
        <v>2611101</v>
      </c>
      <c r="B1591" s="58" t="s">
        <v>2563</v>
      </c>
      <c r="C1591" s="59">
        <v>-9.397375515000002</v>
      </c>
      <c r="D1591" s="59">
        <v>-40.499999334652252</v>
      </c>
    </row>
    <row r="1592" spans="1:4" x14ac:dyDescent="0.3">
      <c r="A1592" s="58">
        <v>2611200</v>
      </c>
      <c r="B1592" s="58" t="s">
        <v>2564</v>
      </c>
      <c r="C1592" s="59">
        <v>-8.1862270089412341</v>
      </c>
      <c r="D1592" s="59">
        <v>-36.705879897719157</v>
      </c>
    </row>
    <row r="1593" spans="1:4" x14ac:dyDescent="0.3">
      <c r="A1593" s="58">
        <v>2611309</v>
      </c>
      <c r="B1593" s="58" t="s">
        <v>2565</v>
      </c>
      <c r="C1593" s="59">
        <v>-8.144359860028656</v>
      </c>
      <c r="D1593" s="59">
        <v>-35.396195358227494</v>
      </c>
    </row>
    <row r="1594" spans="1:4" x14ac:dyDescent="0.3">
      <c r="A1594" s="58">
        <v>2611408</v>
      </c>
      <c r="B1594" s="58" t="s">
        <v>1282</v>
      </c>
      <c r="C1594" s="59">
        <v>-8.3313760861182757</v>
      </c>
      <c r="D1594" s="59">
        <v>-35.353943394881917</v>
      </c>
    </row>
    <row r="1595" spans="1:4" x14ac:dyDescent="0.3">
      <c r="A1595" s="58">
        <v>2611507</v>
      </c>
      <c r="B1595" s="58" t="s">
        <v>2566</v>
      </c>
      <c r="C1595" s="59">
        <v>-8.827885022053982</v>
      </c>
      <c r="D1595" s="59">
        <v>-36.011989529956885</v>
      </c>
    </row>
    <row r="1596" spans="1:4" x14ac:dyDescent="0.3">
      <c r="A1596" s="58">
        <v>2611533</v>
      </c>
      <c r="B1596" s="58" t="s">
        <v>2391</v>
      </c>
      <c r="C1596" s="59">
        <v>-7.7181264101408855</v>
      </c>
      <c r="D1596" s="59">
        <v>-37.846445619545676</v>
      </c>
    </row>
    <row r="1597" spans="1:4" x14ac:dyDescent="0.3">
      <c r="A1597" s="58">
        <v>2611606</v>
      </c>
      <c r="B1597" s="58" t="s">
        <v>2567</v>
      </c>
      <c r="C1597" s="59">
        <v>-8.0627624830524081</v>
      </c>
      <c r="D1597" s="59">
        <v>-34.888941944577716</v>
      </c>
    </row>
    <row r="1598" spans="1:4" x14ac:dyDescent="0.3">
      <c r="A1598" s="58">
        <v>2611705</v>
      </c>
      <c r="B1598" s="58" t="s">
        <v>2568</v>
      </c>
      <c r="C1598" s="59">
        <v>-8.1270327805879763</v>
      </c>
      <c r="D1598" s="59">
        <v>-35.860874947458079</v>
      </c>
    </row>
    <row r="1599" spans="1:4" x14ac:dyDescent="0.3">
      <c r="A1599" s="58">
        <v>2611804</v>
      </c>
      <c r="B1599" s="58" t="s">
        <v>2569</v>
      </c>
      <c r="C1599" s="59">
        <v>-8.5111160400000028</v>
      </c>
      <c r="D1599" s="59">
        <v>-35.376130823703861</v>
      </c>
    </row>
    <row r="1600" spans="1:4" x14ac:dyDescent="0.3">
      <c r="A1600" s="58">
        <v>2611903</v>
      </c>
      <c r="B1600" s="58" t="s">
        <v>2570</v>
      </c>
      <c r="C1600" s="59">
        <v>-8.6621710853258467</v>
      </c>
      <c r="D1600" s="59">
        <v>-35.155432817216045</v>
      </c>
    </row>
    <row r="1601" spans="1:4" x14ac:dyDescent="0.3">
      <c r="A1601" s="58">
        <v>2612000</v>
      </c>
      <c r="B1601" s="58" t="s">
        <v>2571</v>
      </c>
      <c r="C1601" s="59">
        <v>-8.3276135393392412</v>
      </c>
      <c r="D1601" s="59">
        <v>-35.710247766286656</v>
      </c>
    </row>
    <row r="1602" spans="1:4" x14ac:dyDescent="0.3">
      <c r="A1602" s="58">
        <v>2612109</v>
      </c>
      <c r="B1602" s="58" t="s">
        <v>2399</v>
      </c>
      <c r="C1602" s="59">
        <v>-7.9394837414172414</v>
      </c>
      <c r="D1602" s="59">
        <v>-35.638061240498509</v>
      </c>
    </row>
    <row r="1603" spans="1:4" x14ac:dyDescent="0.3">
      <c r="A1603" s="58">
        <v>2612208</v>
      </c>
      <c r="B1603" s="58" t="s">
        <v>2572</v>
      </c>
      <c r="C1603" s="59">
        <v>-8.0706775221341598</v>
      </c>
      <c r="D1603" s="59">
        <v>-39.12085098110397</v>
      </c>
    </row>
    <row r="1604" spans="1:4" x14ac:dyDescent="0.3">
      <c r="A1604" s="58">
        <v>2612307</v>
      </c>
      <c r="B1604" s="58" t="s">
        <v>2573</v>
      </c>
      <c r="C1604" s="59">
        <v>-8.9759954808678781</v>
      </c>
      <c r="D1604" s="59">
        <v>-36.692729174169784</v>
      </c>
    </row>
    <row r="1605" spans="1:4" x14ac:dyDescent="0.3">
      <c r="A1605" s="58">
        <v>2612406</v>
      </c>
      <c r="B1605" s="58" t="s">
        <v>2574</v>
      </c>
      <c r="C1605" s="59">
        <v>-8.3629619689233863</v>
      </c>
      <c r="D1605" s="59">
        <v>-36.562507195383247</v>
      </c>
    </row>
    <row r="1606" spans="1:4" x14ac:dyDescent="0.3">
      <c r="A1606" s="58">
        <v>2612455</v>
      </c>
      <c r="B1606" s="58" t="s">
        <v>2204</v>
      </c>
      <c r="C1606" s="59">
        <v>-8.2379611184133257</v>
      </c>
      <c r="D1606" s="59">
        <v>-40.337687655569333</v>
      </c>
    </row>
    <row r="1607" spans="1:4" x14ac:dyDescent="0.3">
      <c r="A1607" s="58">
        <v>2612471</v>
      </c>
      <c r="B1607" s="58" t="s">
        <v>2575</v>
      </c>
      <c r="C1607" s="59">
        <v>-7.8214696823214327</v>
      </c>
      <c r="D1607" s="59">
        <v>-38.153138181759438</v>
      </c>
    </row>
    <row r="1608" spans="1:4" x14ac:dyDescent="0.3">
      <c r="A1608" s="58">
        <v>2612505</v>
      </c>
      <c r="B1608" s="58" t="s">
        <v>2576</v>
      </c>
      <c r="C1608" s="59">
        <v>-7.9551895000000012</v>
      </c>
      <c r="D1608" s="59">
        <v>-36.20395001714575</v>
      </c>
    </row>
    <row r="1609" spans="1:4" x14ac:dyDescent="0.3">
      <c r="A1609" s="58">
        <v>2612554</v>
      </c>
      <c r="B1609" s="58" t="s">
        <v>1858</v>
      </c>
      <c r="C1609" s="59">
        <v>-8.1605111672648203</v>
      </c>
      <c r="D1609" s="59">
        <v>-40.615775185023999</v>
      </c>
    </row>
    <row r="1610" spans="1:4" x14ac:dyDescent="0.3">
      <c r="A1610" s="58">
        <v>2612604</v>
      </c>
      <c r="B1610" s="58" t="s">
        <v>2577</v>
      </c>
      <c r="C1610" s="59">
        <v>-8.8041265000000006</v>
      </c>
      <c r="D1610" s="59">
        <v>-39.824235725496713</v>
      </c>
    </row>
    <row r="1611" spans="1:4" x14ac:dyDescent="0.3">
      <c r="A1611" s="58">
        <v>2612703</v>
      </c>
      <c r="B1611" s="58" t="s">
        <v>2578</v>
      </c>
      <c r="C1611" s="59">
        <v>-7.8318134262309869</v>
      </c>
      <c r="D1611" s="59">
        <v>-35.885243339002365</v>
      </c>
    </row>
    <row r="1612" spans="1:4" x14ac:dyDescent="0.3">
      <c r="A1612" s="58">
        <v>2612802</v>
      </c>
      <c r="B1612" s="58" t="s">
        <v>2579</v>
      </c>
      <c r="C1612" s="59">
        <v>-7.3703557392669703</v>
      </c>
      <c r="D1612" s="59">
        <v>-37.480032723256748</v>
      </c>
    </row>
    <row r="1613" spans="1:4" x14ac:dyDescent="0.3">
      <c r="A1613" s="58">
        <v>2612901</v>
      </c>
      <c r="B1613" s="58" t="s">
        <v>2580</v>
      </c>
      <c r="C1613" s="59">
        <v>-8.8104382341949865</v>
      </c>
      <c r="D1613" s="59">
        <v>-35.931122619351449</v>
      </c>
    </row>
    <row r="1614" spans="1:4" x14ac:dyDescent="0.3">
      <c r="A1614" s="58">
        <v>2613008</v>
      </c>
      <c r="B1614" s="58" t="s">
        <v>2581</v>
      </c>
      <c r="C1614" s="59">
        <v>-8.5198675205834729</v>
      </c>
      <c r="D1614" s="59">
        <v>-36.446298361596298</v>
      </c>
    </row>
    <row r="1615" spans="1:4" x14ac:dyDescent="0.3">
      <c r="A1615" s="58">
        <v>2613107</v>
      </c>
      <c r="B1615" s="58" t="s">
        <v>2582</v>
      </c>
      <c r="C1615" s="59">
        <v>-8.3273605000000028</v>
      </c>
      <c r="D1615" s="59">
        <v>-36.137359795818561</v>
      </c>
    </row>
    <row r="1616" spans="1:4" x14ac:dyDescent="0.3">
      <c r="A1616" s="58">
        <v>2613206</v>
      </c>
      <c r="B1616" s="58" t="s">
        <v>2583</v>
      </c>
      <c r="C1616" s="59">
        <v>-8.8775593754273512</v>
      </c>
      <c r="D1616" s="59">
        <v>-36.36825307653293</v>
      </c>
    </row>
    <row r="1617" spans="1:4" x14ac:dyDescent="0.3">
      <c r="A1617" s="58">
        <v>2613305</v>
      </c>
      <c r="B1617" s="58" t="s">
        <v>2584</v>
      </c>
      <c r="C1617" s="59">
        <v>-8.4321515000000016</v>
      </c>
      <c r="D1617" s="59">
        <v>-35.809491172109624</v>
      </c>
    </row>
    <row r="1618" spans="1:4" x14ac:dyDescent="0.3">
      <c r="A1618" s="58">
        <v>2613404</v>
      </c>
      <c r="B1618" s="58" t="s">
        <v>2585</v>
      </c>
      <c r="C1618" s="59">
        <v>-8.8941951307297682</v>
      </c>
      <c r="D1618" s="59">
        <v>-35.145707084708526</v>
      </c>
    </row>
    <row r="1619" spans="1:4" x14ac:dyDescent="0.3">
      <c r="A1619" s="58">
        <v>2613503</v>
      </c>
      <c r="B1619" s="58" t="s">
        <v>2586</v>
      </c>
      <c r="C1619" s="59">
        <v>-7.8617400547219498</v>
      </c>
      <c r="D1619" s="59">
        <v>-38.759453780009693</v>
      </c>
    </row>
    <row r="1620" spans="1:4" x14ac:dyDescent="0.3">
      <c r="A1620" s="58">
        <v>2613602</v>
      </c>
      <c r="B1620" s="58" t="s">
        <v>2587</v>
      </c>
      <c r="C1620" s="59">
        <v>-7.4740251832665319</v>
      </c>
      <c r="D1620" s="59">
        <v>-37.27507218524385</v>
      </c>
    </row>
    <row r="1621" spans="1:4" x14ac:dyDescent="0.3">
      <c r="A1621" s="58">
        <v>2613701</v>
      </c>
      <c r="B1621" s="58" t="s">
        <v>2588</v>
      </c>
      <c r="C1621" s="59">
        <v>-7.9959380000000007</v>
      </c>
      <c r="D1621" s="59">
        <v>-35.041277539321037</v>
      </c>
    </row>
    <row r="1622" spans="1:4" x14ac:dyDescent="0.3">
      <c r="A1622" s="58">
        <v>2613800</v>
      </c>
      <c r="B1622" s="58" t="s">
        <v>1660</v>
      </c>
      <c r="C1622" s="59">
        <v>-7.5922127325653657</v>
      </c>
      <c r="D1622" s="59">
        <v>-35.490121880885745</v>
      </c>
    </row>
    <row r="1623" spans="1:4" x14ac:dyDescent="0.3">
      <c r="A1623" s="58">
        <v>2613909</v>
      </c>
      <c r="B1623" s="58" t="s">
        <v>2589</v>
      </c>
      <c r="C1623" s="59">
        <v>-7.9879975200000013</v>
      </c>
      <c r="D1623" s="59">
        <v>-38.29631494747273</v>
      </c>
    </row>
    <row r="1624" spans="1:4" x14ac:dyDescent="0.3">
      <c r="A1624" s="58">
        <v>2614006</v>
      </c>
      <c r="B1624" s="58" t="s">
        <v>2590</v>
      </c>
      <c r="C1624" s="59">
        <v>-7.9543403980798111</v>
      </c>
      <c r="D1624" s="59">
        <v>-39.292623174362141</v>
      </c>
    </row>
    <row r="1625" spans="1:4" x14ac:dyDescent="0.3">
      <c r="A1625" s="58">
        <v>2614105</v>
      </c>
      <c r="B1625" s="58" t="s">
        <v>2591</v>
      </c>
      <c r="C1625" s="59">
        <v>-8.0724500000000017</v>
      </c>
      <c r="D1625" s="59">
        <v>-37.267390101287837</v>
      </c>
    </row>
    <row r="1626" spans="1:4" x14ac:dyDescent="0.3">
      <c r="A1626" s="58">
        <v>2614204</v>
      </c>
      <c r="B1626" s="58" t="s">
        <v>2592</v>
      </c>
      <c r="C1626" s="59">
        <v>-8.5933695000000014</v>
      </c>
      <c r="D1626" s="59">
        <v>-35.116405354668466</v>
      </c>
    </row>
    <row r="1627" spans="1:4" x14ac:dyDescent="0.3">
      <c r="A1627" s="58">
        <v>2614303</v>
      </c>
      <c r="B1627" s="58" t="s">
        <v>2593</v>
      </c>
      <c r="C1627" s="59">
        <v>-7.6299826881202124</v>
      </c>
      <c r="D1627" s="59">
        <v>-39.553753731078821</v>
      </c>
    </row>
    <row r="1628" spans="1:4" x14ac:dyDescent="0.3">
      <c r="A1628" s="58">
        <v>2614402</v>
      </c>
      <c r="B1628" s="58" t="s">
        <v>2594</v>
      </c>
      <c r="C1628" s="59">
        <v>-7.6021256842489962</v>
      </c>
      <c r="D1628" s="59">
        <v>-37.647470237033453</v>
      </c>
    </row>
    <row r="1629" spans="1:4" x14ac:dyDescent="0.3">
      <c r="A1629" s="58">
        <v>2614501</v>
      </c>
      <c r="B1629" s="58" t="s">
        <v>2595</v>
      </c>
      <c r="C1629" s="59">
        <v>-7.8351570573172715</v>
      </c>
      <c r="D1629" s="59">
        <v>-35.756784103441724</v>
      </c>
    </row>
    <row r="1630" spans="1:4" x14ac:dyDescent="0.3">
      <c r="A1630" s="58">
        <v>2614600</v>
      </c>
      <c r="B1630" s="58" t="s">
        <v>2596</v>
      </c>
      <c r="C1630" s="59">
        <v>-7.5911365130226169</v>
      </c>
      <c r="D1630" s="59">
        <v>-37.540265774187482</v>
      </c>
    </row>
    <row r="1631" spans="1:4" x14ac:dyDescent="0.3">
      <c r="A1631" s="58">
        <v>2614709</v>
      </c>
      <c r="B1631" s="58" t="s">
        <v>2597</v>
      </c>
      <c r="C1631" s="59">
        <v>-8.3156107248258504</v>
      </c>
      <c r="D1631" s="59">
        <v>-36.290404304825529</v>
      </c>
    </row>
    <row r="1632" spans="1:4" x14ac:dyDescent="0.3">
      <c r="A1632" s="58">
        <v>2614808</v>
      </c>
      <c r="B1632" s="58" t="s">
        <v>2598</v>
      </c>
      <c r="C1632" s="59">
        <v>-9.1056996442941109</v>
      </c>
      <c r="D1632" s="59">
        <v>-38.153461159679587</v>
      </c>
    </row>
    <row r="1633" spans="1:4" x14ac:dyDescent="0.3">
      <c r="A1633" s="58">
        <v>2614857</v>
      </c>
      <c r="B1633" s="58" t="s">
        <v>2599</v>
      </c>
      <c r="C1633" s="59">
        <v>-8.7046892785391865</v>
      </c>
      <c r="D1633" s="59">
        <v>-35.090646545537375</v>
      </c>
    </row>
    <row r="1634" spans="1:4" x14ac:dyDescent="0.3">
      <c r="A1634" s="58">
        <v>2615003</v>
      </c>
      <c r="B1634" s="58" t="s">
        <v>2600</v>
      </c>
      <c r="C1634" s="59">
        <v>-7.902159825782066</v>
      </c>
      <c r="D1634" s="59">
        <v>-36.04333767130921</v>
      </c>
    </row>
    <row r="1635" spans="1:4" x14ac:dyDescent="0.3">
      <c r="A1635" s="58">
        <v>2615102</v>
      </c>
      <c r="B1635" s="58" t="s">
        <v>2601</v>
      </c>
      <c r="C1635" s="59">
        <v>-9.0577780594961013</v>
      </c>
      <c r="D1635" s="59">
        <v>-36.621475948174698</v>
      </c>
    </row>
    <row r="1636" spans="1:4" x14ac:dyDescent="0.3">
      <c r="A1636" s="58">
        <v>2615201</v>
      </c>
      <c r="B1636" s="58" t="s">
        <v>2602</v>
      </c>
      <c r="C1636" s="59">
        <v>-8.2303579786437009</v>
      </c>
      <c r="D1636" s="59">
        <v>-39.374421837860005</v>
      </c>
    </row>
    <row r="1637" spans="1:4" x14ac:dyDescent="0.3">
      <c r="A1637" s="58">
        <v>2615300</v>
      </c>
      <c r="B1637" s="58" t="s">
        <v>2603</v>
      </c>
      <c r="C1637" s="59">
        <v>-7.5117456740195161</v>
      </c>
      <c r="D1637" s="59">
        <v>-35.318772121038414</v>
      </c>
    </row>
    <row r="1638" spans="1:4" x14ac:dyDescent="0.3">
      <c r="A1638" s="58">
        <v>2615409</v>
      </c>
      <c r="B1638" s="58" t="s">
        <v>2604</v>
      </c>
      <c r="C1638" s="59">
        <v>-8.0066502709391454</v>
      </c>
      <c r="D1638" s="59">
        <v>-36.056843492995604</v>
      </c>
    </row>
    <row r="1639" spans="1:4" x14ac:dyDescent="0.3">
      <c r="A1639" s="58">
        <v>2615508</v>
      </c>
      <c r="B1639" s="58" t="s">
        <v>2605</v>
      </c>
      <c r="C1639" s="59">
        <v>-7.8026886126672652</v>
      </c>
      <c r="D1639" s="59">
        <v>-35.23792281399222</v>
      </c>
    </row>
    <row r="1640" spans="1:4" x14ac:dyDescent="0.3">
      <c r="A1640" s="58">
        <v>2615607</v>
      </c>
      <c r="B1640" s="58" t="s">
        <v>2606</v>
      </c>
      <c r="C1640" s="59">
        <v>-7.7617946257490056</v>
      </c>
      <c r="D1640" s="59">
        <v>-40.265590609282221</v>
      </c>
    </row>
    <row r="1641" spans="1:4" x14ac:dyDescent="0.3">
      <c r="A1641" s="58">
        <v>2615706</v>
      </c>
      <c r="B1641" s="58" t="s">
        <v>2445</v>
      </c>
      <c r="C1641" s="59">
        <v>-7.8308763587705448</v>
      </c>
      <c r="D1641" s="59">
        <v>-38.10706034471432</v>
      </c>
    </row>
    <row r="1642" spans="1:4" x14ac:dyDescent="0.3">
      <c r="A1642" s="58">
        <v>2615805</v>
      </c>
      <c r="B1642" s="58" t="s">
        <v>2607</v>
      </c>
      <c r="C1642" s="59">
        <v>-8.7515816593182016</v>
      </c>
      <c r="D1642" s="59">
        <v>-37.340233471800623</v>
      </c>
    </row>
    <row r="1643" spans="1:4" x14ac:dyDescent="0.3">
      <c r="A1643" s="58">
        <v>2615904</v>
      </c>
      <c r="B1643" s="58" t="s">
        <v>2608</v>
      </c>
      <c r="C1643" s="59">
        <v>-7.5987594648079853</v>
      </c>
      <c r="D1643" s="59">
        <v>-37.311181811263786</v>
      </c>
    </row>
    <row r="1644" spans="1:4" x14ac:dyDescent="0.3">
      <c r="A1644" s="58">
        <v>2616001</v>
      </c>
      <c r="B1644" s="58" t="s">
        <v>2609</v>
      </c>
      <c r="C1644" s="59">
        <v>-8.5765269011666412</v>
      </c>
      <c r="D1644" s="59">
        <v>-36.878372083869856</v>
      </c>
    </row>
    <row r="1645" spans="1:4" x14ac:dyDescent="0.3">
      <c r="A1645" s="58">
        <v>2616100</v>
      </c>
      <c r="B1645" s="58" t="s">
        <v>2610</v>
      </c>
      <c r="C1645" s="59">
        <v>-7.9328837046219061</v>
      </c>
      <c r="D1645" s="59">
        <v>-38.974282604268346</v>
      </c>
    </row>
    <row r="1646" spans="1:4" x14ac:dyDescent="0.3">
      <c r="A1646" s="58">
        <v>2616183</v>
      </c>
      <c r="B1646" s="58" t="s">
        <v>2611</v>
      </c>
      <c r="C1646" s="59">
        <v>-7.7748194553046606</v>
      </c>
      <c r="D1646" s="59">
        <v>-35.853002739695434</v>
      </c>
    </row>
    <row r="1647" spans="1:4" x14ac:dyDescent="0.3">
      <c r="A1647" s="58">
        <v>2616209</v>
      </c>
      <c r="B1647" s="58" t="s">
        <v>2612</v>
      </c>
      <c r="C1647" s="59">
        <v>-7.9057426034967762</v>
      </c>
      <c r="D1647" s="59">
        <v>-35.989305930999969</v>
      </c>
    </row>
    <row r="1648" spans="1:4" x14ac:dyDescent="0.3">
      <c r="A1648" s="58">
        <v>2616308</v>
      </c>
      <c r="B1648" s="58" t="s">
        <v>2613</v>
      </c>
      <c r="C1648" s="59">
        <v>-7.6529595000000015</v>
      </c>
      <c r="D1648" s="59">
        <v>-35.320300689315978</v>
      </c>
    </row>
    <row r="1649" spans="1:4" x14ac:dyDescent="0.3">
      <c r="A1649" s="58">
        <v>2616407</v>
      </c>
      <c r="B1649" s="58" t="s">
        <v>2614</v>
      </c>
      <c r="C1649" s="59">
        <v>-8.1187480000000019</v>
      </c>
      <c r="D1649" s="59">
        <v>-35.293864241081387</v>
      </c>
    </row>
    <row r="1650" spans="1:4" x14ac:dyDescent="0.3">
      <c r="A1650" s="58">
        <v>2616506</v>
      </c>
      <c r="B1650" s="58" t="s">
        <v>2615</v>
      </c>
      <c r="C1650" s="59">
        <v>-8.8033134055288169</v>
      </c>
      <c r="D1650" s="59">
        <v>-35.624235315754667</v>
      </c>
    </row>
    <row r="1651" spans="1:4" x14ac:dyDescent="0.3">
      <c r="A1651" s="58">
        <v>2700102</v>
      </c>
      <c r="B1651" s="58" t="s">
        <v>1685</v>
      </c>
      <c r="C1651" s="59">
        <v>-9.2670254970505113</v>
      </c>
      <c r="D1651" s="59">
        <v>-37.940715175964989</v>
      </c>
    </row>
    <row r="1652" spans="1:4" x14ac:dyDescent="0.3">
      <c r="A1652" s="58">
        <v>2700201</v>
      </c>
      <c r="B1652" s="58" t="s">
        <v>2616</v>
      </c>
      <c r="C1652" s="59">
        <v>-9.6840837850504702</v>
      </c>
      <c r="D1652" s="59">
        <v>-36.300813571446078</v>
      </c>
    </row>
    <row r="1653" spans="1:4" x14ac:dyDescent="0.3">
      <c r="A1653" s="58">
        <v>2700300</v>
      </c>
      <c r="B1653" s="58" t="s">
        <v>2617</v>
      </c>
      <c r="C1653" s="59">
        <v>-9.7559070107047017</v>
      </c>
      <c r="D1653" s="59">
        <v>-36.657296506287189</v>
      </c>
    </row>
    <row r="1654" spans="1:4" x14ac:dyDescent="0.3">
      <c r="A1654" s="58">
        <v>2700409</v>
      </c>
      <c r="B1654" s="58" t="s">
        <v>2618</v>
      </c>
      <c r="C1654" s="59">
        <v>-9.501386746500172</v>
      </c>
      <c r="D1654" s="59">
        <v>-36.021427316262475</v>
      </c>
    </row>
    <row r="1655" spans="1:4" x14ac:dyDescent="0.3">
      <c r="A1655" s="58">
        <v>2700508</v>
      </c>
      <c r="B1655" s="58" t="s">
        <v>2619</v>
      </c>
      <c r="C1655" s="59">
        <v>-9.4092781093649425</v>
      </c>
      <c r="D1655" s="59">
        <v>-35.500298095781631</v>
      </c>
    </row>
    <row r="1656" spans="1:4" x14ac:dyDescent="0.3">
      <c r="A1656" s="58">
        <v>2700607</v>
      </c>
      <c r="B1656" s="58" t="s">
        <v>2269</v>
      </c>
      <c r="C1656" s="59">
        <v>-9.8389982517492456</v>
      </c>
      <c r="D1656" s="59">
        <v>-35.907449872628931</v>
      </c>
    </row>
    <row r="1657" spans="1:4" x14ac:dyDescent="0.3">
      <c r="A1657" s="58">
        <v>2700706</v>
      </c>
      <c r="B1657" s="58" t="s">
        <v>1705</v>
      </c>
      <c r="C1657" s="59">
        <v>-9.6745930279703725</v>
      </c>
      <c r="D1657" s="59">
        <v>-37.127091894483605</v>
      </c>
    </row>
    <row r="1658" spans="1:4" x14ac:dyDescent="0.3">
      <c r="A1658" s="58">
        <v>2700805</v>
      </c>
      <c r="B1658" s="58" t="s">
        <v>1203</v>
      </c>
      <c r="C1658" s="59">
        <v>-9.568648231336061</v>
      </c>
      <c r="D1658" s="59">
        <v>-36.494497989405772</v>
      </c>
    </row>
    <row r="1659" spans="1:4" x14ac:dyDescent="0.3">
      <c r="A1659" s="58">
        <v>2700904</v>
      </c>
      <c r="B1659" s="58" t="s">
        <v>2620</v>
      </c>
      <c r="C1659" s="59">
        <v>-9.8269888547665705</v>
      </c>
      <c r="D1659" s="59">
        <v>-37.2784386581653</v>
      </c>
    </row>
    <row r="1660" spans="1:4" x14ac:dyDescent="0.3">
      <c r="A1660" s="58">
        <v>2701001</v>
      </c>
      <c r="B1660" s="58" t="s">
        <v>2621</v>
      </c>
      <c r="C1660" s="59">
        <v>-9.6451445672725917</v>
      </c>
      <c r="D1660" s="59">
        <v>-36.211724900143075</v>
      </c>
    </row>
    <row r="1661" spans="1:4" x14ac:dyDescent="0.3">
      <c r="A1661" s="58">
        <v>2701100</v>
      </c>
      <c r="B1661" s="58" t="s">
        <v>2622</v>
      </c>
      <c r="C1661" s="59">
        <v>-9.2465831083032857</v>
      </c>
      <c r="D1661" s="59">
        <v>-36.020033533173098</v>
      </c>
    </row>
    <row r="1662" spans="1:4" x14ac:dyDescent="0.3">
      <c r="A1662" s="58">
        <v>2701209</v>
      </c>
      <c r="B1662" s="58" t="s">
        <v>2623</v>
      </c>
      <c r="C1662" s="59">
        <v>-9.4051627510581532</v>
      </c>
      <c r="D1662" s="59">
        <v>-36.996869626023646</v>
      </c>
    </row>
    <row r="1663" spans="1:4" x14ac:dyDescent="0.3">
      <c r="A1663" s="58">
        <v>2701308</v>
      </c>
      <c r="B1663" s="58" t="s">
        <v>2624</v>
      </c>
      <c r="C1663" s="59">
        <v>-9.38966057508941</v>
      </c>
      <c r="D1663" s="59">
        <v>-36.156378591408561</v>
      </c>
    </row>
    <row r="1664" spans="1:4" x14ac:dyDescent="0.3">
      <c r="A1664" s="58">
        <v>2701357</v>
      </c>
      <c r="B1664" s="58" t="s">
        <v>2625</v>
      </c>
      <c r="C1664" s="59">
        <v>-8.8483753531529068</v>
      </c>
      <c r="D1664" s="59">
        <v>-35.566717726454392</v>
      </c>
    </row>
    <row r="1665" spans="1:4" x14ac:dyDescent="0.3">
      <c r="A1665" s="58">
        <v>2701407</v>
      </c>
      <c r="B1665" s="58" t="s">
        <v>2626</v>
      </c>
      <c r="C1665" s="59">
        <v>-9.7834160389840772</v>
      </c>
      <c r="D1665" s="59">
        <v>-36.352434752197013</v>
      </c>
    </row>
    <row r="1666" spans="1:4" x14ac:dyDescent="0.3">
      <c r="A1666" s="58">
        <v>2701506</v>
      </c>
      <c r="B1666" s="58" t="s">
        <v>2627</v>
      </c>
      <c r="C1666" s="59">
        <v>-9.9569226033201854</v>
      </c>
      <c r="D1666" s="59">
        <v>-36.790840052134712</v>
      </c>
    </row>
    <row r="1667" spans="1:4" x14ac:dyDescent="0.3">
      <c r="A1667" s="58">
        <v>2701605</v>
      </c>
      <c r="B1667" s="58" t="s">
        <v>2628</v>
      </c>
      <c r="C1667" s="59">
        <v>-9.1173802975864309</v>
      </c>
      <c r="D1667" s="59">
        <v>-37.605647150635086</v>
      </c>
    </row>
    <row r="1668" spans="1:4" x14ac:dyDescent="0.3">
      <c r="A1668" s="58">
        <v>2701704</v>
      </c>
      <c r="B1668" s="58" t="s">
        <v>2629</v>
      </c>
      <c r="C1668" s="59">
        <v>-9.4129315555220963</v>
      </c>
      <c r="D1668" s="59">
        <v>-36.075008492393579</v>
      </c>
    </row>
    <row r="1669" spans="1:4" x14ac:dyDescent="0.3">
      <c r="A1669" s="58">
        <v>2701803</v>
      </c>
      <c r="B1669" s="58" t="s">
        <v>2630</v>
      </c>
      <c r="C1669" s="59">
        <v>-9.4806797208781415</v>
      </c>
      <c r="D1669" s="59">
        <v>-37.374750420616458</v>
      </c>
    </row>
    <row r="1670" spans="1:4" x14ac:dyDescent="0.3">
      <c r="A1670" s="58">
        <v>2701902</v>
      </c>
      <c r="B1670" s="58" t="s">
        <v>2631</v>
      </c>
      <c r="C1670" s="59">
        <v>-9.2614224594056562</v>
      </c>
      <c r="D1670" s="59">
        <v>-36.299381451877778</v>
      </c>
    </row>
    <row r="1671" spans="1:4" x14ac:dyDescent="0.3">
      <c r="A1671" s="58">
        <v>2702009</v>
      </c>
      <c r="B1671" s="58" t="s">
        <v>2632</v>
      </c>
      <c r="C1671" s="59">
        <v>-9.6384872707799261</v>
      </c>
      <c r="D1671" s="59">
        <v>-36.579684200228456</v>
      </c>
    </row>
    <row r="1672" spans="1:4" x14ac:dyDescent="0.3">
      <c r="A1672" s="58">
        <v>2702108</v>
      </c>
      <c r="B1672" s="58" t="s">
        <v>2633</v>
      </c>
      <c r="C1672" s="59">
        <v>-8.9126882699501504</v>
      </c>
      <c r="D1672" s="59">
        <v>-35.719780859393637</v>
      </c>
    </row>
    <row r="1673" spans="1:4" x14ac:dyDescent="0.3">
      <c r="A1673" s="58">
        <v>2702207</v>
      </c>
      <c r="B1673" s="58" t="s">
        <v>2634</v>
      </c>
      <c r="C1673" s="59">
        <v>-9.6375542709699271</v>
      </c>
      <c r="D1673" s="59">
        <v>-35.795363001732966</v>
      </c>
    </row>
    <row r="1674" spans="1:4" x14ac:dyDescent="0.3">
      <c r="A1674" s="58">
        <v>2702306</v>
      </c>
      <c r="B1674" s="58" t="s">
        <v>2635</v>
      </c>
      <c r="C1674" s="59">
        <v>-10.12654725037485</v>
      </c>
      <c r="D1674" s="59">
        <v>-36.176078310511841</v>
      </c>
    </row>
    <row r="1675" spans="1:4" x14ac:dyDescent="0.3">
      <c r="A1675" s="58">
        <v>2702355</v>
      </c>
      <c r="B1675" s="58" t="s">
        <v>2636</v>
      </c>
      <c r="C1675" s="59">
        <v>-9.6199337973863219</v>
      </c>
      <c r="D1675" s="59">
        <v>-36.772391401912849</v>
      </c>
    </row>
    <row r="1676" spans="1:4" x14ac:dyDescent="0.3">
      <c r="A1676" s="58">
        <v>2702405</v>
      </c>
      <c r="B1676" s="58" t="s">
        <v>2637</v>
      </c>
      <c r="C1676" s="59">
        <v>-9.3845744469407464</v>
      </c>
      <c r="D1676" s="59">
        <v>-37.999233486176941</v>
      </c>
    </row>
    <row r="1677" spans="1:4" x14ac:dyDescent="0.3">
      <c r="A1677" s="58">
        <v>2702504</v>
      </c>
      <c r="B1677" s="58" t="s">
        <v>2638</v>
      </c>
      <c r="C1677" s="59">
        <v>-9.3856708115462677</v>
      </c>
      <c r="D1677" s="59">
        <v>-37.089849647949343</v>
      </c>
    </row>
    <row r="1678" spans="1:4" x14ac:dyDescent="0.3">
      <c r="A1678" s="58">
        <v>2702553</v>
      </c>
      <c r="B1678" s="58" t="s">
        <v>2639</v>
      </c>
      <c r="C1678" s="59">
        <v>-9.3874053065793372</v>
      </c>
      <c r="D1678" s="59">
        <v>-36.758333110966795</v>
      </c>
    </row>
    <row r="1679" spans="1:4" x14ac:dyDescent="0.3">
      <c r="A1679" s="58">
        <v>2702603</v>
      </c>
      <c r="B1679" s="58" t="s">
        <v>2640</v>
      </c>
      <c r="C1679" s="59">
        <v>-9.9004371988915647</v>
      </c>
      <c r="D1679" s="59">
        <v>-36.67768550053384</v>
      </c>
    </row>
    <row r="1680" spans="1:4" x14ac:dyDescent="0.3">
      <c r="A1680" s="58">
        <v>2702702</v>
      </c>
      <c r="B1680" s="58" t="s">
        <v>2641</v>
      </c>
      <c r="C1680" s="59">
        <v>-10.292380619866254</v>
      </c>
      <c r="D1680" s="59">
        <v>-36.307187517699482</v>
      </c>
    </row>
    <row r="1681" spans="1:4" x14ac:dyDescent="0.3">
      <c r="A1681" s="58">
        <v>2702801</v>
      </c>
      <c r="B1681" s="58" t="s">
        <v>2642</v>
      </c>
      <c r="C1681" s="59">
        <v>-9.2732354600454112</v>
      </c>
      <c r="D1681" s="59">
        <v>-35.72437163856717</v>
      </c>
    </row>
    <row r="1682" spans="1:4" x14ac:dyDescent="0.3">
      <c r="A1682" s="58">
        <v>2702900</v>
      </c>
      <c r="B1682" s="58" t="s">
        <v>2643</v>
      </c>
      <c r="C1682" s="59">
        <v>-9.8873641521582005</v>
      </c>
      <c r="D1682" s="59">
        <v>-36.83031390299012</v>
      </c>
    </row>
    <row r="1683" spans="1:4" x14ac:dyDescent="0.3">
      <c r="A1683" s="58">
        <v>2703007</v>
      </c>
      <c r="B1683" s="58" t="s">
        <v>2644</v>
      </c>
      <c r="C1683" s="59">
        <v>-8.9769852176053568</v>
      </c>
      <c r="D1683" s="59">
        <v>-35.931184456420546</v>
      </c>
    </row>
    <row r="1684" spans="1:4" x14ac:dyDescent="0.3">
      <c r="A1684" s="58">
        <v>2703106</v>
      </c>
      <c r="B1684" s="58" t="s">
        <v>2645</v>
      </c>
      <c r="C1684" s="59">
        <v>-9.5336886594646462</v>
      </c>
      <c r="D1684" s="59">
        <v>-36.628159716449971</v>
      </c>
    </row>
    <row r="1685" spans="1:4" x14ac:dyDescent="0.3">
      <c r="A1685" s="58">
        <v>2703205</v>
      </c>
      <c r="B1685" s="58" t="s">
        <v>2646</v>
      </c>
      <c r="C1685" s="59">
        <v>-10.129298837172753</v>
      </c>
      <c r="D1685" s="59">
        <v>-36.653345012517967</v>
      </c>
    </row>
    <row r="1686" spans="1:4" x14ac:dyDescent="0.3">
      <c r="A1686" s="58">
        <v>2703304</v>
      </c>
      <c r="B1686" s="58" t="s">
        <v>2647</v>
      </c>
      <c r="C1686" s="59">
        <v>-9.2238987733318378</v>
      </c>
      <c r="D1686" s="59">
        <v>-37.75263652104595</v>
      </c>
    </row>
    <row r="1687" spans="1:4" x14ac:dyDescent="0.3">
      <c r="A1687" s="58">
        <v>2703403</v>
      </c>
      <c r="B1687" s="58" t="s">
        <v>2648</v>
      </c>
      <c r="C1687" s="59">
        <v>-9.636658828315591</v>
      </c>
      <c r="D1687" s="59">
        <v>-37.207833409017731</v>
      </c>
    </row>
    <row r="1688" spans="1:4" x14ac:dyDescent="0.3">
      <c r="A1688" s="58">
        <v>2703502</v>
      </c>
      <c r="B1688" s="58" t="s">
        <v>2649</v>
      </c>
      <c r="C1688" s="59">
        <v>-8.8403005075640468</v>
      </c>
      <c r="D1688" s="59">
        <v>-35.46099750812359</v>
      </c>
    </row>
    <row r="1689" spans="1:4" x14ac:dyDescent="0.3">
      <c r="A1689" s="58">
        <v>2703601</v>
      </c>
      <c r="B1689" s="58" t="s">
        <v>2650</v>
      </c>
      <c r="C1689" s="59">
        <v>-9.0889743543445771</v>
      </c>
      <c r="D1689" s="59">
        <v>-35.258658354031276</v>
      </c>
    </row>
    <row r="1690" spans="1:4" x14ac:dyDescent="0.3">
      <c r="A1690" s="58">
        <v>2703700</v>
      </c>
      <c r="B1690" s="58" t="s">
        <v>2651</v>
      </c>
      <c r="C1690" s="59">
        <v>-9.6583519387639161</v>
      </c>
      <c r="D1690" s="59">
        <v>-37.003595913230804</v>
      </c>
    </row>
    <row r="1691" spans="1:4" x14ac:dyDescent="0.3">
      <c r="A1691" s="58">
        <v>2703759</v>
      </c>
      <c r="B1691" s="58" t="s">
        <v>2652</v>
      </c>
      <c r="C1691" s="59">
        <v>-10.009591893569501</v>
      </c>
      <c r="D1691" s="59">
        <v>-36.027334042983831</v>
      </c>
    </row>
    <row r="1692" spans="1:4" x14ac:dyDescent="0.3">
      <c r="A1692" s="58">
        <v>2703809</v>
      </c>
      <c r="B1692" s="58" t="s">
        <v>2653</v>
      </c>
      <c r="C1692" s="59">
        <v>-9.1359791462940869</v>
      </c>
      <c r="D1692" s="59">
        <v>-35.749030258911965</v>
      </c>
    </row>
    <row r="1693" spans="1:4" x14ac:dyDescent="0.3">
      <c r="A1693" s="58">
        <v>2703908</v>
      </c>
      <c r="B1693" s="58" t="s">
        <v>2152</v>
      </c>
      <c r="C1693" s="59">
        <v>-8.938876754162278</v>
      </c>
      <c r="D1693" s="59">
        <v>-35.555597297535485</v>
      </c>
    </row>
    <row r="1694" spans="1:4" x14ac:dyDescent="0.3">
      <c r="A1694" s="58">
        <v>2704005</v>
      </c>
      <c r="B1694" s="58" t="s">
        <v>2654</v>
      </c>
      <c r="C1694" s="59">
        <v>-9.9316103897424508</v>
      </c>
      <c r="D1694" s="59">
        <v>-36.471521822223202</v>
      </c>
    </row>
    <row r="1695" spans="1:4" x14ac:dyDescent="0.3">
      <c r="A1695" s="58">
        <v>2704104</v>
      </c>
      <c r="B1695" s="58" t="s">
        <v>2655</v>
      </c>
      <c r="C1695" s="59">
        <v>-9.8308756565044622</v>
      </c>
      <c r="D1695" s="59">
        <v>-36.735789260001802</v>
      </c>
    </row>
    <row r="1696" spans="1:4" x14ac:dyDescent="0.3">
      <c r="A1696" s="58">
        <v>2704203</v>
      </c>
      <c r="B1696" s="58" t="s">
        <v>2656</v>
      </c>
      <c r="C1696" s="59">
        <v>-9.7386131678144903</v>
      </c>
      <c r="D1696" s="59">
        <v>-36.503897086500039</v>
      </c>
    </row>
    <row r="1697" spans="1:4" x14ac:dyDescent="0.3">
      <c r="A1697" s="58">
        <v>2704302</v>
      </c>
      <c r="B1697" s="58" t="s">
        <v>2657</v>
      </c>
      <c r="C1697" s="59">
        <v>-9.660822151631141</v>
      </c>
      <c r="D1697" s="59">
        <v>-35.701629913489491</v>
      </c>
    </row>
    <row r="1698" spans="1:4" x14ac:dyDescent="0.3">
      <c r="A1698" s="58">
        <v>2704401</v>
      </c>
      <c r="B1698" s="58" t="s">
        <v>2658</v>
      </c>
      <c r="C1698" s="59">
        <v>-9.5266440679399427</v>
      </c>
      <c r="D1698" s="59">
        <v>-36.984799614224094</v>
      </c>
    </row>
    <row r="1699" spans="1:4" x14ac:dyDescent="0.3">
      <c r="A1699" s="58">
        <v>2704500</v>
      </c>
      <c r="B1699" s="58" t="s">
        <v>2659</v>
      </c>
      <c r="C1699" s="59">
        <v>-9.0154564858241013</v>
      </c>
      <c r="D1699" s="59">
        <v>-35.223015409131925</v>
      </c>
    </row>
    <row r="1700" spans="1:4" x14ac:dyDescent="0.3">
      <c r="A1700" s="58">
        <v>2704609</v>
      </c>
      <c r="B1700" s="58" t="s">
        <v>2660</v>
      </c>
      <c r="C1700" s="59">
        <v>-9.2339970633531383</v>
      </c>
      <c r="D1700" s="59">
        <v>-37.356635422048079</v>
      </c>
    </row>
    <row r="1701" spans="1:4" x14ac:dyDescent="0.3">
      <c r="A1701" s="58">
        <v>2704708</v>
      </c>
      <c r="B1701" s="58" t="s">
        <v>2661</v>
      </c>
      <c r="C1701" s="59">
        <v>-9.7391557024438118</v>
      </c>
      <c r="D1701" s="59">
        <v>-35.893068698845262</v>
      </c>
    </row>
    <row r="1702" spans="1:4" x14ac:dyDescent="0.3">
      <c r="A1702" s="58">
        <v>2704807</v>
      </c>
      <c r="B1702" s="58" t="s">
        <v>2662</v>
      </c>
      <c r="C1702" s="59">
        <v>-9.5772499560083606</v>
      </c>
      <c r="D1702" s="59">
        <v>-36.306602898538074</v>
      </c>
    </row>
    <row r="1703" spans="1:4" x14ac:dyDescent="0.3">
      <c r="A1703" s="58">
        <v>2704906</v>
      </c>
      <c r="B1703" s="58" t="s">
        <v>2663</v>
      </c>
      <c r="C1703" s="59">
        <v>-9.4477726434894365</v>
      </c>
      <c r="D1703" s="59">
        <v>-36.385040024027191</v>
      </c>
    </row>
    <row r="1704" spans="1:4" x14ac:dyDescent="0.3">
      <c r="A1704" s="58">
        <v>2705002</v>
      </c>
      <c r="B1704" s="58" t="s">
        <v>2664</v>
      </c>
      <c r="C1704" s="59">
        <v>-9.1148062576418152</v>
      </c>
      <c r="D1704" s="59">
        <v>-37.725224064891584</v>
      </c>
    </row>
    <row r="1705" spans="1:4" x14ac:dyDescent="0.3">
      <c r="A1705" s="58">
        <v>2705101</v>
      </c>
      <c r="B1705" s="58" t="s">
        <v>2665</v>
      </c>
      <c r="C1705" s="59">
        <v>-9.1585258247462509</v>
      </c>
      <c r="D1705" s="59">
        <v>-35.533554829803009</v>
      </c>
    </row>
    <row r="1706" spans="1:4" x14ac:dyDescent="0.3">
      <c r="A1706" s="58">
        <v>2705200</v>
      </c>
      <c r="B1706" s="58" t="s">
        <v>2666</v>
      </c>
      <c r="C1706" s="59">
        <v>-9.391812225109577</v>
      </c>
      <c r="D1706" s="59">
        <v>-35.840378300500994</v>
      </c>
    </row>
    <row r="1707" spans="1:4" x14ac:dyDescent="0.3">
      <c r="A1707" s="58">
        <v>2705309</v>
      </c>
      <c r="B1707" s="58" t="s">
        <v>2667</v>
      </c>
      <c r="C1707" s="59">
        <v>-9.3036832606375111</v>
      </c>
      <c r="D1707" s="59">
        <v>-36.864915772472031</v>
      </c>
    </row>
    <row r="1708" spans="1:4" x14ac:dyDescent="0.3">
      <c r="A1708" s="58">
        <v>2705408</v>
      </c>
      <c r="B1708" s="58" t="s">
        <v>2668</v>
      </c>
      <c r="C1708" s="59">
        <v>-9.6023275388674367</v>
      </c>
      <c r="D1708" s="59">
        <v>-37.245272098947055</v>
      </c>
    </row>
    <row r="1709" spans="1:4" x14ac:dyDescent="0.3">
      <c r="A1709" s="58">
        <v>2705507</v>
      </c>
      <c r="B1709" s="58" t="s">
        <v>2669</v>
      </c>
      <c r="C1709" s="59">
        <v>-9.3163011443468555</v>
      </c>
      <c r="D1709" s="59">
        <v>-35.947555585677044</v>
      </c>
    </row>
    <row r="1710" spans="1:4" x14ac:dyDescent="0.3">
      <c r="A1710" s="58">
        <v>2705606</v>
      </c>
      <c r="B1710" s="58" t="s">
        <v>2670</v>
      </c>
      <c r="C1710" s="59">
        <v>-8.9431588080764417</v>
      </c>
      <c r="D1710" s="59">
        <v>-35.660963718096632</v>
      </c>
    </row>
    <row r="1711" spans="1:4" x14ac:dyDescent="0.3">
      <c r="A1711" s="58">
        <v>2705705</v>
      </c>
      <c r="B1711" s="58" t="s">
        <v>2671</v>
      </c>
      <c r="C1711" s="59">
        <v>-9.533601275274652</v>
      </c>
      <c r="D1711" s="59">
        <v>-37.297890789796746</v>
      </c>
    </row>
    <row r="1712" spans="1:4" x14ac:dyDescent="0.3">
      <c r="A1712" s="58">
        <v>2705804</v>
      </c>
      <c r="B1712" s="58" t="s">
        <v>2672</v>
      </c>
      <c r="C1712" s="59">
        <v>-9.5014462652880116</v>
      </c>
      <c r="D1712" s="59">
        <v>-37.836242816481338</v>
      </c>
    </row>
    <row r="1713" spans="1:4" x14ac:dyDescent="0.3">
      <c r="A1713" s="58">
        <v>2705903</v>
      </c>
      <c r="B1713" s="58" t="s">
        <v>2673</v>
      </c>
      <c r="C1713" s="59">
        <v>-10.058494960000901</v>
      </c>
      <c r="D1713" s="59">
        <v>-36.806745967671368</v>
      </c>
    </row>
    <row r="1714" spans="1:4" x14ac:dyDescent="0.3">
      <c r="A1714" s="58">
        <v>2706000</v>
      </c>
      <c r="B1714" s="58" t="s">
        <v>2674</v>
      </c>
      <c r="C1714" s="59">
        <v>-9.5194564833550412</v>
      </c>
      <c r="D1714" s="59">
        <v>-37.19081871806268</v>
      </c>
    </row>
    <row r="1715" spans="1:4" x14ac:dyDescent="0.3">
      <c r="A1715" s="58">
        <v>2706109</v>
      </c>
      <c r="B1715" s="58" t="s">
        <v>2176</v>
      </c>
      <c r="C1715" s="59">
        <v>-9.1634153640260028</v>
      </c>
      <c r="D1715" s="59">
        <v>-37.354443729023139</v>
      </c>
    </row>
    <row r="1716" spans="1:4" x14ac:dyDescent="0.3">
      <c r="A1716" s="58">
        <v>2706208</v>
      </c>
      <c r="B1716" s="58" t="s">
        <v>2675</v>
      </c>
      <c r="C1716" s="59">
        <v>-9.6730971856491355</v>
      </c>
      <c r="D1716" s="59">
        <v>-37.331136450504054</v>
      </c>
    </row>
    <row r="1717" spans="1:4" x14ac:dyDescent="0.3">
      <c r="A1717" s="58">
        <v>2706307</v>
      </c>
      <c r="B1717" s="58" t="s">
        <v>2676</v>
      </c>
      <c r="C1717" s="59">
        <v>-9.4061587984200958</v>
      </c>
      <c r="D1717" s="59">
        <v>-36.630984097311448</v>
      </c>
    </row>
    <row r="1718" spans="1:4" x14ac:dyDescent="0.3">
      <c r="A1718" s="58">
        <v>2706406</v>
      </c>
      <c r="B1718" s="58" t="s">
        <v>2677</v>
      </c>
      <c r="C1718" s="59">
        <v>-9.7470418502569363</v>
      </c>
      <c r="D1718" s="59">
        <v>-37.435138856573026</v>
      </c>
    </row>
    <row r="1719" spans="1:4" x14ac:dyDescent="0.3">
      <c r="A1719" s="58">
        <v>2706422</v>
      </c>
      <c r="B1719" s="58" t="s">
        <v>2678</v>
      </c>
      <c r="C1719" s="59">
        <v>-9.25788438518493</v>
      </c>
      <c r="D1719" s="59">
        <v>-38.009826071631473</v>
      </c>
    </row>
    <row r="1720" spans="1:4" x14ac:dyDescent="0.3">
      <c r="A1720" s="58">
        <v>2706448</v>
      </c>
      <c r="B1720" s="58" t="s">
        <v>2679</v>
      </c>
      <c r="C1720" s="59">
        <v>-9.4663134783353566</v>
      </c>
      <c r="D1720" s="59">
        <v>-35.559105184304308</v>
      </c>
    </row>
    <row r="1721" spans="1:4" x14ac:dyDescent="0.3">
      <c r="A1721" s="58">
        <v>2706505</v>
      </c>
      <c r="B1721" s="58" t="s">
        <v>2680</v>
      </c>
      <c r="C1721" s="59">
        <v>-9.2448466579973125</v>
      </c>
      <c r="D1721" s="59">
        <v>-35.491275263218611</v>
      </c>
    </row>
    <row r="1722" spans="1:4" x14ac:dyDescent="0.3">
      <c r="A1722" s="58">
        <v>2706604</v>
      </c>
      <c r="B1722" s="58" t="s">
        <v>2681</v>
      </c>
      <c r="C1722" s="59">
        <v>-9.3733643824119017</v>
      </c>
      <c r="D1722" s="59">
        <v>-36.372742094559676</v>
      </c>
    </row>
    <row r="1723" spans="1:4" x14ac:dyDescent="0.3">
      <c r="A1723" s="58">
        <v>2706703</v>
      </c>
      <c r="B1723" s="58" t="s">
        <v>2682</v>
      </c>
      <c r="C1723" s="59">
        <v>-10.29611029790235</v>
      </c>
      <c r="D1723" s="59">
        <v>-36.580460214090287</v>
      </c>
    </row>
    <row r="1724" spans="1:4" x14ac:dyDescent="0.3">
      <c r="A1724" s="58">
        <v>2706802</v>
      </c>
      <c r="B1724" s="58" t="s">
        <v>2683</v>
      </c>
      <c r="C1724" s="59">
        <v>-10.407362426340651</v>
      </c>
      <c r="D1724" s="59">
        <v>-36.43435200811124</v>
      </c>
    </row>
    <row r="1725" spans="1:4" x14ac:dyDescent="0.3">
      <c r="A1725" s="58">
        <v>2706901</v>
      </c>
      <c r="B1725" s="58" t="s">
        <v>2379</v>
      </c>
      <c r="C1725" s="59">
        <v>-9.6068942926668353</v>
      </c>
      <c r="D1725" s="59">
        <v>-35.948517519967844</v>
      </c>
    </row>
    <row r="1726" spans="1:4" x14ac:dyDescent="0.3">
      <c r="A1726" s="58">
        <v>2707008</v>
      </c>
      <c r="B1726" s="58" t="s">
        <v>2684</v>
      </c>
      <c r="C1726" s="59">
        <v>-9.4762107998014375</v>
      </c>
      <c r="D1726" s="59">
        <v>-36.28654064434577</v>
      </c>
    </row>
    <row r="1727" spans="1:4" x14ac:dyDescent="0.3">
      <c r="A1727" s="58">
        <v>2707107</v>
      </c>
      <c r="B1727" s="58" t="s">
        <v>2685</v>
      </c>
      <c r="C1727" s="59">
        <v>-9.6235592003032764</v>
      </c>
      <c r="D1727" s="59">
        <v>-37.750392913059223</v>
      </c>
    </row>
    <row r="1728" spans="1:4" x14ac:dyDescent="0.3">
      <c r="A1728" s="58">
        <v>2707206</v>
      </c>
      <c r="B1728" s="58" t="s">
        <v>2686</v>
      </c>
      <c r="C1728" s="59">
        <v>-9.3029136554045664</v>
      </c>
      <c r="D1728" s="59">
        <v>-37.279298052847267</v>
      </c>
    </row>
    <row r="1729" spans="1:4" x14ac:dyDescent="0.3">
      <c r="A1729" s="58">
        <v>2707305</v>
      </c>
      <c r="B1729" s="58" t="s">
        <v>2687</v>
      </c>
      <c r="C1729" s="59">
        <v>-9.0524483141365781</v>
      </c>
      <c r="D1729" s="59">
        <v>-35.398334455603724</v>
      </c>
    </row>
    <row r="1730" spans="1:4" x14ac:dyDescent="0.3">
      <c r="A1730" s="58">
        <v>2707404</v>
      </c>
      <c r="B1730" s="58" t="s">
        <v>2688</v>
      </c>
      <c r="C1730" s="59">
        <v>-9.1560861631157824</v>
      </c>
      <c r="D1730" s="59">
        <v>-35.297015217732799</v>
      </c>
    </row>
    <row r="1731" spans="1:4" x14ac:dyDescent="0.3">
      <c r="A1731" s="58">
        <v>2707503</v>
      </c>
      <c r="B1731" s="58" t="s">
        <v>2689</v>
      </c>
      <c r="C1731" s="59">
        <v>-10.173732564191051</v>
      </c>
      <c r="D1731" s="59">
        <v>-36.824629291523948</v>
      </c>
    </row>
    <row r="1732" spans="1:4" x14ac:dyDescent="0.3">
      <c r="A1732" s="58">
        <v>2707602</v>
      </c>
      <c r="B1732" s="58" t="s">
        <v>2690</v>
      </c>
      <c r="C1732" s="59">
        <v>-9.3235470553658057</v>
      </c>
      <c r="D1732" s="59">
        <v>-36.477222076661782</v>
      </c>
    </row>
    <row r="1733" spans="1:4" x14ac:dyDescent="0.3">
      <c r="A1733" s="58">
        <v>2707701</v>
      </c>
      <c r="B1733" s="58" t="s">
        <v>2691</v>
      </c>
      <c r="C1733" s="59">
        <v>-9.4861576083358408</v>
      </c>
      <c r="D1733" s="59">
        <v>-35.852422308592402</v>
      </c>
    </row>
    <row r="1734" spans="1:4" x14ac:dyDescent="0.3">
      <c r="A1734" s="58">
        <v>2707800</v>
      </c>
      <c r="B1734" s="58" t="s">
        <v>2692</v>
      </c>
      <c r="C1734" s="59">
        <v>-9.8321894901883518</v>
      </c>
      <c r="D1734" s="59">
        <v>-35.98121022139329</v>
      </c>
    </row>
    <row r="1735" spans="1:4" x14ac:dyDescent="0.3">
      <c r="A1735" s="58">
        <v>2707909</v>
      </c>
      <c r="B1735" s="58" t="s">
        <v>2693</v>
      </c>
      <c r="C1735" s="59">
        <v>-9.5967677416694865</v>
      </c>
      <c r="D1735" s="59">
        <v>-35.823487769863874</v>
      </c>
    </row>
    <row r="1736" spans="1:4" x14ac:dyDescent="0.3">
      <c r="A1736" s="58">
        <v>2708006</v>
      </c>
      <c r="B1736" s="58" t="s">
        <v>2694</v>
      </c>
      <c r="C1736" s="59">
        <v>-9.3722843627403964</v>
      </c>
      <c r="D1736" s="59">
        <v>-37.245407020370514</v>
      </c>
    </row>
    <row r="1737" spans="1:4" x14ac:dyDescent="0.3">
      <c r="A1737" s="58">
        <v>2708105</v>
      </c>
      <c r="B1737" s="58" t="s">
        <v>2695</v>
      </c>
      <c r="C1737" s="59">
        <v>-9.1650332207622363</v>
      </c>
      <c r="D1737" s="59">
        <v>-36.225234117042469</v>
      </c>
    </row>
    <row r="1738" spans="1:4" x14ac:dyDescent="0.3">
      <c r="A1738" s="58">
        <v>2708204</v>
      </c>
      <c r="B1738" s="58" t="s">
        <v>2696</v>
      </c>
      <c r="C1738" s="59">
        <v>-10.120309996572852</v>
      </c>
      <c r="D1738" s="59">
        <v>-36.8989486552451</v>
      </c>
    </row>
    <row r="1739" spans="1:4" x14ac:dyDescent="0.3">
      <c r="A1739" s="58">
        <v>2708303</v>
      </c>
      <c r="B1739" s="58" t="s">
        <v>2697</v>
      </c>
      <c r="C1739" s="59">
        <v>-9.0110658818802172</v>
      </c>
      <c r="D1739" s="59">
        <v>-36.057387732146744</v>
      </c>
    </row>
    <row r="1740" spans="1:4" x14ac:dyDescent="0.3">
      <c r="A1740" s="58">
        <v>2708402</v>
      </c>
      <c r="B1740" s="58" t="s">
        <v>2698</v>
      </c>
      <c r="C1740" s="59">
        <v>-9.5493957404367524</v>
      </c>
      <c r="D1740" s="59">
        <v>-37.383707765699192</v>
      </c>
    </row>
    <row r="1741" spans="1:4" x14ac:dyDescent="0.3">
      <c r="A1741" s="58">
        <v>2708501</v>
      </c>
      <c r="B1741" s="58" t="s">
        <v>2699</v>
      </c>
      <c r="C1741" s="59">
        <v>-9.314117369241341</v>
      </c>
      <c r="D1741" s="59">
        <v>-35.565490836583486</v>
      </c>
    </row>
    <row r="1742" spans="1:4" x14ac:dyDescent="0.3">
      <c r="A1742" s="58">
        <v>2708600</v>
      </c>
      <c r="B1742" s="58" t="s">
        <v>2700</v>
      </c>
      <c r="C1742" s="59">
        <v>-9.7799345761310317</v>
      </c>
      <c r="D1742" s="59">
        <v>-36.094264274377593</v>
      </c>
    </row>
    <row r="1743" spans="1:4" x14ac:dyDescent="0.3">
      <c r="A1743" s="58">
        <v>2708709</v>
      </c>
      <c r="B1743" s="58" t="s">
        <v>2701</v>
      </c>
      <c r="C1743" s="59">
        <v>-9.2671862950020714</v>
      </c>
      <c r="D1743" s="59">
        <v>-35.369119333632447</v>
      </c>
    </row>
    <row r="1744" spans="1:4" x14ac:dyDescent="0.3">
      <c r="A1744" s="58">
        <v>2708808</v>
      </c>
      <c r="B1744" s="58" t="s">
        <v>2702</v>
      </c>
      <c r="C1744" s="59">
        <v>-9.9316573889236714</v>
      </c>
      <c r="D1744" s="59">
        <v>-36.551091902005247</v>
      </c>
    </row>
    <row r="1745" spans="1:4" x14ac:dyDescent="0.3">
      <c r="A1745" s="58">
        <v>2708907</v>
      </c>
      <c r="B1745" s="58" t="s">
        <v>2703</v>
      </c>
      <c r="C1745" s="59">
        <v>-9.5694278677577262</v>
      </c>
      <c r="D1745" s="59">
        <v>-35.828540227077141</v>
      </c>
    </row>
    <row r="1746" spans="1:4" x14ac:dyDescent="0.3">
      <c r="A1746" s="58">
        <v>2708956</v>
      </c>
      <c r="B1746" s="58" t="s">
        <v>2704</v>
      </c>
      <c r="C1746" s="59">
        <v>-9.4633914489831188</v>
      </c>
      <c r="D1746" s="59">
        <v>-37.453646247812628</v>
      </c>
    </row>
    <row r="1747" spans="1:4" x14ac:dyDescent="0.3">
      <c r="A1747" s="58">
        <v>2709004</v>
      </c>
      <c r="B1747" s="58" t="s">
        <v>2705</v>
      </c>
      <c r="C1747" s="59">
        <v>-9.5319624423129721</v>
      </c>
      <c r="D1747" s="59">
        <v>-36.436741595943062</v>
      </c>
    </row>
    <row r="1748" spans="1:4" x14ac:dyDescent="0.3">
      <c r="A1748" s="58">
        <v>2709103</v>
      </c>
      <c r="B1748" s="58" t="s">
        <v>2706</v>
      </c>
      <c r="C1748" s="59">
        <v>-9.6423201053837904</v>
      </c>
      <c r="D1748" s="59">
        <v>-36.49676769196185</v>
      </c>
    </row>
    <row r="1749" spans="1:4" x14ac:dyDescent="0.3">
      <c r="A1749" s="58">
        <v>2709152</v>
      </c>
      <c r="B1749" s="58" t="s">
        <v>2707</v>
      </c>
      <c r="C1749" s="59">
        <v>-9.9074978830109757</v>
      </c>
      <c r="D1749" s="59">
        <v>-36.355563142220539</v>
      </c>
    </row>
    <row r="1750" spans="1:4" x14ac:dyDescent="0.3">
      <c r="A1750" s="58">
        <v>2709202</v>
      </c>
      <c r="B1750" s="58" t="s">
        <v>2708</v>
      </c>
      <c r="C1750" s="59">
        <v>-9.9710593820065068</v>
      </c>
      <c r="D1750" s="59">
        <v>-37.006005672245166</v>
      </c>
    </row>
    <row r="1751" spans="1:4" x14ac:dyDescent="0.3">
      <c r="A1751" s="58">
        <v>2709301</v>
      </c>
      <c r="B1751" s="58" t="s">
        <v>2709</v>
      </c>
      <c r="C1751" s="59">
        <v>-9.159524116522002</v>
      </c>
      <c r="D1751" s="59">
        <v>-36.033142842807386</v>
      </c>
    </row>
    <row r="1752" spans="1:4" x14ac:dyDescent="0.3">
      <c r="A1752" s="58">
        <v>2709400</v>
      </c>
      <c r="B1752" s="58" t="s">
        <v>2245</v>
      </c>
      <c r="C1752" s="59">
        <v>-9.377054354489756</v>
      </c>
      <c r="D1752" s="59">
        <v>-36.248393202919686</v>
      </c>
    </row>
    <row r="1753" spans="1:4" x14ac:dyDescent="0.3">
      <c r="A1753" s="58">
        <v>2800100</v>
      </c>
      <c r="B1753" s="58" t="s">
        <v>2710</v>
      </c>
      <c r="C1753" s="59">
        <v>-10.133971033901535</v>
      </c>
      <c r="D1753" s="59">
        <v>-36.927483689180967</v>
      </c>
    </row>
    <row r="1754" spans="1:4" x14ac:dyDescent="0.3">
      <c r="A1754" s="58">
        <v>2800209</v>
      </c>
      <c r="B1754" s="58" t="s">
        <v>2711</v>
      </c>
      <c r="C1754" s="59">
        <v>-10.292518092223153</v>
      </c>
      <c r="D1754" s="59">
        <v>-37.022180856078471</v>
      </c>
    </row>
    <row r="1755" spans="1:4" x14ac:dyDescent="0.3">
      <c r="A1755" s="58">
        <v>2800308</v>
      </c>
      <c r="B1755" s="58" t="s">
        <v>2712</v>
      </c>
      <c r="C1755" s="59">
        <v>-10.9072157978835</v>
      </c>
      <c r="D1755" s="59">
        <v>-37.048212639512251</v>
      </c>
    </row>
    <row r="1756" spans="1:4" x14ac:dyDescent="0.3">
      <c r="A1756" s="58">
        <v>2800407</v>
      </c>
      <c r="B1756" s="58" t="s">
        <v>2713</v>
      </c>
      <c r="C1756" s="59">
        <v>-11.2645047798951</v>
      </c>
      <c r="D1756" s="59">
        <v>-37.61233743406958</v>
      </c>
    </row>
    <row r="1757" spans="1:4" x14ac:dyDescent="0.3">
      <c r="A1757" s="58">
        <v>2800506</v>
      </c>
      <c r="B1757" s="58" t="s">
        <v>2096</v>
      </c>
      <c r="C1757" s="59">
        <v>-10.758192250822001</v>
      </c>
      <c r="D1757" s="59">
        <v>-37.313362600444059</v>
      </c>
    </row>
    <row r="1758" spans="1:4" x14ac:dyDescent="0.3">
      <c r="A1758" s="58">
        <v>2800605</v>
      </c>
      <c r="B1758" s="58" t="s">
        <v>2714</v>
      </c>
      <c r="C1758" s="59">
        <v>-10.906799247084251</v>
      </c>
      <c r="D1758" s="59">
        <v>-37.041241549282795</v>
      </c>
    </row>
    <row r="1759" spans="1:4" x14ac:dyDescent="0.3">
      <c r="A1759" s="58">
        <v>2800670</v>
      </c>
      <c r="B1759" s="58" t="s">
        <v>2715</v>
      </c>
      <c r="C1759" s="59">
        <v>-11.146391630360702</v>
      </c>
      <c r="D1759" s="59">
        <v>-37.623573477950792</v>
      </c>
    </row>
    <row r="1760" spans="1:4" x14ac:dyDescent="0.3">
      <c r="A1760" s="58">
        <v>2800704</v>
      </c>
      <c r="B1760" s="58" t="s">
        <v>2716</v>
      </c>
      <c r="C1760" s="59">
        <v>-10.418943310634051</v>
      </c>
      <c r="D1760" s="59">
        <v>-36.471820243957943</v>
      </c>
    </row>
    <row r="1761" spans="1:4" x14ac:dyDescent="0.3">
      <c r="A1761" s="58">
        <v>2801009</v>
      </c>
      <c r="B1761" s="58" t="s">
        <v>2717</v>
      </c>
      <c r="C1761" s="59">
        <v>-10.743335153852351</v>
      </c>
      <c r="D1761" s="59">
        <v>-37.496356334516413</v>
      </c>
    </row>
    <row r="1762" spans="1:4" x14ac:dyDescent="0.3">
      <c r="A1762" s="58">
        <v>2801108</v>
      </c>
      <c r="B1762" s="58" t="s">
        <v>2718</v>
      </c>
      <c r="C1762" s="59">
        <v>-10.138743655690952</v>
      </c>
      <c r="D1762" s="59">
        <v>-36.973844975407054</v>
      </c>
    </row>
    <row r="1763" spans="1:4" x14ac:dyDescent="0.3">
      <c r="A1763" s="58">
        <v>2801207</v>
      </c>
      <c r="B1763" s="58" t="s">
        <v>2719</v>
      </c>
      <c r="C1763" s="59">
        <v>-9.6541040672984924</v>
      </c>
      <c r="D1763" s="59">
        <v>-37.787963722117659</v>
      </c>
    </row>
    <row r="1764" spans="1:4" x14ac:dyDescent="0.3">
      <c r="A1764" s="58">
        <v>2801306</v>
      </c>
      <c r="B1764" s="58" t="s">
        <v>2629</v>
      </c>
      <c r="C1764" s="59">
        <v>-10.506099631900351</v>
      </c>
      <c r="D1764" s="59">
        <v>-37.054832994578867</v>
      </c>
    </row>
    <row r="1765" spans="1:4" x14ac:dyDescent="0.3">
      <c r="A1765" s="58">
        <v>2801405</v>
      </c>
      <c r="B1765" s="58" t="s">
        <v>2720</v>
      </c>
      <c r="C1765" s="59">
        <v>-10.358017096897601</v>
      </c>
      <c r="D1765" s="59">
        <v>-37.701919206937553</v>
      </c>
    </row>
    <row r="1766" spans="1:4" x14ac:dyDescent="0.3">
      <c r="A1766" s="58">
        <v>2801504</v>
      </c>
      <c r="B1766" s="58" t="s">
        <v>2721</v>
      </c>
      <c r="C1766" s="59">
        <v>-10.646818583952351</v>
      </c>
      <c r="D1766" s="59">
        <v>-36.990816185182673</v>
      </c>
    </row>
    <row r="1767" spans="1:4" x14ac:dyDescent="0.3">
      <c r="A1767" s="58">
        <v>2801603</v>
      </c>
      <c r="B1767" s="58" t="s">
        <v>2722</v>
      </c>
      <c r="C1767" s="59">
        <v>-10.247764941500453</v>
      </c>
      <c r="D1767" s="59">
        <v>-36.884035952851484</v>
      </c>
    </row>
    <row r="1768" spans="1:4" x14ac:dyDescent="0.3">
      <c r="A1768" s="58">
        <v>2801702</v>
      </c>
      <c r="B1768" s="58" t="s">
        <v>2723</v>
      </c>
      <c r="C1768" s="59">
        <v>-11.473557797076202</v>
      </c>
      <c r="D1768" s="59">
        <v>-37.754659635067988</v>
      </c>
    </row>
    <row r="1769" spans="1:4" x14ac:dyDescent="0.3">
      <c r="A1769" s="58">
        <v>2801900</v>
      </c>
      <c r="B1769" s="58" t="s">
        <v>2724</v>
      </c>
      <c r="C1769" s="59">
        <v>-10.357025032323703</v>
      </c>
      <c r="D1769" s="59">
        <v>-37.187899275655234</v>
      </c>
    </row>
    <row r="1770" spans="1:4" x14ac:dyDescent="0.3">
      <c r="A1770" s="58">
        <v>2802007</v>
      </c>
      <c r="B1770" s="58" t="s">
        <v>2725</v>
      </c>
      <c r="C1770" s="59">
        <v>-10.677375700180338</v>
      </c>
      <c r="D1770" s="59">
        <v>-37.149344960239176</v>
      </c>
    </row>
    <row r="1771" spans="1:4" x14ac:dyDescent="0.3">
      <c r="A1771" s="58">
        <v>2802106</v>
      </c>
      <c r="B1771" s="58" t="s">
        <v>2726</v>
      </c>
      <c r="C1771" s="59">
        <v>-11.267948649303051</v>
      </c>
      <c r="D1771" s="59">
        <v>-37.440010853729248</v>
      </c>
    </row>
    <row r="1772" spans="1:4" x14ac:dyDescent="0.3">
      <c r="A1772" s="58">
        <v>2802205</v>
      </c>
      <c r="B1772" s="58" t="s">
        <v>2501</v>
      </c>
      <c r="C1772" s="59">
        <v>-10.270532520923252</v>
      </c>
      <c r="D1772" s="59">
        <v>-37.316117720692631</v>
      </c>
    </row>
    <row r="1773" spans="1:4" x14ac:dyDescent="0.3">
      <c r="A1773" s="58">
        <v>2802304</v>
      </c>
      <c r="B1773" s="58" t="s">
        <v>2727</v>
      </c>
      <c r="C1773" s="59">
        <v>-10.54008474688465</v>
      </c>
      <c r="D1773" s="59">
        <v>-37.541876248680261</v>
      </c>
    </row>
    <row r="1774" spans="1:4" x14ac:dyDescent="0.3">
      <c r="A1774" s="58">
        <v>2802403</v>
      </c>
      <c r="B1774" s="58" t="s">
        <v>2728</v>
      </c>
      <c r="C1774" s="59">
        <v>-9.9673514679199453</v>
      </c>
      <c r="D1774" s="59">
        <v>-37.084372485320415</v>
      </c>
    </row>
    <row r="1775" spans="1:4" x14ac:dyDescent="0.3">
      <c r="A1775" s="58">
        <v>2802502</v>
      </c>
      <c r="B1775" s="58" t="s">
        <v>2729</v>
      </c>
      <c r="C1775" s="59">
        <v>-10.686529812396151</v>
      </c>
      <c r="D1775" s="59">
        <v>-36.98798442946714</v>
      </c>
    </row>
    <row r="1776" spans="1:4" x14ac:dyDescent="0.3">
      <c r="A1776" s="58">
        <v>2802601</v>
      </c>
      <c r="B1776" s="58" t="s">
        <v>2730</v>
      </c>
      <c r="C1776" s="59">
        <v>-10.22619966041225</v>
      </c>
      <c r="D1776" s="59">
        <v>-37.19605463225502</v>
      </c>
    </row>
    <row r="1777" spans="1:4" x14ac:dyDescent="0.3">
      <c r="A1777" s="58">
        <v>2802700</v>
      </c>
      <c r="B1777" s="58" t="s">
        <v>2731</v>
      </c>
      <c r="C1777" s="59">
        <v>-10.434275829881951</v>
      </c>
      <c r="D1777" s="59">
        <v>-36.538635240922041</v>
      </c>
    </row>
    <row r="1778" spans="1:4" x14ac:dyDescent="0.3">
      <c r="A1778" s="58">
        <v>2802809</v>
      </c>
      <c r="B1778" s="58" t="s">
        <v>2732</v>
      </c>
      <c r="C1778" s="59">
        <v>-11.518507268249602</v>
      </c>
      <c r="D1778" s="59">
        <v>-37.515094792879189</v>
      </c>
    </row>
    <row r="1779" spans="1:4" x14ac:dyDescent="0.3">
      <c r="A1779" s="58">
        <v>2802908</v>
      </c>
      <c r="B1779" s="58" t="s">
        <v>2330</v>
      </c>
      <c r="C1779" s="59">
        <v>-10.6857160383187</v>
      </c>
      <c r="D1779" s="59">
        <v>-37.426860940332439</v>
      </c>
    </row>
    <row r="1780" spans="1:4" x14ac:dyDescent="0.3">
      <c r="A1780" s="58">
        <v>2803005</v>
      </c>
      <c r="B1780" s="58" t="s">
        <v>2733</v>
      </c>
      <c r="C1780" s="59">
        <v>-11.2767854368944</v>
      </c>
      <c r="D1780" s="59">
        <v>-37.787411139908151</v>
      </c>
    </row>
    <row r="1781" spans="1:4" x14ac:dyDescent="0.3">
      <c r="A1781" s="58">
        <v>2803104</v>
      </c>
      <c r="B1781" s="58" t="s">
        <v>2734</v>
      </c>
      <c r="C1781" s="59">
        <v>-10.123489592239052</v>
      </c>
      <c r="D1781" s="59">
        <v>-37.099649952805692</v>
      </c>
    </row>
    <row r="1782" spans="1:4" x14ac:dyDescent="0.3">
      <c r="A1782" s="58">
        <v>2803203</v>
      </c>
      <c r="B1782" s="58" t="s">
        <v>2735</v>
      </c>
      <c r="C1782" s="59">
        <v>-10.996732767304652</v>
      </c>
      <c r="D1782" s="59">
        <v>-37.307826933068831</v>
      </c>
    </row>
    <row r="1783" spans="1:4" x14ac:dyDescent="0.3">
      <c r="A1783" s="58">
        <v>2803302</v>
      </c>
      <c r="B1783" s="58" t="s">
        <v>2736</v>
      </c>
      <c r="C1783" s="59">
        <v>-10.589466814804803</v>
      </c>
      <c r="D1783" s="59">
        <v>-36.941786303761326</v>
      </c>
    </row>
    <row r="1784" spans="1:4" x14ac:dyDescent="0.3">
      <c r="A1784" s="58">
        <v>2803401</v>
      </c>
      <c r="B1784" s="58" t="s">
        <v>2737</v>
      </c>
      <c r="C1784" s="59">
        <v>-10.346509914195753</v>
      </c>
      <c r="D1784" s="59">
        <v>-36.800756464361328</v>
      </c>
    </row>
    <row r="1785" spans="1:4" x14ac:dyDescent="0.3">
      <c r="A1785" s="58">
        <v>2803500</v>
      </c>
      <c r="B1785" s="58" t="s">
        <v>2738</v>
      </c>
      <c r="C1785" s="59">
        <v>-10.915300969862203</v>
      </c>
      <c r="D1785" s="59">
        <v>-37.666353409722014</v>
      </c>
    </row>
    <row r="1786" spans="1:4" x14ac:dyDescent="0.3">
      <c r="A1786" s="58">
        <v>2803609</v>
      </c>
      <c r="B1786" s="58" t="s">
        <v>2739</v>
      </c>
      <c r="C1786" s="59">
        <v>-10.797029508951882</v>
      </c>
      <c r="D1786" s="59">
        <v>-37.16056819867395</v>
      </c>
    </row>
    <row r="1787" spans="1:4" x14ac:dyDescent="0.3">
      <c r="A1787" s="58">
        <v>2803708</v>
      </c>
      <c r="B1787" s="58" t="s">
        <v>2740</v>
      </c>
      <c r="C1787" s="59">
        <v>-10.664149973798452</v>
      </c>
      <c r="D1787" s="59">
        <v>-37.543445391338999</v>
      </c>
    </row>
    <row r="1788" spans="1:4" x14ac:dyDescent="0.3">
      <c r="A1788" s="58">
        <v>2803807</v>
      </c>
      <c r="B1788" s="58" t="s">
        <v>2741</v>
      </c>
      <c r="C1788" s="59">
        <v>-10.346451520138201</v>
      </c>
      <c r="D1788" s="59">
        <v>-36.918902204015716</v>
      </c>
    </row>
    <row r="1789" spans="1:4" x14ac:dyDescent="0.3">
      <c r="A1789" s="58">
        <v>2803906</v>
      </c>
      <c r="B1789" s="58" t="s">
        <v>2742</v>
      </c>
      <c r="C1789" s="59">
        <v>-10.660044240864353</v>
      </c>
      <c r="D1789" s="59">
        <v>-37.311459944012626</v>
      </c>
    </row>
    <row r="1790" spans="1:4" x14ac:dyDescent="0.3">
      <c r="A1790" s="58">
        <v>2804003</v>
      </c>
      <c r="B1790" s="58" t="s">
        <v>2743</v>
      </c>
      <c r="C1790" s="59">
        <v>-10.736932403567453</v>
      </c>
      <c r="D1790" s="59">
        <v>-37.08331434064921</v>
      </c>
    </row>
    <row r="1791" spans="1:4" x14ac:dyDescent="0.3">
      <c r="A1791" s="58">
        <v>2804102</v>
      </c>
      <c r="B1791" s="58" t="s">
        <v>2744</v>
      </c>
      <c r="C1791" s="59">
        <v>-10.5790438595404</v>
      </c>
      <c r="D1791" s="59">
        <v>-37.34574940066306</v>
      </c>
    </row>
    <row r="1792" spans="1:4" x14ac:dyDescent="0.3">
      <c r="A1792" s="58">
        <v>2804201</v>
      </c>
      <c r="B1792" s="58" t="s">
        <v>2745</v>
      </c>
      <c r="C1792" s="59">
        <v>-10.025861627368002</v>
      </c>
      <c r="D1792" s="59">
        <v>-37.561425847290842</v>
      </c>
    </row>
    <row r="1793" spans="1:4" x14ac:dyDescent="0.3">
      <c r="A1793" s="58">
        <v>2804300</v>
      </c>
      <c r="B1793" s="58" t="s">
        <v>2746</v>
      </c>
      <c r="C1793" s="59">
        <v>-10.427427473549802</v>
      </c>
      <c r="D1793" s="59">
        <v>-36.957001437556926</v>
      </c>
    </row>
    <row r="1794" spans="1:4" x14ac:dyDescent="0.3">
      <c r="A1794" s="58">
        <v>2804409</v>
      </c>
      <c r="B1794" s="58" t="s">
        <v>2747</v>
      </c>
      <c r="C1794" s="59">
        <v>-10.315878227266802</v>
      </c>
      <c r="D1794" s="59">
        <v>-36.576718179365173</v>
      </c>
    </row>
    <row r="1795" spans="1:4" x14ac:dyDescent="0.3">
      <c r="A1795" s="58">
        <v>2804458</v>
      </c>
      <c r="B1795" s="58" t="s">
        <v>2748</v>
      </c>
      <c r="C1795" s="59">
        <v>-10.394651457410102</v>
      </c>
      <c r="D1795" s="59">
        <v>-37.454438545997284</v>
      </c>
    </row>
    <row r="1796" spans="1:4" x14ac:dyDescent="0.3">
      <c r="A1796" s="58">
        <v>2804508</v>
      </c>
      <c r="B1796" s="58" t="s">
        <v>2749</v>
      </c>
      <c r="C1796" s="59">
        <v>-10.215686849106001</v>
      </c>
      <c r="D1796" s="59">
        <v>-37.419921459267748</v>
      </c>
    </row>
    <row r="1797" spans="1:4" x14ac:dyDescent="0.3">
      <c r="A1797" s="58">
        <v>2804607</v>
      </c>
      <c r="B1797" s="58" t="s">
        <v>2750</v>
      </c>
      <c r="C1797" s="59">
        <v>-10.492054373073445</v>
      </c>
      <c r="D1797" s="59">
        <v>-37.193711209925517</v>
      </c>
    </row>
    <row r="1798" spans="1:4" x14ac:dyDescent="0.3">
      <c r="A1798" s="58">
        <v>2804706</v>
      </c>
      <c r="B1798" s="58" t="s">
        <v>2751</v>
      </c>
      <c r="C1798" s="59">
        <v>-10.078616036707452</v>
      </c>
      <c r="D1798" s="59">
        <v>-37.05047288344651</v>
      </c>
    </row>
    <row r="1799" spans="1:4" x14ac:dyDescent="0.3">
      <c r="A1799" s="58">
        <v>2804805</v>
      </c>
      <c r="B1799" s="58" t="s">
        <v>2752</v>
      </c>
      <c r="C1799" s="59">
        <v>-10.848754175733301</v>
      </c>
      <c r="D1799" s="59">
        <v>-37.128496130046379</v>
      </c>
    </row>
    <row r="1800" spans="1:4" x14ac:dyDescent="0.3">
      <c r="A1800" s="58">
        <v>2804904</v>
      </c>
      <c r="B1800" s="58" t="s">
        <v>2030</v>
      </c>
      <c r="C1800" s="59">
        <v>-10.449899762929402</v>
      </c>
      <c r="D1800" s="59">
        <v>-36.647986394828287</v>
      </c>
    </row>
    <row r="1801" spans="1:4" x14ac:dyDescent="0.3">
      <c r="A1801" s="58">
        <v>2805000</v>
      </c>
      <c r="B1801" s="58" t="s">
        <v>2753</v>
      </c>
      <c r="C1801" s="59">
        <v>-10.618119160418601</v>
      </c>
      <c r="D1801" s="59">
        <v>-37.686027213024097</v>
      </c>
    </row>
    <row r="1802" spans="1:4" x14ac:dyDescent="0.3">
      <c r="A1802" s="58">
        <v>2805109</v>
      </c>
      <c r="B1802" s="58" t="s">
        <v>2754</v>
      </c>
      <c r="C1802" s="59">
        <v>-11.193503396117849</v>
      </c>
      <c r="D1802" s="59">
        <v>-37.6811281603891</v>
      </c>
    </row>
    <row r="1803" spans="1:4" x14ac:dyDescent="0.3">
      <c r="A1803" s="58">
        <v>2805208</v>
      </c>
      <c r="B1803" s="58" t="s">
        <v>2755</v>
      </c>
      <c r="C1803" s="59">
        <v>-10.566689953153118</v>
      </c>
      <c r="D1803" s="59">
        <v>-37.722110720535603</v>
      </c>
    </row>
    <row r="1804" spans="1:4" x14ac:dyDescent="0.3">
      <c r="A1804" s="58">
        <v>2805307</v>
      </c>
      <c r="B1804" s="58" t="s">
        <v>2756</v>
      </c>
      <c r="C1804" s="59">
        <v>-10.741056155489451</v>
      </c>
      <c r="D1804" s="59">
        <v>-36.859746211687643</v>
      </c>
    </row>
    <row r="1805" spans="1:4" x14ac:dyDescent="0.3">
      <c r="A1805" s="58">
        <v>2805406</v>
      </c>
      <c r="B1805" s="58" t="s">
        <v>2757</v>
      </c>
      <c r="C1805" s="59">
        <v>-9.8057902082737218</v>
      </c>
      <c r="D1805" s="59">
        <v>-37.684213711804915</v>
      </c>
    </row>
    <row r="1806" spans="1:4" x14ac:dyDescent="0.3">
      <c r="A1806" s="58">
        <v>2805505</v>
      </c>
      <c r="B1806" s="58" t="s">
        <v>2758</v>
      </c>
      <c r="C1806" s="59">
        <v>-10.707598648852185</v>
      </c>
      <c r="D1806" s="59">
        <v>-38.176658221315812</v>
      </c>
    </row>
    <row r="1807" spans="1:4" x14ac:dyDescent="0.3">
      <c r="A1807" s="58">
        <v>2805604</v>
      </c>
      <c r="B1807" s="58" t="s">
        <v>2759</v>
      </c>
      <c r="C1807" s="59">
        <v>-9.9192588723614623</v>
      </c>
      <c r="D1807" s="59">
        <v>-37.276634849480494</v>
      </c>
    </row>
    <row r="1808" spans="1:4" x14ac:dyDescent="0.3">
      <c r="A1808" s="58">
        <v>2805703</v>
      </c>
      <c r="B1808" s="58" t="s">
        <v>2760</v>
      </c>
      <c r="C1808" s="59">
        <v>-10.208207315313652</v>
      </c>
      <c r="D1808" s="59">
        <v>-36.842099359098803</v>
      </c>
    </row>
    <row r="1809" spans="1:4" x14ac:dyDescent="0.3">
      <c r="A1809" s="58">
        <v>2805802</v>
      </c>
      <c r="B1809" s="58" t="s">
        <v>2761</v>
      </c>
      <c r="C1809" s="59">
        <v>-11.066402290436702</v>
      </c>
      <c r="D1809" s="59">
        <v>-37.729341224982669</v>
      </c>
    </row>
    <row r="1810" spans="1:4" x14ac:dyDescent="0.3">
      <c r="A1810" s="58">
        <v>2805901</v>
      </c>
      <c r="B1810" s="58" t="s">
        <v>2200</v>
      </c>
      <c r="C1810" s="59">
        <v>-10.731651298452499</v>
      </c>
      <c r="D1810" s="59">
        <v>-37.193456832585468</v>
      </c>
    </row>
    <row r="1811" spans="1:4" x14ac:dyDescent="0.3">
      <c r="A1811" s="58">
        <v>2806008</v>
      </c>
      <c r="B1811" s="58" t="s">
        <v>2762</v>
      </c>
      <c r="C1811" s="59">
        <v>-10.545190469321502</v>
      </c>
      <c r="D1811" s="59">
        <v>-37.432939029882441</v>
      </c>
    </row>
    <row r="1812" spans="1:4" x14ac:dyDescent="0.3">
      <c r="A1812" s="58">
        <v>2806107</v>
      </c>
      <c r="B1812" s="58" t="s">
        <v>2763</v>
      </c>
      <c r="C1812" s="59">
        <v>-10.694589978994552</v>
      </c>
      <c r="D1812" s="59">
        <v>-37.031322864872898</v>
      </c>
    </row>
    <row r="1813" spans="1:4" x14ac:dyDescent="0.3">
      <c r="A1813" s="58">
        <v>2806206</v>
      </c>
      <c r="B1813" s="58" t="s">
        <v>2764</v>
      </c>
      <c r="C1813" s="59">
        <v>-11.022118774904076</v>
      </c>
      <c r="D1813" s="59">
        <v>-37.477755358887954</v>
      </c>
    </row>
    <row r="1814" spans="1:4" x14ac:dyDescent="0.3">
      <c r="A1814" s="58">
        <v>2806305</v>
      </c>
      <c r="B1814" s="58" t="s">
        <v>2765</v>
      </c>
      <c r="C1814" s="59">
        <v>-11.353317397341254</v>
      </c>
      <c r="D1814" s="59">
        <v>-37.449842180207575</v>
      </c>
    </row>
    <row r="1815" spans="1:4" x14ac:dyDescent="0.3">
      <c r="A1815" s="58">
        <v>2806404</v>
      </c>
      <c r="B1815" s="58" t="s">
        <v>2766</v>
      </c>
      <c r="C1815" s="59">
        <v>-10.287671972428802</v>
      </c>
      <c r="D1815" s="59">
        <v>-36.599579347995622</v>
      </c>
    </row>
    <row r="1816" spans="1:4" x14ac:dyDescent="0.3">
      <c r="A1816" s="58">
        <v>2806503</v>
      </c>
      <c r="B1816" s="58" t="s">
        <v>2767</v>
      </c>
      <c r="C1816" s="59">
        <v>-10.646233664707852</v>
      </c>
      <c r="D1816" s="59">
        <v>-37.197731845622734</v>
      </c>
    </row>
    <row r="1817" spans="1:4" x14ac:dyDescent="0.3">
      <c r="A1817" s="58">
        <v>2806602</v>
      </c>
      <c r="B1817" s="58" t="s">
        <v>2768</v>
      </c>
      <c r="C1817" s="59">
        <v>-10.78201138262575</v>
      </c>
      <c r="D1817" s="59">
        <v>-37.056311097655659</v>
      </c>
    </row>
    <row r="1818" spans="1:4" x14ac:dyDescent="0.3">
      <c r="A1818" s="58">
        <v>2806701</v>
      </c>
      <c r="B1818" s="58" t="s">
        <v>2769</v>
      </c>
      <c r="C1818" s="59">
        <v>-11.013676857147153</v>
      </c>
      <c r="D1818" s="59">
        <v>-37.20949878394233</v>
      </c>
    </row>
    <row r="1819" spans="1:4" x14ac:dyDescent="0.3">
      <c r="A1819" s="58">
        <v>2806800</v>
      </c>
      <c r="B1819" s="58" t="s">
        <v>2408</v>
      </c>
      <c r="C1819" s="59">
        <v>-10.792325783411503</v>
      </c>
      <c r="D1819" s="59">
        <v>-37.568429204533906</v>
      </c>
    </row>
    <row r="1820" spans="1:4" x14ac:dyDescent="0.3">
      <c r="A1820" s="58">
        <v>2806909</v>
      </c>
      <c r="B1820" s="58" t="s">
        <v>2409</v>
      </c>
      <c r="C1820" s="59">
        <v>-10.346486452678223</v>
      </c>
      <c r="D1820" s="59">
        <v>-36.886239660889423</v>
      </c>
    </row>
    <row r="1821" spans="1:4" x14ac:dyDescent="0.3">
      <c r="A1821" s="58">
        <v>2807006</v>
      </c>
      <c r="B1821" s="58" t="s">
        <v>2770</v>
      </c>
      <c r="C1821" s="59">
        <v>-10.387772194822251</v>
      </c>
      <c r="D1821" s="59">
        <v>-37.383976449416373</v>
      </c>
    </row>
    <row r="1822" spans="1:4" x14ac:dyDescent="0.3">
      <c r="A1822" s="58">
        <v>2807105</v>
      </c>
      <c r="B1822" s="58" t="s">
        <v>2771</v>
      </c>
      <c r="C1822" s="59">
        <v>-10.738061797653559</v>
      </c>
      <c r="D1822" s="59">
        <v>-37.809430582250272</v>
      </c>
    </row>
    <row r="1823" spans="1:4" x14ac:dyDescent="0.3">
      <c r="A1823" s="58">
        <v>2807204</v>
      </c>
      <c r="B1823" s="58" t="s">
        <v>2772</v>
      </c>
      <c r="C1823" s="59">
        <v>-10.605035573100553</v>
      </c>
      <c r="D1823" s="59">
        <v>-37.112225340760922</v>
      </c>
    </row>
    <row r="1824" spans="1:4" x14ac:dyDescent="0.3">
      <c r="A1824" s="58">
        <v>2807303</v>
      </c>
      <c r="B1824" s="58" t="s">
        <v>2773</v>
      </c>
      <c r="C1824" s="59">
        <v>-10.209173223682052</v>
      </c>
      <c r="D1824" s="59">
        <v>-36.883850041564649</v>
      </c>
    </row>
    <row r="1825" spans="1:4" x14ac:dyDescent="0.3">
      <c r="A1825" s="58">
        <v>2807402</v>
      </c>
      <c r="B1825" s="58" t="s">
        <v>2774</v>
      </c>
      <c r="C1825" s="59">
        <v>-11.184329868099402</v>
      </c>
      <c r="D1825" s="59">
        <v>-37.999000695101749</v>
      </c>
    </row>
    <row r="1826" spans="1:4" x14ac:dyDescent="0.3">
      <c r="A1826" s="58">
        <v>2807501</v>
      </c>
      <c r="B1826" s="58" t="s">
        <v>2775</v>
      </c>
      <c r="C1826" s="59">
        <v>-11.368052274743704</v>
      </c>
      <c r="D1826" s="59">
        <v>-37.845370775272293</v>
      </c>
    </row>
    <row r="1827" spans="1:4" x14ac:dyDescent="0.3">
      <c r="A1827" s="58">
        <v>2807600</v>
      </c>
      <c r="B1827" s="58" t="s">
        <v>2776</v>
      </c>
      <c r="C1827" s="59">
        <v>-11.379872469684672</v>
      </c>
      <c r="D1827" s="59">
        <v>-37.661146673061715</v>
      </c>
    </row>
    <row r="1828" spans="1:4" x14ac:dyDescent="0.3">
      <c r="A1828" s="58">
        <v>2900108</v>
      </c>
      <c r="B1828" s="58" t="s">
        <v>2777</v>
      </c>
      <c r="C1828" s="59">
        <v>-13.253531893276204</v>
      </c>
      <c r="D1828" s="59">
        <v>-41.661608480235969</v>
      </c>
    </row>
    <row r="1829" spans="1:4" x14ac:dyDescent="0.3">
      <c r="A1829" s="58">
        <v>2900207</v>
      </c>
      <c r="B1829" s="58" t="s">
        <v>2778</v>
      </c>
      <c r="C1829" s="59">
        <v>-8.7234182456863412</v>
      </c>
      <c r="D1829" s="59">
        <v>-39.116587939642848</v>
      </c>
    </row>
    <row r="1830" spans="1:4" x14ac:dyDescent="0.3">
      <c r="A1830" s="58">
        <v>2900306</v>
      </c>
      <c r="B1830" s="58" t="s">
        <v>2779</v>
      </c>
      <c r="C1830" s="59">
        <v>-11.662612830048301</v>
      </c>
      <c r="D1830" s="59">
        <v>-38.018286370579595</v>
      </c>
    </row>
    <row r="1831" spans="1:4" x14ac:dyDescent="0.3">
      <c r="A1831" s="58">
        <v>2900355</v>
      </c>
      <c r="B1831" s="58" t="s">
        <v>2780</v>
      </c>
      <c r="C1831" s="59">
        <v>-10.529571570020204</v>
      </c>
      <c r="D1831" s="59">
        <v>-38.115505834782482</v>
      </c>
    </row>
    <row r="1832" spans="1:4" x14ac:dyDescent="0.3">
      <c r="A1832" s="58">
        <v>2900405</v>
      </c>
      <c r="B1832" s="58" t="s">
        <v>2781</v>
      </c>
      <c r="C1832" s="59">
        <v>-11.872930997579051</v>
      </c>
      <c r="D1832" s="59">
        <v>-38.768077795004295</v>
      </c>
    </row>
    <row r="1833" spans="1:4" x14ac:dyDescent="0.3">
      <c r="A1833" s="58">
        <v>2900504</v>
      </c>
      <c r="B1833" s="58" t="s">
        <v>2782</v>
      </c>
      <c r="C1833" s="59">
        <v>-13.422347795301601</v>
      </c>
      <c r="D1833" s="59">
        <v>-42.13616373331093</v>
      </c>
    </row>
    <row r="1834" spans="1:4" x14ac:dyDescent="0.3">
      <c r="A1834" s="58">
        <v>2900603</v>
      </c>
      <c r="B1834" s="58" t="s">
        <v>2783</v>
      </c>
      <c r="C1834" s="59">
        <v>-14.127277488554252</v>
      </c>
      <c r="D1834" s="59">
        <v>-39.885778009122852</v>
      </c>
    </row>
    <row r="1835" spans="1:4" x14ac:dyDescent="0.3">
      <c r="A1835" s="58">
        <v>2900702</v>
      </c>
      <c r="B1835" s="58" t="s">
        <v>2784</v>
      </c>
      <c r="C1835" s="59">
        <v>-12.134182592405454</v>
      </c>
      <c r="D1835" s="59">
        <v>-38.422615769339536</v>
      </c>
    </row>
    <row r="1836" spans="1:4" x14ac:dyDescent="0.3">
      <c r="A1836" s="58">
        <v>2900801</v>
      </c>
      <c r="B1836" s="58" t="s">
        <v>2785</v>
      </c>
      <c r="C1836" s="59">
        <v>-17.518933343806154</v>
      </c>
      <c r="D1836" s="59">
        <v>-39.194214320657785</v>
      </c>
    </row>
    <row r="1837" spans="1:4" x14ac:dyDescent="0.3">
      <c r="A1837" s="58">
        <v>2900900</v>
      </c>
      <c r="B1837" s="58" t="s">
        <v>2786</v>
      </c>
      <c r="C1837" s="59">
        <v>-14.706047747521701</v>
      </c>
      <c r="D1837" s="59">
        <v>-39.635903175244685</v>
      </c>
    </row>
    <row r="1838" spans="1:4" x14ac:dyDescent="0.3">
      <c r="A1838" s="58">
        <v>2901007</v>
      </c>
      <c r="B1838" s="58" t="s">
        <v>2787</v>
      </c>
      <c r="C1838" s="59">
        <v>-13.034451362197052</v>
      </c>
      <c r="D1838" s="59">
        <v>-39.598122503489527</v>
      </c>
    </row>
    <row r="1839" spans="1:4" x14ac:dyDescent="0.3">
      <c r="A1839" s="58">
        <v>2901106</v>
      </c>
      <c r="B1839" s="58" t="s">
        <v>2788</v>
      </c>
      <c r="C1839" s="59">
        <v>-12.4001884013071</v>
      </c>
      <c r="D1839" s="59">
        <v>-38.755556916441712</v>
      </c>
    </row>
    <row r="1840" spans="1:4" x14ac:dyDescent="0.3">
      <c r="A1840" s="58">
        <v>2901155</v>
      </c>
      <c r="B1840" s="58" t="s">
        <v>2789</v>
      </c>
      <c r="C1840" s="59">
        <v>-11.449645864775901</v>
      </c>
      <c r="D1840" s="59">
        <v>-41.437163279123688</v>
      </c>
    </row>
    <row r="1841" spans="1:4" x14ac:dyDescent="0.3">
      <c r="A1841" s="58">
        <v>2901205</v>
      </c>
      <c r="B1841" s="58" t="s">
        <v>2790</v>
      </c>
      <c r="C1841" s="59">
        <v>-14.611325592493673</v>
      </c>
      <c r="D1841" s="59">
        <v>-41.127113168504735</v>
      </c>
    </row>
    <row r="1842" spans="1:4" x14ac:dyDescent="0.3">
      <c r="A1842" s="58">
        <v>2901304</v>
      </c>
      <c r="B1842" s="58" t="s">
        <v>2791</v>
      </c>
      <c r="C1842" s="59">
        <v>-12.801350646024051</v>
      </c>
      <c r="D1842" s="59">
        <v>-41.324641803998794</v>
      </c>
    </row>
    <row r="1843" spans="1:4" x14ac:dyDescent="0.3">
      <c r="A1843" s="58">
        <v>2901353</v>
      </c>
      <c r="B1843" s="58" t="s">
        <v>2792</v>
      </c>
      <c r="C1843" s="59">
        <v>-10.344240041534551</v>
      </c>
      <c r="D1843" s="59">
        <v>-39.832335701010095</v>
      </c>
    </row>
    <row r="1844" spans="1:4" x14ac:dyDescent="0.3">
      <c r="A1844" s="58">
        <v>2901403</v>
      </c>
      <c r="B1844" s="58" t="s">
        <v>2793</v>
      </c>
      <c r="C1844" s="59">
        <v>-12.006682772532452</v>
      </c>
      <c r="D1844" s="59">
        <v>-44.695823482707318</v>
      </c>
    </row>
    <row r="1845" spans="1:4" x14ac:dyDescent="0.3">
      <c r="A1845" s="58">
        <v>2901502</v>
      </c>
      <c r="B1845" s="58" t="s">
        <v>2794</v>
      </c>
      <c r="C1845" s="59">
        <v>-12.149587070075352</v>
      </c>
      <c r="D1845" s="59">
        <v>-39.248498918282188</v>
      </c>
    </row>
    <row r="1846" spans="1:4" x14ac:dyDescent="0.3">
      <c r="A1846" s="58">
        <v>2901601</v>
      </c>
      <c r="B1846" s="58" t="s">
        <v>2795</v>
      </c>
      <c r="C1846" s="59">
        <v>-10.412702169265302</v>
      </c>
      <c r="D1846" s="59">
        <v>-38.331041678334664</v>
      </c>
    </row>
    <row r="1847" spans="1:4" x14ac:dyDescent="0.3">
      <c r="A1847" s="58">
        <v>2901700</v>
      </c>
      <c r="B1847" s="58" t="s">
        <v>2796</v>
      </c>
      <c r="C1847" s="59">
        <v>-12.434838909476801</v>
      </c>
      <c r="D1847" s="59">
        <v>-39.118661535461413</v>
      </c>
    </row>
    <row r="1848" spans="1:4" x14ac:dyDescent="0.3">
      <c r="A1848" s="58">
        <v>2901809</v>
      </c>
      <c r="B1848" s="58" t="s">
        <v>2797</v>
      </c>
      <c r="C1848" s="59">
        <v>-10.5757977912944</v>
      </c>
      <c r="D1848" s="59">
        <v>-40.275658698580436</v>
      </c>
    </row>
    <row r="1849" spans="1:4" x14ac:dyDescent="0.3">
      <c r="A1849" s="58">
        <v>2901908</v>
      </c>
      <c r="B1849" s="58" t="s">
        <v>2798</v>
      </c>
      <c r="C1849" s="59">
        <v>-11.655394291897252</v>
      </c>
      <c r="D1849" s="59">
        <v>-38.079995349451728</v>
      </c>
    </row>
    <row r="1850" spans="1:4" x14ac:dyDescent="0.3">
      <c r="A1850" s="58">
        <v>2901957</v>
      </c>
      <c r="B1850" s="58" t="s">
        <v>2799</v>
      </c>
      <c r="C1850" s="59">
        <v>-13.853228848819004</v>
      </c>
      <c r="D1850" s="59">
        <v>-39.742132116504749</v>
      </c>
    </row>
    <row r="1851" spans="1:4" x14ac:dyDescent="0.3">
      <c r="A1851" s="58">
        <v>2902005</v>
      </c>
      <c r="B1851" s="58" t="s">
        <v>2800</v>
      </c>
      <c r="C1851" s="59">
        <v>-14.426630241995653</v>
      </c>
      <c r="D1851" s="59">
        <v>-41.461685320657445</v>
      </c>
    </row>
    <row r="1852" spans="1:4" x14ac:dyDescent="0.3">
      <c r="A1852" s="58">
        <v>2902054</v>
      </c>
      <c r="B1852" s="58" t="s">
        <v>2801</v>
      </c>
      <c r="C1852" s="59">
        <v>-12.215199667549051</v>
      </c>
      <c r="D1852" s="59">
        <v>-38.198288017194933</v>
      </c>
    </row>
    <row r="1853" spans="1:4" x14ac:dyDescent="0.3">
      <c r="A1853" s="58">
        <v>2902104</v>
      </c>
      <c r="B1853" s="58" t="s">
        <v>2802</v>
      </c>
      <c r="C1853" s="59">
        <v>-11.33572787531225</v>
      </c>
      <c r="D1853" s="59">
        <v>-38.960958159402914</v>
      </c>
    </row>
    <row r="1854" spans="1:4" x14ac:dyDescent="0.3">
      <c r="A1854" s="58">
        <v>2902203</v>
      </c>
      <c r="B1854" s="58" t="s">
        <v>2803</v>
      </c>
      <c r="C1854" s="59">
        <v>-12.088182978308652</v>
      </c>
      <c r="D1854" s="59">
        <v>-38.503066354208705</v>
      </c>
    </row>
    <row r="1855" spans="1:4" x14ac:dyDescent="0.3">
      <c r="A1855" s="58">
        <v>2902252</v>
      </c>
      <c r="B1855" s="58" t="s">
        <v>2804</v>
      </c>
      <c r="C1855" s="59">
        <v>-15.260872997350953</v>
      </c>
      <c r="D1855" s="59">
        <v>-39.41328156571263</v>
      </c>
    </row>
    <row r="1856" spans="1:4" x14ac:dyDescent="0.3">
      <c r="A1856" s="58">
        <v>2902302</v>
      </c>
      <c r="B1856" s="58" t="s">
        <v>2805</v>
      </c>
      <c r="C1856" s="59">
        <v>-13.080596541012701</v>
      </c>
      <c r="D1856" s="59">
        <v>-39.002910865981228</v>
      </c>
    </row>
    <row r="1857" spans="1:4" x14ac:dyDescent="0.3">
      <c r="A1857" s="58">
        <v>2902401</v>
      </c>
      <c r="B1857" s="58" t="s">
        <v>2806</v>
      </c>
      <c r="C1857" s="59">
        <v>-14.316949447956901</v>
      </c>
      <c r="D1857" s="59">
        <v>-39.321996637705851</v>
      </c>
    </row>
    <row r="1858" spans="1:4" x14ac:dyDescent="0.3">
      <c r="A1858" s="58">
        <v>2902500</v>
      </c>
      <c r="B1858" s="58" t="s">
        <v>2807</v>
      </c>
      <c r="C1858" s="59">
        <v>-12.304124700793901</v>
      </c>
      <c r="D1858" s="59">
        <v>-44.536098046718685</v>
      </c>
    </row>
    <row r="1859" spans="1:4" x14ac:dyDescent="0.3">
      <c r="A1859" s="58">
        <v>2902609</v>
      </c>
      <c r="B1859" s="58" t="s">
        <v>2808</v>
      </c>
      <c r="C1859" s="59">
        <v>-11.959357488972405</v>
      </c>
      <c r="D1859" s="59">
        <v>-40.166860909513183</v>
      </c>
    </row>
    <row r="1860" spans="1:4" x14ac:dyDescent="0.3">
      <c r="A1860" s="58">
        <v>2902658</v>
      </c>
      <c r="B1860" s="58" t="s">
        <v>2809</v>
      </c>
      <c r="C1860" s="59">
        <v>-10.574091935819752</v>
      </c>
      <c r="D1860" s="59">
        <v>-38.611869630572933</v>
      </c>
    </row>
    <row r="1861" spans="1:4" x14ac:dyDescent="0.3">
      <c r="A1861" s="58">
        <v>2902708</v>
      </c>
      <c r="B1861" s="58" t="s">
        <v>2810</v>
      </c>
      <c r="C1861" s="59">
        <v>-11.088954820546201</v>
      </c>
      <c r="D1861" s="59">
        <v>-43.143638552458576</v>
      </c>
    </row>
    <row r="1862" spans="1:4" x14ac:dyDescent="0.3">
      <c r="A1862" s="58">
        <v>2902807</v>
      </c>
      <c r="B1862" s="58" t="s">
        <v>2811</v>
      </c>
      <c r="C1862" s="59">
        <v>-13.620204563040604</v>
      </c>
      <c r="D1862" s="59">
        <v>-41.331695870489554</v>
      </c>
    </row>
    <row r="1863" spans="1:4" x14ac:dyDescent="0.3">
      <c r="A1863" s="58">
        <v>2902906</v>
      </c>
      <c r="B1863" s="58" t="s">
        <v>2812</v>
      </c>
      <c r="C1863" s="59">
        <v>-14.864273042783003</v>
      </c>
      <c r="D1863" s="59">
        <v>-40.576372989598731</v>
      </c>
    </row>
    <row r="1864" spans="1:4" x14ac:dyDescent="0.3">
      <c r="A1864" s="58">
        <v>2903003</v>
      </c>
      <c r="B1864" s="58" t="s">
        <v>2813</v>
      </c>
      <c r="C1864" s="59">
        <v>-11.808828281261102</v>
      </c>
      <c r="D1864" s="59">
        <v>-42.059128415682629</v>
      </c>
    </row>
    <row r="1865" spans="1:4" x14ac:dyDescent="0.3">
      <c r="A1865" s="58">
        <v>2903102</v>
      </c>
      <c r="B1865" s="58" t="s">
        <v>2814</v>
      </c>
      <c r="C1865" s="59">
        <v>-14.210029248500955</v>
      </c>
      <c r="D1865" s="59">
        <v>-39.601386089865997</v>
      </c>
    </row>
    <row r="1866" spans="1:4" x14ac:dyDescent="0.3">
      <c r="A1866" s="58">
        <v>2903201</v>
      </c>
      <c r="B1866" s="58" t="s">
        <v>2815</v>
      </c>
      <c r="C1866" s="59">
        <v>-12.144924888390602</v>
      </c>
      <c r="D1866" s="59">
        <v>-45.004168437028525</v>
      </c>
    </row>
    <row r="1867" spans="1:4" x14ac:dyDescent="0.3">
      <c r="A1867" s="58">
        <v>2903235</v>
      </c>
      <c r="B1867" s="58" t="s">
        <v>2816</v>
      </c>
      <c r="C1867" s="59">
        <v>-11.761063922959302</v>
      </c>
      <c r="D1867" s="59">
        <v>-41.912096064752625</v>
      </c>
    </row>
    <row r="1868" spans="1:4" x14ac:dyDescent="0.3">
      <c r="A1868" s="58">
        <v>2903276</v>
      </c>
      <c r="B1868" s="58" t="s">
        <v>2817</v>
      </c>
      <c r="C1868" s="59">
        <v>-11.529112852078251</v>
      </c>
      <c r="D1868" s="59">
        <v>-39.078668880918215</v>
      </c>
    </row>
    <row r="1869" spans="1:4" x14ac:dyDescent="0.3">
      <c r="A1869" s="58">
        <v>2903300</v>
      </c>
      <c r="B1869" s="58" t="s">
        <v>2818</v>
      </c>
      <c r="C1869" s="59">
        <v>-14.809754387102744</v>
      </c>
      <c r="D1869" s="59">
        <v>-39.473334671380087</v>
      </c>
    </row>
    <row r="1870" spans="1:4" x14ac:dyDescent="0.3">
      <c r="A1870" s="58">
        <v>2903409</v>
      </c>
      <c r="B1870" s="58" t="s">
        <v>2819</v>
      </c>
      <c r="C1870" s="59">
        <v>-15.861396491786854</v>
      </c>
      <c r="D1870" s="59">
        <v>-38.88030323856011</v>
      </c>
    </row>
    <row r="1871" spans="1:4" x14ac:dyDescent="0.3">
      <c r="A1871" s="58">
        <v>2903508</v>
      </c>
      <c r="B1871" s="58" t="s">
        <v>2820</v>
      </c>
      <c r="C1871" s="59">
        <v>-15.033496197201204</v>
      </c>
      <c r="D1871" s="59">
        <v>-41.260033479020301</v>
      </c>
    </row>
    <row r="1872" spans="1:4" x14ac:dyDescent="0.3">
      <c r="A1872" s="58">
        <v>2903607</v>
      </c>
      <c r="B1872" s="58" t="s">
        <v>2821</v>
      </c>
      <c r="C1872" s="59">
        <v>-11.620110262981649</v>
      </c>
      <c r="D1872" s="59">
        <v>-38.812158922897467</v>
      </c>
    </row>
    <row r="1873" spans="1:4" x14ac:dyDescent="0.3">
      <c r="A1873" s="58">
        <v>2903706</v>
      </c>
      <c r="B1873" s="58" t="s">
        <v>2822</v>
      </c>
      <c r="C1873" s="59">
        <v>-14.362607943040754</v>
      </c>
      <c r="D1873" s="59">
        <v>-40.200521893825403</v>
      </c>
    </row>
    <row r="1874" spans="1:4" x14ac:dyDescent="0.3">
      <c r="A1874" s="58">
        <v>2903805</v>
      </c>
      <c r="B1874" s="58" t="s">
        <v>2823</v>
      </c>
      <c r="C1874" s="59">
        <v>-12.661322192548152</v>
      </c>
      <c r="D1874" s="59">
        <v>-40.605742824047283</v>
      </c>
    </row>
    <row r="1875" spans="1:4" x14ac:dyDescent="0.3">
      <c r="A1875" s="58">
        <v>2903904</v>
      </c>
      <c r="B1875" s="58" t="s">
        <v>2824</v>
      </c>
      <c r="C1875" s="59">
        <v>-13.254114373090092</v>
      </c>
      <c r="D1875" s="59">
        <v>-43.417141642139008</v>
      </c>
    </row>
    <row r="1876" spans="1:4" x14ac:dyDescent="0.3">
      <c r="A1876" s="58">
        <v>2903953</v>
      </c>
      <c r="B1876" s="58" t="s">
        <v>2825</v>
      </c>
      <c r="C1876" s="59">
        <v>-14.372922294384102</v>
      </c>
      <c r="D1876" s="59">
        <v>-40.501176329753022</v>
      </c>
    </row>
    <row r="1877" spans="1:4" x14ac:dyDescent="0.3">
      <c r="A1877" s="58">
        <v>2904001</v>
      </c>
      <c r="B1877" s="58" t="s">
        <v>2826</v>
      </c>
      <c r="C1877" s="59">
        <v>-12.715120792313886</v>
      </c>
      <c r="D1877" s="59">
        <v>-41.824328484807197</v>
      </c>
    </row>
    <row r="1878" spans="1:4" x14ac:dyDescent="0.3">
      <c r="A1878" s="58">
        <v>2904050</v>
      </c>
      <c r="B1878" s="58" t="s">
        <v>1207</v>
      </c>
      <c r="C1878" s="59">
        <v>-11.969572502091102</v>
      </c>
      <c r="D1878" s="59">
        <v>-41.268402788150503</v>
      </c>
    </row>
    <row r="1879" spans="1:4" x14ac:dyDescent="0.3">
      <c r="A1879" s="58">
        <v>2904100</v>
      </c>
      <c r="B1879" s="58" t="s">
        <v>2827</v>
      </c>
      <c r="C1879" s="59">
        <v>-12.820822830017502</v>
      </c>
      <c r="D1879" s="59">
        <v>-42.730115401217645</v>
      </c>
    </row>
    <row r="1880" spans="1:4" x14ac:dyDescent="0.3">
      <c r="A1880" s="58">
        <v>2904209</v>
      </c>
      <c r="B1880" s="58" t="s">
        <v>2828</v>
      </c>
      <c r="C1880" s="59">
        <v>-13.380866213678301</v>
      </c>
      <c r="D1880" s="59">
        <v>-42.52927755896679</v>
      </c>
    </row>
    <row r="1881" spans="1:4" x14ac:dyDescent="0.3">
      <c r="A1881" s="58">
        <v>2904308</v>
      </c>
      <c r="B1881" s="58" t="s">
        <v>2829</v>
      </c>
      <c r="C1881" s="59">
        <v>-13.105536483186002</v>
      </c>
      <c r="D1881" s="59">
        <v>-39.793491592657297</v>
      </c>
    </row>
    <row r="1882" spans="1:4" x14ac:dyDescent="0.3">
      <c r="A1882" s="58">
        <v>2904407</v>
      </c>
      <c r="B1882" s="58" t="s">
        <v>2830</v>
      </c>
      <c r="C1882" s="59">
        <v>-12.486693342119002</v>
      </c>
      <c r="D1882" s="59">
        <v>-43.965664594292129</v>
      </c>
    </row>
    <row r="1883" spans="1:4" x14ac:dyDescent="0.3">
      <c r="A1883" s="58">
        <v>2904506</v>
      </c>
      <c r="B1883" s="58" t="s">
        <v>2831</v>
      </c>
      <c r="C1883" s="59">
        <v>-12.002635537304101</v>
      </c>
      <c r="D1883" s="59">
        <v>-42.624691289343097</v>
      </c>
    </row>
    <row r="1884" spans="1:4" x14ac:dyDescent="0.3">
      <c r="A1884" s="58">
        <v>2904605</v>
      </c>
      <c r="B1884" s="58" t="s">
        <v>2832</v>
      </c>
      <c r="C1884" s="59">
        <v>-14.205438240659701</v>
      </c>
      <c r="D1884" s="59">
        <v>-41.667069503666426</v>
      </c>
    </row>
    <row r="1885" spans="1:4" x14ac:dyDescent="0.3">
      <c r="A1885" s="58">
        <v>2904704</v>
      </c>
      <c r="B1885" s="58" t="s">
        <v>2833</v>
      </c>
      <c r="C1885" s="59">
        <v>-14.956440836604553</v>
      </c>
      <c r="D1885" s="59">
        <v>-39.302519605787062</v>
      </c>
    </row>
    <row r="1886" spans="1:4" x14ac:dyDescent="0.3">
      <c r="A1886" s="58">
        <v>2904753</v>
      </c>
      <c r="B1886" s="58" t="s">
        <v>2834</v>
      </c>
      <c r="C1886" s="59">
        <v>-10.711791466319353</v>
      </c>
      <c r="D1886" s="59">
        <v>-43.631380898239762</v>
      </c>
    </row>
    <row r="1887" spans="1:4" x14ac:dyDescent="0.3">
      <c r="A1887" s="58">
        <v>2904803</v>
      </c>
      <c r="B1887" s="58" t="s">
        <v>2835</v>
      </c>
      <c r="C1887" s="59">
        <v>-14.978550635183904</v>
      </c>
      <c r="D1887" s="59">
        <v>-40.410272475343824</v>
      </c>
    </row>
    <row r="1888" spans="1:4" x14ac:dyDescent="0.3">
      <c r="A1888" s="58">
        <v>2904852</v>
      </c>
      <c r="B1888" s="58" t="s">
        <v>2836</v>
      </c>
      <c r="C1888" s="59">
        <v>-12.537135785354103</v>
      </c>
      <c r="D1888" s="59">
        <v>-39.186713092240375</v>
      </c>
    </row>
    <row r="1889" spans="1:4" x14ac:dyDescent="0.3">
      <c r="A1889" s="58">
        <v>2904902</v>
      </c>
      <c r="B1889" s="58" t="s">
        <v>2837</v>
      </c>
      <c r="C1889" s="59">
        <v>-12.596210798462652</v>
      </c>
      <c r="D1889" s="59">
        <v>-38.969398068982308</v>
      </c>
    </row>
    <row r="1890" spans="1:4" x14ac:dyDescent="0.3">
      <c r="A1890" s="58">
        <v>2905008</v>
      </c>
      <c r="B1890" s="58" t="s">
        <v>2838</v>
      </c>
      <c r="C1890" s="59">
        <v>-14.504206197135904</v>
      </c>
      <c r="D1890" s="59">
        <v>-42.221414099608722</v>
      </c>
    </row>
    <row r="1891" spans="1:4" x14ac:dyDescent="0.3">
      <c r="A1891" s="58">
        <v>2905107</v>
      </c>
      <c r="B1891" s="58" t="s">
        <v>2839</v>
      </c>
      <c r="C1891" s="59">
        <v>-11.093091517484551</v>
      </c>
      <c r="D1891" s="59">
        <v>-40.437311940715439</v>
      </c>
    </row>
    <row r="1892" spans="1:4" x14ac:dyDescent="0.3">
      <c r="A1892" s="58">
        <v>2905156</v>
      </c>
      <c r="B1892" s="58" t="s">
        <v>2840</v>
      </c>
      <c r="C1892" s="59">
        <v>-14.338562967367704</v>
      </c>
      <c r="D1892" s="59">
        <v>-40.90928963922574</v>
      </c>
    </row>
    <row r="1893" spans="1:4" x14ac:dyDescent="0.3">
      <c r="A1893" s="58">
        <v>2905206</v>
      </c>
      <c r="B1893" s="58" t="s">
        <v>2841</v>
      </c>
      <c r="C1893" s="59">
        <v>-14.066754319124602</v>
      </c>
      <c r="D1893" s="59">
        <v>-42.4857114474597</v>
      </c>
    </row>
    <row r="1894" spans="1:4" x14ac:dyDescent="0.3">
      <c r="A1894" s="58">
        <v>2905305</v>
      </c>
      <c r="B1894" s="58" t="s">
        <v>2842</v>
      </c>
      <c r="C1894" s="59">
        <v>-11.691356219057701</v>
      </c>
      <c r="D1894" s="59">
        <v>-41.472221513328527</v>
      </c>
    </row>
    <row r="1895" spans="1:4" x14ac:dyDescent="0.3">
      <c r="A1895" s="58">
        <v>2905404</v>
      </c>
      <c r="B1895" s="58" t="s">
        <v>2843</v>
      </c>
      <c r="C1895" s="59">
        <v>-13.487603401349702</v>
      </c>
      <c r="D1895" s="59">
        <v>-39.043254355085168</v>
      </c>
    </row>
    <row r="1896" spans="1:4" x14ac:dyDescent="0.3">
      <c r="A1896" s="58">
        <v>2905503</v>
      </c>
      <c r="B1896" s="58" t="s">
        <v>2844</v>
      </c>
      <c r="C1896" s="59">
        <v>-11.022155776889553</v>
      </c>
      <c r="D1896" s="59">
        <v>-40.307370359495998</v>
      </c>
    </row>
    <row r="1897" spans="1:4" x14ac:dyDescent="0.3">
      <c r="A1897" s="58">
        <v>2905602</v>
      </c>
      <c r="B1897" s="58" t="s">
        <v>2845</v>
      </c>
      <c r="C1897" s="59">
        <v>-15.417626851830951</v>
      </c>
      <c r="D1897" s="59">
        <v>-39.49636733149174</v>
      </c>
    </row>
    <row r="1898" spans="1:4" x14ac:dyDescent="0.3">
      <c r="A1898" s="58">
        <v>2905701</v>
      </c>
      <c r="B1898" s="58" t="s">
        <v>2846</v>
      </c>
      <c r="C1898" s="59">
        <v>-12.698816760000003</v>
      </c>
      <c r="D1898" s="59">
        <v>-38.325740062065186</v>
      </c>
    </row>
    <row r="1899" spans="1:4" x14ac:dyDescent="0.3">
      <c r="A1899" s="58">
        <v>2905800</v>
      </c>
      <c r="B1899" s="58" t="s">
        <v>2847</v>
      </c>
      <c r="C1899" s="59">
        <v>-13.947076340589604</v>
      </c>
      <c r="D1899" s="59">
        <v>-39.100569717488149</v>
      </c>
    </row>
    <row r="1900" spans="1:4" x14ac:dyDescent="0.3">
      <c r="A1900" s="58">
        <v>2905909</v>
      </c>
      <c r="B1900" s="58" t="s">
        <v>2848</v>
      </c>
      <c r="C1900" s="59">
        <v>-9.5171541139999363</v>
      </c>
      <c r="D1900" s="59">
        <v>-43.012298439090365</v>
      </c>
    </row>
    <row r="1901" spans="1:4" x14ac:dyDescent="0.3">
      <c r="A1901" s="58">
        <v>2906006</v>
      </c>
      <c r="B1901" s="58" t="s">
        <v>2849</v>
      </c>
      <c r="C1901" s="59">
        <v>-10.505661554543801</v>
      </c>
      <c r="D1901" s="59">
        <v>-40.318820987099869</v>
      </c>
    </row>
    <row r="1902" spans="1:4" x14ac:dyDescent="0.3">
      <c r="A1902" s="58">
        <v>2906105</v>
      </c>
      <c r="B1902" s="58" t="s">
        <v>2850</v>
      </c>
      <c r="C1902" s="59">
        <v>-13.075911497672353</v>
      </c>
      <c r="D1902" s="59">
        <v>-44.205028985375328</v>
      </c>
    </row>
    <row r="1903" spans="1:4" x14ac:dyDescent="0.3">
      <c r="A1903" s="58">
        <v>2906204</v>
      </c>
      <c r="B1903" s="58" t="s">
        <v>2851</v>
      </c>
      <c r="C1903" s="59">
        <v>-11.687583313966702</v>
      </c>
      <c r="D1903" s="59">
        <v>-41.765492231986691</v>
      </c>
    </row>
    <row r="1904" spans="1:4" x14ac:dyDescent="0.3">
      <c r="A1904" s="58">
        <v>2906303</v>
      </c>
      <c r="B1904" s="58" t="s">
        <v>2852</v>
      </c>
      <c r="C1904" s="59">
        <v>-15.679777476531401</v>
      </c>
      <c r="D1904" s="59">
        <v>-38.947375874639569</v>
      </c>
    </row>
    <row r="1905" spans="1:4" x14ac:dyDescent="0.3">
      <c r="A1905" s="58">
        <v>2906402</v>
      </c>
      <c r="B1905" s="58" t="s">
        <v>2853</v>
      </c>
      <c r="C1905" s="59">
        <v>-11.804970230028903</v>
      </c>
      <c r="D1905" s="59">
        <v>-39.123718495476382</v>
      </c>
    </row>
    <row r="1906" spans="1:4" x14ac:dyDescent="0.3">
      <c r="A1906" s="58">
        <v>2906501</v>
      </c>
      <c r="B1906" s="58" t="s">
        <v>2854</v>
      </c>
      <c r="C1906" s="59">
        <v>-12.671922705268152</v>
      </c>
      <c r="D1906" s="59">
        <v>-38.543596267525409</v>
      </c>
    </row>
    <row r="1907" spans="1:4" x14ac:dyDescent="0.3">
      <c r="A1907" s="58">
        <v>2906600</v>
      </c>
      <c r="B1907" s="58" t="s">
        <v>2855</v>
      </c>
      <c r="C1907" s="59">
        <v>-14.413186503109452</v>
      </c>
      <c r="D1907" s="59">
        <v>-42.864402335239909</v>
      </c>
    </row>
    <row r="1908" spans="1:4" x14ac:dyDescent="0.3">
      <c r="A1908" s="58">
        <v>2906709</v>
      </c>
      <c r="B1908" s="58" t="s">
        <v>2856</v>
      </c>
      <c r="C1908" s="59">
        <v>-15.506066350790253</v>
      </c>
      <c r="D1908" s="59">
        <v>-41.241117594583095</v>
      </c>
    </row>
    <row r="1909" spans="1:4" x14ac:dyDescent="0.3">
      <c r="A1909" s="58">
        <v>2906808</v>
      </c>
      <c r="B1909" s="58" t="s">
        <v>2857</v>
      </c>
      <c r="C1909" s="59">
        <v>-10.666749914865703</v>
      </c>
      <c r="D1909" s="59">
        <v>-39.496605006460747</v>
      </c>
    </row>
    <row r="1910" spans="1:4" x14ac:dyDescent="0.3">
      <c r="A1910" s="58">
        <v>2906824</v>
      </c>
      <c r="B1910" s="58" t="s">
        <v>2858</v>
      </c>
      <c r="C1910" s="59">
        <v>-9.8906729609418047</v>
      </c>
      <c r="D1910" s="59">
        <v>-39.024071242689047</v>
      </c>
    </row>
    <row r="1911" spans="1:4" x14ac:dyDescent="0.3">
      <c r="A1911" s="58">
        <v>2906857</v>
      </c>
      <c r="B1911" s="58" t="s">
        <v>2859</v>
      </c>
      <c r="C1911" s="59">
        <v>-11.670081643326151</v>
      </c>
      <c r="D1911" s="59">
        <v>-39.835355309102802</v>
      </c>
    </row>
    <row r="1912" spans="1:4" x14ac:dyDescent="0.3">
      <c r="A1912" s="58">
        <v>2906873</v>
      </c>
      <c r="B1912" s="58" t="s">
        <v>2860</v>
      </c>
      <c r="C1912" s="59">
        <v>-11.381574457644852</v>
      </c>
      <c r="D1912" s="59">
        <v>-40.011000611717456</v>
      </c>
    </row>
    <row r="1913" spans="1:4" x14ac:dyDescent="0.3">
      <c r="A1913" s="58">
        <v>2906899</v>
      </c>
      <c r="B1913" s="58" t="s">
        <v>2861</v>
      </c>
      <c r="C1913" s="59">
        <v>-14.722069493740003</v>
      </c>
      <c r="D1913" s="59">
        <v>-41.265431323669226</v>
      </c>
    </row>
    <row r="1914" spans="1:4" x14ac:dyDescent="0.3">
      <c r="A1914" s="58">
        <v>2906907</v>
      </c>
      <c r="B1914" s="58" t="s">
        <v>2862</v>
      </c>
      <c r="C1914" s="59">
        <v>-17.733370527489502</v>
      </c>
      <c r="D1914" s="59">
        <v>-39.25338222137222</v>
      </c>
    </row>
    <row r="1915" spans="1:4" x14ac:dyDescent="0.3">
      <c r="A1915" s="58">
        <v>2907004</v>
      </c>
      <c r="B1915" s="58" t="s">
        <v>2863</v>
      </c>
      <c r="C1915" s="59">
        <v>-11.940767406360653</v>
      </c>
      <c r="D1915" s="59">
        <v>-37.945476582969789</v>
      </c>
    </row>
    <row r="1916" spans="1:4" x14ac:dyDescent="0.3">
      <c r="A1916" s="58">
        <v>2907103</v>
      </c>
      <c r="B1916" s="58" t="s">
        <v>2864</v>
      </c>
      <c r="C1916" s="59">
        <v>-14.302006903550302</v>
      </c>
      <c r="D1916" s="59">
        <v>-43.76177720093915</v>
      </c>
    </row>
    <row r="1917" spans="1:4" x14ac:dyDescent="0.3">
      <c r="A1917" s="58">
        <v>2907202</v>
      </c>
      <c r="B1917" s="58" t="s">
        <v>2865</v>
      </c>
      <c r="C1917" s="59">
        <v>-9.1785945740886259</v>
      </c>
      <c r="D1917" s="59">
        <v>-40.975796926870935</v>
      </c>
    </row>
    <row r="1918" spans="1:4" x14ac:dyDescent="0.3">
      <c r="A1918" s="58">
        <v>2907301</v>
      </c>
      <c r="B1918" s="58" t="s">
        <v>2866</v>
      </c>
      <c r="C1918" s="59">
        <v>-12.765832636912352</v>
      </c>
      <c r="D1918" s="59">
        <v>-39.426519430321967</v>
      </c>
    </row>
    <row r="1919" spans="1:4" x14ac:dyDescent="0.3">
      <c r="A1919" s="58">
        <v>2907400</v>
      </c>
      <c r="B1919" s="58" t="s">
        <v>2867</v>
      </c>
      <c r="C1919" s="59">
        <v>-12.316005938494703</v>
      </c>
      <c r="D1919" s="59">
        <v>-44.859770283359374</v>
      </c>
    </row>
    <row r="1920" spans="1:4" x14ac:dyDescent="0.3">
      <c r="A1920" s="58">
        <v>2907509</v>
      </c>
      <c r="B1920" s="58" t="s">
        <v>2868</v>
      </c>
      <c r="C1920" s="59">
        <v>-12.355186558850651</v>
      </c>
      <c r="D1920" s="59">
        <v>-38.376294303554069</v>
      </c>
    </row>
    <row r="1921" spans="1:4" x14ac:dyDescent="0.3">
      <c r="A1921" s="58">
        <v>2907558</v>
      </c>
      <c r="B1921" s="58" t="s">
        <v>2869</v>
      </c>
      <c r="C1921" s="59">
        <v>-13.328201350401054</v>
      </c>
      <c r="D1921" s="59">
        <v>-42.296406643746721</v>
      </c>
    </row>
    <row r="1922" spans="1:4" x14ac:dyDescent="0.3">
      <c r="A1922" s="58">
        <v>2907608</v>
      </c>
      <c r="B1922" s="58" t="s">
        <v>2870</v>
      </c>
      <c r="C1922" s="59">
        <v>-11.137988582854003</v>
      </c>
      <c r="D1922" s="59">
        <v>-42.112348975140108</v>
      </c>
    </row>
    <row r="1923" spans="1:4" x14ac:dyDescent="0.3">
      <c r="A1923" s="58">
        <v>2907707</v>
      </c>
      <c r="B1923" s="58" t="s">
        <v>2871</v>
      </c>
      <c r="C1923" s="59">
        <v>-8.9754778040128755</v>
      </c>
      <c r="D1923" s="59">
        <v>-39.10237007741511</v>
      </c>
    </row>
    <row r="1924" spans="1:4" x14ac:dyDescent="0.3">
      <c r="A1924" s="58">
        <v>2907806</v>
      </c>
      <c r="B1924" s="58" t="s">
        <v>2872</v>
      </c>
      <c r="C1924" s="59">
        <v>-10.592171531925102</v>
      </c>
      <c r="D1924" s="59">
        <v>-38.383419127869594</v>
      </c>
    </row>
    <row r="1925" spans="1:4" x14ac:dyDescent="0.3">
      <c r="A1925" s="58">
        <v>2907905</v>
      </c>
      <c r="B1925" s="58" t="s">
        <v>2873</v>
      </c>
      <c r="C1925" s="59">
        <v>-11.101143564144552</v>
      </c>
      <c r="D1925" s="59">
        <v>-38.517129397940451</v>
      </c>
    </row>
    <row r="1926" spans="1:4" x14ac:dyDescent="0.3">
      <c r="A1926" s="58">
        <v>2908002</v>
      </c>
      <c r="B1926" s="58" t="s">
        <v>2874</v>
      </c>
      <c r="C1926" s="59">
        <v>-14.636814202802251</v>
      </c>
      <c r="D1926" s="59">
        <v>-39.552304255924447</v>
      </c>
    </row>
    <row r="1927" spans="1:4" x14ac:dyDescent="0.3">
      <c r="A1927" s="58">
        <v>2908101</v>
      </c>
      <c r="B1927" s="58" t="s">
        <v>2875</v>
      </c>
      <c r="C1927" s="59">
        <v>-14.1710775452171</v>
      </c>
      <c r="D1927" s="59">
        <v>-44.545668858122248</v>
      </c>
    </row>
    <row r="1928" spans="1:4" x14ac:dyDescent="0.3">
      <c r="A1928" s="58">
        <v>2908200</v>
      </c>
      <c r="B1928" s="58" t="s">
        <v>2876</v>
      </c>
      <c r="C1928" s="59">
        <v>-12.503991911881004</v>
      </c>
      <c r="D1928" s="59">
        <v>-38.999780798243741</v>
      </c>
    </row>
    <row r="1929" spans="1:4" x14ac:dyDescent="0.3">
      <c r="A1929" s="58">
        <v>2908309</v>
      </c>
      <c r="B1929" s="58" t="s">
        <v>2877</v>
      </c>
      <c r="C1929" s="59">
        <v>-12.778020322423602</v>
      </c>
      <c r="D1929" s="59">
        <v>-39.170946449376309</v>
      </c>
    </row>
    <row r="1930" spans="1:4" x14ac:dyDescent="0.3">
      <c r="A1930" s="58">
        <v>2908408</v>
      </c>
      <c r="B1930" s="58" t="s">
        <v>2878</v>
      </c>
      <c r="C1930" s="59">
        <v>-11.561825845863401</v>
      </c>
      <c r="D1930" s="59">
        <v>-39.281684178227799</v>
      </c>
    </row>
    <row r="1931" spans="1:4" x14ac:dyDescent="0.3">
      <c r="A1931" s="58">
        <v>2908507</v>
      </c>
      <c r="B1931" s="58" t="s">
        <v>2879</v>
      </c>
      <c r="C1931" s="59">
        <v>-12.322946459029003</v>
      </c>
      <c r="D1931" s="59">
        <v>-38.763673716522725</v>
      </c>
    </row>
    <row r="1932" spans="1:4" x14ac:dyDescent="0.3">
      <c r="A1932" s="58">
        <v>2908606</v>
      </c>
      <c r="B1932" s="58" t="s">
        <v>2302</v>
      </c>
      <c r="C1932" s="59">
        <v>-11.813431761046251</v>
      </c>
      <c r="D1932" s="59">
        <v>-37.606977982063093</v>
      </c>
    </row>
    <row r="1933" spans="1:4" x14ac:dyDescent="0.3">
      <c r="A1933" s="58">
        <v>2908705</v>
      </c>
      <c r="B1933" s="58" t="s">
        <v>2880</v>
      </c>
      <c r="C1933" s="59">
        <v>-14.890410364848451</v>
      </c>
      <c r="D1933" s="59">
        <v>-41.970809538344703</v>
      </c>
    </row>
    <row r="1934" spans="1:4" x14ac:dyDescent="0.3">
      <c r="A1934" s="58">
        <v>2908804</v>
      </c>
      <c r="B1934" s="58" t="s">
        <v>2881</v>
      </c>
      <c r="C1934" s="59">
        <v>-13.755496827895552</v>
      </c>
      <c r="D1934" s="59">
        <v>-41.046318063950856</v>
      </c>
    </row>
    <row r="1935" spans="1:4" x14ac:dyDescent="0.3">
      <c r="A1935" s="58">
        <v>2908903</v>
      </c>
      <c r="B1935" s="58" t="s">
        <v>2882</v>
      </c>
      <c r="C1935" s="59">
        <v>-12.247921010061477</v>
      </c>
      <c r="D1935" s="59">
        <v>-38.750516547366608</v>
      </c>
    </row>
    <row r="1936" spans="1:4" x14ac:dyDescent="0.3">
      <c r="A1936" s="58">
        <v>2909000</v>
      </c>
      <c r="B1936" s="58" t="s">
        <v>2883</v>
      </c>
      <c r="C1936" s="59">
        <v>-15.037234108912804</v>
      </c>
      <c r="D1936" s="59">
        <v>-41.935733906734804</v>
      </c>
    </row>
    <row r="1937" spans="1:4" x14ac:dyDescent="0.3">
      <c r="A1937" s="58">
        <v>2909109</v>
      </c>
      <c r="B1937" s="58" t="s">
        <v>2884</v>
      </c>
      <c r="C1937" s="59">
        <v>-13.827841605821453</v>
      </c>
      <c r="D1937" s="59">
        <v>-44.453036434916868</v>
      </c>
    </row>
    <row r="1938" spans="1:4" x14ac:dyDescent="0.3">
      <c r="A1938" s="58">
        <v>2909208</v>
      </c>
      <c r="B1938" s="58" t="s">
        <v>2885</v>
      </c>
      <c r="C1938" s="59">
        <v>-10.279395400226003</v>
      </c>
      <c r="D1938" s="59">
        <v>-37.932964337614095</v>
      </c>
    </row>
    <row r="1939" spans="1:4" x14ac:dyDescent="0.3">
      <c r="A1939" s="58">
        <v>2909307</v>
      </c>
      <c r="B1939" s="58" t="s">
        <v>2886</v>
      </c>
      <c r="C1939" s="59">
        <v>-13.341771821210504</v>
      </c>
      <c r="D1939" s="59">
        <v>-44.641086701211037</v>
      </c>
    </row>
    <row r="1940" spans="1:4" x14ac:dyDescent="0.3">
      <c r="A1940" s="58">
        <v>2909406</v>
      </c>
      <c r="B1940" s="58" t="s">
        <v>2887</v>
      </c>
      <c r="C1940" s="59">
        <v>-12.028597383615502</v>
      </c>
      <c r="D1940" s="59">
        <v>-44.252476137662278</v>
      </c>
    </row>
    <row r="1941" spans="1:4" x14ac:dyDescent="0.3">
      <c r="A1941" s="58">
        <v>2909505</v>
      </c>
      <c r="B1941" s="58" t="s">
        <v>2888</v>
      </c>
      <c r="C1941" s="59">
        <v>-13.362623064040301</v>
      </c>
      <c r="D1941" s="59">
        <v>-39.812711748674609</v>
      </c>
    </row>
    <row r="1942" spans="1:4" x14ac:dyDescent="0.3">
      <c r="A1942" s="58">
        <v>2909604</v>
      </c>
      <c r="B1942" s="58" t="s">
        <v>2889</v>
      </c>
      <c r="C1942" s="59">
        <v>-11.517789923610101</v>
      </c>
      <c r="D1942" s="59">
        <v>-38.151715817306645</v>
      </c>
    </row>
    <row r="1943" spans="1:4" x14ac:dyDescent="0.3">
      <c r="A1943" s="58">
        <v>2909703</v>
      </c>
      <c r="B1943" s="58" t="s">
        <v>2890</v>
      </c>
      <c r="C1943" s="59">
        <v>-12.231450808966203</v>
      </c>
      <c r="D1943" s="59">
        <v>-44.41184189629999</v>
      </c>
    </row>
    <row r="1944" spans="1:4" x14ac:dyDescent="0.3">
      <c r="A1944" s="58">
        <v>2909802</v>
      </c>
      <c r="B1944" s="58" t="s">
        <v>2891</v>
      </c>
      <c r="C1944" s="59">
        <v>-12.663786212775701</v>
      </c>
      <c r="D1944" s="59">
        <v>-39.100736142830577</v>
      </c>
    </row>
    <row r="1945" spans="1:4" x14ac:dyDescent="0.3">
      <c r="A1945" s="58">
        <v>2909901</v>
      </c>
      <c r="B1945" s="58" t="s">
        <v>2892</v>
      </c>
      <c r="C1945" s="59">
        <v>-8.9890321179735455</v>
      </c>
      <c r="D1945" s="59">
        <v>-39.908081018942994</v>
      </c>
    </row>
    <row r="1946" spans="1:4" x14ac:dyDescent="0.3">
      <c r="A1946" s="58">
        <v>2910008</v>
      </c>
      <c r="B1946" s="58" t="s">
        <v>2893</v>
      </c>
      <c r="C1946" s="59">
        <v>-14.435047438823503</v>
      </c>
      <c r="D1946" s="59">
        <v>-39.902465652841265</v>
      </c>
    </row>
    <row r="1947" spans="1:4" x14ac:dyDescent="0.3">
      <c r="A1947" s="58">
        <v>2910057</v>
      </c>
      <c r="B1947" s="58" t="s">
        <v>2894</v>
      </c>
      <c r="C1947" s="59">
        <v>-12.604368416820503</v>
      </c>
      <c r="D1947" s="59">
        <v>-38.297993589850769</v>
      </c>
    </row>
    <row r="1948" spans="1:4" x14ac:dyDescent="0.3">
      <c r="A1948" s="58">
        <v>2910107</v>
      </c>
      <c r="B1948" s="58" t="s">
        <v>2895</v>
      </c>
      <c r="C1948" s="59">
        <v>-13.763326554577052</v>
      </c>
      <c r="D1948" s="59">
        <v>-41.770877580695718</v>
      </c>
    </row>
    <row r="1949" spans="1:4" x14ac:dyDescent="0.3">
      <c r="A1949" s="58">
        <v>2910206</v>
      </c>
      <c r="B1949" s="58" t="s">
        <v>2896</v>
      </c>
      <c r="C1949" s="59">
        <v>-12.911489262312953</v>
      </c>
      <c r="D1949" s="59">
        <v>-39.188094169582037</v>
      </c>
    </row>
    <row r="1950" spans="1:4" x14ac:dyDescent="0.3">
      <c r="A1950" s="58">
        <v>2910305</v>
      </c>
      <c r="B1950" s="58" t="s">
        <v>2897</v>
      </c>
      <c r="C1950" s="59">
        <v>-12.943325838209265</v>
      </c>
      <c r="D1950" s="59">
        <v>-39.520485555149584</v>
      </c>
    </row>
    <row r="1951" spans="1:4" x14ac:dyDescent="0.3">
      <c r="A1951" s="58">
        <v>2910404</v>
      </c>
      <c r="B1951" s="58" t="s">
        <v>2898</v>
      </c>
      <c r="C1951" s="59">
        <v>-15.534580180260704</v>
      </c>
      <c r="D1951" s="59">
        <v>-40.90912075011142</v>
      </c>
    </row>
    <row r="1952" spans="1:4" x14ac:dyDescent="0.3">
      <c r="A1952" s="58">
        <v>2910503</v>
      </c>
      <c r="B1952" s="58" t="s">
        <v>2899</v>
      </c>
      <c r="C1952" s="59">
        <v>-11.93726137044335</v>
      </c>
      <c r="D1952" s="59">
        <v>-38.078777019755954</v>
      </c>
    </row>
    <row r="1953" spans="1:4" x14ac:dyDescent="0.3">
      <c r="A1953" s="58">
        <v>2910602</v>
      </c>
      <c r="B1953" s="58" t="s">
        <v>2900</v>
      </c>
      <c r="C1953" s="59">
        <v>-11.799409496062001</v>
      </c>
      <c r="D1953" s="59">
        <v>-37.944981474098562</v>
      </c>
    </row>
    <row r="1954" spans="1:4" x14ac:dyDescent="0.3">
      <c r="A1954" s="58">
        <v>2910701</v>
      </c>
      <c r="B1954" s="58" t="s">
        <v>2901</v>
      </c>
      <c r="C1954" s="59">
        <v>-10.505818063651901</v>
      </c>
      <c r="D1954" s="59">
        <v>-39.014248725136277</v>
      </c>
    </row>
    <row r="1955" spans="1:4" x14ac:dyDescent="0.3">
      <c r="A1955" s="58">
        <v>2910727</v>
      </c>
      <c r="B1955" s="58" t="s">
        <v>2902</v>
      </c>
      <c r="C1955" s="59">
        <v>-16.375167232256405</v>
      </c>
      <c r="D1955" s="59">
        <v>-39.584171940986373</v>
      </c>
    </row>
    <row r="1956" spans="1:4" x14ac:dyDescent="0.3">
      <c r="A1956" s="58">
        <v>2910750</v>
      </c>
      <c r="B1956" s="58" t="s">
        <v>1388</v>
      </c>
      <c r="C1956" s="59">
        <v>-10.600170214017341</v>
      </c>
      <c r="D1956" s="59">
        <v>-38.20867478286295</v>
      </c>
    </row>
    <row r="1957" spans="1:4" x14ac:dyDescent="0.3">
      <c r="A1957" s="58">
        <v>2910776</v>
      </c>
      <c r="B1957" s="58" t="s">
        <v>2903</v>
      </c>
      <c r="C1957" s="59">
        <v>-14.210564505837151</v>
      </c>
      <c r="D1957" s="59">
        <v>-44.283463938437031</v>
      </c>
    </row>
    <row r="1958" spans="1:4" x14ac:dyDescent="0.3">
      <c r="A1958" s="58">
        <v>2910800</v>
      </c>
      <c r="B1958" s="58" t="s">
        <v>2904</v>
      </c>
      <c r="C1958" s="59">
        <v>-12.229284252480051</v>
      </c>
      <c r="D1958" s="59">
        <v>-38.960033096321361</v>
      </c>
    </row>
    <row r="1959" spans="1:4" x14ac:dyDescent="0.3">
      <c r="A1959" s="58">
        <v>2910859</v>
      </c>
      <c r="B1959" s="58" t="s">
        <v>1390</v>
      </c>
      <c r="C1959" s="59">
        <v>-10.738464109935251</v>
      </c>
      <c r="D1959" s="59">
        <v>-40.137826876783684</v>
      </c>
    </row>
    <row r="1960" spans="1:4" x14ac:dyDescent="0.3">
      <c r="A1960" s="58">
        <v>2910909</v>
      </c>
      <c r="B1960" s="58" t="s">
        <v>2905</v>
      </c>
      <c r="C1960" s="59">
        <v>-14.984935375252054</v>
      </c>
      <c r="D1960" s="59">
        <v>-39.921441763627179</v>
      </c>
    </row>
    <row r="1961" spans="1:4" x14ac:dyDescent="0.3">
      <c r="A1961" s="58">
        <v>2911006</v>
      </c>
      <c r="B1961" s="58" t="s">
        <v>2906</v>
      </c>
      <c r="C1961" s="59">
        <v>-14.862798396622702</v>
      </c>
      <c r="D1961" s="59">
        <v>-39.656523587408863</v>
      </c>
    </row>
    <row r="1962" spans="1:4" x14ac:dyDescent="0.3">
      <c r="A1962" s="58">
        <v>2911105</v>
      </c>
      <c r="B1962" s="58" t="s">
        <v>2907</v>
      </c>
      <c r="C1962" s="59">
        <v>-11.047032490667902</v>
      </c>
      <c r="D1962" s="59">
        <v>-45.19099090972896</v>
      </c>
    </row>
    <row r="1963" spans="1:4" x14ac:dyDescent="0.3">
      <c r="A1963" s="58">
        <v>2911204</v>
      </c>
      <c r="B1963" s="58" t="s">
        <v>2908</v>
      </c>
      <c r="C1963" s="59">
        <v>-13.743780788511252</v>
      </c>
      <c r="D1963" s="59">
        <v>-39.486324079291784</v>
      </c>
    </row>
    <row r="1964" spans="1:4" x14ac:dyDescent="0.3">
      <c r="A1964" s="58">
        <v>2911253</v>
      </c>
      <c r="B1964" s="58" t="s">
        <v>2909</v>
      </c>
      <c r="C1964" s="59">
        <v>-11.47089545912525</v>
      </c>
      <c r="D1964" s="59">
        <v>-39.786112929978991</v>
      </c>
    </row>
    <row r="1965" spans="1:4" x14ac:dyDescent="0.3">
      <c r="A1965" s="58">
        <v>2911303</v>
      </c>
      <c r="B1965" s="58" t="s">
        <v>2910</v>
      </c>
      <c r="C1965" s="59">
        <v>-11.427531312749851</v>
      </c>
      <c r="D1965" s="59">
        <v>-42.504742386103111</v>
      </c>
    </row>
    <row r="1966" spans="1:4" x14ac:dyDescent="0.3">
      <c r="A1966" s="58">
        <v>2911402</v>
      </c>
      <c r="B1966" s="58" t="s">
        <v>2911</v>
      </c>
      <c r="C1966" s="59">
        <v>-9.3401731836454491</v>
      </c>
      <c r="D1966" s="59">
        <v>-38.259273230104071</v>
      </c>
    </row>
    <row r="1967" spans="1:4" x14ac:dyDescent="0.3">
      <c r="A1967" s="58">
        <v>2911501</v>
      </c>
      <c r="B1967" s="58" t="s">
        <v>2912</v>
      </c>
      <c r="C1967" s="59">
        <v>-14.323713299330052</v>
      </c>
      <c r="D1967" s="59">
        <v>-39.467239654953104</v>
      </c>
    </row>
    <row r="1968" spans="1:4" x14ac:dyDescent="0.3">
      <c r="A1968" s="58">
        <v>2911600</v>
      </c>
      <c r="B1968" s="58" t="s">
        <v>2913</v>
      </c>
      <c r="C1968" s="59">
        <v>-12.601553838444952</v>
      </c>
      <c r="D1968" s="59">
        <v>-39.034023614801306</v>
      </c>
    </row>
    <row r="1969" spans="1:4" x14ac:dyDescent="0.3">
      <c r="A1969" s="58">
        <v>2911659</v>
      </c>
      <c r="B1969" s="58" t="s">
        <v>2914</v>
      </c>
      <c r="C1969" s="59">
        <v>-14.546962271672252</v>
      </c>
      <c r="D1969" s="59">
        <v>-41.937148166857533</v>
      </c>
    </row>
    <row r="1970" spans="1:4" x14ac:dyDescent="0.3">
      <c r="A1970" s="58">
        <v>2911709</v>
      </c>
      <c r="B1970" s="58" t="s">
        <v>2915</v>
      </c>
      <c r="C1970" s="59">
        <v>-14.225315027007552</v>
      </c>
      <c r="D1970" s="59">
        <v>-42.778561966705404</v>
      </c>
    </row>
    <row r="1971" spans="1:4" x14ac:dyDescent="0.3">
      <c r="A1971" s="58">
        <v>2911808</v>
      </c>
      <c r="B1971" s="58" t="s">
        <v>2916</v>
      </c>
      <c r="C1971" s="59">
        <v>-16.581216035563052</v>
      </c>
      <c r="D1971" s="59">
        <v>-39.781284470783838</v>
      </c>
    </row>
    <row r="1972" spans="1:4" x14ac:dyDescent="0.3">
      <c r="A1972" s="58">
        <v>2911857</v>
      </c>
      <c r="B1972" s="58" t="s">
        <v>2917</v>
      </c>
      <c r="C1972" s="59">
        <v>-10.675298788028451</v>
      </c>
      <c r="D1972" s="59">
        <v>-38.280233042269721</v>
      </c>
    </row>
    <row r="1973" spans="1:4" x14ac:dyDescent="0.3">
      <c r="A1973" s="58">
        <v>2911907</v>
      </c>
      <c r="B1973" s="58" t="s">
        <v>2918</v>
      </c>
      <c r="C1973" s="59">
        <v>-12.769137786530601</v>
      </c>
      <c r="D1973" s="59">
        <v>-40.213365234988821</v>
      </c>
    </row>
    <row r="1974" spans="1:4" x14ac:dyDescent="0.3">
      <c r="A1974" s="58">
        <v>2912004</v>
      </c>
      <c r="B1974" s="58" t="s">
        <v>2919</v>
      </c>
      <c r="C1974" s="59">
        <v>-14.276702534528114</v>
      </c>
      <c r="D1974" s="59">
        <v>-42.255774354665228</v>
      </c>
    </row>
    <row r="1975" spans="1:4" x14ac:dyDescent="0.3">
      <c r="A1975" s="58">
        <v>2912103</v>
      </c>
      <c r="B1975" s="58" t="s">
        <v>2920</v>
      </c>
      <c r="C1975" s="59">
        <v>-14.865763141379302</v>
      </c>
      <c r="D1975" s="59">
        <v>-39.591541203488141</v>
      </c>
    </row>
    <row r="1976" spans="1:4" x14ac:dyDescent="0.3">
      <c r="A1976" s="58">
        <v>2912202</v>
      </c>
      <c r="B1976" s="58" t="s">
        <v>2921</v>
      </c>
      <c r="C1976" s="59">
        <v>-13.426327208778304</v>
      </c>
      <c r="D1976" s="59">
        <v>-41.272065808078452</v>
      </c>
    </row>
    <row r="1977" spans="1:4" x14ac:dyDescent="0.3">
      <c r="A1977" s="58">
        <v>2912301</v>
      </c>
      <c r="B1977" s="58" t="s">
        <v>2922</v>
      </c>
      <c r="C1977" s="59">
        <v>-14.843090365087551</v>
      </c>
      <c r="D1977" s="59">
        <v>-39.989832105684719</v>
      </c>
    </row>
    <row r="1978" spans="1:4" x14ac:dyDescent="0.3">
      <c r="A1978" s="58">
        <v>2912400</v>
      </c>
      <c r="B1978" s="58" t="s">
        <v>2923</v>
      </c>
      <c r="C1978" s="59">
        <v>-11.637526443155751</v>
      </c>
      <c r="D1978" s="59">
        <v>-42.011248439896015</v>
      </c>
    </row>
    <row r="1979" spans="1:4" x14ac:dyDescent="0.3">
      <c r="A1979" s="58">
        <v>2912509</v>
      </c>
      <c r="B1979" s="58" t="s">
        <v>2924</v>
      </c>
      <c r="C1979" s="59">
        <v>-12.879106145324203</v>
      </c>
      <c r="D1979" s="59">
        <v>-42.491228741241834</v>
      </c>
    </row>
    <row r="1980" spans="1:4" x14ac:dyDescent="0.3">
      <c r="A1980" s="58">
        <v>2912608</v>
      </c>
      <c r="B1980" s="58" t="s">
        <v>2925</v>
      </c>
      <c r="C1980" s="59">
        <v>-12.64992861262135</v>
      </c>
      <c r="D1980" s="59">
        <v>-40.93542100189206</v>
      </c>
    </row>
    <row r="1981" spans="1:4" x14ac:dyDescent="0.3">
      <c r="A1981" s="58">
        <v>2912707</v>
      </c>
      <c r="B1981" s="58" t="s">
        <v>2926</v>
      </c>
      <c r="C1981" s="59">
        <v>-14.165032496122503</v>
      </c>
      <c r="D1981" s="59">
        <v>-39.374466532740122</v>
      </c>
    </row>
    <row r="1982" spans="1:4" x14ac:dyDescent="0.3">
      <c r="A1982" s="58">
        <v>2912806</v>
      </c>
      <c r="B1982" s="58" t="s">
        <v>2927</v>
      </c>
      <c r="C1982" s="59">
        <v>-17.684197144216451</v>
      </c>
      <c r="D1982" s="59">
        <v>-40.106309411541893</v>
      </c>
    </row>
    <row r="1983" spans="1:4" x14ac:dyDescent="0.3">
      <c r="A1983" s="58">
        <v>2912905</v>
      </c>
      <c r="B1983" s="58" t="s">
        <v>2928</v>
      </c>
      <c r="C1983" s="59">
        <v>-14.067269080810652</v>
      </c>
      <c r="D1983" s="59">
        <v>-39.640918888922776</v>
      </c>
    </row>
    <row r="1984" spans="1:4" x14ac:dyDescent="0.3">
      <c r="A1984" s="58">
        <v>2913002</v>
      </c>
      <c r="B1984" s="58" t="s">
        <v>2929</v>
      </c>
      <c r="C1984" s="59">
        <v>-12.645513704239152</v>
      </c>
      <c r="D1984" s="59">
        <v>-42.213294323498964</v>
      </c>
    </row>
    <row r="1985" spans="1:4" x14ac:dyDescent="0.3">
      <c r="A1985" s="58">
        <v>2913101</v>
      </c>
      <c r="B1985" s="58" t="s">
        <v>2930</v>
      </c>
      <c r="C1985" s="59">
        <v>-11.5527707224075</v>
      </c>
      <c r="D1985" s="59">
        <v>-41.975152150074464</v>
      </c>
    </row>
    <row r="1986" spans="1:4" x14ac:dyDescent="0.3">
      <c r="A1986" s="58">
        <v>2913200</v>
      </c>
      <c r="B1986" s="58" t="s">
        <v>2931</v>
      </c>
      <c r="C1986" s="59">
        <v>-12.184013569044852</v>
      </c>
      <c r="D1986" s="59">
        <v>-43.218696264965466</v>
      </c>
    </row>
    <row r="1987" spans="1:4" x14ac:dyDescent="0.3">
      <c r="A1987" s="58">
        <v>2913309</v>
      </c>
      <c r="B1987" s="58" t="s">
        <v>2932</v>
      </c>
      <c r="C1987" s="59">
        <v>-11.755249873667502</v>
      </c>
      <c r="D1987" s="59">
        <v>-39.188716305461874</v>
      </c>
    </row>
    <row r="1988" spans="1:4" x14ac:dyDescent="0.3">
      <c r="A1988" s="58">
        <v>2913408</v>
      </c>
      <c r="B1988" s="58" t="s">
        <v>2933</v>
      </c>
      <c r="C1988" s="59">
        <v>-13.767976477529253</v>
      </c>
      <c r="D1988" s="59">
        <v>-42.717879807498925</v>
      </c>
    </row>
    <row r="1989" spans="1:4" x14ac:dyDescent="0.3">
      <c r="A1989" s="58">
        <v>2913457</v>
      </c>
      <c r="B1989" s="58" t="s">
        <v>2934</v>
      </c>
      <c r="C1989" s="59">
        <v>-13.820402442339702</v>
      </c>
      <c r="D1989" s="59">
        <v>-39.140080797871605</v>
      </c>
    </row>
    <row r="1990" spans="1:4" x14ac:dyDescent="0.3">
      <c r="A1990" s="58">
        <v>2913507</v>
      </c>
      <c r="B1990" s="58" t="s">
        <v>2935</v>
      </c>
      <c r="C1990" s="59">
        <v>-14.757962525569752</v>
      </c>
      <c r="D1990" s="59">
        <v>-40.097513450570716</v>
      </c>
    </row>
    <row r="1991" spans="1:4" x14ac:dyDescent="0.3">
      <c r="A1991" s="58">
        <v>2913606</v>
      </c>
      <c r="B1991" s="58" t="s">
        <v>2936</v>
      </c>
      <c r="C1991" s="59">
        <v>-14.793320269725204</v>
      </c>
      <c r="D1991" s="59">
        <v>-39.043184286942569</v>
      </c>
    </row>
    <row r="1992" spans="1:4" x14ac:dyDescent="0.3">
      <c r="A1992" s="58">
        <v>2913705</v>
      </c>
      <c r="B1992" s="58" t="s">
        <v>2937</v>
      </c>
      <c r="C1992" s="59">
        <v>-11.789127464093202</v>
      </c>
      <c r="D1992" s="59">
        <v>-38.354019270603196</v>
      </c>
    </row>
    <row r="1993" spans="1:4" x14ac:dyDescent="0.3">
      <c r="A1993" s="58">
        <v>2913804</v>
      </c>
      <c r="B1993" s="58" t="s">
        <v>2938</v>
      </c>
      <c r="C1993" s="59">
        <v>-12.314199306347101</v>
      </c>
      <c r="D1993" s="59">
        <v>-39.306025638363387</v>
      </c>
    </row>
    <row r="1994" spans="1:4" x14ac:dyDescent="0.3">
      <c r="A1994" s="58">
        <v>2913903</v>
      </c>
      <c r="B1994" s="58" t="s">
        <v>2939</v>
      </c>
      <c r="C1994" s="59">
        <v>-14.137473671262853</v>
      </c>
      <c r="D1994" s="59">
        <v>-39.735654180210098</v>
      </c>
    </row>
    <row r="1995" spans="1:4" x14ac:dyDescent="0.3">
      <c r="A1995" s="58">
        <v>2914000</v>
      </c>
      <c r="B1995" s="58" t="s">
        <v>2940</v>
      </c>
      <c r="C1995" s="59">
        <v>-12.160286880895702</v>
      </c>
      <c r="D1995" s="59">
        <v>-39.740708484939567</v>
      </c>
    </row>
    <row r="1996" spans="1:4" x14ac:dyDescent="0.3">
      <c r="A1996" s="58">
        <v>2914109</v>
      </c>
      <c r="B1996" s="58" t="s">
        <v>2941</v>
      </c>
      <c r="C1996" s="59">
        <v>-11.828827400865354</v>
      </c>
      <c r="D1996" s="59">
        <v>-42.610688853898147</v>
      </c>
    </row>
    <row r="1997" spans="1:4" x14ac:dyDescent="0.3">
      <c r="A1997" s="58">
        <v>2914208</v>
      </c>
      <c r="B1997" s="58" t="s">
        <v>2942</v>
      </c>
      <c r="C1997" s="59">
        <v>-13.256610153351053</v>
      </c>
      <c r="D1997" s="59">
        <v>-40.083851800912818</v>
      </c>
    </row>
    <row r="1998" spans="1:4" x14ac:dyDescent="0.3">
      <c r="A1998" s="58">
        <v>2914307</v>
      </c>
      <c r="B1998" s="58" t="s">
        <v>2943</v>
      </c>
      <c r="C1998" s="59">
        <v>-13.293651193414151</v>
      </c>
      <c r="D1998" s="59">
        <v>-40.969582478347569</v>
      </c>
    </row>
    <row r="1999" spans="1:4" x14ac:dyDescent="0.3">
      <c r="A1999" s="58">
        <v>2914406</v>
      </c>
      <c r="B1999" s="58" t="s">
        <v>2944</v>
      </c>
      <c r="C1999" s="59">
        <v>-12.243501016417552</v>
      </c>
      <c r="D1999" s="59">
        <v>-41.617958857391159</v>
      </c>
    </row>
    <row r="2000" spans="1:4" x14ac:dyDescent="0.3">
      <c r="A2000" s="58">
        <v>2914505</v>
      </c>
      <c r="B2000" s="58" t="s">
        <v>2945</v>
      </c>
      <c r="C2000" s="59">
        <v>-12.033703963162552</v>
      </c>
      <c r="D2000" s="59">
        <v>-38.771650778379446</v>
      </c>
    </row>
    <row r="2001" spans="1:4" x14ac:dyDescent="0.3">
      <c r="A2001" s="58">
        <v>2914604</v>
      </c>
      <c r="B2001" s="58" t="s">
        <v>2946</v>
      </c>
      <c r="C2001" s="59">
        <v>-11.303379624294402</v>
      </c>
      <c r="D2001" s="59">
        <v>-41.858860475861192</v>
      </c>
    </row>
    <row r="2002" spans="1:4" x14ac:dyDescent="0.3">
      <c r="A2002" s="58">
        <v>2914653</v>
      </c>
      <c r="B2002" s="58" t="s">
        <v>2947</v>
      </c>
      <c r="C2002" s="59">
        <v>-16.575836056751353</v>
      </c>
      <c r="D2002" s="59">
        <v>-39.553237775079573</v>
      </c>
    </row>
    <row r="2003" spans="1:4" x14ac:dyDescent="0.3">
      <c r="A2003" s="58">
        <v>2914703</v>
      </c>
      <c r="B2003" s="58" t="s">
        <v>2948</v>
      </c>
      <c r="C2003" s="59">
        <v>-12.532254088978704</v>
      </c>
      <c r="D2003" s="59">
        <v>-40.306994919739992</v>
      </c>
    </row>
    <row r="2004" spans="1:4" x14ac:dyDescent="0.3">
      <c r="A2004" s="58">
        <v>2914802</v>
      </c>
      <c r="B2004" s="58" t="s">
        <v>2949</v>
      </c>
      <c r="C2004" s="59">
        <v>-14.789039548603002</v>
      </c>
      <c r="D2004" s="59">
        <v>-39.273108952008137</v>
      </c>
    </row>
    <row r="2005" spans="1:4" x14ac:dyDescent="0.3">
      <c r="A2005" s="58">
        <v>2914901</v>
      </c>
      <c r="B2005" s="58" t="s">
        <v>2950</v>
      </c>
      <c r="C2005" s="59">
        <v>-14.278249285586952</v>
      </c>
      <c r="D2005" s="59">
        <v>-38.994841553101793</v>
      </c>
    </row>
    <row r="2006" spans="1:4" x14ac:dyDescent="0.3">
      <c r="A2006" s="58">
        <v>2915007</v>
      </c>
      <c r="B2006" s="58" t="s">
        <v>2951</v>
      </c>
      <c r="C2006" s="59">
        <v>-12.982033994503801</v>
      </c>
      <c r="D2006" s="59">
        <v>-40.963418774905797</v>
      </c>
    </row>
    <row r="2007" spans="1:4" x14ac:dyDescent="0.3">
      <c r="A2007" s="58">
        <v>2915106</v>
      </c>
      <c r="B2007" s="58" t="s">
        <v>2952</v>
      </c>
      <c r="C2007" s="59">
        <v>-14.161793717793554</v>
      </c>
      <c r="D2007" s="59">
        <v>-40.013624993101324</v>
      </c>
    </row>
    <row r="2008" spans="1:4" x14ac:dyDescent="0.3">
      <c r="A2008" s="58">
        <v>2915205</v>
      </c>
      <c r="B2008" s="58" t="s">
        <v>2953</v>
      </c>
      <c r="C2008" s="59">
        <v>-14.286514167771001</v>
      </c>
      <c r="D2008" s="59">
        <v>-39.848515556557331</v>
      </c>
    </row>
    <row r="2009" spans="1:4" x14ac:dyDescent="0.3">
      <c r="A2009" s="58">
        <v>2915304</v>
      </c>
      <c r="B2009" s="58" t="s">
        <v>2954</v>
      </c>
      <c r="C2009" s="59">
        <v>-16.088143275929955</v>
      </c>
      <c r="D2009" s="59">
        <v>-39.615191810910012</v>
      </c>
    </row>
    <row r="2010" spans="1:4" x14ac:dyDescent="0.3">
      <c r="A2010" s="58">
        <v>2915353</v>
      </c>
      <c r="B2010" s="58" t="s">
        <v>2955</v>
      </c>
      <c r="C2010" s="59">
        <v>-11.008722210369351</v>
      </c>
      <c r="D2010" s="59">
        <v>-42.401157124259548</v>
      </c>
    </row>
    <row r="2011" spans="1:4" x14ac:dyDescent="0.3">
      <c r="A2011" s="58">
        <v>2915403</v>
      </c>
      <c r="B2011" s="58" t="s">
        <v>2956</v>
      </c>
      <c r="C2011" s="59">
        <v>-15.140193552404201</v>
      </c>
      <c r="D2011" s="59">
        <v>-39.724724614929691</v>
      </c>
    </row>
    <row r="2012" spans="1:4" x14ac:dyDescent="0.3">
      <c r="A2012" s="58">
        <v>2915502</v>
      </c>
      <c r="B2012" s="58" t="s">
        <v>2957</v>
      </c>
      <c r="C2012" s="59">
        <v>-14.678018989783451</v>
      </c>
      <c r="D2012" s="59">
        <v>-39.381788154100867</v>
      </c>
    </row>
    <row r="2013" spans="1:4" x14ac:dyDescent="0.3">
      <c r="A2013" s="58">
        <v>2915601</v>
      </c>
      <c r="B2013" s="58" t="s">
        <v>2958</v>
      </c>
      <c r="C2013" s="59">
        <v>-17.042337599666052</v>
      </c>
      <c r="D2013" s="59">
        <v>-39.533039884554775</v>
      </c>
    </row>
    <row r="2014" spans="1:4" x14ac:dyDescent="0.3">
      <c r="A2014" s="58">
        <v>2915700</v>
      </c>
      <c r="B2014" s="58" t="s">
        <v>2959</v>
      </c>
      <c r="C2014" s="59">
        <v>-13.774836755857001</v>
      </c>
      <c r="D2014" s="59">
        <v>-39.676348346946661</v>
      </c>
    </row>
    <row r="2015" spans="1:4" x14ac:dyDescent="0.3">
      <c r="A2015" s="58">
        <v>2915809</v>
      </c>
      <c r="B2015" s="58" t="s">
        <v>2525</v>
      </c>
      <c r="C2015" s="59">
        <v>-15.248019193977154</v>
      </c>
      <c r="D2015" s="59">
        <v>-40.624041722375161</v>
      </c>
    </row>
    <row r="2016" spans="1:4" x14ac:dyDescent="0.3">
      <c r="A2016" s="58">
        <v>2915908</v>
      </c>
      <c r="B2016" s="58" t="s">
        <v>2960</v>
      </c>
      <c r="C2016" s="59">
        <v>-12.268163143855002</v>
      </c>
      <c r="D2016" s="59">
        <v>-38.038180941193751</v>
      </c>
    </row>
    <row r="2017" spans="1:4" x14ac:dyDescent="0.3">
      <c r="A2017" s="58">
        <v>2916005</v>
      </c>
      <c r="B2017" s="58" t="s">
        <v>2961</v>
      </c>
      <c r="C2017" s="59">
        <v>-17.166332903688055</v>
      </c>
      <c r="D2017" s="59">
        <v>-40.327048648975747</v>
      </c>
    </row>
    <row r="2018" spans="1:4" x14ac:dyDescent="0.3">
      <c r="A2018" s="58">
        <v>2916104</v>
      </c>
      <c r="B2018" s="58" t="s">
        <v>2962</v>
      </c>
      <c r="C2018" s="59">
        <v>-12.881489052820454</v>
      </c>
      <c r="D2018" s="59">
        <v>-38.684030311295238</v>
      </c>
    </row>
    <row r="2019" spans="1:4" x14ac:dyDescent="0.3">
      <c r="A2019" s="58">
        <v>2916203</v>
      </c>
      <c r="B2019" s="58" t="s">
        <v>2963</v>
      </c>
      <c r="C2019" s="59">
        <v>-14.894807960835953</v>
      </c>
      <c r="D2019" s="59">
        <v>-39.429962728367975</v>
      </c>
    </row>
    <row r="2020" spans="1:4" x14ac:dyDescent="0.3">
      <c r="A2020" s="58">
        <v>2916302</v>
      </c>
      <c r="B2020" s="58" t="s">
        <v>2964</v>
      </c>
      <c r="C2020" s="59">
        <v>-15.972166655067301</v>
      </c>
      <c r="D2020" s="59">
        <v>-39.528541392617846</v>
      </c>
    </row>
    <row r="2021" spans="1:4" x14ac:dyDescent="0.3">
      <c r="A2021" s="58">
        <v>2916401</v>
      </c>
      <c r="B2021" s="58" t="s">
        <v>2965</v>
      </c>
      <c r="C2021" s="59">
        <v>-15.246167188691953</v>
      </c>
      <c r="D2021" s="59">
        <v>-40.247380907236938</v>
      </c>
    </row>
    <row r="2022" spans="1:4" x14ac:dyDescent="0.3">
      <c r="A2022" s="58">
        <v>2916500</v>
      </c>
      <c r="B2022" s="58" t="s">
        <v>2966</v>
      </c>
      <c r="C2022" s="59">
        <v>-11.310952700575701</v>
      </c>
      <c r="D2022" s="59">
        <v>-38.218612375549021</v>
      </c>
    </row>
    <row r="2023" spans="1:4" x14ac:dyDescent="0.3">
      <c r="A2023" s="58">
        <v>2916609</v>
      </c>
      <c r="B2023" s="58" t="s">
        <v>2967</v>
      </c>
      <c r="C2023" s="59">
        <v>-14.421194738692805</v>
      </c>
      <c r="D2023" s="59">
        <v>-39.566361883711942</v>
      </c>
    </row>
    <row r="2024" spans="1:4" x14ac:dyDescent="0.3">
      <c r="A2024" s="58">
        <v>2916708</v>
      </c>
      <c r="B2024" s="58" t="s">
        <v>2968</v>
      </c>
      <c r="C2024" s="59">
        <v>-13.446409002767602</v>
      </c>
      <c r="D2024" s="59">
        <v>-39.938243593636621</v>
      </c>
    </row>
    <row r="2025" spans="1:4" x14ac:dyDescent="0.3">
      <c r="A2025" s="58">
        <v>2916807</v>
      </c>
      <c r="B2025" s="58" t="s">
        <v>2969</v>
      </c>
      <c r="C2025" s="59">
        <v>-15.657830041621654</v>
      </c>
      <c r="D2025" s="59">
        <v>-40.061545274388884</v>
      </c>
    </row>
    <row r="2026" spans="1:4" x14ac:dyDescent="0.3">
      <c r="A2026" s="58">
        <v>2916856</v>
      </c>
      <c r="B2026" s="58" t="s">
        <v>2970</v>
      </c>
      <c r="C2026" s="59">
        <v>-12.709246533084803</v>
      </c>
      <c r="D2026" s="59">
        <v>-39.703774606226411</v>
      </c>
    </row>
    <row r="2027" spans="1:4" x14ac:dyDescent="0.3">
      <c r="A2027" s="58">
        <v>2916906</v>
      </c>
      <c r="B2027" s="58" t="s">
        <v>2971</v>
      </c>
      <c r="C2027" s="59">
        <v>-13.532398607901852</v>
      </c>
      <c r="D2027" s="59">
        <v>-40.146172297657891</v>
      </c>
    </row>
    <row r="2028" spans="1:4" x14ac:dyDescent="0.3">
      <c r="A2028" s="58">
        <v>2917003</v>
      </c>
      <c r="B2028" s="58" t="s">
        <v>2972</v>
      </c>
      <c r="C2028" s="59">
        <v>-10.691901225650504</v>
      </c>
      <c r="D2028" s="59">
        <v>-39.853276974217898</v>
      </c>
    </row>
    <row r="2029" spans="1:4" x14ac:dyDescent="0.3">
      <c r="A2029" s="58">
        <v>2917102</v>
      </c>
      <c r="B2029" s="58" t="s">
        <v>2973</v>
      </c>
      <c r="C2029" s="59">
        <v>-15.119037314026153</v>
      </c>
      <c r="D2029" s="59">
        <v>-40.071703344215145</v>
      </c>
    </row>
    <row r="2030" spans="1:4" x14ac:dyDescent="0.3">
      <c r="A2030" s="58">
        <v>2917201</v>
      </c>
      <c r="B2030" s="58" t="s">
        <v>2974</v>
      </c>
      <c r="C2030" s="59">
        <v>-13.807407146167952</v>
      </c>
      <c r="D2030" s="59">
        <v>-41.310981527126408</v>
      </c>
    </row>
    <row r="2031" spans="1:4" x14ac:dyDescent="0.3">
      <c r="A2031" s="58">
        <v>2917300</v>
      </c>
      <c r="B2031" s="58" t="s">
        <v>2975</v>
      </c>
      <c r="C2031" s="59">
        <v>-13.736156905668253</v>
      </c>
      <c r="D2031" s="59">
        <v>-39.14904249185696</v>
      </c>
    </row>
    <row r="2032" spans="1:4" x14ac:dyDescent="0.3">
      <c r="A2032" s="58">
        <v>2917334</v>
      </c>
      <c r="B2032" s="58" t="s">
        <v>2976</v>
      </c>
      <c r="C2032" s="59">
        <v>-14.412146036422904</v>
      </c>
      <c r="D2032" s="59">
        <v>-43.556402615528967</v>
      </c>
    </row>
    <row r="2033" spans="1:4" x14ac:dyDescent="0.3">
      <c r="A2033" s="58">
        <v>2917359</v>
      </c>
      <c r="B2033" s="58" t="s">
        <v>2977</v>
      </c>
      <c r="C2033" s="59">
        <v>-13.625934001962055</v>
      </c>
      <c r="D2033" s="59">
        <v>-44.465969989656237</v>
      </c>
    </row>
    <row r="2034" spans="1:4" x14ac:dyDescent="0.3">
      <c r="A2034" s="58">
        <v>2917409</v>
      </c>
      <c r="B2034" s="58" t="s">
        <v>2978</v>
      </c>
      <c r="C2034" s="59">
        <v>-14.849190570209702</v>
      </c>
      <c r="D2034" s="59">
        <v>-42.430608770594553</v>
      </c>
    </row>
    <row r="2035" spans="1:4" x14ac:dyDescent="0.3">
      <c r="A2035" s="58">
        <v>2917508</v>
      </c>
      <c r="B2035" s="58" t="s">
        <v>2979</v>
      </c>
      <c r="C2035" s="59">
        <v>-11.185062160141854</v>
      </c>
      <c r="D2035" s="59">
        <v>-40.513017627870106</v>
      </c>
    </row>
    <row r="2036" spans="1:4" x14ac:dyDescent="0.3">
      <c r="A2036" s="58">
        <v>2917607</v>
      </c>
      <c r="B2036" s="58" t="s">
        <v>2980</v>
      </c>
      <c r="C2036" s="59">
        <v>-13.530698630843002</v>
      </c>
      <c r="D2036" s="59">
        <v>-39.970255183164312</v>
      </c>
    </row>
    <row r="2037" spans="1:4" x14ac:dyDescent="0.3">
      <c r="A2037" s="58">
        <v>2917706</v>
      </c>
      <c r="B2037" s="58" t="s">
        <v>2981</v>
      </c>
      <c r="C2037" s="59">
        <v>-10.262854259301552</v>
      </c>
      <c r="D2037" s="59">
        <v>-40.193611466193197</v>
      </c>
    </row>
    <row r="2038" spans="1:4" x14ac:dyDescent="0.3">
      <c r="A2038" s="58">
        <v>2917805</v>
      </c>
      <c r="B2038" s="58" t="s">
        <v>2982</v>
      </c>
      <c r="C2038" s="59">
        <v>-13.115063888382252</v>
      </c>
      <c r="D2038" s="59">
        <v>-38.891418627708809</v>
      </c>
    </row>
    <row r="2039" spans="1:4" x14ac:dyDescent="0.3">
      <c r="A2039" s="58">
        <v>2917904</v>
      </c>
      <c r="B2039" s="58" t="s">
        <v>2141</v>
      </c>
      <c r="C2039" s="59">
        <v>-11.565748473940852</v>
      </c>
      <c r="D2039" s="59">
        <v>-37.78686849122969</v>
      </c>
    </row>
    <row r="2040" spans="1:4" x14ac:dyDescent="0.3">
      <c r="A2040" s="58">
        <v>2918001</v>
      </c>
      <c r="B2040" s="58" t="s">
        <v>2983</v>
      </c>
      <c r="C2040" s="59">
        <v>-13.855664007664052</v>
      </c>
      <c r="D2040" s="59">
        <v>-40.088607327476304</v>
      </c>
    </row>
    <row r="2041" spans="1:4" x14ac:dyDescent="0.3">
      <c r="A2041" s="58">
        <v>2918100</v>
      </c>
      <c r="B2041" s="58" t="s">
        <v>2984</v>
      </c>
      <c r="C2041" s="59">
        <v>-10.062242407624302</v>
      </c>
      <c r="D2041" s="59">
        <v>-38.351819146742642</v>
      </c>
    </row>
    <row r="2042" spans="1:4" x14ac:dyDescent="0.3">
      <c r="A2042" s="58">
        <v>2918209</v>
      </c>
      <c r="B2042" s="58" t="s">
        <v>2985</v>
      </c>
      <c r="C2042" s="59">
        <v>-13.252306349257401</v>
      </c>
      <c r="D2042" s="59">
        <v>-39.576501778112167</v>
      </c>
    </row>
    <row r="2043" spans="1:4" x14ac:dyDescent="0.3">
      <c r="A2043" s="58">
        <v>2918308</v>
      </c>
      <c r="B2043" s="58" t="s">
        <v>2986</v>
      </c>
      <c r="C2043" s="59">
        <v>-14.017428697909702</v>
      </c>
      <c r="D2043" s="59">
        <v>-39.889632176667071</v>
      </c>
    </row>
    <row r="2044" spans="1:4" x14ac:dyDescent="0.3">
      <c r="A2044" s="58">
        <v>2918357</v>
      </c>
      <c r="B2044" s="58" t="s">
        <v>2987</v>
      </c>
      <c r="C2044" s="59">
        <v>-11.346405224731203</v>
      </c>
      <c r="D2044" s="59">
        <v>-41.659989179783871</v>
      </c>
    </row>
    <row r="2045" spans="1:4" x14ac:dyDescent="0.3">
      <c r="A2045" s="58">
        <v>2918407</v>
      </c>
      <c r="B2045" s="58" t="s">
        <v>2988</v>
      </c>
      <c r="C2045" s="59">
        <v>-9.4107170962278648</v>
      </c>
      <c r="D2045" s="59">
        <v>-40.503552159443394</v>
      </c>
    </row>
    <row r="2046" spans="1:4" x14ac:dyDescent="0.3">
      <c r="A2046" s="58">
        <v>2918456</v>
      </c>
      <c r="B2046" s="58" t="s">
        <v>2989</v>
      </c>
      <c r="C2046" s="59">
        <v>-16.844516145811351</v>
      </c>
      <c r="D2046" s="59">
        <v>-40.158812629937984</v>
      </c>
    </row>
    <row r="2047" spans="1:4" x14ac:dyDescent="0.3">
      <c r="A2047" s="58">
        <v>2918506</v>
      </c>
      <c r="B2047" s="58" t="s">
        <v>2990</v>
      </c>
      <c r="C2047" s="59">
        <v>-11.05455494835252</v>
      </c>
      <c r="D2047" s="59">
        <v>-41.979731927547832</v>
      </c>
    </row>
    <row r="2048" spans="1:4" x14ac:dyDescent="0.3">
      <c r="A2048" s="58">
        <v>2918555</v>
      </c>
      <c r="B2048" s="58" t="s">
        <v>2991</v>
      </c>
      <c r="C2048" s="59">
        <v>-15.190456298928652</v>
      </c>
      <c r="D2048" s="59">
        <v>-39.494939866289627</v>
      </c>
    </row>
    <row r="2049" spans="1:4" x14ac:dyDescent="0.3">
      <c r="A2049" s="58">
        <v>2918605</v>
      </c>
      <c r="B2049" s="58" t="s">
        <v>2992</v>
      </c>
      <c r="C2049" s="59">
        <v>-13.512950342097202</v>
      </c>
      <c r="D2049" s="59">
        <v>-41.590142014589929</v>
      </c>
    </row>
    <row r="2050" spans="1:4" x14ac:dyDescent="0.3">
      <c r="A2050" s="58">
        <v>2918704</v>
      </c>
      <c r="B2050" s="58" t="s">
        <v>2993</v>
      </c>
      <c r="C2050" s="59">
        <v>-13.652999424807266</v>
      </c>
      <c r="D2050" s="59">
        <v>-40.210605882804714</v>
      </c>
    </row>
    <row r="2051" spans="1:4" x14ac:dyDescent="0.3">
      <c r="A2051" s="58">
        <v>2918753</v>
      </c>
      <c r="B2051" s="58" t="s">
        <v>2994</v>
      </c>
      <c r="C2051" s="59">
        <v>-14.030028985632951</v>
      </c>
      <c r="D2051" s="59">
        <v>-42.145711836375533</v>
      </c>
    </row>
    <row r="2052" spans="1:4" x14ac:dyDescent="0.3">
      <c r="A2052" s="58">
        <v>2918803</v>
      </c>
      <c r="B2052" s="58" t="s">
        <v>2995</v>
      </c>
      <c r="C2052" s="59">
        <v>-13.179648682466754</v>
      </c>
      <c r="D2052" s="59">
        <v>-39.427552152912035</v>
      </c>
    </row>
    <row r="2053" spans="1:4" x14ac:dyDescent="0.3">
      <c r="A2053" s="58">
        <v>2918902</v>
      </c>
      <c r="B2053" s="58" t="s">
        <v>2996</v>
      </c>
      <c r="C2053" s="59">
        <v>-17.612130937968104</v>
      </c>
      <c r="D2053" s="59">
        <v>-40.345846532080579</v>
      </c>
    </row>
    <row r="2054" spans="1:4" x14ac:dyDescent="0.3">
      <c r="A2054" s="58">
        <v>2919009</v>
      </c>
      <c r="B2054" s="58" t="s">
        <v>2997</v>
      </c>
      <c r="C2054" s="59">
        <v>-12.360374192943905</v>
      </c>
      <c r="D2054" s="59">
        <v>-40.90370997034703</v>
      </c>
    </row>
    <row r="2055" spans="1:4" x14ac:dyDescent="0.3">
      <c r="A2055" s="58">
        <v>2919058</v>
      </c>
      <c r="B2055" s="58" t="s">
        <v>2998</v>
      </c>
      <c r="C2055" s="59">
        <v>-13.472520003575653</v>
      </c>
      <c r="D2055" s="59">
        <v>-40.225229503190789</v>
      </c>
    </row>
    <row r="2056" spans="1:4" x14ac:dyDescent="0.3">
      <c r="A2056" s="58">
        <v>2919108</v>
      </c>
      <c r="B2056" s="58" t="s">
        <v>2999</v>
      </c>
      <c r="C2056" s="59">
        <v>-11.791577740375701</v>
      </c>
      <c r="D2056" s="59">
        <v>-38.892980333926459</v>
      </c>
    </row>
    <row r="2057" spans="1:4" x14ac:dyDescent="0.3">
      <c r="A2057" s="58">
        <v>2919157</v>
      </c>
      <c r="B2057" s="58" t="s">
        <v>3000</v>
      </c>
      <c r="C2057" s="59">
        <v>-11.380139053919802</v>
      </c>
      <c r="D2057" s="59">
        <v>-41.83190865338748</v>
      </c>
    </row>
    <row r="2058" spans="1:4" x14ac:dyDescent="0.3">
      <c r="A2058" s="58">
        <v>2919207</v>
      </c>
      <c r="B2058" s="58" t="s">
        <v>3001</v>
      </c>
      <c r="C2058" s="59">
        <v>-12.896717608924504</v>
      </c>
      <c r="D2058" s="59">
        <v>-38.323461610251393</v>
      </c>
    </row>
    <row r="2059" spans="1:4" x14ac:dyDescent="0.3">
      <c r="A2059" s="58">
        <v>2919306</v>
      </c>
      <c r="B2059" s="58" t="s">
        <v>3002</v>
      </c>
      <c r="C2059" s="59">
        <v>-12.564063115641202</v>
      </c>
      <c r="D2059" s="59">
        <v>-41.394031136117654</v>
      </c>
    </row>
    <row r="2060" spans="1:4" x14ac:dyDescent="0.3">
      <c r="A2060" s="58">
        <v>2919405</v>
      </c>
      <c r="B2060" s="58" t="s">
        <v>3003</v>
      </c>
      <c r="C2060" s="59">
        <v>-14.675866076789752</v>
      </c>
      <c r="D2060" s="59">
        <v>-42.502683635880089</v>
      </c>
    </row>
    <row r="2061" spans="1:4" x14ac:dyDescent="0.3">
      <c r="A2061" s="58">
        <v>2919504</v>
      </c>
      <c r="B2061" s="58" t="s">
        <v>3004</v>
      </c>
      <c r="C2061" s="59">
        <v>-13.649500905230502</v>
      </c>
      <c r="D2061" s="59">
        <v>-41.840387281808468</v>
      </c>
    </row>
    <row r="2062" spans="1:4" x14ac:dyDescent="0.3">
      <c r="A2062" s="58">
        <v>2919553</v>
      </c>
      <c r="B2062" s="58" t="s">
        <v>3005</v>
      </c>
      <c r="C2062" s="59">
        <v>-12.078372256196854</v>
      </c>
      <c r="D2062" s="59">
        <v>-45.800464406456328</v>
      </c>
    </row>
    <row r="2063" spans="1:4" x14ac:dyDescent="0.3">
      <c r="A2063" s="58">
        <v>2919603</v>
      </c>
      <c r="B2063" s="58" t="s">
        <v>3006</v>
      </c>
      <c r="C2063" s="59">
        <v>-12.141392680559502</v>
      </c>
      <c r="D2063" s="59">
        <v>-40.36517964343777</v>
      </c>
    </row>
    <row r="2064" spans="1:4" x14ac:dyDescent="0.3">
      <c r="A2064" s="58">
        <v>2919702</v>
      </c>
      <c r="B2064" s="58" t="s">
        <v>3007</v>
      </c>
      <c r="C2064" s="59">
        <v>-15.567316152524453</v>
      </c>
      <c r="D2064" s="59">
        <v>-40.422044110343315</v>
      </c>
    </row>
    <row r="2065" spans="1:4" x14ac:dyDescent="0.3">
      <c r="A2065" s="58">
        <v>2919801</v>
      </c>
      <c r="B2065" s="58" t="s">
        <v>3008</v>
      </c>
      <c r="C2065" s="59">
        <v>-13.023671669856201</v>
      </c>
      <c r="D2065" s="59">
        <v>-42.694665746887907</v>
      </c>
    </row>
    <row r="2066" spans="1:4" x14ac:dyDescent="0.3">
      <c r="A2066" s="58">
        <v>2919900</v>
      </c>
      <c r="B2066" s="58" t="s">
        <v>3009</v>
      </c>
      <c r="C2066" s="59">
        <v>-9.1747059108514968</v>
      </c>
      <c r="D2066" s="59">
        <v>-39.059515026511178</v>
      </c>
    </row>
    <row r="2067" spans="1:4" x14ac:dyDescent="0.3">
      <c r="A2067" s="58">
        <v>2919926</v>
      </c>
      <c r="B2067" s="58" t="s">
        <v>3010</v>
      </c>
      <c r="C2067" s="59">
        <v>-12.740312654533351</v>
      </c>
      <c r="D2067" s="59">
        <v>-38.602768566909162</v>
      </c>
    </row>
    <row r="2068" spans="1:4" x14ac:dyDescent="0.3">
      <c r="A2068" s="58">
        <v>2919959</v>
      </c>
      <c r="B2068" s="58" t="s">
        <v>3011</v>
      </c>
      <c r="C2068" s="59">
        <v>-14.66126635905785</v>
      </c>
      <c r="D2068" s="59">
        <v>-41.48365669532172</v>
      </c>
    </row>
    <row r="2069" spans="1:4" x14ac:dyDescent="0.3">
      <c r="A2069" s="58">
        <v>2920007</v>
      </c>
      <c r="B2069" s="58" t="s">
        <v>3012</v>
      </c>
      <c r="C2069" s="59">
        <v>-15.619771702577605</v>
      </c>
      <c r="D2069" s="59">
        <v>-40.260515118555865</v>
      </c>
    </row>
    <row r="2070" spans="1:4" x14ac:dyDescent="0.3">
      <c r="A2070" s="58">
        <v>2920106</v>
      </c>
      <c r="B2070" s="58" t="s">
        <v>3013</v>
      </c>
      <c r="C2070" s="59">
        <v>-11.71111062305055</v>
      </c>
      <c r="D2070" s="59">
        <v>-40.149782519155664</v>
      </c>
    </row>
    <row r="2071" spans="1:4" x14ac:dyDescent="0.3">
      <c r="A2071" s="58">
        <v>2920205</v>
      </c>
      <c r="B2071" s="58" t="s">
        <v>3014</v>
      </c>
      <c r="C2071" s="59">
        <v>-14.340383284084201</v>
      </c>
      <c r="D2071" s="59">
        <v>-43.771620317670184</v>
      </c>
    </row>
    <row r="2072" spans="1:4" x14ac:dyDescent="0.3">
      <c r="A2072" s="58">
        <v>2920304</v>
      </c>
      <c r="B2072" s="58" t="s">
        <v>3015</v>
      </c>
      <c r="C2072" s="59">
        <v>-14.377945403832104</v>
      </c>
      <c r="D2072" s="59">
        <v>-41.878698340061256</v>
      </c>
    </row>
    <row r="2073" spans="1:4" x14ac:dyDescent="0.3">
      <c r="A2073" s="58">
        <v>2920403</v>
      </c>
      <c r="B2073" s="58" t="s">
        <v>3016</v>
      </c>
      <c r="C2073" s="59">
        <v>-14.145932206018852</v>
      </c>
      <c r="D2073" s="59">
        <v>-40.242016247662143</v>
      </c>
    </row>
    <row r="2074" spans="1:4" x14ac:dyDescent="0.3">
      <c r="A2074" s="58">
        <v>2920452</v>
      </c>
      <c r="B2074" s="58" t="s">
        <v>3017</v>
      </c>
      <c r="C2074" s="59">
        <v>-10.715828960028951</v>
      </c>
      <c r="D2074" s="59">
        <v>-44.036485409563241</v>
      </c>
    </row>
    <row r="2075" spans="1:4" x14ac:dyDescent="0.3">
      <c r="A2075" s="58">
        <v>2920502</v>
      </c>
      <c r="B2075" s="58" t="s">
        <v>3018</v>
      </c>
      <c r="C2075" s="59">
        <v>-13.437674492312402</v>
      </c>
      <c r="D2075" s="59">
        <v>-40.43128754737792</v>
      </c>
    </row>
    <row r="2076" spans="1:4" x14ac:dyDescent="0.3">
      <c r="A2076" s="58">
        <v>2920601</v>
      </c>
      <c r="B2076" s="58" t="s">
        <v>3019</v>
      </c>
      <c r="C2076" s="59">
        <v>-12.775119919236252</v>
      </c>
      <c r="D2076" s="59">
        <v>-38.918881437155285</v>
      </c>
    </row>
    <row r="2077" spans="1:4" x14ac:dyDescent="0.3">
      <c r="A2077" s="58">
        <v>2920700</v>
      </c>
      <c r="B2077" s="58" t="s">
        <v>3020</v>
      </c>
      <c r="C2077" s="59">
        <v>-14.105530671656002</v>
      </c>
      <c r="D2077" s="59">
        <v>-39.024951755668489</v>
      </c>
    </row>
    <row r="2078" spans="1:4" x14ac:dyDescent="0.3">
      <c r="A2078" s="58">
        <v>2920809</v>
      </c>
      <c r="B2078" s="58" t="s">
        <v>3021</v>
      </c>
      <c r="C2078" s="59">
        <v>-13.003510372310554</v>
      </c>
      <c r="D2078" s="59">
        <v>-40.534529989320248</v>
      </c>
    </row>
    <row r="2079" spans="1:4" x14ac:dyDescent="0.3">
      <c r="A2079" s="58">
        <v>2920908</v>
      </c>
      <c r="B2079" s="58" t="s">
        <v>3022</v>
      </c>
      <c r="C2079" s="59">
        <v>-15.565988032748603</v>
      </c>
      <c r="D2079" s="59">
        <v>-39.302400452721706</v>
      </c>
    </row>
    <row r="2080" spans="1:4" x14ac:dyDescent="0.3">
      <c r="A2080" s="58">
        <v>2921005</v>
      </c>
      <c r="B2080" s="58" t="s">
        <v>3023</v>
      </c>
      <c r="C2080" s="59">
        <v>-12.529970790704603</v>
      </c>
      <c r="D2080" s="59">
        <v>-38.297299324808847</v>
      </c>
    </row>
    <row r="2081" spans="1:4" x14ac:dyDescent="0.3">
      <c r="A2081" s="58">
        <v>2921054</v>
      </c>
      <c r="B2081" s="58" t="s">
        <v>3024</v>
      </c>
      <c r="C2081" s="59">
        <v>-13.912636011070353</v>
      </c>
      <c r="D2081" s="59">
        <v>-42.842932444312567</v>
      </c>
    </row>
    <row r="2082" spans="1:4" x14ac:dyDescent="0.3">
      <c r="A2082" s="58">
        <v>2921104</v>
      </c>
      <c r="B2082" s="58" t="s">
        <v>3025</v>
      </c>
      <c r="C2082" s="59">
        <v>-17.370409482091954</v>
      </c>
      <c r="D2082" s="59">
        <v>-40.220174208005965</v>
      </c>
    </row>
    <row r="2083" spans="1:4" x14ac:dyDescent="0.3">
      <c r="A2083" s="58">
        <v>2921203</v>
      </c>
      <c r="B2083" s="58" t="s">
        <v>3026</v>
      </c>
      <c r="C2083" s="59">
        <v>-11.428344206226603</v>
      </c>
      <c r="D2083" s="59">
        <v>-40.596069612736947</v>
      </c>
    </row>
    <row r="2084" spans="1:4" x14ac:dyDescent="0.3">
      <c r="A2084" s="58">
        <v>2921302</v>
      </c>
      <c r="B2084" s="58" t="s">
        <v>2014</v>
      </c>
      <c r="C2084" s="59">
        <v>-12.870574915139501</v>
      </c>
      <c r="D2084" s="59">
        <v>-39.859127100473266</v>
      </c>
    </row>
    <row r="2085" spans="1:4" x14ac:dyDescent="0.3">
      <c r="A2085" s="58">
        <v>2921401</v>
      </c>
      <c r="B2085" s="58" t="s">
        <v>3027</v>
      </c>
      <c r="C2085" s="59">
        <v>-10.956117284944401</v>
      </c>
      <c r="D2085" s="59">
        <v>-40.574792702212697</v>
      </c>
    </row>
    <row r="2086" spans="1:4" x14ac:dyDescent="0.3">
      <c r="A2086" s="58">
        <v>2921450</v>
      </c>
      <c r="B2086" s="58" t="s">
        <v>3028</v>
      </c>
      <c r="C2086" s="59">
        <v>-14.239817921132051</v>
      </c>
      <c r="D2086" s="59">
        <v>-40.773566597900903</v>
      </c>
    </row>
    <row r="2087" spans="1:4" x14ac:dyDescent="0.3">
      <c r="A2087" s="58">
        <v>2921500</v>
      </c>
      <c r="B2087" s="58" t="s">
        <v>3029</v>
      </c>
      <c r="C2087" s="59">
        <v>-10.44015774065795</v>
      </c>
      <c r="D2087" s="59">
        <v>-39.332705952068686</v>
      </c>
    </row>
    <row r="2088" spans="1:4" x14ac:dyDescent="0.3">
      <c r="A2088" s="58">
        <v>2921609</v>
      </c>
      <c r="B2088" s="58" t="s">
        <v>3030</v>
      </c>
      <c r="C2088" s="59">
        <v>-11.5580425446035</v>
      </c>
      <c r="D2088" s="59">
        <v>-43.277913407003162</v>
      </c>
    </row>
    <row r="2089" spans="1:4" x14ac:dyDescent="0.3">
      <c r="A2089" s="58">
        <v>2921708</v>
      </c>
      <c r="B2089" s="58" t="s">
        <v>3031</v>
      </c>
      <c r="C2089" s="59">
        <v>-11.550126110504904</v>
      </c>
      <c r="D2089" s="59">
        <v>-41.159096507763593</v>
      </c>
    </row>
    <row r="2090" spans="1:4" x14ac:dyDescent="0.3">
      <c r="A2090" s="58">
        <v>2921807</v>
      </c>
      <c r="B2090" s="58" t="s">
        <v>3032</v>
      </c>
      <c r="C2090" s="59">
        <v>-15.01640729036585</v>
      </c>
      <c r="D2090" s="59">
        <v>-42.380448922323133</v>
      </c>
    </row>
    <row r="2091" spans="1:4" x14ac:dyDescent="0.3">
      <c r="A2091" s="58">
        <v>2921906</v>
      </c>
      <c r="B2091" s="58" t="s">
        <v>3033</v>
      </c>
      <c r="C2091" s="59">
        <v>-13.003894204471155</v>
      </c>
      <c r="D2091" s="59">
        <v>-41.373213011866831</v>
      </c>
    </row>
    <row r="2092" spans="1:4" x14ac:dyDescent="0.3">
      <c r="A2092" s="58">
        <v>2922003</v>
      </c>
      <c r="B2092" s="58" t="s">
        <v>3034</v>
      </c>
      <c r="C2092" s="59">
        <v>-18.088539738876253</v>
      </c>
      <c r="D2092" s="59">
        <v>-39.547545889829784</v>
      </c>
    </row>
    <row r="2093" spans="1:4" x14ac:dyDescent="0.3">
      <c r="A2093" s="58">
        <v>2922052</v>
      </c>
      <c r="B2093" s="58" t="s">
        <v>3035</v>
      </c>
      <c r="C2093" s="59">
        <v>-11.967220021101951</v>
      </c>
      <c r="D2093" s="59">
        <v>-41.643800009581938</v>
      </c>
    </row>
    <row r="2094" spans="1:4" x14ac:dyDescent="0.3">
      <c r="A2094" s="58">
        <v>2922102</v>
      </c>
      <c r="B2094" s="58" t="s">
        <v>3036</v>
      </c>
      <c r="C2094" s="59">
        <v>-11.864722748623901</v>
      </c>
      <c r="D2094" s="59">
        <v>-40.471498150098093</v>
      </c>
    </row>
    <row r="2095" spans="1:4" x14ac:dyDescent="0.3">
      <c r="A2095" s="58">
        <v>2922201</v>
      </c>
      <c r="B2095" s="58" t="s">
        <v>3037</v>
      </c>
      <c r="C2095" s="59">
        <v>-12.997303701925201</v>
      </c>
      <c r="D2095" s="59">
        <v>-39.112981701209861</v>
      </c>
    </row>
    <row r="2096" spans="1:4" x14ac:dyDescent="0.3">
      <c r="A2096" s="58">
        <v>2922250</v>
      </c>
      <c r="B2096" s="58" t="s">
        <v>3038</v>
      </c>
      <c r="C2096" s="59">
        <v>-12.068261264930001</v>
      </c>
      <c r="D2096" s="59">
        <v>-43.551859915059005</v>
      </c>
    </row>
    <row r="2097" spans="1:4" x14ac:dyDescent="0.3">
      <c r="A2097" s="58">
        <v>2922300</v>
      </c>
      <c r="B2097" s="58" t="s">
        <v>3039</v>
      </c>
      <c r="C2097" s="59">
        <v>-12.623372441536903</v>
      </c>
      <c r="D2097" s="59">
        <v>-38.988688817445755</v>
      </c>
    </row>
    <row r="2098" spans="1:4" x14ac:dyDescent="0.3">
      <c r="A2098" s="58">
        <v>2922409</v>
      </c>
      <c r="B2098" s="58" t="s">
        <v>3040</v>
      </c>
      <c r="C2098" s="59">
        <v>-13.229373323681653</v>
      </c>
      <c r="D2098" s="59">
        <v>-39.504163852015616</v>
      </c>
    </row>
    <row r="2099" spans="1:4" x14ac:dyDescent="0.3">
      <c r="A2099" s="58">
        <v>2922508</v>
      </c>
      <c r="B2099" s="58" t="s">
        <v>1417</v>
      </c>
      <c r="C2099" s="59">
        <v>-13.035148220181153</v>
      </c>
      <c r="D2099" s="59">
        <v>-39.010622582879421</v>
      </c>
    </row>
    <row r="2100" spans="1:4" x14ac:dyDescent="0.3">
      <c r="A2100" s="58">
        <v>2922607</v>
      </c>
      <c r="B2100" s="58" t="s">
        <v>3041</v>
      </c>
      <c r="C2100" s="59">
        <v>-13.604494420441499</v>
      </c>
      <c r="D2100" s="59">
        <v>-39.112985509073212</v>
      </c>
    </row>
    <row r="2101" spans="1:4" x14ac:dyDescent="0.3">
      <c r="A2101" s="58">
        <v>2922656</v>
      </c>
      <c r="B2101" s="58" t="s">
        <v>3042</v>
      </c>
      <c r="C2101" s="59">
        <v>-10.832053524846202</v>
      </c>
      <c r="D2101" s="59">
        <v>-39.429130850732484</v>
      </c>
    </row>
    <row r="2102" spans="1:4" x14ac:dyDescent="0.3">
      <c r="A2102" s="58">
        <v>2922706</v>
      </c>
      <c r="B2102" s="58" t="s">
        <v>3043</v>
      </c>
      <c r="C2102" s="59">
        <v>-14.793598087671903</v>
      </c>
      <c r="D2102" s="59">
        <v>-40.145174652014028</v>
      </c>
    </row>
    <row r="2103" spans="1:4" x14ac:dyDescent="0.3">
      <c r="A2103" s="58">
        <v>2922730</v>
      </c>
      <c r="B2103" s="58" t="s">
        <v>3044</v>
      </c>
      <c r="C2103" s="59">
        <v>-11.608398389231301</v>
      </c>
      <c r="D2103" s="59">
        <v>-39.632217091894212</v>
      </c>
    </row>
    <row r="2104" spans="1:4" x14ac:dyDescent="0.3">
      <c r="A2104" s="58">
        <v>2922755</v>
      </c>
      <c r="B2104" s="58" t="s">
        <v>3045</v>
      </c>
      <c r="C2104" s="59">
        <v>-13.809907366033801</v>
      </c>
      <c r="D2104" s="59">
        <v>-39.625686049491556</v>
      </c>
    </row>
    <row r="2105" spans="1:4" x14ac:dyDescent="0.3">
      <c r="A2105" s="58">
        <v>2922805</v>
      </c>
      <c r="B2105" s="58" t="s">
        <v>3046</v>
      </c>
      <c r="C2105" s="59">
        <v>-13.033049885644202</v>
      </c>
      <c r="D2105" s="59">
        <v>-40.069249733253351</v>
      </c>
    </row>
    <row r="2106" spans="1:4" x14ac:dyDescent="0.3">
      <c r="A2106" s="58">
        <v>2922854</v>
      </c>
      <c r="B2106" s="58" t="s">
        <v>3047</v>
      </c>
      <c r="C2106" s="59">
        <v>-12.818867567511202</v>
      </c>
      <c r="D2106" s="59">
        <v>-41.068859510344517</v>
      </c>
    </row>
    <row r="2107" spans="1:4" x14ac:dyDescent="0.3">
      <c r="A2107" s="58">
        <v>2922904</v>
      </c>
      <c r="B2107" s="58" t="s">
        <v>3048</v>
      </c>
      <c r="C2107" s="59">
        <v>-11.238008197229501</v>
      </c>
      <c r="D2107" s="59">
        <v>-38.484613926968194</v>
      </c>
    </row>
    <row r="2108" spans="1:4" x14ac:dyDescent="0.3">
      <c r="A2108" s="58">
        <v>2923001</v>
      </c>
      <c r="B2108" s="58" t="s">
        <v>3049</v>
      </c>
      <c r="C2108" s="59">
        <v>-17.89339178217875</v>
      </c>
      <c r="D2108" s="59">
        <v>-39.372011538073671</v>
      </c>
    </row>
    <row r="2109" spans="1:4" x14ac:dyDescent="0.3">
      <c r="A2109" s="58">
        <v>2923035</v>
      </c>
      <c r="B2109" s="58" t="s">
        <v>3050</v>
      </c>
      <c r="C2109" s="59">
        <v>-12.8019973640359</v>
      </c>
      <c r="D2109" s="59">
        <v>-42.167788448516994</v>
      </c>
    </row>
    <row r="2110" spans="1:4" x14ac:dyDescent="0.3">
      <c r="A2110" s="58">
        <v>2923050</v>
      </c>
      <c r="B2110" s="58" t="s">
        <v>3051</v>
      </c>
      <c r="C2110" s="59">
        <v>-10.342018230888</v>
      </c>
      <c r="D2110" s="59">
        <v>-38.41558134801263</v>
      </c>
    </row>
    <row r="2111" spans="1:4" x14ac:dyDescent="0.3">
      <c r="A2111" s="58">
        <v>2923100</v>
      </c>
      <c r="B2111" s="58" t="s">
        <v>3052</v>
      </c>
      <c r="C2111" s="59">
        <v>-11.358306140244402</v>
      </c>
      <c r="D2111" s="59">
        <v>-38.33108019608968</v>
      </c>
    </row>
    <row r="2112" spans="1:4" x14ac:dyDescent="0.3">
      <c r="A2112" s="58">
        <v>2923209</v>
      </c>
      <c r="B2112" s="58" t="s">
        <v>3053</v>
      </c>
      <c r="C2112" s="59">
        <v>-12.320588950042353</v>
      </c>
      <c r="D2112" s="59">
        <v>-42.897019768671036</v>
      </c>
    </row>
    <row r="2113" spans="1:4" x14ac:dyDescent="0.3">
      <c r="A2113" s="58">
        <v>2923308</v>
      </c>
      <c r="B2113" s="58" t="s">
        <v>3054</v>
      </c>
      <c r="C2113" s="59">
        <v>-12.006851917947403</v>
      </c>
      <c r="D2113" s="59">
        <v>-38.62841677021283</v>
      </c>
    </row>
    <row r="2114" spans="1:4" x14ac:dyDescent="0.3">
      <c r="A2114" s="58">
        <v>2923357</v>
      </c>
      <c r="B2114" s="58" t="s">
        <v>3055</v>
      </c>
      <c r="C2114" s="59">
        <v>-10.964617650427757</v>
      </c>
      <c r="D2114" s="59">
        <v>-41.081811729006276</v>
      </c>
    </row>
    <row r="2115" spans="1:4" x14ac:dyDescent="0.3">
      <c r="A2115" s="58">
        <v>2923407</v>
      </c>
      <c r="B2115" s="58" t="s">
        <v>3056</v>
      </c>
      <c r="C2115" s="59">
        <v>-14.257350994355953</v>
      </c>
      <c r="D2115" s="59">
        <v>-43.170512131516404</v>
      </c>
    </row>
    <row r="2116" spans="1:4" x14ac:dyDescent="0.3">
      <c r="A2116" s="58">
        <v>2923506</v>
      </c>
      <c r="B2116" s="58" t="s">
        <v>3057</v>
      </c>
      <c r="C2116" s="59">
        <v>-12.510071104614454</v>
      </c>
      <c r="D2116" s="59">
        <v>-41.577336932713344</v>
      </c>
    </row>
    <row r="2117" spans="1:4" x14ac:dyDescent="0.3">
      <c r="A2117" s="58">
        <v>2923605</v>
      </c>
      <c r="B2117" s="58" t="s">
        <v>3058</v>
      </c>
      <c r="C2117" s="59">
        <v>-13.442426657155252</v>
      </c>
      <c r="D2117" s="59">
        <v>-42.240648777677016</v>
      </c>
    </row>
    <row r="2118" spans="1:4" x14ac:dyDescent="0.3">
      <c r="A2118" s="58">
        <v>2923704</v>
      </c>
      <c r="B2118" s="58" t="s">
        <v>3059</v>
      </c>
      <c r="C2118" s="59">
        <v>-12.69069712492905</v>
      </c>
      <c r="D2118" s="59">
        <v>-43.18202507557772</v>
      </c>
    </row>
    <row r="2119" spans="1:4" x14ac:dyDescent="0.3">
      <c r="A2119" s="58">
        <v>2923803</v>
      </c>
      <c r="B2119" s="58" t="s">
        <v>3060</v>
      </c>
      <c r="C2119" s="59">
        <v>-10.675992313319702</v>
      </c>
      <c r="D2119" s="59">
        <v>-37.870447700721051</v>
      </c>
    </row>
    <row r="2120" spans="1:4" x14ac:dyDescent="0.3">
      <c r="A2120" s="58">
        <v>2923902</v>
      </c>
      <c r="B2120" s="58" t="s">
        <v>3061</v>
      </c>
      <c r="C2120" s="59">
        <v>-15.4636188168583</v>
      </c>
      <c r="D2120" s="59">
        <v>-39.648782036113886</v>
      </c>
    </row>
    <row r="2121" spans="1:4" x14ac:dyDescent="0.3">
      <c r="A2121" s="58">
        <v>2924009</v>
      </c>
      <c r="B2121" s="58" t="s">
        <v>3062</v>
      </c>
      <c r="C2121" s="59">
        <v>-9.4033316973782313</v>
      </c>
      <c r="D2121" s="59">
        <v>-38.21832896822621</v>
      </c>
    </row>
    <row r="2122" spans="1:4" x14ac:dyDescent="0.3">
      <c r="A2122" s="58">
        <v>2924058</v>
      </c>
      <c r="B2122" s="58" t="s">
        <v>3063</v>
      </c>
      <c r="C2122" s="59">
        <v>-11.831179308599802</v>
      </c>
      <c r="D2122" s="59">
        <v>-39.609425329042885</v>
      </c>
    </row>
    <row r="2123" spans="1:4" x14ac:dyDescent="0.3">
      <c r="A2123" s="58">
        <v>2924108</v>
      </c>
      <c r="B2123" s="58" t="s">
        <v>3064</v>
      </c>
      <c r="C2123" s="59">
        <v>-12.143587203813926</v>
      </c>
      <c r="D2123" s="59">
        <v>-38.649001421641081</v>
      </c>
    </row>
    <row r="2124" spans="1:4" x14ac:dyDescent="0.3">
      <c r="A2124" s="58">
        <v>2924207</v>
      </c>
      <c r="B2124" s="58" t="s">
        <v>3065</v>
      </c>
      <c r="C2124" s="59">
        <v>-10.010071580454001</v>
      </c>
      <c r="D2124" s="59">
        <v>-37.899261584414312</v>
      </c>
    </row>
    <row r="2125" spans="1:4" x14ac:dyDescent="0.3">
      <c r="A2125" s="58">
        <v>2924306</v>
      </c>
      <c r="B2125" s="58" t="s">
        <v>3066</v>
      </c>
      <c r="C2125" s="59">
        <v>-13.16445686825155</v>
      </c>
      <c r="D2125" s="59">
        <v>-41.770623039318103</v>
      </c>
    </row>
    <row r="2126" spans="1:4" x14ac:dyDescent="0.3">
      <c r="A2126" s="58">
        <v>2924405</v>
      </c>
      <c r="B2126" s="58" t="s">
        <v>3067</v>
      </c>
      <c r="C2126" s="59">
        <v>-9.9977710559999089</v>
      </c>
      <c r="D2126" s="59">
        <v>-42.484756762465359</v>
      </c>
    </row>
    <row r="2127" spans="1:4" x14ac:dyDescent="0.3">
      <c r="A2127" s="58">
        <v>2924504</v>
      </c>
      <c r="B2127" s="58" t="s">
        <v>3068</v>
      </c>
      <c r="C2127" s="59">
        <v>-14.489987540493903</v>
      </c>
      <c r="D2127" s="59">
        <v>-42.687033319112835</v>
      </c>
    </row>
    <row r="2128" spans="1:4" x14ac:dyDescent="0.3">
      <c r="A2128" s="58">
        <v>2924603</v>
      </c>
      <c r="B2128" s="58" t="s">
        <v>3069</v>
      </c>
      <c r="C2128" s="59">
        <v>-10.734206612357701</v>
      </c>
      <c r="D2128" s="59">
        <v>-40.357159193636029</v>
      </c>
    </row>
    <row r="2129" spans="1:4" x14ac:dyDescent="0.3">
      <c r="A2129" s="58">
        <v>2924652</v>
      </c>
      <c r="B2129" s="58" t="s">
        <v>3070</v>
      </c>
      <c r="C2129" s="59">
        <v>-11.808036509065202</v>
      </c>
      <c r="D2129" s="59">
        <v>-39.908238631933536</v>
      </c>
    </row>
    <row r="2130" spans="1:4" x14ac:dyDescent="0.3">
      <c r="A2130" s="58">
        <v>2924678</v>
      </c>
      <c r="B2130" s="58" t="s">
        <v>3071</v>
      </c>
      <c r="C2130" s="59">
        <v>-13.761225039252352</v>
      </c>
      <c r="D2130" s="59">
        <v>-39.374522187949111</v>
      </c>
    </row>
    <row r="2131" spans="1:4" x14ac:dyDescent="0.3">
      <c r="A2131" s="58">
        <v>2924702</v>
      </c>
      <c r="B2131" s="58" t="s">
        <v>3072</v>
      </c>
      <c r="C2131" s="59">
        <v>-14.946870910106471</v>
      </c>
      <c r="D2131" s="59">
        <v>-41.724865827275288</v>
      </c>
    </row>
    <row r="2132" spans="1:4" x14ac:dyDescent="0.3">
      <c r="A2132" s="58">
        <v>2924801</v>
      </c>
      <c r="B2132" s="58" t="s">
        <v>3073</v>
      </c>
      <c r="C2132" s="59">
        <v>-11.73723400177745</v>
      </c>
      <c r="D2132" s="59">
        <v>-40.551327705908825</v>
      </c>
    </row>
    <row r="2133" spans="1:4" x14ac:dyDescent="0.3">
      <c r="A2133" s="58">
        <v>2924900</v>
      </c>
      <c r="B2133" s="58" t="s">
        <v>3074</v>
      </c>
      <c r="C2133" s="59">
        <v>-13.256608753379805</v>
      </c>
      <c r="D2133" s="59">
        <v>-40.368397356715519</v>
      </c>
    </row>
    <row r="2134" spans="1:4" x14ac:dyDescent="0.3">
      <c r="A2134" s="58">
        <v>2925006</v>
      </c>
      <c r="B2134" s="58" t="s">
        <v>3075</v>
      </c>
      <c r="C2134" s="59">
        <v>-14.670169970249503</v>
      </c>
      <c r="D2134" s="59">
        <v>-40.48464037641039</v>
      </c>
    </row>
    <row r="2135" spans="1:4" x14ac:dyDescent="0.3">
      <c r="A2135" s="58">
        <v>2925105</v>
      </c>
      <c r="B2135" s="58" t="s">
        <v>3076</v>
      </c>
      <c r="C2135" s="59">
        <v>-14.522324542564752</v>
      </c>
      <c r="D2135" s="59">
        <v>-40.365127293843834</v>
      </c>
    </row>
    <row r="2136" spans="1:4" x14ac:dyDescent="0.3">
      <c r="A2136" s="58">
        <v>2925204</v>
      </c>
      <c r="B2136" s="58" t="s">
        <v>3077</v>
      </c>
      <c r="C2136" s="59">
        <v>-12.429263134867702</v>
      </c>
      <c r="D2136" s="59">
        <v>-38.327166877104794</v>
      </c>
    </row>
    <row r="2137" spans="1:4" x14ac:dyDescent="0.3">
      <c r="A2137" s="58">
        <v>2925253</v>
      </c>
      <c r="B2137" s="58" t="s">
        <v>3078</v>
      </c>
      <c r="C2137" s="59">
        <v>-10.867147831302551</v>
      </c>
      <c r="D2137" s="59">
        <v>-40.135392845065049</v>
      </c>
    </row>
    <row r="2138" spans="1:4" x14ac:dyDescent="0.3">
      <c r="A2138" s="58">
        <v>2925303</v>
      </c>
      <c r="B2138" s="58" t="s">
        <v>3079</v>
      </c>
      <c r="C2138" s="59">
        <v>-16.449056179364252</v>
      </c>
      <c r="D2138" s="59">
        <v>-39.062113523890211</v>
      </c>
    </row>
    <row r="2139" spans="1:4" x14ac:dyDescent="0.3">
      <c r="A2139" s="58">
        <v>2925402</v>
      </c>
      <c r="B2139" s="58" t="s">
        <v>3080</v>
      </c>
      <c r="C2139" s="59">
        <v>-15.592456311690654</v>
      </c>
      <c r="D2139" s="59">
        <v>-39.875660070560116</v>
      </c>
    </row>
    <row r="2140" spans="1:4" x14ac:dyDescent="0.3">
      <c r="A2140" s="58">
        <v>2925501</v>
      </c>
      <c r="B2140" s="58" t="s">
        <v>3081</v>
      </c>
      <c r="C2140" s="59">
        <v>-17.329563989384603</v>
      </c>
      <c r="D2140" s="59">
        <v>-39.229238421169043</v>
      </c>
    </row>
    <row r="2141" spans="1:4" x14ac:dyDescent="0.3">
      <c r="A2141" s="58">
        <v>2925600</v>
      </c>
      <c r="B2141" s="58" t="s">
        <v>1617</v>
      </c>
      <c r="C2141" s="59">
        <v>-11.296504066348952</v>
      </c>
      <c r="D2141" s="59">
        <v>-41.990930902444994</v>
      </c>
    </row>
    <row r="2142" spans="1:4" x14ac:dyDescent="0.3">
      <c r="A2142" s="58">
        <v>2925709</v>
      </c>
      <c r="B2142" s="58" t="s">
        <v>3082</v>
      </c>
      <c r="C2142" s="59">
        <v>-14.685395366954003</v>
      </c>
      <c r="D2142" s="59">
        <v>-41.682442634403856</v>
      </c>
    </row>
    <row r="2143" spans="1:4" x14ac:dyDescent="0.3">
      <c r="A2143" s="58">
        <v>2925758</v>
      </c>
      <c r="B2143" s="58" t="s">
        <v>3083</v>
      </c>
      <c r="C2143" s="59">
        <v>-13.470841773602201</v>
      </c>
      <c r="D2143" s="59">
        <v>-39.424059829910711</v>
      </c>
    </row>
    <row r="2144" spans="1:4" x14ac:dyDescent="0.3">
      <c r="A2144" s="58">
        <v>2925808</v>
      </c>
      <c r="B2144" s="58" t="s">
        <v>2390</v>
      </c>
      <c r="C2144" s="59">
        <v>-10.976390529155902</v>
      </c>
      <c r="D2144" s="59">
        <v>-39.626406826600665</v>
      </c>
    </row>
    <row r="2145" spans="1:4" x14ac:dyDescent="0.3">
      <c r="A2145" s="58">
        <v>2925907</v>
      </c>
      <c r="B2145" s="58" t="s">
        <v>3084</v>
      </c>
      <c r="C2145" s="59">
        <v>-10.751672330036602</v>
      </c>
      <c r="D2145" s="59">
        <v>-39.206609254048892</v>
      </c>
    </row>
    <row r="2146" spans="1:4" x14ac:dyDescent="0.3">
      <c r="A2146" s="58">
        <v>2925931</v>
      </c>
      <c r="B2146" s="58" t="s">
        <v>3085</v>
      </c>
      <c r="C2146" s="59">
        <v>-11.408685203319804</v>
      </c>
      <c r="D2146" s="59">
        <v>-40.121496594934555</v>
      </c>
    </row>
    <row r="2147" spans="1:4" x14ac:dyDescent="0.3">
      <c r="A2147" s="58">
        <v>2925956</v>
      </c>
      <c r="B2147" s="58" t="s">
        <v>3086</v>
      </c>
      <c r="C2147" s="59">
        <v>-12.407417354473903</v>
      </c>
      <c r="D2147" s="59">
        <v>-39.500635682892494</v>
      </c>
    </row>
    <row r="2148" spans="1:4" x14ac:dyDescent="0.3">
      <c r="A2148" s="58">
        <v>2926004</v>
      </c>
      <c r="B2148" s="58" t="s">
        <v>3087</v>
      </c>
      <c r="C2148" s="59">
        <v>-9.6239067892107428</v>
      </c>
      <c r="D2148" s="59">
        <v>-42.079667541660619</v>
      </c>
    </row>
    <row r="2149" spans="1:4" x14ac:dyDescent="0.3">
      <c r="A2149" s="58">
        <v>2926103</v>
      </c>
      <c r="B2149" s="58" t="s">
        <v>3088</v>
      </c>
      <c r="C2149" s="59">
        <v>-11.489666983152651</v>
      </c>
      <c r="D2149" s="59">
        <v>-39.424177792345368</v>
      </c>
    </row>
    <row r="2150" spans="1:4" x14ac:dyDescent="0.3">
      <c r="A2150" s="58">
        <v>2926202</v>
      </c>
      <c r="B2150" s="58" t="s">
        <v>3089</v>
      </c>
      <c r="C2150" s="59">
        <v>-11.746247529955602</v>
      </c>
      <c r="D2150" s="59">
        <v>-44.916469771909746</v>
      </c>
    </row>
    <row r="2151" spans="1:4" x14ac:dyDescent="0.3">
      <c r="A2151" s="58">
        <v>2926301</v>
      </c>
      <c r="B2151" s="58" t="s">
        <v>3090</v>
      </c>
      <c r="C2151" s="59">
        <v>-11.805979025923701</v>
      </c>
      <c r="D2151" s="59">
        <v>-39.383035493856717</v>
      </c>
    </row>
    <row r="2152" spans="1:4" x14ac:dyDescent="0.3">
      <c r="A2152" s="58">
        <v>2926400</v>
      </c>
      <c r="B2152" s="58" t="s">
        <v>2199</v>
      </c>
      <c r="C2152" s="59">
        <v>-13.606588142140851</v>
      </c>
      <c r="D2152" s="59">
        <v>-42.938347119980399</v>
      </c>
    </row>
    <row r="2153" spans="1:4" x14ac:dyDescent="0.3">
      <c r="A2153" s="58">
        <v>2926509</v>
      </c>
      <c r="B2153" s="58" t="s">
        <v>3091</v>
      </c>
      <c r="C2153" s="59">
        <v>-11.039158280074151</v>
      </c>
      <c r="D2153" s="59">
        <v>-38.43055386671206</v>
      </c>
    </row>
    <row r="2154" spans="1:4" x14ac:dyDescent="0.3">
      <c r="A2154" s="58">
        <v>2926608</v>
      </c>
      <c r="B2154" s="58" t="s">
        <v>3092</v>
      </c>
      <c r="C2154" s="59">
        <v>-10.836278074768702</v>
      </c>
      <c r="D2154" s="59">
        <v>-38.536098787433325</v>
      </c>
    </row>
    <row r="2155" spans="1:4" x14ac:dyDescent="0.3">
      <c r="A2155" s="58">
        <v>2926657</v>
      </c>
      <c r="B2155" s="58" t="s">
        <v>3093</v>
      </c>
      <c r="C2155" s="59">
        <v>-15.464059633513504</v>
      </c>
      <c r="D2155" s="59">
        <v>-40.743859761924803</v>
      </c>
    </row>
    <row r="2156" spans="1:4" x14ac:dyDescent="0.3">
      <c r="A2156" s="58">
        <v>2926707</v>
      </c>
      <c r="B2156" s="58" t="s">
        <v>3094</v>
      </c>
      <c r="C2156" s="59">
        <v>-13.588607786990654</v>
      </c>
      <c r="D2156" s="59">
        <v>-41.81879055636167</v>
      </c>
    </row>
    <row r="2157" spans="1:4" x14ac:dyDescent="0.3">
      <c r="A2157" s="58">
        <v>2926806</v>
      </c>
      <c r="B2157" s="58" t="s">
        <v>3095</v>
      </c>
      <c r="C2157" s="59">
        <v>-14.408509646509851</v>
      </c>
      <c r="D2157" s="59">
        <v>-42.075055335010155</v>
      </c>
    </row>
    <row r="2158" spans="1:4" x14ac:dyDescent="0.3">
      <c r="A2158" s="58">
        <v>2926905</v>
      </c>
      <c r="B2158" s="58" t="s">
        <v>3096</v>
      </c>
      <c r="C2158" s="59">
        <v>-13.118663138699654</v>
      </c>
      <c r="D2158" s="59">
        <v>-42.287877752838448</v>
      </c>
    </row>
    <row r="2159" spans="1:4" x14ac:dyDescent="0.3">
      <c r="A2159" s="58">
        <v>2927002</v>
      </c>
      <c r="B2159" s="58" t="s">
        <v>3097</v>
      </c>
      <c r="C2159" s="59">
        <v>-11.484935425430251</v>
      </c>
      <c r="D2159" s="59">
        <v>-37.933577775143618</v>
      </c>
    </row>
    <row r="2160" spans="1:4" x14ac:dyDescent="0.3">
      <c r="A2160" s="58">
        <v>2927101</v>
      </c>
      <c r="B2160" s="58" t="s">
        <v>3098</v>
      </c>
      <c r="C2160" s="59">
        <v>-8.8449965335694358</v>
      </c>
      <c r="D2160" s="59">
        <v>-38.772309000658552</v>
      </c>
    </row>
    <row r="2161" spans="1:4" x14ac:dyDescent="0.3">
      <c r="A2161" s="58">
        <v>2927200</v>
      </c>
      <c r="B2161" s="58" t="s">
        <v>2203</v>
      </c>
      <c r="C2161" s="59">
        <v>-12.289316958798203</v>
      </c>
      <c r="D2161" s="59">
        <v>-40.500371230580278</v>
      </c>
    </row>
    <row r="2162" spans="1:4" x14ac:dyDescent="0.3">
      <c r="A2162" s="58">
        <v>2927309</v>
      </c>
      <c r="B2162" s="58" t="s">
        <v>3099</v>
      </c>
      <c r="C2162" s="59">
        <v>-12.877997054567004</v>
      </c>
      <c r="D2162" s="59">
        <v>-38.757943950868999</v>
      </c>
    </row>
    <row r="2163" spans="1:4" x14ac:dyDescent="0.3">
      <c r="A2163" s="58">
        <v>2927408</v>
      </c>
      <c r="B2163" s="58" t="s">
        <v>3100</v>
      </c>
      <c r="C2163" s="59">
        <v>-13.014771911532753</v>
      </c>
      <c r="D2163" s="59">
        <v>-38.488061484007851</v>
      </c>
    </row>
    <row r="2164" spans="1:4" x14ac:dyDescent="0.3">
      <c r="A2164" s="58">
        <v>2927507</v>
      </c>
      <c r="B2164" s="58" t="s">
        <v>3101</v>
      </c>
      <c r="C2164" s="59">
        <v>-11.95690283413885</v>
      </c>
      <c r="D2164" s="59">
        <v>-38.966139006438517</v>
      </c>
    </row>
    <row r="2165" spans="1:4" x14ac:dyDescent="0.3">
      <c r="A2165" s="58">
        <v>2927606</v>
      </c>
      <c r="B2165" s="58" t="s">
        <v>3102</v>
      </c>
      <c r="C2165" s="59">
        <v>-9.7318909595420067</v>
      </c>
      <c r="D2165" s="59">
        <v>-38.127818366289418</v>
      </c>
    </row>
    <row r="2166" spans="1:4" x14ac:dyDescent="0.3">
      <c r="A2166" s="58">
        <v>2927705</v>
      </c>
      <c r="B2166" s="58" t="s">
        <v>3103</v>
      </c>
      <c r="C2166" s="59">
        <v>-16.338096583817251</v>
      </c>
      <c r="D2166" s="59">
        <v>-39.01318258407094</v>
      </c>
    </row>
    <row r="2167" spans="1:4" x14ac:dyDescent="0.3">
      <c r="A2167" s="58">
        <v>2927804</v>
      </c>
      <c r="B2167" s="58" t="s">
        <v>3104</v>
      </c>
      <c r="C2167" s="59">
        <v>-14.960078310707901</v>
      </c>
      <c r="D2167" s="59">
        <v>-39.811835970042949</v>
      </c>
    </row>
    <row r="2168" spans="1:4" x14ac:dyDescent="0.3">
      <c r="A2168" s="58">
        <v>2927903</v>
      </c>
      <c r="B2168" s="58" t="s">
        <v>1629</v>
      </c>
      <c r="C2168" s="59">
        <v>-13.298687223334953</v>
      </c>
      <c r="D2168" s="59">
        <v>-39.827605325477606</v>
      </c>
    </row>
    <row r="2169" spans="1:4" x14ac:dyDescent="0.3">
      <c r="A2169" s="58">
        <v>2928000</v>
      </c>
      <c r="B2169" s="58" t="s">
        <v>3105</v>
      </c>
      <c r="C2169" s="59">
        <v>-11.253360034458552</v>
      </c>
      <c r="D2169" s="59">
        <v>-39.377377796266707</v>
      </c>
    </row>
    <row r="2170" spans="1:4" x14ac:dyDescent="0.3">
      <c r="A2170" s="58">
        <v>2928059</v>
      </c>
      <c r="B2170" s="58" t="s">
        <v>1630</v>
      </c>
      <c r="C2170" s="59">
        <v>-15.432787984634805</v>
      </c>
      <c r="D2170" s="59">
        <v>-39.332493425042536</v>
      </c>
    </row>
    <row r="2171" spans="1:4" x14ac:dyDescent="0.3">
      <c r="A2171" s="58">
        <v>2928109</v>
      </c>
      <c r="B2171" s="58" t="s">
        <v>3106</v>
      </c>
      <c r="C2171" s="59">
        <v>-13.393545250139852</v>
      </c>
      <c r="D2171" s="59">
        <v>-44.198308865784874</v>
      </c>
    </row>
    <row r="2172" spans="1:4" x14ac:dyDescent="0.3">
      <c r="A2172" s="58">
        <v>2928208</v>
      </c>
      <c r="B2172" s="58" t="s">
        <v>1341</v>
      </c>
      <c r="C2172" s="59">
        <v>-12.980751174729951</v>
      </c>
      <c r="D2172" s="59">
        <v>-44.053257902916421</v>
      </c>
    </row>
    <row r="2173" spans="1:4" x14ac:dyDescent="0.3">
      <c r="A2173" s="58">
        <v>2928307</v>
      </c>
      <c r="B2173" s="58" t="s">
        <v>3107</v>
      </c>
      <c r="C2173" s="59">
        <v>-12.02840688803335</v>
      </c>
      <c r="D2173" s="59">
        <v>-38.86716180770533</v>
      </c>
    </row>
    <row r="2174" spans="1:4" x14ac:dyDescent="0.3">
      <c r="A2174" s="58">
        <v>2928406</v>
      </c>
      <c r="B2174" s="58" t="s">
        <v>3108</v>
      </c>
      <c r="C2174" s="59">
        <v>-11.008045069851651</v>
      </c>
      <c r="D2174" s="59">
        <v>-44.519049720278765</v>
      </c>
    </row>
    <row r="2175" spans="1:4" x14ac:dyDescent="0.3">
      <c r="A2175" s="58">
        <v>2928505</v>
      </c>
      <c r="B2175" s="58" t="s">
        <v>2404</v>
      </c>
      <c r="C2175" s="59">
        <v>-12.77285177123205</v>
      </c>
      <c r="D2175" s="59">
        <v>-39.521140056174382</v>
      </c>
    </row>
    <row r="2176" spans="1:4" x14ac:dyDescent="0.3">
      <c r="A2176" s="58">
        <v>2928604</v>
      </c>
      <c r="B2176" s="58" t="s">
        <v>3109</v>
      </c>
      <c r="C2176" s="59">
        <v>-12.549140108661751</v>
      </c>
      <c r="D2176" s="59">
        <v>-38.709031462469561</v>
      </c>
    </row>
    <row r="2177" spans="1:4" x14ac:dyDescent="0.3">
      <c r="A2177" s="58">
        <v>2928703</v>
      </c>
      <c r="B2177" s="58" t="s">
        <v>3110</v>
      </c>
      <c r="C2177" s="59">
        <v>-12.968007769718602</v>
      </c>
      <c r="D2177" s="59">
        <v>-39.261131258045921</v>
      </c>
    </row>
    <row r="2178" spans="1:4" x14ac:dyDescent="0.3">
      <c r="A2178" s="58">
        <v>2928802</v>
      </c>
      <c r="B2178" s="58" t="s">
        <v>3111</v>
      </c>
      <c r="C2178" s="59">
        <v>-12.428893228861051</v>
      </c>
      <c r="D2178" s="59">
        <v>-39.253190203513803</v>
      </c>
    </row>
    <row r="2179" spans="1:4" x14ac:dyDescent="0.3">
      <c r="A2179" s="58">
        <v>2928901</v>
      </c>
      <c r="B2179" s="58" t="s">
        <v>3112</v>
      </c>
      <c r="C2179" s="59">
        <v>-12.360895490537704</v>
      </c>
      <c r="D2179" s="59">
        <v>-44.974096239621531</v>
      </c>
    </row>
    <row r="2180" spans="1:4" x14ac:dyDescent="0.3">
      <c r="A2180" s="58">
        <v>2928950</v>
      </c>
      <c r="B2180" s="58" t="s">
        <v>2408</v>
      </c>
      <c r="C2180" s="59">
        <v>-11.463466134185703</v>
      </c>
      <c r="D2180" s="59">
        <v>-39.526264767241209</v>
      </c>
    </row>
    <row r="2181" spans="1:4" x14ac:dyDescent="0.3">
      <c r="A2181" s="58">
        <v>2929008</v>
      </c>
      <c r="B2181" s="58" t="s">
        <v>3113</v>
      </c>
      <c r="C2181" s="59">
        <v>-12.605713251981751</v>
      </c>
      <c r="D2181" s="59">
        <v>-38.968718531351549</v>
      </c>
    </row>
    <row r="2182" spans="1:4" x14ac:dyDescent="0.3">
      <c r="A2182" s="58">
        <v>2929057</v>
      </c>
      <c r="B2182" s="58" t="s">
        <v>3114</v>
      </c>
      <c r="C2182" s="59">
        <v>-13.404218249792901</v>
      </c>
      <c r="D2182" s="59">
        <v>-44.196872557467934</v>
      </c>
    </row>
    <row r="2183" spans="1:4" x14ac:dyDescent="0.3">
      <c r="A2183" s="58">
        <v>2929107</v>
      </c>
      <c r="B2183" s="58" t="s">
        <v>3115</v>
      </c>
      <c r="C2183" s="59">
        <v>-12.845078215025051</v>
      </c>
      <c r="D2183" s="59">
        <v>-39.084014898406458</v>
      </c>
    </row>
    <row r="2184" spans="1:4" x14ac:dyDescent="0.3">
      <c r="A2184" s="58">
        <v>2929206</v>
      </c>
      <c r="B2184" s="58" t="s">
        <v>3116</v>
      </c>
      <c r="C2184" s="59">
        <v>-12.62998280440385</v>
      </c>
      <c r="D2184" s="59">
        <v>-38.675798053293072</v>
      </c>
    </row>
    <row r="2185" spans="1:4" x14ac:dyDescent="0.3">
      <c r="A2185" s="58">
        <v>2929255</v>
      </c>
      <c r="B2185" s="58" t="s">
        <v>3117</v>
      </c>
      <c r="C2185" s="59">
        <v>-11.226707334279254</v>
      </c>
      <c r="D2185" s="59">
        <v>-41.874269201128477</v>
      </c>
    </row>
    <row r="2186" spans="1:4" x14ac:dyDescent="0.3">
      <c r="A2186" s="58">
        <v>2929305</v>
      </c>
      <c r="B2186" s="58" t="s">
        <v>3118</v>
      </c>
      <c r="C2186" s="59">
        <v>-12.430309804238801</v>
      </c>
      <c r="D2186" s="59">
        <v>-38.949772430601023</v>
      </c>
    </row>
    <row r="2187" spans="1:4" x14ac:dyDescent="0.3">
      <c r="A2187" s="58">
        <v>2929354</v>
      </c>
      <c r="B2187" s="58" t="s">
        <v>3119</v>
      </c>
      <c r="C2187" s="59">
        <v>-15.078178211378001</v>
      </c>
      <c r="D2187" s="59">
        <v>-39.338920502937022</v>
      </c>
    </row>
    <row r="2188" spans="1:4" x14ac:dyDescent="0.3">
      <c r="A2188" s="58">
        <v>2929370</v>
      </c>
      <c r="B2188" s="58" t="s">
        <v>3120</v>
      </c>
      <c r="C2188" s="59">
        <v>-11.505326093792002</v>
      </c>
      <c r="D2188" s="59">
        <v>-40.02365588291444</v>
      </c>
    </row>
    <row r="2189" spans="1:4" x14ac:dyDescent="0.3">
      <c r="A2189" s="58">
        <v>2929404</v>
      </c>
      <c r="B2189" s="58" t="s">
        <v>3121</v>
      </c>
      <c r="C2189" s="59">
        <v>-13.051733082099753</v>
      </c>
      <c r="D2189" s="59">
        <v>-39.455780426030806</v>
      </c>
    </row>
    <row r="2190" spans="1:4" x14ac:dyDescent="0.3">
      <c r="A2190" s="58">
        <v>2929503</v>
      </c>
      <c r="B2190" s="58" t="s">
        <v>3122</v>
      </c>
      <c r="C2190" s="59">
        <v>-12.512724642984953</v>
      </c>
      <c r="D2190" s="59">
        <v>-38.495309845374038</v>
      </c>
    </row>
    <row r="2191" spans="1:4" x14ac:dyDescent="0.3">
      <c r="A2191" s="58">
        <v>2929602</v>
      </c>
      <c r="B2191" s="58" t="s">
        <v>3123</v>
      </c>
      <c r="C2191" s="59">
        <v>-12.735161475052802</v>
      </c>
      <c r="D2191" s="59">
        <v>-39.194808436624569</v>
      </c>
    </row>
    <row r="2192" spans="1:4" x14ac:dyDescent="0.3">
      <c r="A2192" s="58">
        <v>2929701</v>
      </c>
      <c r="B2192" s="58" t="s">
        <v>3124</v>
      </c>
      <c r="C2192" s="59">
        <v>-11.600809045415204</v>
      </c>
      <c r="D2192" s="59">
        <v>-38.591353782124521</v>
      </c>
    </row>
    <row r="2193" spans="1:4" x14ac:dyDescent="0.3">
      <c r="A2193" s="58">
        <v>2929750</v>
      </c>
      <c r="B2193" s="58" t="s">
        <v>3125</v>
      </c>
      <c r="C2193" s="59">
        <v>-12.736903624819103</v>
      </c>
      <c r="D2193" s="59">
        <v>-38.770606830004759</v>
      </c>
    </row>
    <row r="2194" spans="1:4" x14ac:dyDescent="0.3">
      <c r="A2194" s="58">
        <v>2929800</v>
      </c>
      <c r="B2194" s="58" t="s">
        <v>3126</v>
      </c>
      <c r="C2194" s="59">
        <v>-10.941105166209603</v>
      </c>
      <c r="D2194" s="59">
        <v>-40.418550743115439</v>
      </c>
    </row>
    <row r="2195" spans="1:4" x14ac:dyDescent="0.3">
      <c r="A2195" s="58">
        <v>2929909</v>
      </c>
      <c r="B2195" s="58" t="s">
        <v>3127</v>
      </c>
      <c r="C2195" s="59">
        <v>-12.418763186516205</v>
      </c>
      <c r="D2195" s="59">
        <v>-41.768201241090537</v>
      </c>
    </row>
    <row r="2196" spans="1:4" x14ac:dyDescent="0.3">
      <c r="A2196" s="58">
        <v>2930006</v>
      </c>
      <c r="B2196" s="58" t="s">
        <v>3128</v>
      </c>
      <c r="C2196" s="59">
        <v>-14.574822392347849</v>
      </c>
      <c r="D2196" s="59">
        <v>-42.94411315305473</v>
      </c>
    </row>
    <row r="2197" spans="1:4" x14ac:dyDescent="0.3">
      <c r="A2197" s="58">
        <v>2930105</v>
      </c>
      <c r="B2197" s="58" t="s">
        <v>3129</v>
      </c>
      <c r="C2197" s="59">
        <v>-10.456771493196753</v>
      </c>
      <c r="D2197" s="59">
        <v>-40.189984539995613</v>
      </c>
    </row>
    <row r="2198" spans="1:4" x14ac:dyDescent="0.3">
      <c r="A2198" s="58">
        <v>2930154</v>
      </c>
      <c r="B2198" s="58" t="s">
        <v>3130</v>
      </c>
      <c r="C2198" s="59">
        <v>-13.564465988071452</v>
      </c>
      <c r="D2198" s="59">
        <v>-43.580730742145583</v>
      </c>
    </row>
    <row r="2199" spans="1:4" x14ac:dyDescent="0.3">
      <c r="A2199" s="58">
        <v>2930204</v>
      </c>
      <c r="B2199" s="58" t="s">
        <v>3131</v>
      </c>
      <c r="C2199" s="59">
        <v>-9.7403798046247356</v>
      </c>
      <c r="D2199" s="59">
        <v>-41.890996915627539</v>
      </c>
    </row>
    <row r="2200" spans="1:4" x14ac:dyDescent="0.3">
      <c r="A2200" s="58">
        <v>2930303</v>
      </c>
      <c r="B2200" s="58" t="s">
        <v>3132</v>
      </c>
      <c r="C2200" s="59">
        <v>-12.762594739297803</v>
      </c>
      <c r="D2200" s="59">
        <v>-43.952337255892083</v>
      </c>
    </row>
    <row r="2201" spans="1:4" x14ac:dyDescent="0.3">
      <c r="A2201" s="58">
        <v>2930402</v>
      </c>
      <c r="B2201" s="58" t="s">
        <v>3133</v>
      </c>
      <c r="C2201" s="59">
        <v>-12.159726827413854</v>
      </c>
      <c r="D2201" s="59">
        <v>-39.332503920255299</v>
      </c>
    </row>
    <row r="2202" spans="1:4" x14ac:dyDescent="0.3">
      <c r="A2202" s="58">
        <v>2930501</v>
      </c>
      <c r="B2202" s="58" t="s">
        <v>2228</v>
      </c>
      <c r="C2202" s="59">
        <v>-11.659531724364303</v>
      </c>
      <c r="D2202" s="59">
        <v>-39.008132628755952</v>
      </c>
    </row>
    <row r="2203" spans="1:4" x14ac:dyDescent="0.3">
      <c r="A2203" s="58">
        <v>2930600</v>
      </c>
      <c r="B2203" s="58" t="s">
        <v>3134</v>
      </c>
      <c r="C2203" s="59">
        <v>-11.4160318981088</v>
      </c>
      <c r="D2203" s="59">
        <v>-40.299905217027955</v>
      </c>
    </row>
    <row r="2204" spans="1:4" x14ac:dyDescent="0.3">
      <c r="A2204" s="58">
        <v>2930709</v>
      </c>
      <c r="B2204" s="58" t="s">
        <v>3135</v>
      </c>
      <c r="C2204" s="59">
        <v>-12.783941483367805</v>
      </c>
      <c r="D2204" s="59">
        <v>-38.411519193245056</v>
      </c>
    </row>
    <row r="2205" spans="1:4" x14ac:dyDescent="0.3">
      <c r="A2205" s="58">
        <v>2930758</v>
      </c>
      <c r="B2205" s="58" t="s">
        <v>3136</v>
      </c>
      <c r="C2205" s="59">
        <v>-13.085792706112551</v>
      </c>
      <c r="D2205" s="59">
        <v>-43.466441167254366</v>
      </c>
    </row>
    <row r="2206" spans="1:4" x14ac:dyDescent="0.3">
      <c r="A2206" s="58">
        <v>2930766</v>
      </c>
      <c r="B2206" s="58" t="s">
        <v>3137</v>
      </c>
      <c r="C2206" s="59">
        <v>-10.3641586477739</v>
      </c>
      <c r="D2206" s="59">
        <v>-38.200370881134567</v>
      </c>
    </row>
    <row r="2207" spans="1:4" x14ac:dyDescent="0.3">
      <c r="A2207" s="58">
        <v>2930774</v>
      </c>
      <c r="B2207" s="58" t="s">
        <v>3138</v>
      </c>
      <c r="C2207" s="59">
        <v>-9.4708066384999352</v>
      </c>
      <c r="D2207" s="59">
        <v>-40.791594846362379</v>
      </c>
    </row>
    <row r="2208" spans="1:4" x14ac:dyDescent="0.3">
      <c r="A2208" s="58">
        <v>2930808</v>
      </c>
      <c r="B2208" s="58" t="s">
        <v>3139</v>
      </c>
      <c r="C2208" s="59">
        <v>-12.092596003418901</v>
      </c>
      <c r="D2208" s="59">
        <v>-41.644248389869077</v>
      </c>
    </row>
    <row r="2209" spans="1:4" x14ac:dyDescent="0.3">
      <c r="A2209" s="58">
        <v>2930907</v>
      </c>
      <c r="B2209" s="58" t="s">
        <v>3140</v>
      </c>
      <c r="C2209" s="59">
        <v>-12.707300922316053</v>
      </c>
      <c r="D2209" s="59">
        <v>-44.01118906708637</v>
      </c>
    </row>
    <row r="2210" spans="1:4" x14ac:dyDescent="0.3">
      <c r="A2210" s="58">
        <v>2931004</v>
      </c>
      <c r="B2210" s="58" t="s">
        <v>3141</v>
      </c>
      <c r="C2210" s="59">
        <v>-14.025508059225501</v>
      </c>
      <c r="D2210" s="59">
        <v>-41.254333510724074</v>
      </c>
    </row>
    <row r="2211" spans="1:4" x14ac:dyDescent="0.3">
      <c r="A2211" s="58">
        <v>2931053</v>
      </c>
      <c r="B2211" s="58" t="s">
        <v>3142</v>
      </c>
      <c r="C2211" s="59">
        <v>-13.546560320679202</v>
      </c>
      <c r="D2211" s="59">
        <v>-42.490612511498121</v>
      </c>
    </row>
    <row r="2212" spans="1:4" x14ac:dyDescent="0.3">
      <c r="A2212" s="58">
        <v>2931103</v>
      </c>
      <c r="B2212" s="58" t="s">
        <v>3143</v>
      </c>
      <c r="C2212" s="59">
        <v>-11.971693093471101</v>
      </c>
      <c r="D2212" s="59">
        <v>-39.100547165361007</v>
      </c>
    </row>
    <row r="2213" spans="1:4" x14ac:dyDescent="0.3">
      <c r="A2213" s="58">
        <v>2931202</v>
      </c>
      <c r="B2213" s="58" t="s">
        <v>2441</v>
      </c>
      <c r="C2213" s="59">
        <v>-13.530992633168154</v>
      </c>
      <c r="D2213" s="59">
        <v>-39.10062224788134</v>
      </c>
    </row>
    <row r="2214" spans="1:4" x14ac:dyDescent="0.3">
      <c r="A2214" s="58">
        <v>2931301</v>
      </c>
      <c r="B2214" s="58" t="s">
        <v>3144</v>
      </c>
      <c r="C2214" s="59">
        <v>-11.852341110456301</v>
      </c>
      <c r="D2214" s="59">
        <v>-40.788700332258067</v>
      </c>
    </row>
    <row r="2215" spans="1:4" x14ac:dyDescent="0.3">
      <c r="A2215" s="58">
        <v>2931350</v>
      </c>
      <c r="B2215" s="58" t="s">
        <v>3145</v>
      </c>
      <c r="C2215" s="59">
        <v>-17.537749881681105</v>
      </c>
      <c r="D2215" s="59">
        <v>-39.7445176868085</v>
      </c>
    </row>
    <row r="2216" spans="1:4" x14ac:dyDescent="0.3">
      <c r="A2216" s="58">
        <v>2931400</v>
      </c>
      <c r="B2216" s="58" t="s">
        <v>3146</v>
      </c>
      <c r="C2216" s="59">
        <v>-12.301407156536301</v>
      </c>
      <c r="D2216" s="59">
        <v>-38.641927541947325</v>
      </c>
    </row>
    <row r="2217" spans="1:4" x14ac:dyDescent="0.3">
      <c r="A2217" s="58">
        <v>2931509</v>
      </c>
      <c r="B2217" s="58" t="s">
        <v>3147</v>
      </c>
      <c r="C2217" s="59">
        <v>-11.482924631754903</v>
      </c>
      <c r="D2217" s="59">
        <v>-39.005812858712908</v>
      </c>
    </row>
    <row r="2218" spans="1:4" x14ac:dyDescent="0.3">
      <c r="A2218" s="58">
        <v>2931608</v>
      </c>
      <c r="B2218" s="58" t="s">
        <v>3148</v>
      </c>
      <c r="C2218" s="59">
        <v>-13.601106007010703</v>
      </c>
      <c r="D2218" s="59">
        <v>-39.489385788602341</v>
      </c>
    </row>
    <row r="2219" spans="1:4" x14ac:dyDescent="0.3">
      <c r="A2219" s="58">
        <v>2931707</v>
      </c>
      <c r="B2219" s="58" t="s">
        <v>2602</v>
      </c>
      <c r="C2219" s="59">
        <v>-12.403091901374903</v>
      </c>
      <c r="D2219" s="59">
        <v>-38.623101859195543</v>
      </c>
    </row>
    <row r="2220" spans="1:4" x14ac:dyDescent="0.3">
      <c r="A2220" s="58">
        <v>2931806</v>
      </c>
      <c r="B2220" s="58" t="s">
        <v>3149</v>
      </c>
      <c r="C2220" s="59">
        <v>-14.9724717722726</v>
      </c>
      <c r="D2220" s="59">
        <v>-41.409576319593192</v>
      </c>
    </row>
    <row r="2221" spans="1:4" x14ac:dyDescent="0.3">
      <c r="A2221" s="58">
        <v>2931905</v>
      </c>
      <c r="B2221" s="58" t="s">
        <v>3150</v>
      </c>
      <c r="C2221" s="59">
        <v>-10.964300169567251</v>
      </c>
      <c r="D2221" s="59">
        <v>-38.785948001549222</v>
      </c>
    </row>
    <row r="2222" spans="1:4" x14ac:dyDescent="0.3">
      <c r="A2222" s="58">
        <v>2932002</v>
      </c>
      <c r="B2222" s="58" t="s">
        <v>3151</v>
      </c>
      <c r="C2222" s="59">
        <v>-9.8326541656148319</v>
      </c>
      <c r="D2222" s="59">
        <v>-39.488064170529526</v>
      </c>
    </row>
    <row r="2223" spans="1:4" x14ac:dyDescent="0.3">
      <c r="A2223" s="58">
        <v>2932101</v>
      </c>
      <c r="B2223" s="58" t="s">
        <v>3152</v>
      </c>
      <c r="C2223" s="59">
        <v>-13.268089484891053</v>
      </c>
      <c r="D2223" s="59">
        <v>-39.662032567228003</v>
      </c>
    </row>
    <row r="2224" spans="1:4" x14ac:dyDescent="0.3">
      <c r="A2224" s="58">
        <v>2932200</v>
      </c>
      <c r="B2224" s="58" t="s">
        <v>3153</v>
      </c>
      <c r="C2224" s="59">
        <v>-14.310436367806652</v>
      </c>
      <c r="D2224" s="59">
        <v>-39.322547405758918</v>
      </c>
    </row>
    <row r="2225" spans="1:4" x14ac:dyDescent="0.3">
      <c r="A2225" s="58">
        <v>2932309</v>
      </c>
      <c r="B2225" s="58" t="s">
        <v>3154</v>
      </c>
      <c r="C2225" s="59">
        <v>-14.211466553941953</v>
      </c>
      <c r="D2225" s="59">
        <v>-39.522667788393072</v>
      </c>
    </row>
    <row r="2226" spans="1:4" x14ac:dyDescent="0.3">
      <c r="A2226" s="58">
        <v>2932408</v>
      </c>
      <c r="B2226" s="58" t="s">
        <v>3155</v>
      </c>
      <c r="C2226" s="59">
        <v>-11.3381145644914</v>
      </c>
      <c r="D2226" s="59">
        <v>-42.133795548796535</v>
      </c>
    </row>
    <row r="2227" spans="1:4" x14ac:dyDescent="0.3">
      <c r="A2227" s="58">
        <v>2932457</v>
      </c>
      <c r="B2227" s="58" t="s">
        <v>3156</v>
      </c>
      <c r="C2227" s="59">
        <v>-10.72927121879775</v>
      </c>
      <c r="D2227" s="59">
        <v>-41.332914130290114</v>
      </c>
    </row>
    <row r="2228" spans="1:4" x14ac:dyDescent="0.3">
      <c r="A2228" s="58">
        <v>2932507</v>
      </c>
      <c r="B2228" s="58" t="s">
        <v>3157</v>
      </c>
      <c r="C2228" s="59">
        <v>-15.294208064906003</v>
      </c>
      <c r="D2228" s="59">
        <v>-39.074712887961908</v>
      </c>
    </row>
    <row r="2229" spans="1:4" x14ac:dyDescent="0.3">
      <c r="A2229" s="58">
        <v>2932606</v>
      </c>
      <c r="B2229" s="58" t="s">
        <v>3158</v>
      </c>
      <c r="C2229" s="59">
        <v>-14.763242183789902</v>
      </c>
      <c r="D2229" s="59">
        <v>-42.658998809756547</v>
      </c>
    </row>
    <row r="2230" spans="1:4" x14ac:dyDescent="0.3">
      <c r="A2230" s="58">
        <v>2932705</v>
      </c>
      <c r="B2230" s="58" t="s">
        <v>3159</v>
      </c>
      <c r="C2230" s="59">
        <v>-14.592035453515303</v>
      </c>
      <c r="D2230" s="59">
        <v>-39.283801878849346</v>
      </c>
    </row>
    <row r="2231" spans="1:4" x14ac:dyDescent="0.3">
      <c r="A2231" s="58">
        <v>2932804</v>
      </c>
      <c r="B2231" s="58" t="s">
        <v>3160</v>
      </c>
      <c r="C2231" s="59">
        <v>-12.083317662999351</v>
      </c>
      <c r="D2231" s="59">
        <v>-41.095828850815224</v>
      </c>
    </row>
    <row r="2232" spans="1:4" x14ac:dyDescent="0.3">
      <c r="A2232" s="58">
        <v>2932903</v>
      </c>
      <c r="B2232" s="58" t="s">
        <v>3161</v>
      </c>
      <c r="C2232" s="59">
        <v>-13.370341506502003</v>
      </c>
      <c r="D2232" s="59">
        <v>-39.072350247197882</v>
      </c>
    </row>
    <row r="2233" spans="1:4" x14ac:dyDescent="0.3">
      <c r="A2233" s="58">
        <v>2933000</v>
      </c>
      <c r="B2233" s="58" t="s">
        <v>3162</v>
      </c>
      <c r="C2233" s="59">
        <v>-11.412489535751002</v>
      </c>
      <c r="D2233" s="59">
        <v>-39.464246066308199</v>
      </c>
    </row>
    <row r="2234" spans="1:4" x14ac:dyDescent="0.3">
      <c r="A2234" s="58">
        <v>2933059</v>
      </c>
      <c r="B2234" s="58" t="s">
        <v>3163</v>
      </c>
      <c r="C2234" s="59">
        <v>-11.598986263456853</v>
      </c>
      <c r="D2234" s="59">
        <v>-40.140637083853498</v>
      </c>
    </row>
    <row r="2235" spans="1:4" x14ac:dyDescent="0.3">
      <c r="A2235" s="58">
        <v>2933109</v>
      </c>
      <c r="B2235" s="58" t="s">
        <v>3164</v>
      </c>
      <c r="C2235" s="59">
        <v>-11.523979532598851</v>
      </c>
      <c r="D2235" s="59">
        <v>-40.318918199839779</v>
      </c>
    </row>
    <row r="2236" spans="1:4" x14ac:dyDescent="0.3">
      <c r="A2236" s="58">
        <v>2933158</v>
      </c>
      <c r="B2236" s="58" t="s">
        <v>3165</v>
      </c>
      <c r="C2236" s="59">
        <v>-11.257231202272552</v>
      </c>
      <c r="D2236" s="59">
        <v>-40.945845931063452</v>
      </c>
    </row>
    <row r="2237" spans="1:4" x14ac:dyDescent="0.3">
      <c r="A2237" s="58">
        <v>2933174</v>
      </c>
      <c r="B2237" s="58" t="s">
        <v>3166</v>
      </c>
      <c r="C2237" s="59">
        <v>-12.975312564956701</v>
      </c>
      <c r="D2237" s="59">
        <v>-39.393475834738133</v>
      </c>
    </row>
    <row r="2238" spans="1:4" x14ac:dyDescent="0.3">
      <c r="A2238" s="58">
        <v>2933208</v>
      </c>
      <c r="B2238" s="58" t="s">
        <v>2244</v>
      </c>
      <c r="C2238" s="59">
        <v>-12.935733331325903</v>
      </c>
      <c r="D2238" s="59">
        <v>-38.619159746347059</v>
      </c>
    </row>
    <row r="2239" spans="1:4" x14ac:dyDescent="0.3">
      <c r="A2239" s="58">
        <v>2933257</v>
      </c>
      <c r="B2239" s="58" t="s">
        <v>3167</v>
      </c>
      <c r="C2239" s="59">
        <v>-17.223934059379655</v>
      </c>
      <c r="D2239" s="59">
        <v>-40.084484927814245</v>
      </c>
    </row>
    <row r="2240" spans="1:4" x14ac:dyDescent="0.3">
      <c r="A2240" s="58">
        <v>2933307</v>
      </c>
      <c r="B2240" s="58" t="s">
        <v>3168</v>
      </c>
      <c r="C2240" s="59">
        <v>-14.848004811585602</v>
      </c>
      <c r="D2240" s="59">
        <v>-40.839809537178134</v>
      </c>
    </row>
    <row r="2241" spans="1:4" x14ac:dyDescent="0.3">
      <c r="A2241" s="58">
        <v>2933406</v>
      </c>
      <c r="B2241" s="58" t="s">
        <v>3169</v>
      </c>
      <c r="C2241" s="59">
        <v>-12.284250789937904</v>
      </c>
      <c r="D2241" s="59">
        <v>-41.169626985929028</v>
      </c>
    </row>
    <row r="2242" spans="1:4" x14ac:dyDescent="0.3">
      <c r="A2242" s="58">
        <v>2933455</v>
      </c>
      <c r="B2242" s="58" t="s">
        <v>3170</v>
      </c>
      <c r="C2242" s="59">
        <v>-12.120150314006102</v>
      </c>
      <c r="D2242" s="59">
        <v>-43.888929519852603</v>
      </c>
    </row>
    <row r="2243" spans="1:4" x14ac:dyDescent="0.3">
      <c r="A2243" s="58">
        <v>2933505</v>
      </c>
      <c r="B2243" s="58" t="s">
        <v>3171</v>
      </c>
      <c r="C2243" s="59">
        <v>-13.688587752524951</v>
      </c>
      <c r="D2243" s="59">
        <v>-39.479670803191198</v>
      </c>
    </row>
    <row r="2244" spans="1:4" x14ac:dyDescent="0.3">
      <c r="A2244" s="58">
        <v>2933604</v>
      </c>
      <c r="B2244" s="58" t="s">
        <v>3172</v>
      </c>
      <c r="C2244" s="59">
        <v>-10.824974418143286</v>
      </c>
      <c r="D2244" s="59">
        <v>-42.725508001161835</v>
      </c>
    </row>
    <row r="2245" spans="1:4" x14ac:dyDescent="0.3">
      <c r="A2245" s="58">
        <v>3100104</v>
      </c>
      <c r="B2245" s="58" t="s">
        <v>3173</v>
      </c>
      <c r="C2245" s="59">
        <v>-18.48756495893895</v>
      </c>
      <c r="D2245" s="59">
        <v>-47.396832440622163</v>
      </c>
    </row>
    <row r="2246" spans="1:4" x14ac:dyDescent="0.3">
      <c r="A2246" s="58">
        <v>3100203</v>
      </c>
      <c r="B2246" s="58" t="s">
        <v>3174</v>
      </c>
      <c r="C2246" s="59">
        <v>-19.155847694144502</v>
      </c>
      <c r="D2246" s="59">
        <v>-45.446191417204879</v>
      </c>
    </row>
    <row r="2247" spans="1:4" x14ac:dyDescent="0.3">
      <c r="A2247" s="58">
        <v>3100302</v>
      </c>
      <c r="B2247" s="58" t="s">
        <v>3175</v>
      </c>
      <c r="C2247" s="59">
        <v>-20.301445283840355</v>
      </c>
      <c r="D2247" s="59">
        <v>-42.480989986678878</v>
      </c>
    </row>
    <row r="2248" spans="1:4" x14ac:dyDescent="0.3">
      <c r="A2248" s="58">
        <v>3100401</v>
      </c>
      <c r="B2248" s="58" t="s">
        <v>3176</v>
      </c>
      <c r="C2248" s="59">
        <v>-20.360408931255851</v>
      </c>
      <c r="D2248" s="59">
        <v>-43.148238901834659</v>
      </c>
    </row>
    <row r="2249" spans="1:4" x14ac:dyDescent="0.3">
      <c r="A2249" s="58">
        <v>3100500</v>
      </c>
      <c r="B2249" s="58" t="s">
        <v>3177</v>
      </c>
      <c r="C2249" s="59">
        <v>-19.076712893633353</v>
      </c>
      <c r="D2249" s="59">
        <v>-42.546210879734488</v>
      </c>
    </row>
    <row r="2250" spans="1:4" x14ac:dyDescent="0.3">
      <c r="A2250" s="58">
        <v>3100609</v>
      </c>
      <c r="B2250" s="58" t="s">
        <v>3178</v>
      </c>
      <c r="C2250" s="59">
        <v>-17.991053049641604</v>
      </c>
      <c r="D2250" s="59">
        <v>-42.389643230084666</v>
      </c>
    </row>
    <row r="2251" spans="1:4" x14ac:dyDescent="0.3">
      <c r="A2251" s="58">
        <v>3100708</v>
      </c>
      <c r="B2251" s="58" t="s">
        <v>3179</v>
      </c>
      <c r="C2251" s="59">
        <v>-20.059312413442704</v>
      </c>
      <c r="D2251" s="59">
        <v>-48.108076774167152</v>
      </c>
    </row>
    <row r="2252" spans="1:4" x14ac:dyDescent="0.3">
      <c r="A2252" s="58">
        <v>3100807</v>
      </c>
      <c r="B2252" s="58" t="s">
        <v>3180</v>
      </c>
      <c r="C2252" s="59">
        <v>-20.937432202545352</v>
      </c>
      <c r="D2252" s="59">
        <v>-45.389465343494763</v>
      </c>
    </row>
    <row r="2253" spans="1:4" x14ac:dyDescent="0.3">
      <c r="A2253" s="58">
        <v>3100906</v>
      </c>
      <c r="B2253" s="58" t="s">
        <v>3181</v>
      </c>
      <c r="C2253" s="59">
        <v>-17.082304319556702</v>
      </c>
      <c r="D2253" s="59">
        <v>-40.935227939869101</v>
      </c>
    </row>
    <row r="2254" spans="1:4" x14ac:dyDescent="0.3">
      <c r="A2254" s="58">
        <v>3101003</v>
      </c>
      <c r="B2254" s="58" t="s">
        <v>3182</v>
      </c>
      <c r="C2254" s="59">
        <v>-15.745319945169451</v>
      </c>
      <c r="D2254" s="59">
        <v>-41.458788304120027</v>
      </c>
    </row>
    <row r="2255" spans="1:4" x14ac:dyDescent="0.3">
      <c r="A2255" s="58">
        <v>3101102</v>
      </c>
      <c r="B2255" s="58" t="s">
        <v>3183</v>
      </c>
      <c r="C2255" s="59">
        <v>-19.491950149268252</v>
      </c>
      <c r="D2255" s="59">
        <v>-41.07332746279608</v>
      </c>
    </row>
    <row r="2256" spans="1:4" x14ac:dyDescent="0.3">
      <c r="A2256" s="58">
        <v>3101201</v>
      </c>
      <c r="B2256" s="58" t="s">
        <v>3184</v>
      </c>
      <c r="C2256" s="59">
        <v>-21.975896655915705</v>
      </c>
      <c r="D2256" s="59">
        <v>-44.602824464627552</v>
      </c>
    </row>
    <row r="2257" spans="1:4" x14ac:dyDescent="0.3">
      <c r="A2257" s="58">
        <v>3101300</v>
      </c>
      <c r="B2257" s="58" t="s">
        <v>3185</v>
      </c>
      <c r="C2257" s="59">
        <v>-22.171135664433354</v>
      </c>
      <c r="D2257" s="59">
        <v>-44.638098867177838</v>
      </c>
    </row>
    <row r="2258" spans="1:4" x14ac:dyDescent="0.3">
      <c r="A2258" s="58">
        <v>3101409</v>
      </c>
      <c r="B2258" s="58" t="s">
        <v>3186</v>
      </c>
      <c r="C2258" s="59">
        <v>-22.199764481904854</v>
      </c>
      <c r="D2258" s="59">
        <v>-46.611602573367414</v>
      </c>
    </row>
    <row r="2259" spans="1:4" x14ac:dyDescent="0.3">
      <c r="A2259" s="58">
        <v>3101508</v>
      </c>
      <c r="B2259" s="58" t="s">
        <v>3187</v>
      </c>
      <c r="C2259" s="59">
        <v>-21.876803711864174</v>
      </c>
      <c r="D2259" s="59">
        <v>-42.69594660245734</v>
      </c>
    </row>
    <row r="2260" spans="1:4" x14ac:dyDescent="0.3">
      <c r="A2260" s="58">
        <v>3101607</v>
      </c>
      <c r="B2260" s="58" t="s">
        <v>3188</v>
      </c>
      <c r="C2260" s="59">
        <v>-21.428178122919054</v>
      </c>
      <c r="D2260" s="59">
        <v>-45.948918199235898</v>
      </c>
    </row>
    <row r="2261" spans="1:4" x14ac:dyDescent="0.3">
      <c r="A2261" s="58">
        <v>3101631</v>
      </c>
      <c r="B2261" s="58" t="s">
        <v>3189</v>
      </c>
      <c r="C2261" s="59">
        <v>-21.139423464834405</v>
      </c>
      <c r="D2261" s="59">
        <v>-43.773889952739239</v>
      </c>
    </row>
    <row r="2262" spans="1:4" x14ac:dyDescent="0.3">
      <c r="A2262" s="58">
        <v>3101706</v>
      </c>
      <c r="B2262" s="58" t="s">
        <v>3190</v>
      </c>
      <c r="C2262" s="59">
        <v>-16.180616174357702</v>
      </c>
      <c r="D2262" s="59">
        <v>-40.697651183251303</v>
      </c>
    </row>
    <row r="2263" spans="1:4" x14ac:dyDescent="0.3">
      <c r="A2263" s="58">
        <v>3101805</v>
      </c>
      <c r="B2263" s="58" t="s">
        <v>3191</v>
      </c>
      <c r="C2263" s="59">
        <v>-18.986831256465951</v>
      </c>
      <c r="D2263" s="59">
        <v>-41.989129111595382</v>
      </c>
    </row>
    <row r="2264" spans="1:4" x14ac:dyDescent="0.3">
      <c r="A2264" s="58">
        <v>3101904</v>
      </c>
      <c r="B2264" s="58" t="s">
        <v>3192</v>
      </c>
      <c r="C2264" s="59">
        <v>-20.8618546557469</v>
      </c>
      <c r="D2264" s="59">
        <v>-46.389482534768781</v>
      </c>
    </row>
    <row r="2265" spans="1:4" x14ac:dyDescent="0.3">
      <c r="A2265" s="58">
        <v>3102001</v>
      </c>
      <c r="B2265" s="58" t="s">
        <v>3193</v>
      </c>
      <c r="C2265" s="59">
        <v>-21.255869951920904</v>
      </c>
      <c r="D2265" s="59">
        <v>-46.145320561469681</v>
      </c>
    </row>
    <row r="2266" spans="1:4" x14ac:dyDescent="0.3">
      <c r="A2266" s="58">
        <v>3102050</v>
      </c>
      <c r="B2266" s="58" t="s">
        <v>3194</v>
      </c>
      <c r="C2266" s="59">
        <v>-20.444361120976254</v>
      </c>
      <c r="D2266" s="59">
        <v>-41.873083740030985</v>
      </c>
    </row>
    <row r="2267" spans="1:4" x14ac:dyDescent="0.3">
      <c r="A2267" s="58">
        <v>3102100</v>
      </c>
      <c r="B2267" s="58" t="s">
        <v>3195</v>
      </c>
      <c r="C2267" s="59">
        <v>-21.022146147554707</v>
      </c>
      <c r="D2267" s="59">
        <v>-43.41887066417997</v>
      </c>
    </row>
    <row r="2268" spans="1:4" x14ac:dyDescent="0.3">
      <c r="A2268" s="58">
        <v>3102209</v>
      </c>
      <c r="B2268" s="58" t="s">
        <v>3196</v>
      </c>
      <c r="C2268" s="59">
        <v>-19.414469686844203</v>
      </c>
      <c r="D2268" s="59">
        <v>-41.726442273929486</v>
      </c>
    </row>
    <row r="2269" spans="1:4" x14ac:dyDescent="0.3">
      <c r="A2269" s="58">
        <v>3102308</v>
      </c>
      <c r="B2269" s="58" t="s">
        <v>3197</v>
      </c>
      <c r="C2269" s="59">
        <v>-20.114763482364257</v>
      </c>
      <c r="D2269" s="59">
        <v>-43.066083238109179</v>
      </c>
    </row>
    <row r="2270" spans="1:4" x14ac:dyDescent="0.3">
      <c r="A2270" s="58">
        <v>3102407</v>
      </c>
      <c r="B2270" s="58" t="s">
        <v>3198</v>
      </c>
      <c r="C2270" s="59">
        <v>-18.733593024363</v>
      </c>
      <c r="D2270" s="59">
        <v>-43.366084343432213</v>
      </c>
    </row>
    <row r="2271" spans="1:4" x14ac:dyDescent="0.3">
      <c r="A2271" s="58">
        <v>3102506</v>
      </c>
      <c r="B2271" s="58" t="s">
        <v>3199</v>
      </c>
      <c r="C2271" s="59">
        <v>-20.510066687125203</v>
      </c>
      <c r="D2271" s="59">
        <v>-42.807202153365765</v>
      </c>
    </row>
    <row r="2272" spans="1:4" x14ac:dyDescent="0.3">
      <c r="A2272" s="58">
        <v>3102605</v>
      </c>
      <c r="B2272" s="58" t="s">
        <v>3200</v>
      </c>
      <c r="C2272" s="59">
        <v>-22.072807344108902</v>
      </c>
      <c r="D2272" s="59">
        <v>-46.575583000940995</v>
      </c>
    </row>
    <row r="2273" spans="1:4" x14ac:dyDescent="0.3">
      <c r="A2273" s="58">
        <v>3102704</v>
      </c>
      <c r="B2273" s="58" t="s">
        <v>3201</v>
      </c>
      <c r="C2273" s="59">
        <v>-15.965175841742226</v>
      </c>
      <c r="D2273" s="59">
        <v>-41.496410368358802</v>
      </c>
    </row>
    <row r="2274" spans="1:4" x14ac:dyDescent="0.3">
      <c r="A2274" s="58">
        <v>3102803</v>
      </c>
      <c r="B2274" s="58" t="s">
        <v>3202</v>
      </c>
      <c r="C2274" s="59">
        <v>-21.7369681986895</v>
      </c>
      <c r="D2274" s="59">
        <v>-44.317699037928314</v>
      </c>
    </row>
    <row r="2275" spans="1:4" x14ac:dyDescent="0.3">
      <c r="A2275" s="58">
        <v>3102852</v>
      </c>
      <c r="B2275" s="58" t="s">
        <v>3203</v>
      </c>
      <c r="C2275" s="59">
        <v>-17.727789832135404</v>
      </c>
      <c r="D2275" s="59">
        <v>-42.266450489920835</v>
      </c>
    </row>
    <row r="2276" spans="1:4" x14ac:dyDescent="0.3">
      <c r="A2276" s="58">
        <v>3102902</v>
      </c>
      <c r="B2276" s="58" t="s">
        <v>3204</v>
      </c>
      <c r="C2276" s="59">
        <v>-21.318580369948354</v>
      </c>
      <c r="D2276" s="59">
        <v>-43.755641009845661</v>
      </c>
    </row>
    <row r="2277" spans="1:4" x14ac:dyDescent="0.3">
      <c r="A2277" s="58">
        <v>3103009</v>
      </c>
      <c r="B2277" s="58" t="s">
        <v>3205</v>
      </c>
      <c r="C2277" s="59">
        <v>-19.651466672642005</v>
      </c>
      <c r="D2277" s="59">
        <v>-42.869545208970145</v>
      </c>
    </row>
    <row r="2278" spans="1:4" x14ac:dyDescent="0.3">
      <c r="A2278" s="58">
        <v>3103108</v>
      </c>
      <c r="B2278" s="58" t="s">
        <v>3206</v>
      </c>
      <c r="C2278" s="59">
        <v>-21.018232058786399</v>
      </c>
      <c r="D2278" s="59">
        <v>-42.109342650115359</v>
      </c>
    </row>
    <row r="2279" spans="1:4" x14ac:dyDescent="0.3">
      <c r="A2279" s="58">
        <v>3103207</v>
      </c>
      <c r="B2279" s="58" t="s">
        <v>3207</v>
      </c>
      <c r="C2279" s="59">
        <v>-19.200363859421053</v>
      </c>
      <c r="D2279" s="59">
        <v>-44.246923712861637</v>
      </c>
    </row>
    <row r="2280" spans="1:4" x14ac:dyDescent="0.3">
      <c r="A2280" s="58">
        <v>3103306</v>
      </c>
      <c r="B2280" s="58" t="s">
        <v>3208</v>
      </c>
      <c r="C2280" s="59">
        <v>-21.339268736004207</v>
      </c>
      <c r="D2280" s="59">
        <v>-43.381556238532795</v>
      </c>
    </row>
    <row r="2281" spans="1:4" x14ac:dyDescent="0.3">
      <c r="A2281" s="58">
        <v>3103405</v>
      </c>
      <c r="B2281" s="58" t="s">
        <v>3209</v>
      </c>
      <c r="C2281" s="59">
        <v>-16.851781395362355</v>
      </c>
      <c r="D2281" s="59">
        <v>-42.064206549541069</v>
      </c>
    </row>
    <row r="2282" spans="1:4" x14ac:dyDescent="0.3">
      <c r="A2282" s="58">
        <v>3103504</v>
      </c>
      <c r="B2282" s="58" t="s">
        <v>3210</v>
      </c>
      <c r="C2282" s="59">
        <v>-18.648269526813802</v>
      </c>
      <c r="D2282" s="59">
        <v>-48.191605379029177</v>
      </c>
    </row>
    <row r="2283" spans="1:4" x14ac:dyDescent="0.3">
      <c r="A2283" s="58">
        <v>3103603</v>
      </c>
      <c r="B2283" s="58" t="s">
        <v>3211</v>
      </c>
      <c r="C2283" s="59">
        <v>-21.916104228233106</v>
      </c>
      <c r="D2283" s="59">
        <v>-44.246954248100486</v>
      </c>
    </row>
    <row r="2284" spans="1:4" x14ac:dyDescent="0.3">
      <c r="A2284" s="58">
        <v>3103702</v>
      </c>
      <c r="B2284" s="58" t="s">
        <v>3212</v>
      </c>
      <c r="C2284" s="59">
        <v>-20.665661731294502</v>
      </c>
      <c r="D2284" s="59">
        <v>-42.526273099989083</v>
      </c>
    </row>
    <row r="2285" spans="1:4" x14ac:dyDescent="0.3">
      <c r="A2285" s="58">
        <v>3103751</v>
      </c>
      <c r="B2285" s="58" t="s">
        <v>3213</v>
      </c>
      <c r="C2285" s="59">
        <v>-18.441909376645956</v>
      </c>
      <c r="D2285" s="59">
        <v>-49.190086644700308</v>
      </c>
    </row>
    <row r="2286" spans="1:4" x14ac:dyDescent="0.3">
      <c r="A2286" s="58">
        <v>3103801</v>
      </c>
      <c r="B2286" s="58" t="s">
        <v>3214</v>
      </c>
      <c r="C2286" s="59">
        <v>-19.033855287526102</v>
      </c>
      <c r="D2286" s="59">
        <v>-46.154597768488465</v>
      </c>
    </row>
    <row r="2287" spans="1:4" x14ac:dyDescent="0.3">
      <c r="A2287" s="58">
        <v>3103900</v>
      </c>
      <c r="B2287" s="58" t="s">
        <v>3215</v>
      </c>
      <c r="C2287" s="59">
        <v>-19.946785340190154</v>
      </c>
      <c r="D2287" s="59">
        <v>-45.166702278526202</v>
      </c>
    </row>
    <row r="2288" spans="1:4" x14ac:dyDescent="0.3">
      <c r="A2288" s="58">
        <v>3104007</v>
      </c>
      <c r="B2288" s="58" t="s">
        <v>3216</v>
      </c>
      <c r="C2288" s="59">
        <v>-19.591329802783704</v>
      </c>
      <c r="D2288" s="59">
        <v>-46.940009890021308</v>
      </c>
    </row>
    <row r="2289" spans="1:4" x14ac:dyDescent="0.3">
      <c r="A2289" s="58">
        <v>3104106</v>
      </c>
      <c r="B2289" s="58" t="s">
        <v>3217</v>
      </c>
      <c r="C2289" s="59">
        <v>-21.3601814752415</v>
      </c>
      <c r="D2289" s="59">
        <v>-46.944354131699008</v>
      </c>
    </row>
    <row r="2290" spans="1:4" x14ac:dyDescent="0.3">
      <c r="A2290" s="58">
        <v>3104205</v>
      </c>
      <c r="B2290" s="58" t="s">
        <v>3218</v>
      </c>
      <c r="C2290" s="59">
        <v>-20.282563119936754</v>
      </c>
      <c r="D2290" s="59">
        <v>-45.543631871236265</v>
      </c>
    </row>
    <row r="2291" spans="1:4" x14ac:dyDescent="0.3">
      <c r="A2291" s="58">
        <v>3104304</v>
      </c>
      <c r="B2291" s="58" t="s">
        <v>3219</v>
      </c>
      <c r="C2291" s="59">
        <v>-21.358382357539405</v>
      </c>
      <c r="D2291" s="59">
        <v>-46.146559466125673</v>
      </c>
    </row>
    <row r="2292" spans="1:4" x14ac:dyDescent="0.3">
      <c r="A2292" s="58">
        <v>3104403</v>
      </c>
      <c r="B2292" s="58" t="s">
        <v>3220</v>
      </c>
      <c r="C2292" s="59">
        <v>-21.607554506260851</v>
      </c>
      <c r="D2292" s="59">
        <v>-42.83644676784683</v>
      </c>
    </row>
    <row r="2293" spans="1:4" x14ac:dyDescent="0.3">
      <c r="A2293" s="58">
        <v>3104452</v>
      </c>
      <c r="B2293" s="58" t="s">
        <v>3221</v>
      </c>
      <c r="C2293" s="59">
        <v>-17.867762938512751</v>
      </c>
      <c r="D2293" s="59">
        <v>-42.559231054572507</v>
      </c>
    </row>
    <row r="2294" spans="1:4" x14ac:dyDescent="0.3">
      <c r="A2294" s="58">
        <v>3104502</v>
      </c>
      <c r="B2294" s="58" t="s">
        <v>3222</v>
      </c>
      <c r="C2294" s="59">
        <v>-15.921771694348852</v>
      </c>
      <c r="D2294" s="59">
        <v>-46.107752136103869</v>
      </c>
    </row>
    <row r="2295" spans="1:4" x14ac:dyDescent="0.3">
      <c r="A2295" s="58">
        <v>3104601</v>
      </c>
      <c r="B2295" s="58" t="s">
        <v>3223</v>
      </c>
      <c r="C2295" s="59">
        <v>-21.311203850754399</v>
      </c>
      <c r="D2295" s="59">
        <v>-42.859644314202704</v>
      </c>
    </row>
    <row r="2296" spans="1:4" x14ac:dyDescent="0.3">
      <c r="A2296" s="58">
        <v>3104700</v>
      </c>
      <c r="B2296" s="58" t="s">
        <v>3224</v>
      </c>
      <c r="C2296" s="59">
        <v>-18.045919809150352</v>
      </c>
      <c r="D2296" s="59">
        <v>-41.110558389941374</v>
      </c>
    </row>
    <row r="2297" spans="1:4" x14ac:dyDescent="0.3">
      <c r="A2297" s="58">
        <v>3104809</v>
      </c>
      <c r="B2297" s="58" t="s">
        <v>3225</v>
      </c>
      <c r="C2297" s="59">
        <v>-18.112548103742302</v>
      </c>
      <c r="D2297" s="59">
        <v>-44.275218842327881</v>
      </c>
    </row>
    <row r="2298" spans="1:4" x14ac:dyDescent="0.3">
      <c r="A2298" s="58">
        <v>3104908</v>
      </c>
      <c r="B2298" s="58" t="s">
        <v>3226</v>
      </c>
      <c r="C2298" s="59">
        <v>-21.957610807931804</v>
      </c>
      <c r="D2298" s="59">
        <v>-44.890370662758251</v>
      </c>
    </row>
    <row r="2299" spans="1:4" x14ac:dyDescent="0.3">
      <c r="A2299" s="58">
        <v>3105004</v>
      </c>
      <c r="B2299" s="58" t="s">
        <v>3227</v>
      </c>
      <c r="C2299" s="59">
        <v>-19.286437304159801</v>
      </c>
      <c r="D2299" s="59">
        <v>-43.957040641317789</v>
      </c>
    </row>
    <row r="2300" spans="1:4" x14ac:dyDescent="0.3">
      <c r="A2300" s="58">
        <v>3105103</v>
      </c>
      <c r="B2300" s="58" t="s">
        <v>3228</v>
      </c>
      <c r="C2300" s="59">
        <v>-20.011891691422605</v>
      </c>
      <c r="D2300" s="59">
        <v>-45.979044812610418</v>
      </c>
    </row>
    <row r="2301" spans="1:4" x14ac:dyDescent="0.3">
      <c r="A2301" s="58">
        <v>3105202</v>
      </c>
      <c r="B2301" s="58" t="s">
        <v>3229</v>
      </c>
      <c r="C2301" s="59">
        <v>-15.884976979156253</v>
      </c>
      <c r="D2301" s="59">
        <v>-40.558886420579512</v>
      </c>
    </row>
    <row r="2302" spans="1:4" x14ac:dyDescent="0.3">
      <c r="A2302" s="58">
        <v>3105301</v>
      </c>
      <c r="B2302" s="58" t="s">
        <v>3230</v>
      </c>
      <c r="C2302" s="59">
        <v>-21.724868544311402</v>
      </c>
      <c r="D2302" s="59">
        <v>-46.38526298492976</v>
      </c>
    </row>
    <row r="2303" spans="1:4" x14ac:dyDescent="0.3">
      <c r="A2303" s="58">
        <v>3105400</v>
      </c>
      <c r="B2303" s="58" t="s">
        <v>3231</v>
      </c>
      <c r="C2303" s="59">
        <v>-19.935847434269153</v>
      </c>
      <c r="D2303" s="59">
        <v>-43.48488246903711</v>
      </c>
    </row>
    <row r="2304" spans="1:4" x14ac:dyDescent="0.3">
      <c r="A2304" s="58">
        <v>3105509</v>
      </c>
      <c r="B2304" s="58" t="s">
        <v>3232</v>
      </c>
      <c r="C2304" s="59">
        <v>-21.247882344725557</v>
      </c>
      <c r="D2304" s="59">
        <v>-42.239146579703288</v>
      </c>
    </row>
    <row r="2305" spans="1:4" x14ac:dyDescent="0.3">
      <c r="A2305" s="58">
        <v>3105608</v>
      </c>
      <c r="B2305" s="58" t="s">
        <v>3233</v>
      </c>
      <c r="C2305" s="59">
        <v>-21.224915384709057</v>
      </c>
      <c r="D2305" s="59">
        <v>-43.77619331605964</v>
      </c>
    </row>
    <row r="2306" spans="1:4" x14ac:dyDescent="0.3">
      <c r="A2306" s="58">
        <v>3105707</v>
      </c>
      <c r="B2306" s="58" t="s">
        <v>3234</v>
      </c>
      <c r="C2306" s="59">
        <v>-20.283635898476852</v>
      </c>
      <c r="D2306" s="59">
        <v>-43.037196711093614</v>
      </c>
    </row>
    <row r="2307" spans="1:4" x14ac:dyDescent="0.3">
      <c r="A2307" s="58">
        <v>3105905</v>
      </c>
      <c r="B2307" s="58" t="s">
        <v>3235</v>
      </c>
      <c r="C2307" s="59">
        <v>-21.176286999031007</v>
      </c>
      <c r="D2307" s="59">
        <v>-43.975381124315739</v>
      </c>
    </row>
    <row r="2308" spans="1:4" x14ac:dyDescent="0.3">
      <c r="A2308" s="58">
        <v>3106002</v>
      </c>
      <c r="B2308" s="58" t="s">
        <v>3236</v>
      </c>
      <c r="C2308" s="59">
        <v>-19.825846763990203</v>
      </c>
      <c r="D2308" s="59">
        <v>-43.096932266407627</v>
      </c>
    </row>
    <row r="2309" spans="1:4" x14ac:dyDescent="0.3">
      <c r="A2309" s="58">
        <v>3106101</v>
      </c>
      <c r="B2309" s="58" t="s">
        <v>3237</v>
      </c>
      <c r="C2309" s="59">
        <v>-21.950131302029909</v>
      </c>
      <c r="D2309" s="59">
        <v>-43.415720767868216</v>
      </c>
    </row>
    <row r="2310" spans="1:4" x14ac:dyDescent="0.3">
      <c r="A2310" s="58">
        <v>3106200</v>
      </c>
      <c r="B2310" s="58" t="s">
        <v>3238</v>
      </c>
      <c r="C2310" s="59">
        <v>-19.937524293775052</v>
      </c>
      <c r="D2310" s="59">
        <v>-43.926453173530454</v>
      </c>
    </row>
    <row r="2311" spans="1:4" x14ac:dyDescent="0.3">
      <c r="A2311" s="58">
        <v>3106309</v>
      </c>
      <c r="B2311" s="58" t="s">
        <v>3239</v>
      </c>
      <c r="C2311" s="59">
        <v>-19.224644999372952</v>
      </c>
      <c r="D2311" s="59">
        <v>-42.487282600198306</v>
      </c>
    </row>
    <row r="2312" spans="1:4" x14ac:dyDescent="0.3">
      <c r="A2312" s="58">
        <v>3106408</v>
      </c>
      <c r="B2312" s="58" t="s">
        <v>3240</v>
      </c>
      <c r="C2312" s="59">
        <v>-20.406657871785651</v>
      </c>
      <c r="D2312" s="59">
        <v>-44.028527654212844</v>
      </c>
    </row>
    <row r="2313" spans="1:4" x14ac:dyDescent="0.3">
      <c r="A2313" s="58">
        <v>3106507</v>
      </c>
      <c r="B2313" s="58" t="s">
        <v>3241</v>
      </c>
      <c r="C2313" s="59">
        <v>-16.950301755280901</v>
      </c>
      <c r="D2313" s="59">
        <v>-42.461353774306055</v>
      </c>
    </row>
    <row r="2314" spans="1:4" x14ac:dyDescent="0.3">
      <c r="A2314" s="58">
        <v>3106606</v>
      </c>
      <c r="B2314" s="58" t="s">
        <v>3242</v>
      </c>
      <c r="C2314" s="59">
        <v>-17.060962812212505</v>
      </c>
      <c r="D2314" s="59">
        <v>-40.572245850066572</v>
      </c>
    </row>
    <row r="2315" spans="1:4" x14ac:dyDescent="0.3">
      <c r="A2315" s="58">
        <v>3106655</v>
      </c>
      <c r="B2315" s="58" t="s">
        <v>3243</v>
      </c>
      <c r="C2315" s="59">
        <v>-15.610783651661453</v>
      </c>
      <c r="D2315" s="59">
        <v>-41.746785089870642</v>
      </c>
    </row>
    <row r="2316" spans="1:4" x14ac:dyDescent="0.3">
      <c r="A2316" s="58">
        <v>3106705</v>
      </c>
      <c r="B2316" s="58" t="s">
        <v>3244</v>
      </c>
      <c r="C2316" s="59">
        <v>-19.965379240085102</v>
      </c>
      <c r="D2316" s="59">
        <v>-44.197551103266584</v>
      </c>
    </row>
    <row r="2317" spans="1:4" x14ac:dyDescent="0.3">
      <c r="A2317" s="58">
        <v>3106804</v>
      </c>
      <c r="B2317" s="58" t="s">
        <v>3245</v>
      </c>
      <c r="C2317" s="59">
        <v>-21.608747484764407</v>
      </c>
      <c r="D2317" s="59">
        <v>-43.75657482745013</v>
      </c>
    </row>
    <row r="2318" spans="1:4" x14ac:dyDescent="0.3">
      <c r="A2318" s="58">
        <v>3106903</v>
      </c>
      <c r="B2318" s="58" t="s">
        <v>3246</v>
      </c>
      <c r="C2318" s="59">
        <v>-21.722105120987454</v>
      </c>
      <c r="D2318" s="59">
        <v>-43.062047262085727</v>
      </c>
    </row>
    <row r="2319" spans="1:4" x14ac:dyDescent="0.3">
      <c r="A2319" s="58">
        <v>3107000</v>
      </c>
      <c r="B2319" s="58" t="s">
        <v>3247</v>
      </c>
      <c r="C2319" s="59">
        <v>-18.7847516602239</v>
      </c>
      <c r="D2319" s="59">
        <v>-45.504651716023616</v>
      </c>
    </row>
    <row r="2320" spans="1:4" x14ac:dyDescent="0.3">
      <c r="A2320" s="58">
        <v>3107109</v>
      </c>
      <c r="B2320" s="58" t="s">
        <v>3248</v>
      </c>
      <c r="C2320" s="59">
        <v>-21.090531079211203</v>
      </c>
      <c r="D2320" s="59">
        <v>-45.564408930791338</v>
      </c>
    </row>
    <row r="2321" spans="1:4" x14ac:dyDescent="0.3">
      <c r="A2321" s="58">
        <v>3107208</v>
      </c>
      <c r="B2321" s="58" t="s">
        <v>3249</v>
      </c>
      <c r="C2321" s="59">
        <v>-22.169608467648604</v>
      </c>
      <c r="D2321" s="59">
        <v>-44.397305760456248</v>
      </c>
    </row>
    <row r="2322" spans="1:4" x14ac:dyDescent="0.3">
      <c r="A2322" s="58">
        <v>3107307</v>
      </c>
      <c r="B2322" s="58" t="s">
        <v>3250</v>
      </c>
      <c r="C2322" s="59">
        <v>-17.112104733227653</v>
      </c>
      <c r="D2322" s="59">
        <v>-43.814443571216373</v>
      </c>
    </row>
    <row r="2323" spans="1:4" x14ac:dyDescent="0.3">
      <c r="A2323" s="58">
        <v>3107406</v>
      </c>
      <c r="B2323" s="58" t="s">
        <v>3251</v>
      </c>
      <c r="C2323" s="59">
        <v>-19.737596333881005</v>
      </c>
      <c r="D2323" s="59">
        <v>-45.254115198574759</v>
      </c>
    </row>
    <row r="2324" spans="1:4" x14ac:dyDescent="0.3">
      <c r="A2324" s="58">
        <v>3107505</v>
      </c>
      <c r="B2324" s="58" t="s">
        <v>3252</v>
      </c>
      <c r="C2324" s="59">
        <v>-21.945899784915404</v>
      </c>
      <c r="D2324" s="59">
        <v>-44.189374455961016</v>
      </c>
    </row>
    <row r="2325" spans="1:4" x14ac:dyDescent="0.3">
      <c r="A2325" s="58">
        <v>3107604</v>
      </c>
      <c r="B2325" s="58" t="s">
        <v>3253</v>
      </c>
      <c r="C2325" s="59">
        <v>-21.017269311163002</v>
      </c>
      <c r="D2325" s="59">
        <v>-46.523543613945016</v>
      </c>
    </row>
    <row r="2326" spans="1:4" x14ac:dyDescent="0.3">
      <c r="A2326" s="58">
        <v>3107703</v>
      </c>
      <c r="B2326" s="58" t="s">
        <v>3254</v>
      </c>
      <c r="C2326" s="59">
        <v>-19.704137273914601</v>
      </c>
      <c r="D2326" s="59">
        <v>-43.473514924483048</v>
      </c>
    </row>
    <row r="2327" spans="1:4" x14ac:dyDescent="0.3">
      <c r="A2327" s="58">
        <v>3107802</v>
      </c>
      <c r="B2327" s="58" t="s">
        <v>3255</v>
      </c>
      <c r="C2327" s="59">
        <v>-19.824472039543203</v>
      </c>
      <c r="D2327" s="59">
        <v>-42.315726552606257</v>
      </c>
    </row>
    <row r="2328" spans="1:4" x14ac:dyDescent="0.3">
      <c r="A2328" s="58">
        <v>3107901</v>
      </c>
      <c r="B2328" s="58" t="s">
        <v>3256</v>
      </c>
      <c r="C2328" s="59">
        <v>-22.476836828526803</v>
      </c>
      <c r="D2328" s="59">
        <v>-46.147882202097982</v>
      </c>
    </row>
    <row r="2329" spans="1:4" x14ac:dyDescent="0.3">
      <c r="A2329" s="58">
        <v>3108008</v>
      </c>
      <c r="B2329" s="58" t="s">
        <v>2274</v>
      </c>
      <c r="C2329" s="59">
        <v>-21.030416094446057</v>
      </c>
      <c r="D2329" s="59">
        <v>-44.755502723264591</v>
      </c>
    </row>
    <row r="2330" spans="1:4" x14ac:dyDescent="0.3">
      <c r="A2330" s="58">
        <v>3108107</v>
      </c>
      <c r="B2330" s="58" t="s">
        <v>1174</v>
      </c>
      <c r="C2330" s="59">
        <v>-20.3254910996075</v>
      </c>
      <c r="D2330" s="59">
        <v>-44.23291108490502</v>
      </c>
    </row>
    <row r="2331" spans="1:4" x14ac:dyDescent="0.3">
      <c r="A2331" s="58">
        <v>3108206</v>
      </c>
      <c r="B2331" s="58" t="s">
        <v>3257</v>
      </c>
      <c r="C2331" s="59">
        <v>-16.570764786075653</v>
      </c>
      <c r="D2331" s="59">
        <v>-45.988340657155021</v>
      </c>
    </row>
    <row r="2332" spans="1:4" x14ac:dyDescent="0.3">
      <c r="A2332" s="58">
        <v>3108255</v>
      </c>
      <c r="B2332" s="58" t="s">
        <v>3258</v>
      </c>
      <c r="C2332" s="59">
        <v>-15.323804471465653</v>
      </c>
      <c r="D2332" s="59">
        <v>-44.758028444854148</v>
      </c>
    </row>
    <row r="2333" spans="1:4" x14ac:dyDescent="0.3">
      <c r="A2333" s="58">
        <v>3108305</v>
      </c>
      <c r="B2333" s="58" t="s">
        <v>3259</v>
      </c>
      <c r="C2333" s="59">
        <v>-22.272408257829504</v>
      </c>
      <c r="D2333" s="59">
        <v>-46.167168239535748</v>
      </c>
    </row>
    <row r="2334" spans="1:4" x14ac:dyDescent="0.3">
      <c r="A2334" s="58">
        <v>3108404</v>
      </c>
      <c r="B2334" s="58" t="s">
        <v>3260</v>
      </c>
      <c r="C2334" s="59">
        <v>-21.651663875734904</v>
      </c>
      <c r="D2334" s="59">
        <v>-46.395493150259142</v>
      </c>
    </row>
    <row r="2335" spans="1:4" x14ac:dyDescent="0.3">
      <c r="A2335" s="58">
        <v>3108503</v>
      </c>
      <c r="B2335" s="58" t="s">
        <v>3261</v>
      </c>
      <c r="C2335" s="59">
        <v>-16.862924551879654</v>
      </c>
      <c r="D2335" s="59">
        <v>-43.010432436917661</v>
      </c>
    </row>
    <row r="2336" spans="1:4" x14ac:dyDescent="0.3">
      <c r="A2336" s="58">
        <v>3108552</v>
      </c>
      <c r="B2336" s="58" t="s">
        <v>3262</v>
      </c>
      <c r="C2336" s="59">
        <v>-16.998600553591054</v>
      </c>
      <c r="D2336" s="59">
        <v>-46.015401758995459</v>
      </c>
    </row>
    <row r="2337" spans="1:4" x14ac:dyDescent="0.3">
      <c r="A2337" s="58">
        <v>3108602</v>
      </c>
      <c r="B2337" s="58" t="s">
        <v>3263</v>
      </c>
      <c r="C2337" s="59">
        <v>-16.205872688840952</v>
      </c>
      <c r="D2337" s="59">
        <v>-44.42753309309149</v>
      </c>
    </row>
    <row r="2338" spans="1:4" x14ac:dyDescent="0.3">
      <c r="A2338" s="58">
        <v>3108701</v>
      </c>
      <c r="B2338" s="58" t="s">
        <v>3264</v>
      </c>
      <c r="C2338" s="59">
        <v>-20.848456435999253</v>
      </c>
      <c r="D2338" s="59">
        <v>-43.239122599312005</v>
      </c>
    </row>
    <row r="2339" spans="1:4" x14ac:dyDescent="0.3">
      <c r="A2339" s="58">
        <v>3108800</v>
      </c>
      <c r="B2339" s="58" t="s">
        <v>3265</v>
      </c>
      <c r="C2339" s="59">
        <v>-19.053596618946653</v>
      </c>
      <c r="D2339" s="59">
        <v>-42.715352636981258</v>
      </c>
    </row>
    <row r="2340" spans="1:4" x14ac:dyDescent="0.3">
      <c r="A2340" s="58">
        <v>3108909</v>
      </c>
      <c r="B2340" s="58" t="s">
        <v>3266</v>
      </c>
      <c r="C2340" s="59">
        <v>-22.473110241516903</v>
      </c>
      <c r="D2340" s="59">
        <v>-45.6153258182512</v>
      </c>
    </row>
    <row r="2341" spans="1:4" x14ac:dyDescent="0.3">
      <c r="A2341" s="58">
        <v>3109006</v>
      </c>
      <c r="B2341" s="58" t="s">
        <v>3267</v>
      </c>
      <c r="C2341" s="59">
        <v>-20.144174410349851</v>
      </c>
      <c r="D2341" s="59">
        <v>-44.20018760906364</v>
      </c>
    </row>
    <row r="2342" spans="1:4" x14ac:dyDescent="0.3">
      <c r="A2342" s="58">
        <v>3109105</v>
      </c>
      <c r="B2342" s="58" t="s">
        <v>3268</v>
      </c>
      <c r="C2342" s="59">
        <v>-22.43616700559231</v>
      </c>
      <c r="D2342" s="59">
        <v>-46.353388087214029</v>
      </c>
    </row>
    <row r="2343" spans="1:4" x14ac:dyDescent="0.3">
      <c r="A2343" s="58">
        <v>3109204</v>
      </c>
      <c r="B2343" s="58" t="s">
        <v>3269</v>
      </c>
      <c r="C2343" s="59">
        <v>-17.874256284305407</v>
      </c>
      <c r="D2343" s="59">
        <v>-44.180788458801501</v>
      </c>
    </row>
    <row r="2344" spans="1:4" x14ac:dyDescent="0.3">
      <c r="A2344" s="58">
        <v>3109253</v>
      </c>
      <c r="B2344" s="58" t="s">
        <v>3270</v>
      </c>
      <c r="C2344" s="59">
        <v>-19.422212675043202</v>
      </c>
      <c r="D2344" s="59">
        <v>-42.259457012259766</v>
      </c>
    </row>
    <row r="2345" spans="1:4" x14ac:dyDescent="0.3">
      <c r="A2345" s="58">
        <v>3109303</v>
      </c>
      <c r="B2345" s="58" t="s">
        <v>1063</v>
      </c>
      <c r="C2345" s="59">
        <v>-15.626505489997003</v>
      </c>
      <c r="D2345" s="59">
        <v>-46.424040801173042</v>
      </c>
    </row>
    <row r="2346" spans="1:4" x14ac:dyDescent="0.3">
      <c r="A2346" s="58">
        <v>3109402</v>
      </c>
      <c r="B2346" s="58" t="s">
        <v>3271</v>
      </c>
      <c r="C2346" s="59">
        <v>-17.359420772578151</v>
      </c>
      <c r="D2346" s="59">
        <v>-44.955193681875194</v>
      </c>
    </row>
    <row r="2347" spans="1:4" x14ac:dyDescent="0.3">
      <c r="A2347" s="58">
        <v>3109451</v>
      </c>
      <c r="B2347" s="58" t="s">
        <v>3272</v>
      </c>
      <c r="C2347" s="59">
        <v>-16.028274803192954</v>
      </c>
      <c r="D2347" s="59">
        <v>-47.084989305107236</v>
      </c>
    </row>
    <row r="2348" spans="1:4" x14ac:dyDescent="0.3">
      <c r="A2348" s="58">
        <v>3109501</v>
      </c>
      <c r="B2348" s="58" t="s">
        <v>3273</v>
      </c>
      <c r="C2348" s="59">
        <v>-21.469291951599253</v>
      </c>
      <c r="D2348" s="59">
        <v>-46.399970500241253</v>
      </c>
    </row>
    <row r="2349" spans="1:4" x14ac:dyDescent="0.3">
      <c r="A2349" s="58">
        <v>3109600</v>
      </c>
      <c r="B2349" s="58" t="s">
        <v>3274</v>
      </c>
      <c r="C2349" s="59">
        <v>-19.526435326295601</v>
      </c>
      <c r="D2349" s="59">
        <v>-44.441050953647817</v>
      </c>
    </row>
    <row r="2350" spans="1:4" x14ac:dyDescent="0.3">
      <c r="A2350" s="58">
        <v>3109709</v>
      </c>
      <c r="B2350" s="58" t="s">
        <v>3275</v>
      </c>
      <c r="C2350" s="59">
        <v>-22.353984061190705</v>
      </c>
      <c r="D2350" s="59">
        <v>-45.782137514106559</v>
      </c>
    </row>
    <row r="2351" spans="1:4" x14ac:dyDescent="0.3">
      <c r="A2351" s="58">
        <v>3109808</v>
      </c>
      <c r="B2351" s="58" t="s">
        <v>3276</v>
      </c>
      <c r="C2351" s="59">
        <v>-18.512689815808002</v>
      </c>
      <c r="D2351" s="59">
        <v>-49.501734133327368</v>
      </c>
    </row>
    <row r="2352" spans="1:4" x14ac:dyDescent="0.3">
      <c r="A2352" s="58">
        <v>3109907</v>
      </c>
      <c r="B2352" s="58" t="s">
        <v>3277</v>
      </c>
      <c r="C2352" s="59">
        <v>-19.293713028133251</v>
      </c>
      <c r="D2352" s="59">
        <v>-44.413037337531833</v>
      </c>
    </row>
    <row r="2353" spans="1:4" x14ac:dyDescent="0.3">
      <c r="A2353" s="58">
        <v>3110004</v>
      </c>
      <c r="B2353" s="58" t="s">
        <v>3278</v>
      </c>
      <c r="C2353" s="59">
        <v>-19.887141132604803</v>
      </c>
      <c r="D2353" s="59">
        <v>-43.664787351118441</v>
      </c>
    </row>
    <row r="2354" spans="1:4" x14ac:dyDescent="0.3">
      <c r="A2354" s="58">
        <v>3110103</v>
      </c>
      <c r="B2354" s="58" t="s">
        <v>3279</v>
      </c>
      <c r="C2354" s="59">
        <v>-20.69682897791785</v>
      </c>
      <c r="D2354" s="59">
        <v>-41.922982186891396</v>
      </c>
    </row>
    <row r="2355" spans="1:4" x14ac:dyDescent="0.3">
      <c r="A2355" s="58">
        <v>3110202</v>
      </c>
      <c r="B2355" s="58" t="s">
        <v>3280</v>
      </c>
      <c r="C2355" s="59">
        <v>-20.788942671904309</v>
      </c>
      <c r="D2355" s="59">
        <v>-42.793920273405128</v>
      </c>
    </row>
    <row r="2356" spans="1:4" x14ac:dyDescent="0.3">
      <c r="A2356" s="58">
        <v>3110301</v>
      </c>
      <c r="B2356" s="58" t="s">
        <v>3281</v>
      </c>
      <c r="C2356" s="59">
        <v>-21.923335958334402</v>
      </c>
      <c r="D2356" s="59">
        <v>-46.387789109881815</v>
      </c>
    </row>
    <row r="2357" spans="1:4" x14ac:dyDescent="0.3">
      <c r="A2357" s="58">
        <v>3110400</v>
      </c>
      <c r="B2357" s="58" t="s">
        <v>3282</v>
      </c>
      <c r="C2357" s="59">
        <v>-20.626915852780751</v>
      </c>
      <c r="D2357" s="59">
        <v>-45.15879267203433</v>
      </c>
    </row>
    <row r="2358" spans="1:4" x14ac:dyDescent="0.3">
      <c r="A2358" s="58">
        <v>3110509</v>
      </c>
      <c r="B2358" s="58" t="s">
        <v>3283</v>
      </c>
      <c r="C2358" s="59">
        <v>-22.756746357753904</v>
      </c>
      <c r="D2358" s="59">
        <v>-46.146863289283978</v>
      </c>
    </row>
    <row r="2359" spans="1:4" x14ac:dyDescent="0.3">
      <c r="A2359" s="58">
        <v>3110608</v>
      </c>
      <c r="B2359" s="58" t="s">
        <v>3284</v>
      </c>
      <c r="C2359" s="59">
        <v>-22.611097163373255</v>
      </c>
      <c r="D2359" s="59">
        <v>-46.05801936333787</v>
      </c>
    </row>
    <row r="2360" spans="1:4" x14ac:dyDescent="0.3">
      <c r="A2360" s="58">
        <v>3110707</v>
      </c>
      <c r="B2360" s="58" t="s">
        <v>3285</v>
      </c>
      <c r="C2360" s="59">
        <v>-21.855409767612255</v>
      </c>
      <c r="D2360" s="59">
        <v>-45.292520508519388</v>
      </c>
    </row>
    <row r="2361" spans="1:4" x14ac:dyDescent="0.3">
      <c r="A2361" s="58">
        <v>3110806</v>
      </c>
      <c r="B2361" s="58" t="s">
        <v>3286</v>
      </c>
      <c r="C2361" s="59">
        <v>-18.241123531938154</v>
      </c>
      <c r="D2361" s="59">
        <v>-41.730131786617115</v>
      </c>
    </row>
    <row r="2362" spans="1:4" x14ac:dyDescent="0.3">
      <c r="A2362" s="58">
        <v>3110905</v>
      </c>
      <c r="B2362" s="58" t="s">
        <v>3287</v>
      </c>
      <c r="C2362" s="59">
        <v>-21.835356704027653</v>
      </c>
      <c r="D2362" s="59">
        <v>-45.39844867385694</v>
      </c>
    </row>
    <row r="2363" spans="1:4" x14ac:dyDescent="0.3">
      <c r="A2363" s="58">
        <v>3111002</v>
      </c>
      <c r="B2363" s="58" t="s">
        <v>2625</v>
      </c>
      <c r="C2363" s="59">
        <v>-21.711454834036505</v>
      </c>
      <c r="D2363" s="59">
        <v>-46.24815850713366</v>
      </c>
    </row>
    <row r="2364" spans="1:4" x14ac:dyDescent="0.3">
      <c r="A2364" s="58">
        <v>3111101</v>
      </c>
      <c r="B2364" s="58" t="s">
        <v>3288</v>
      </c>
      <c r="C2364" s="59">
        <v>-19.535455602887556</v>
      </c>
      <c r="D2364" s="59">
        <v>-49.481169050613879</v>
      </c>
    </row>
    <row r="2365" spans="1:4" x14ac:dyDescent="0.3">
      <c r="A2365" s="58">
        <v>3111150</v>
      </c>
      <c r="B2365" s="58" t="s">
        <v>3289</v>
      </c>
      <c r="C2365" s="59">
        <v>-16.504063489255753</v>
      </c>
      <c r="D2365" s="59">
        <v>-44.811858213838278</v>
      </c>
    </row>
    <row r="2366" spans="1:4" x14ac:dyDescent="0.3">
      <c r="A2366" s="58">
        <v>3111200</v>
      </c>
      <c r="B2366" s="58" t="s">
        <v>3290</v>
      </c>
      <c r="C2366" s="59">
        <v>-20.895316245804604</v>
      </c>
      <c r="D2366" s="59">
        <v>-45.275861361123155</v>
      </c>
    </row>
    <row r="2367" spans="1:4" x14ac:dyDescent="0.3">
      <c r="A2367" s="58">
        <v>3111309</v>
      </c>
      <c r="B2367" s="58" t="s">
        <v>3291</v>
      </c>
      <c r="C2367" s="59">
        <v>-21.109325717621953</v>
      </c>
      <c r="D2367" s="59">
        <v>-45.830757140452285</v>
      </c>
    </row>
    <row r="2368" spans="1:4" x14ac:dyDescent="0.3">
      <c r="A2368" s="58">
        <v>3111408</v>
      </c>
      <c r="B2368" s="58" t="s">
        <v>3292</v>
      </c>
      <c r="C2368" s="59">
        <v>-19.765445393282853</v>
      </c>
      <c r="D2368" s="59">
        <v>-48.573003468184837</v>
      </c>
    </row>
    <row r="2369" spans="1:4" x14ac:dyDescent="0.3">
      <c r="A2369" s="58">
        <v>3111507</v>
      </c>
      <c r="B2369" s="58" t="s">
        <v>3293</v>
      </c>
      <c r="C2369" s="59">
        <v>-19.698895841762205</v>
      </c>
      <c r="D2369" s="59">
        <v>-46.173709916834262</v>
      </c>
    </row>
    <row r="2370" spans="1:4" x14ac:dyDescent="0.3">
      <c r="A2370" s="58">
        <v>3111606</v>
      </c>
      <c r="B2370" s="58" t="s">
        <v>3294</v>
      </c>
      <c r="C2370" s="59">
        <v>-21.238697907437004</v>
      </c>
      <c r="D2370" s="59">
        <v>-45.756907365219796</v>
      </c>
    </row>
    <row r="2371" spans="1:4" x14ac:dyDescent="0.3">
      <c r="A2371" s="58">
        <v>3111705</v>
      </c>
      <c r="B2371" s="58" t="s">
        <v>3295</v>
      </c>
      <c r="C2371" s="59">
        <v>-20.6873760386752</v>
      </c>
      <c r="D2371" s="59">
        <v>-42.613011453110346</v>
      </c>
    </row>
    <row r="2372" spans="1:4" x14ac:dyDescent="0.3">
      <c r="A2372" s="58">
        <v>3111804</v>
      </c>
      <c r="B2372" s="58" t="s">
        <v>2850</v>
      </c>
      <c r="C2372" s="59">
        <v>-18.721663722047854</v>
      </c>
      <c r="D2372" s="59">
        <v>-49.204054454389862</v>
      </c>
    </row>
    <row r="2373" spans="1:4" x14ac:dyDescent="0.3">
      <c r="A2373" s="58">
        <v>3111903</v>
      </c>
      <c r="B2373" s="58" t="s">
        <v>3296</v>
      </c>
      <c r="C2373" s="59">
        <v>-21.023451666383703</v>
      </c>
      <c r="D2373" s="59">
        <v>-45.185925314678023</v>
      </c>
    </row>
    <row r="2374" spans="1:4" x14ac:dyDescent="0.3">
      <c r="A2374" s="58">
        <v>3112000</v>
      </c>
      <c r="B2374" s="58" t="s">
        <v>2854</v>
      </c>
      <c r="C2374" s="59">
        <v>-20.770350041153801</v>
      </c>
      <c r="D2374" s="59">
        <v>-45.276856696455233</v>
      </c>
    </row>
    <row r="2375" spans="1:4" x14ac:dyDescent="0.3">
      <c r="A2375" s="58">
        <v>3112059</v>
      </c>
      <c r="B2375" s="58" t="s">
        <v>3297</v>
      </c>
      <c r="C2375" s="59">
        <v>-18.531717906250154</v>
      </c>
      <c r="D2375" s="59">
        <v>-42.625727292188508</v>
      </c>
    </row>
    <row r="2376" spans="1:4" x14ac:dyDescent="0.3">
      <c r="A2376" s="58">
        <v>3112109</v>
      </c>
      <c r="B2376" s="58" t="s">
        <v>3298</v>
      </c>
      <c r="C2376" s="59">
        <v>-20.525588367367501</v>
      </c>
      <c r="D2376" s="59">
        <v>-41.907190295020762</v>
      </c>
    </row>
    <row r="2377" spans="1:4" x14ac:dyDescent="0.3">
      <c r="A2377" s="58">
        <v>3112208</v>
      </c>
      <c r="B2377" s="58" t="s">
        <v>3299</v>
      </c>
      <c r="C2377" s="59">
        <v>-20.916667907714402</v>
      </c>
      <c r="D2377" s="59">
        <v>-43.612421866392076</v>
      </c>
    </row>
    <row r="2378" spans="1:4" x14ac:dyDescent="0.3">
      <c r="A2378" s="58">
        <v>3112307</v>
      </c>
      <c r="B2378" s="58" t="s">
        <v>3300</v>
      </c>
      <c r="C2378" s="59">
        <v>-17.695385220201505</v>
      </c>
      <c r="D2378" s="59">
        <v>-42.516075373456495</v>
      </c>
    </row>
    <row r="2379" spans="1:4" x14ac:dyDescent="0.3">
      <c r="A2379" s="58">
        <v>3112406</v>
      </c>
      <c r="B2379" s="58" t="s">
        <v>3301</v>
      </c>
      <c r="C2379" s="59">
        <v>-20.620499127860452</v>
      </c>
      <c r="D2379" s="59">
        <v>-47.057436800683554</v>
      </c>
    </row>
    <row r="2380" spans="1:4" x14ac:dyDescent="0.3">
      <c r="A2380" s="58">
        <v>3112505</v>
      </c>
      <c r="B2380" s="58" t="s">
        <v>3302</v>
      </c>
      <c r="C2380" s="59">
        <v>-19.545542209328655</v>
      </c>
      <c r="D2380" s="59">
        <v>-44.133166241413058</v>
      </c>
    </row>
    <row r="2381" spans="1:4" x14ac:dyDescent="0.3">
      <c r="A2381" s="58">
        <v>3112604</v>
      </c>
      <c r="B2381" s="58" t="s">
        <v>3303</v>
      </c>
      <c r="C2381" s="59">
        <v>-18.682293733755504</v>
      </c>
      <c r="D2381" s="59">
        <v>-49.574482239399224</v>
      </c>
    </row>
    <row r="2382" spans="1:4" x14ac:dyDescent="0.3">
      <c r="A2382" s="58">
        <v>3112653</v>
      </c>
      <c r="B2382" s="58" t="s">
        <v>3304</v>
      </c>
      <c r="C2382" s="59">
        <v>-19.079024457570707</v>
      </c>
      <c r="D2382" s="59">
        <v>-41.865097329085422</v>
      </c>
    </row>
    <row r="2383" spans="1:4" x14ac:dyDescent="0.3">
      <c r="A2383" s="58">
        <v>3112703</v>
      </c>
      <c r="B2383" s="58" t="s">
        <v>3305</v>
      </c>
      <c r="C2383" s="59">
        <v>-16.320915136355303</v>
      </c>
      <c r="D2383" s="59">
        <v>-43.705412899898178</v>
      </c>
    </row>
    <row r="2384" spans="1:4" x14ac:dyDescent="0.3">
      <c r="A2384" s="58">
        <v>3112802</v>
      </c>
      <c r="B2384" s="58" t="s">
        <v>3306</v>
      </c>
      <c r="C2384" s="59">
        <v>-20.614663599497504</v>
      </c>
      <c r="D2384" s="59">
        <v>-46.05451388808055</v>
      </c>
    </row>
    <row r="2385" spans="1:4" x14ac:dyDescent="0.3">
      <c r="A2385" s="58">
        <v>3112901</v>
      </c>
      <c r="B2385" s="58" t="s">
        <v>3307</v>
      </c>
      <c r="C2385" s="59">
        <v>-20.170889989466705</v>
      </c>
      <c r="D2385" s="59">
        <v>-42.271987899931638</v>
      </c>
    </row>
    <row r="2386" spans="1:4" x14ac:dyDescent="0.3">
      <c r="A2386" s="58">
        <v>3113008</v>
      </c>
      <c r="B2386" s="58" t="s">
        <v>3308</v>
      </c>
      <c r="C2386" s="59">
        <v>-17.192904166108125</v>
      </c>
      <c r="D2386" s="59">
        <v>-41.698307251194372</v>
      </c>
    </row>
    <row r="2387" spans="1:4" x14ac:dyDescent="0.3">
      <c r="A2387" s="58">
        <v>3113107</v>
      </c>
      <c r="B2387" s="58" t="s">
        <v>3309</v>
      </c>
      <c r="C2387" s="59">
        <v>-20.870219415565206</v>
      </c>
      <c r="D2387" s="59">
        <v>-43.739466478853871</v>
      </c>
    </row>
    <row r="2388" spans="1:4" x14ac:dyDescent="0.3">
      <c r="A2388" s="58">
        <v>3113206</v>
      </c>
      <c r="B2388" s="58" t="s">
        <v>3310</v>
      </c>
      <c r="C2388" s="59">
        <v>-20.954369455546452</v>
      </c>
      <c r="D2388" s="59">
        <v>-43.80547537022467</v>
      </c>
    </row>
    <row r="2389" spans="1:4" x14ac:dyDescent="0.3">
      <c r="A2389" s="58">
        <v>3113305</v>
      </c>
      <c r="B2389" s="58" t="s">
        <v>3311</v>
      </c>
      <c r="C2389" s="59">
        <v>-20.732550508322003</v>
      </c>
      <c r="D2389" s="59">
        <v>-42.032224523129607</v>
      </c>
    </row>
    <row r="2390" spans="1:4" x14ac:dyDescent="0.3">
      <c r="A2390" s="58">
        <v>3113404</v>
      </c>
      <c r="B2390" s="58" t="s">
        <v>3312</v>
      </c>
      <c r="C2390" s="59">
        <v>-19.789634923066455</v>
      </c>
      <c r="D2390" s="59">
        <v>-42.143707045199299</v>
      </c>
    </row>
    <row r="2391" spans="1:4" x14ac:dyDescent="0.3">
      <c r="A2391" s="58">
        <v>3113503</v>
      </c>
      <c r="B2391" s="58" t="s">
        <v>3313</v>
      </c>
      <c r="C2391" s="59">
        <v>-17.530245834598603</v>
      </c>
      <c r="D2391" s="59">
        <v>-43.014460200465166</v>
      </c>
    </row>
    <row r="2392" spans="1:4" x14ac:dyDescent="0.3">
      <c r="A2392" s="58">
        <v>3113602</v>
      </c>
      <c r="B2392" s="58" t="s">
        <v>3314</v>
      </c>
      <c r="C2392" s="59">
        <v>-22.038084851215206</v>
      </c>
      <c r="D2392" s="59">
        <v>-45.687677405120411</v>
      </c>
    </row>
    <row r="2393" spans="1:4" x14ac:dyDescent="0.3">
      <c r="A2393" s="58">
        <v>3113701</v>
      </c>
      <c r="B2393" s="58" t="s">
        <v>3315</v>
      </c>
      <c r="C2393" s="59">
        <v>-17.703331044036499</v>
      </c>
      <c r="D2393" s="59">
        <v>-40.767399796080575</v>
      </c>
    </row>
    <row r="2394" spans="1:4" x14ac:dyDescent="0.3">
      <c r="A2394" s="58">
        <v>3113800</v>
      </c>
      <c r="B2394" s="58" t="s">
        <v>3316</v>
      </c>
      <c r="C2394" s="59">
        <v>-19.087086387443851</v>
      </c>
      <c r="D2394" s="59">
        <v>-43.145840303249877</v>
      </c>
    </row>
    <row r="2395" spans="1:4" x14ac:dyDescent="0.3">
      <c r="A2395" s="58">
        <v>3113909</v>
      </c>
      <c r="B2395" s="58" t="s">
        <v>3317</v>
      </c>
      <c r="C2395" s="59">
        <v>-21.461060428258655</v>
      </c>
      <c r="D2395" s="59">
        <v>-45.22462309417628</v>
      </c>
    </row>
    <row r="2396" spans="1:4" x14ac:dyDescent="0.3">
      <c r="A2396" s="58">
        <v>3114006</v>
      </c>
      <c r="B2396" s="58" t="s">
        <v>3318</v>
      </c>
      <c r="C2396" s="59">
        <v>-20.559210001975405</v>
      </c>
      <c r="D2396" s="59">
        <v>-44.868382733271268</v>
      </c>
    </row>
    <row r="2397" spans="1:4" x14ac:dyDescent="0.3">
      <c r="A2397" s="58">
        <v>3114105</v>
      </c>
      <c r="B2397" s="58" t="s">
        <v>3319</v>
      </c>
      <c r="C2397" s="59">
        <v>-22.118126634572452</v>
      </c>
      <c r="D2397" s="59">
        <v>-45.132763485574273</v>
      </c>
    </row>
    <row r="2398" spans="1:4" x14ac:dyDescent="0.3">
      <c r="A2398" s="58">
        <v>3114204</v>
      </c>
      <c r="B2398" s="58" t="s">
        <v>3320</v>
      </c>
      <c r="C2398" s="59">
        <v>-20.186093830724001</v>
      </c>
      <c r="D2398" s="59">
        <v>-44.771478137316009</v>
      </c>
    </row>
    <row r="2399" spans="1:4" x14ac:dyDescent="0.3">
      <c r="A2399" s="58">
        <v>3114303</v>
      </c>
      <c r="B2399" s="58" t="s">
        <v>3321</v>
      </c>
      <c r="C2399" s="59">
        <v>-18.997289025141654</v>
      </c>
      <c r="D2399" s="59">
        <v>-46.314288877627682</v>
      </c>
    </row>
    <row r="2400" spans="1:4" x14ac:dyDescent="0.3">
      <c r="A2400" s="58">
        <v>3114402</v>
      </c>
      <c r="B2400" s="58" t="s">
        <v>3322</v>
      </c>
      <c r="C2400" s="59">
        <v>-20.972996530128704</v>
      </c>
      <c r="D2400" s="59">
        <v>-46.121964734089694</v>
      </c>
    </row>
    <row r="2401" spans="1:4" x14ac:dyDescent="0.3">
      <c r="A2401" s="58">
        <v>3114501</v>
      </c>
      <c r="B2401" s="58" t="s">
        <v>3323</v>
      </c>
      <c r="C2401" s="59">
        <v>-20.539642174326151</v>
      </c>
      <c r="D2401" s="59">
        <v>-44.632527707529135</v>
      </c>
    </row>
    <row r="2402" spans="1:4" x14ac:dyDescent="0.3">
      <c r="A2402" s="58">
        <v>3114550</v>
      </c>
      <c r="B2402" s="58" t="s">
        <v>3324</v>
      </c>
      <c r="C2402" s="59">
        <v>-19.697326317280751</v>
      </c>
      <c r="D2402" s="59">
        <v>-50.691427493660456</v>
      </c>
    </row>
    <row r="2403" spans="1:4" x14ac:dyDescent="0.3">
      <c r="A2403" s="58">
        <v>3114600</v>
      </c>
      <c r="B2403" s="58" t="s">
        <v>3325</v>
      </c>
      <c r="C2403" s="59">
        <v>-21.491625621391801</v>
      </c>
      <c r="D2403" s="59">
        <v>-44.643609022911441</v>
      </c>
    </row>
    <row r="2404" spans="1:4" x14ac:dyDescent="0.3">
      <c r="A2404" s="58">
        <v>3114709</v>
      </c>
      <c r="B2404" s="58" t="s">
        <v>3326</v>
      </c>
      <c r="C2404" s="59">
        <v>-21.776072920739704</v>
      </c>
      <c r="D2404" s="59">
        <v>-45.845639184951814</v>
      </c>
    </row>
    <row r="2405" spans="1:4" x14ac:dyDescent="0.3">
      <c r="A2405" s="58">
        <v>3114808</v>
      </c>
      <c r="B2405" s="58" t="s">
        <v>3327</v>
      </c>
      <c r="C2405" s="59">
        <v>-21.996705381574255</v>
      </c>
      <c r="D2405" s="59">
        <v>-44.466015072793034</v>
      </c>
    </row>
    <row r="2406" spans="1:4" x14ac:dyDescent="0.3">
      <c r="A2406" s="58">
        <v>3114907</v>
      </c>
      <c r="B2406" s="58" t="s">
        <v>3328</v>
      </c>
      <c r="C2406" s="59">
        <v>-20.793451286794603</v>
      </c>
      <c r="D2406" s="59">
        <v>-43.931466594103462</v>
      </c>
    </row>
    <row r="2407" spans="1:4" x14ac:dyDescent="0.3">
      <c r="A2407" s="58">
        <v>3115003</v>
      </c>
      <c r="B2407" s="58" t="s">
        <v>3329</v>
      </c>
      <c r="C2407" s="59">
        <v>-18.578590248268902</v>
      </c>
      <c r="D2407" s="59">
        <v>-47.8759987830325</v>
      </c>
    </row>
    <row r="2408" spans="1:4" x14ac:dyDescent="0.3">
      <c r="A2408" s="58">
        <v>3115102</v>
      </c>
      <c r="B2408" s="58" t="s">
        <v>3330</v>
      </c>
      <c r="C2408" s="59">
        <v>-20.582856024439554</v>
      </c>
      <c r="D2408" s="59">
        <v>-46.924035860641972</v>
      </c>
    </row>
    <row r="2409" spans="1:4" x14ac:dyDescent="0.3">
      <c r="A2409" s="58">
        <v>3115201</v>
      </c>
      <c r="B2409" s="58" t="s">
        <v>3331</v>
      </c>
      <c r="C2409" s="59">
        <v>-21.131769367498055</v>
      </c>
      <c r="D2409" s="59">
        <v>-44.47780821323007</v>
      </c>
    </row>
    <row r="2410" spans="1:4" x14ac:dyDescent="0.3">
      <c r="A2410" s="58">
        <v>3115300</v>
      </c>
      <c r="B2410" s="58" t="s">
        <v>3332</v>
      </c>
      <c r="C2410" s="59">
        <v>-21.389248423212802</v>
      </c>
      <c r="D2410" s="59">
        <v>-42.692084610820054</v>
      </c>
    </row>
    <row r="2411" spans="1:4" x14ac:dyDescent="0.3">
      <c r="A2411" s="58">
        <v>3115359</v>
      </c>
      <c r="B2411" s="58" t="s">
        <v>3333</v>
      </c>
      <c r="C2411" s="59">
        <v>-20.074892943165356</v>
      </c>
      <c r="D2411" s="59">
        <v>-43.41480573495965</v>
      </c>
    </row>
    <row r="2412" spans="1:4" x14ac:dyDescent="0.3">
      <c r="A2412" s="58">
        <v>3115409</v>
      </c>
      <c r="B2412" s="58" t="s">
        <v>3334</v>
      </c>
      <c r="C2412" s="59">
        <v>-20.687087621035506</v>
      </c>
      <c r="D2412" s="59">
        <v>-43.50505920047371</v>
      </c>
    </row>
    <row r="2413" spans="1:4" x14ac:dyDescent="0.3">
      <c r="A2413" s="58">
        <v>3115458</v>
      </c>
      <c r="B2413" s="58" t="s">
        <v>3335</v>
      </c>
      <c r="C2413" s="59">
        <v>-17.301080706106202</v>
      </c>
      <c r="D2413" s="59">
        <v>-41.523126865365974</v>
      </c>
    </row>
    <row r="2414" spans="1:4" x14ac:dyDescent="0.3">
      <c r="A2414" s="58">
        <v>3115474</v>
      </c>
      <c r="B2414" s="58" t="s">
        <v>3336</v>
      </c>
      <c r="C2414" s="59">
        <v>-15.357378876344503</v>
      </c>
      <c r="D2414" s="59">
        <v>-42.96352296423273</v>
      </c>
    </row>
    <row r="2415" spans="1:4" x14ac:dyDescent="0.3">
      <c r="A2415" s="58">
        <v>3115508</v>
      </c>
      <c r="B2415" s="58" t="s">
        <v>3337</v>
      </c>
      <c r="C2415" s="59">
        <v>-21.979311539829904</v>
      </c>
      <c r="D2415" s="59">
        <v>-44.931498591375629</v>
      </c>
    </row>
    <row r="2416" spans="1:4" x14ac:dyDescent="0.3">
      <c r="A2416" s="58">
        <v>3115607</v>
      </c>
      <c r="B2416" s="58" t="s">
        <v>3338</v>
      </c>
      <c r="C2416" s="59">
        <v>-19.147167652082754</v>
      </c>
      <c r="D2416" s="59">
        <v>-45.712194935992372</v>
      </c>
    </row>
    <row r="2417" spans="1:4" x14ac:dyDescent="0.3">
      <c r="A2417" s="58">
        <v>3115706</v>
      </c>
      <c r="B2417" s="58" t="s">
        <v>3339</v>
      </c>
      <c r="C2417" s="59">
        <v>-18.757460537682853</v>
      </c>
      <c r="D2417" s="59">
        <v>-41.310405053667147</v>
      </c>
    </row>
    <row r="2418" spans="1:4" x14ac:dyDescent="0.3">
      <c r="A2418" s="58">
        <v>3115805</v>
      </c>
      <c r="B2418" s="58" t="s">
        <v>3340</v>
      </c>
      <c r="C2418" s="59">
        <v>-18.585385511247502</v>
      </c>
      <c r="D2418" s="59">
        <v>-49.19628257014535</v>
      </c>
    </row>
    <row r="2419" spans="1:4" x14ac:dyDescent="0.3">
      <c r="A2419" s="58">
        <v>3115904</v>
      </c>
      <c r="B2419" s="58" t="s">
        <v>3341</v>
      </c>
      <c r="C2419" s="59">
        <v>-21.672913223344054</v>
      </c>
      <c r="D2419" s="59">
        <v>-43.218770029501108</v>
      </c>
    </row>
    <row r="2420" spans="1:4" x14ac:dyDescent="0.3">
      <c r="A2420" s="58">
        <v>3116001</v>
      </c>
      <c r="B2420" s="58" t="s">
        <v>3342</v>
      </c>
      <c r="C2420" s="59">
        <v>-20.044253344594406</v>
      </c>
      <c r="D2420" s="59">
        <v>-41.692207007987484</v>
      </c>
    </row>
    <row r="2421" spans="1:4" x14ac:dyDescent="0.3">
      <c r="A2421" s="58">
        <v>3116100</v>
      </c>
      <c r="B2421" s="58" t="s">
        <v>3343</v>
      </c>
      <c r="C2421" s="59">
        <v>-17.086695981348303</v>
      </c>
      <c r="D2421" s="59">
        <v>-42.540748760503782</v>
      </c>
    </row>
    <row r="2422" spans="1:4" x14ac:dyDescent="0.3">
      <c r="A2422" s="58">
        <v>3116159</v>
      </c>
      <c r="B2422" s="58" t="s">
        <v>3344</v>
      </c>
      <c r="C2422" s="59">
        <v>-15.299808715124552</v>
      </c>
      <c r="D2422" s="59">
        <v>-45.625584439966296</v>
      </c>
    </row>
    <row r="2423" spans="1:4" x14ac:dyDescent="0.3">
      <c r="A2423" s="58">
        <v>3116209</v>
      </c>
      <c r="B2423" s="58" t="s">
        <v>3345</v>
      </c>
      <c r="C2423" s="59">
        <v>-22.003712600945402</v>
      </c>
      <c r="D2423" s="59">
        <v>-43.059038847077346</v>
      </c>
    </row>
    <row r="2424" spans="1:4" x14ac:dyDescent="0.3">
      <c r="A2424" s="58">
        <v>3116308</v>
      </c>
      <c r="B2424" s="58" t="s">
        <v>3346</v>
      </c>
      <c r="C2424" s="59">
        <v>-20.905535747902352</v>
      </c>
      <c r="D2424" s="59">
        <v>-43.367977207819045</v>
      </c>
    </row>
    <row r="2425" spans="1:4" x14ac:dyDescent="0.3">
      <c r="A2425" s="58">
        <v>3116407</v>
      </c>
      <c r="B2425" s="58" t="s">
        <v>3347</v>
      </c>
      <c r="C2425" s="59">
        <v>-20.398376080995952</v>
      </c>
      <c r="D2425" s="59">
        <v>-47.287761286172113</v>
      </c>
    </row>
    <row r="2426" spans="1:4" x14ac:dyDescent="0.3">
      <c r="A2426" s="58">
        <v>3116506</v>
      </c>
      <c r="B2426" s="58" t="s">
        <v>3348</v>
      </c>
      <c r="C2426" s="59">
        <v>-17.077685022880953</v>
      </c>
      <c r="D2426" s="59">
        <v>-44.20871001494482</v>
      </c>
    </row>
    <row r="2427" spans="1:4" x14ac:dyDescent="0.3">
      <c r="A2427" s="58">
        <v>3116605</v>
      </c>
      <c r="B2427" s="58" t="s">
        <v>3349</v>
      </c>
      <c r="C2427" s="59">
        <v>-20.444574655027353</v>
      </c>
      <c r="D2427" s="59">
        <v>-44.768422527890195</v>
      </c>
    </row>
    <row r="2428" spans="1:4" x14ac:dyDescent="0.3">
      <c r="A2428" s="58">
        <v>3116704</v>
      </c>
      <c r="B2428" s="58" t="s">
        <v>3350</v>
      </c>
      <c r="C2428" s="59">
        <v>-20.85865952801425</v>
      </c>
      <c r="D2428" s="59">
        <v>-42.805939102564039</v>
      </c>
    </row>
    <row r="2429" spans="1:4" x14ac:dyDescent="0.3">
      <c r="A2429" s="58">
        <v>3116803</v>
      </c>
      <c r="B2429" s="58" t="s">
        <v>3351</v>
      </c>
      <c r="C2429" s="59">
        <v>-18.220405035157803</v>
      </c>
      <c r="D2429" s="59">
        <v>-42.843654512274568</v>
      </c>
    </row>
    <row r="2430" spans="1:4" x14ac:dyDescent="0.3">
      <c r="A2430" s="58">
        <v>3116902</v>
      </c>
      <c r="B2430" s="58" t="s">
        <v>3352</v>
      </c>
      <c r="C2430" s="59">
        <v>-19.700214627141204</v>
      </c>
      <c r="D2430" s="59">
        <v>-49.081430205337156</v>
      </c>
    </row>
    <row r="2431" spans="1:4" x14ac:dyDescent="0.3">
      <c r="A2431" s="58">
        <v>3117009</v>
      </c>
      <c r="B2431" s="58" t="s">
        <v>3353</v>
      </c>
      <c r="C2431" s="59">
        <v>-16.296595474783455</v>
      </c>
      <c r="D2431" s="59">
        <v>-41.791131734916412</v>
      </c>
    </row>
    <row r="2432" spans="1:4" x14ac:dyDescent="0.3">
      <c r="A2432" s="58">
        <v>3117108</v>
      </c>
      <c r="B2432" s="58" t="s">
        <v>3354</v>
      </c>
      <c r="C2432" s="59">
        <v>-21.096620070818101</v>
      </c>
      <c r="D2432" s="59">
        <v>-46.203127249622952</v>
      </c>
    </row>
    <row r="2433" spans="1:4" x14ac:dyDescent="0.3">
      <c r="A2433" s="58">
        <v>3117207</v>
      </c>
      <c r="B2433" s="58" t="s">
        <v>3355</v>
      </c>
      <c r="C2433" s="59">
        <v>-22.161175708779457</v>
      </c>
      <c r="D2433" s="59">
        <v>-45.453679462718235</v>
      </c>
    </row>
    <row r="2434" spans="1:4" x14ac:dyDescent="0.3">
      <c r="A2434" s="58">
        <v>3117306</v>
      </c>
      <c r="B2434" s="58" t="s">
        <v>3356</v>
      </c>
      <c r="C2434" s="59">
        <v>-19.923113506182652</v>
      </c>
      <c r="D2434" s="59">
        <v>-48.381874129464961</v>
      </c>
    </row>
    <row r="2435" spans="1:4" x14ac:dyDescent="0.3">
      <c r="A2435" s="58">
        <v>3117405</v>
      </c>
      <c r="B2435" s="58" t="s">
        <v>3357</v>
      </c>
      <c r="C2435" s="59">
        <v>-19.930780358677602</v>
      </c>
      <c r="D2435" s="59">
        <v>-41.692449263151666</v>
      </c>
    </row>
    <row r="2436" spans="1:4" x14ac:dyDescent="0.3">
      <c r="A2436" s="58">
        <v>3117504</v>
      </c>
      <c r="B2436" s="58" t="s">
        <v>3358</v>
      </c>
      <c r="C2436" s="59">
        <v>-19.045189994540802</v>
      </c>
      <c r="D2436" s="59">
        <v>-43.423435767517965</v>
      </c>
    </row>
    <row r="2437" spans="1:4" x14ac:dyDescent="0.3">
      <c r="A2437" s="58">
        <v>3117603</v>
      </c>
      <c r="B2437" s="58" t="s">
        <v>3359</v>
      </c>
      <c r="C2437" s="59">
        <v>-19.749056232437503</v>
      </c>
      <c r="D2437" s="59">
        <v>-44.895875611642197</v>
      </c>
    </row>
    <row r="2438" spans="1:4" x14ac:dyDescent="0.3">
      <c r="A2438" s="58">
        <v>3117702</v>
      </c>
      <c r="B2438" s="58" t="s">
        <v>3360</v>
      </c>
      <c r="C2438" s="59">
        <v>-21.877665559219455</v>
      </c>
      <c r="D2438" s="59">
        <v>-45.083768866057646</v>
      </c>
    </row>
    <row r="2439" spans="1:4" x14ac:dyDescent="0.3">
      <c r="A2439" s="58">
        <v>3117801</v>
      </c>
      <c r="B2439" s="58" t="s">
        <v>3361</v>
      </c>
      <c r="C2439" s="59">
        <v>-22.417475489721454</v>
      </c>
      <c r="D2439" s="59">
        <v>-45.796326658485711</v>
      </c>
    </row>
    <row r="2440" spans="1:4" x14ac:dyDescent="0.3">
      <c r="A2440" s="58">
        <v>3117836</v>
      </c>
      <c r="B2440" s="58" t="s">
        <v>3362</v>
      </c>
      <c r="C2440" s="59">
        <v>-15.296270318164105</v>
      </c>
      <c r="D2440" s="59">
        <v>-44.415154710826776</v>
      </c>
    </row>
    <row r="2441" spans="1:4" x14ac:dyDescent="0.3">
      <c r="A2441" s="58">
        <v>3117876</v>
      </c>
      <c r="B2441" s="58" t="s">
        <v>3363</v>
      </c>
      <c r="C2441" s="59">
        <v>-19.629948249405302</v>
      </c>
      <c r="D2441" s="59">
        <v>-43.995596087563797</v>
      </c>
    </row>
    <row r="2442" spans="1:4" x14ac:dyDescent="0.3">
      <c r="A2442" s="58">
        <v>3117900</v>
      </c>
      <c r="B2442" s="58" t="s">
        <v>3364</v>
      </c>
      <c r="C2442" s="59">
        <v>-22.152560758105952</v>
      </c>
      <c r="D2442" s="59">
        <v>-46.053662372333804</v>
      </c>
    </row>
    <row r="2443" spans="1:4" x14ac:dyDescent="0.3">
      <c r="A2443" s="58">
        <v>3118007</v>
      </c>
      <c r="B2443" s="58" t="s">
        <v>3365</v>
      </c>
      <c r="C2443" s="59">
        <v>-20.504642788558105</v>
      </c>
      <c r="D2443" s="59">
        <v>-43.856892649697137</v>
      </c>
    </row>
    <row r="2444" spans="1:4" x14ac:dyDescent="0.3">
      <c r="A2444" s="58">
        <v>3118106</v>
      </c>
      <c r="B2444" s="58" t="s">
        <v>3366</v>
      </c>
      <c r="C2444" s="59">
        <v>-18.816451960816099</v>
      </c>
      <c r="D2444" s="59">
        <v>-43.687631632727296</v>
      </c>
    </row>
    <row r="2445" spans="1:4" x14ac:dyDescent="0.3">
      <c r="A2445" s="58">
        <v>3118205</v>
      </c>
      <c r="B2445" s="58" t="s">
        <v>3367</v>
      </c>
      <c r="C2445" s="59">
        <v>-19.936930625642201</v>
      </c>
      <c r="D2445" s="59">
        <v>-47.543283220307138</v>
      </c>
    </row>
    <row r="2446" spans="1:4" x14ac:dyDescent="0.3">
      <c r="A2446" s="58">
        <v>3118304</v>
      </c>
      <c r="B2446" s="58" t="s">
        <v>3368</v>
      </c>
      <c r="C2446" s="59">
        <v>-20.66085179944405</v>
      </c>
      <c r="D2446" s="59">
        <v>-43.788444664719911</v>
      </c>
    </row>
    <row r="2447" spans="1:4" x14ac:dyDescent="0.3">
      <c r="A2447" s="58">
        <v>3118403</v>
      </c>
      <c r="B2447" s="58" t="s">
        <v>3369</v>
      </c>
      <c r="C2447" s="59">
        <v>-19.175623201451355</v>
      </c>
      <c r="D2447" s="59">
        <v>-41.471974020400573</v>
      </c>
    </row>
    <row r="2448" spans="1:4" x14ac:dyDescent="0.3">
      <c r="A2448" s="58">
        <v>3118502</v>
      </c>
      <c r="B2448" s="58" t="s">
        <v>3370</v>
      </c>
      <c r="C2448" s="59">
        <v>-22.550465035810301</v>
      </c>
      <c r="D2448" s="59">
        <v>-45.92225072020927</v>
      </c>
    </row>
    <row r="2449" spans="1:4" x14ac:dyDescent="0.3">
      <c r="A2449" s="58">
        <v>3118601</v>
      </c>
      <c r="B2449" s="58" t="s">
        <v>3371</v>
      </c>
      <c r="C2449" s="59">
        <v>-19.943445905663303</v>
      </c>
      <c r="D2449" s="59">
        <v>-44.066344648723877</v>
      </c>
    </row>
    <row r="2450" spans="1:4" x14ac:dyDescent="0.3">
      <c r="A2450" s="58">
        <v>3118700</v>
      </c>
      <c r="B2450" s="58" t="s">
        <v>3372</v>
      </c>
      <c r="C2450" s="59">
        <v>-21.186574523663054</v>
      </c>
      <c r="D2450" s="59">
        <v>-45.440805566821041</v>
      </c>
    </row>
    <row r="2451" spans="1:4" x14ac:dyDescent="0.3">
      <c r="A2451" s="58">
        <v>3118809</v>
      </c>
      <c r="B2451" s="58" t="s">
        <v>3373</v>
      </c>
      <c r="C2451" s="59">
        <v>-16.689323447686551</v>
      </c>
      <c r="D2451" s="59">
        <v>-44.358495294650218</v>
      </c>
    </row>
    <row r="2452" spans="1:4" x14ac:dyDescent="0.3">
      <c r="A2452" s="58">
        <v>3118908</v>
      </c>
      <c r="B2452" s="58" t="s">
        <v>3374</v>
      </c>
      <c r="C2452" s="59">
        <v>-19.128533320663703</v>
      </c>
      <c r="D2452" s="59">
        <v>-44.322067451933862</v>
      </c>
    </row>
    <row r="2453" spans="1:4" x14ac:dyDescent="0.3">
      <c r="A2453" s="58">
        <v>3119005</v>
      </c>
      <c r="B2453" s="58" t="s">
        <v>3375</v>
      </c>
      <c r="C2453" s="59">
        <v>-21.791207755247402</v>
      </c>
      <c r="D2453" s="59">
        <v>-45.700529727700903</v>
      </c>
    </row>
    <row r="2454" spans="1:4" x14ac:dyDescent="0.3">
      <c r="A2454" s="58">
        <v>3119104</v>
      </c>
      <c r="B2454" s="58" t="s">
        <v>3376</v>
      </c>
      <c r="C2454" s="59">
        <v>-18.363516287104453</v>
      </c>
      <c r="D2454" s="59">
        <v>-44.456225649703235</v>
      </c>
    </row>
    <row r="2455" spans="1:4" x14ac:dyDescent="0.3">
      <c r="A2455" s="58">
        <v>3119203</v>
      </c>
      <c r="B2455" s="58" t="s">
        <v>3377</v>
      </c>
      <c r="C2455" s="59">
        <v>-18.618083505857204</v>
      </c>
      <c r="D2455" s="59">
        <v>-42.283027891501042</v>
      </c>
    </row>
    <row r="2456" spans="1:4" x14ac:dyDescent="0.3">
      <c r="A2456" s="58">
        <v>3119302</v>
      </c>
      <c r="B2456" s="58" t="s">
        <v>3378</v>
      </c>
      <c r="C2456" s="59">
        <v>-18.473850597588704</v>
      </c>
      <c r="D2456" s="59">
        <v>-47.201547728209711</v>
      </c>
    </row>
    <row r="2457" spans="1:4" x14ac:dyDescent="0.3">
      <c r="A2457" s="58">
        <v>3119401</v>
      </c>
      <c r="B2457" s="58" t="s">
        <v>3379</v>
      </c>
      <c r="C2457" s="59">
        <v>-19.525052839346703</v>
      </c>
      <c r="D2457" s="59">
        <v>-42.624346577298006</v>
      </c>
    </row>
    <row r="2458" spans="1:4" x14ac:dyDescent="0.3">
      <c r="A2458" s="58">
        <v>3119500</v>
      </c>
      <c r="B2458" s="58" t="s">
        <v>3380</v>
      </c>
      <c r="C2458" s="59">
        <v>-16.6102682357247</v>
      </c>
      <c r="D2458" s="59">
        <v>-42.184803823100168</v>
      </c>
    </row>
    <row r="2459" spans="1:4" x14ac:dyDescent="0.3">
      <c r="A2459" s="58">
        <v>3119609</v>
      </c>
      <c r="B2459" s="58" t="s">
        <v>3381</v>
      </c>
      <c r="C2459" s="59">
        <v>-21.576415152544055</v>
      </c>
      <c r="D2459" s="59">
        <v>-43.268857971112382</v>
      </c>
    </row>
    <row r="2460" spans="1:4" x14ac:dyDescent="0.3">
      <c r="A2460" s="58">
        <v>3119708</v>
      </c>
      <c r="B2460" s="58" t="s">
        <v>3382</v>
      </c>
      <c r="C2460" s="59">
        <v>-21.024595006746104</v>
      </c>
      <c r="D2460" s="59">
        <v>-44.228624245821756</v>
      </c>
    </row>
    <row r="2461" spans="1:4" x14ac:dyDescent="0.3">
      <c r="A2461" s="58">
        <v>3119807</v>
      </c>
      <c r="B2461" s="58" t="s">
        <v>3383</v>
      </c>
      <c r="C2461" s="59">
        <v>-19.826410021936052</v>
      </c>
      <c r="D2461" s="59">
        <v>-45.898471028388521</v>
      </c>
    </row>
    <row r="2462" spans="1:4" x14ac:dyDescent="0.3">
      <c r="A2462" s="58">
        <v>3119906</v>
      </c>
      <c r="B2462" s="58" t="s">
        <v>3384</v>
      </c>
      <c r="C2462" s="59">
        <v>-22.629921887390804</v>
      </c>
      <c r="D2462" s="59">
        <v>-46.017909207626012</v>
      </c>
    </row>
    <row r="2463" spans="1:4" x14ac:dyDescent="0.3">
      <c r="A2463" s="58">
        <v>3119955</v>
      </c>
      <c r="B2463" s="58" t="s">
        <v>3385</v>
      </c>
      <c r="C2463" s="59">
        <v>-20.455525322323904</v>
      </c>
      <c r="D2463" s="59">
        <v>-45.553395446044846</v>
      </c>
    </row>
    <row r="2464" spans="1:4" x14ac:dyDescent="0.3">
      <c r="A2464" s="58">
        <v>3120003</v>
      </c>
      <c r="B2464" s="58" t="s">
        <v>3386</v>
      </c>
      <c r="C2464" s="59">
        <v>-19.834785482317454</v>
      </c>
      <c r="D2464" s="59">
        <v>-42.400137880343657</v>
      </c>
    </row>
    <row r="2465" spans="1:4" x14ac:dyDescent="0.3">
      <c r="A2465" s="58">
        <v>3120102</v>
      </c>
      <c r="B2465" s="58" t="s">
        <v>3387</v>
      </c>
      <c r="C2465" s="59">
        <v>-18.072059305994205</v>
      </c>
      <c r="D2465" s="59">
        <v>-43.475348775012485</v>
      </c>
    </row>
    <row r="2466" spans="1:4" x14ac:dyDescent="0.3">
      <c r="A2466" s="58">
        <v>3120151</v>
      </c>
      <c r="B2466" s="58" t="s">
        <v>3388</v>
      </c>
      <c r="C2466" s="59">
        <v>-17.237534395100905</v>
      </c>
      <c r="D2466" s="59">
        <v>-40.914895278107998</v>
      </c>
    </row>
    <row r="2467" spans="1:4" x14ac:dyDescent="0.3">
      <c r="A2467" s="58">
        <v>3120201</v>
      </c>
      <c r="B2467" s="58" t="s">
        <v>3389</v>
      </c>
      <c r="C2467" s="59">
        <v>-20.875233153524402</v>
      </c>
      <c r="D2467" s="59">
        <v>-45.518503848998598</v>
      </c>
    </row>
    <row r="2468" spans="1:4" x14ac:dyDescent="0.3">
      <c r="A2468" s="58">
        <v>3120300</v>
      </c>
      <c r="B2468" s="58" t="s">
        <v>3390</v>
      </c>
      <c r="C2468" s="59">
        <v>-16.712634005719803</v>
      </c>
      <c r="D2468" s="59">
        <v>-42.859550912025462</v>
      </c>
    </row>
    <row r="2469" spans="1:4" x14ac:dyDescent="0.3">
      <c r="A2469" s="58">
        <v>3120409</v>
      </c>
      <c r="B2469" s="58" t="s">
        <v>3391</v>
      </c>
      <c r="C2469" s="59">
        <v>-20.840852333058752</v>
      </c>
      <c r="D2469" s="59">
        <v>-43.797836380510624</v>
      </c>
    </row>
    <row r="2470" spans="1:4" x14ac:dyDescent="0.3">
      <c r="A2470" s="58">
        <v>3120508</v>
      </c>
      <c r="B2470" s="58" t="s">
        <v>3392</v>
      </c>
      <c r="C2470" s="59">
        <v>-22.208320522670753</v>
      </c>
      <c r="D2470" s="59">
        <v>-45.262808607446907</v>
      </c>
    </row>
    <row r="2471" spans="1:4" x14ac:dyDescent="0.3">
      <c r="A2471" s="58">
        <v>3120607</v>
      </c>
      <c r="B2471" s="58" t="s">
        <v>3393</v>
      </c>
      <c r="C2471" s="59">
        <v>-20.39329176935075</v>
      </c>
      <c r="D2471" s="59">
        <v>-44.33783693941475</v>
      </c>
    </row>
    <row r="2472" spans="1:4" x14ac:dyDescent="0.3">
      <c r="A2472" s="58">
        <v>3120706</v>
      </c>
      <c r="B2472" s="58" t="s">
        <v>3394</v>
      </c>
      <c r="C2472" s="59">
        <v>-18.938647316388202</v>
      </c>
      <c r="D2472" s="59">
        <v>-46.673392648507154</v>
      </c>
    </row>
    <row r="2473" spans="1:4" x14ac:dyDescent="0.3">
      <c r="A2473" s="58">
        <v>3120805</v>
      </c>
      <c r="B2473" s="58" t="s">
        <v>3395</v>
      </c>
      <c r="C2473" s="59">
        <v>-21.838951178894707</v>
      </c>
      <c r="D2473" s="59">
        <v>-44.811023483696339</v>
      </c>
    </row>
    <row r="2474" spans="1:4" x14ac:dyDescent="0.3">
      <c r="A2474" s="58">
        <v>3120839</v>
      </c>
      <c r="B2474" s="58" t="s">
        <v>3396</v>
      </c>
      <c r="C2474" s="59">
        <v>-18.966641532138205</v>
      </c>
      <c r="D2474" s="59">
        <v>-41.103125741817728</v>
      </c>
    </row>
    <row r="2475" spans="1:4" x14ac:dyDescent="0.3">
      <c r="A2475" s="58">
        <v>3120870</v>
      </c>
      <c r="B2475" s="58" t="s">
        <v>3397</v>
      </c>
      <c r="C2475" s="59">
        <v>-15.939326780975904</v>
      </c>
      <c r="D2475" s="59">
        <v>-41.855979779632548</v>
      </c>
    </row>
    <row r="2476" spans="1:4" x14ac:dyDescent="0.3">
      <c r="A2476" s="58">
        <v>3120904</v>
      </c>
      <c r="B2476" s="58" t="s">
        <v>3398</v>
      </c>
      <c r="C2476" s="59">
        <v>-18.755480721630654</v>
      </c>
      <c r="D2476" s="59">
        <v>-44.428398968323414</v>
      </c>
    </row>
    <row r="2477" spans="1:4" x14ac:dyDescent="0.3">
      <c r="A2477" s="58">
        <v>3121001</v>
      </c>
      <c r="B2477" s="58" t="s">
        <v>3399</v>
      </c>
      <c r="C2477" s="59">
        <v>-18.453302648823502</v>
      </c>
      <c r="D2477" s="59">
        <v>-43.65671463801403</v>
      </c>
    </row>
    <row r="2478" spans="1:4" x14ac:dyDescent="0.3">
      <c r="A2478" s="58">
        <v>3121100</v>
      </c>
      <c r="B2478" s="58" t="s">
        <v>3400</v>
      </c>
      <c r="C2478" s="59">
        <v>-22.502008746016653</v>
      </c>
      <c r="D2478" s="59">
        <v>-45.272596357721739</v>
      </c>
    </row>
    <row r="2479" spans="1:4" x14ac:dyDescent="0.3">
      <c r="A2479" s="58">
        <v>3121209</v>
      </c>
      <c r="B2479" s="58" t="s">
        <v>3401</v>
      </c>
      <c r="C2479" s="59">
        <v>-20.345846216734454</v>
      </c>
      <c r="D2479" s="59">
        <v>-46.858179612235922</v>
      </c>
    </row>
    <row r="2480" spans="1:4" x14ac:dyDescent="0.3">
      <c r="A2480" s="58">
        <v>3121258</v>
      </c>
      <c r="B2480" s="58" t="s">
        <v>3402</v>
      </c>
      <c r="C2480" s="59">
        <v>-19.977472689138754</v>
      </c>
      <c r="D2480" s="59">
        <v>-47.772971432477313</v>
      </c>
    </row>
    <row r="2481" spans="1:4" x14ac:dyDescent="0.3">
      <c r="A2481" s="58">
        <v>3121308</v>
      </c>
      <c r="B2481" s="58" t="s">
        <v>3403</v>
      </c>
      <c r="C2481" s="59">
        <v>-21.460203970698704</v>
      </c>
      <c r="D2481" s="59">
        <v>-42.972069178778554</v>
      </c>
    </row>
    <row r="2482" spans="1:4" x14ac:dyDescent="0.3">
      <c r="A2482" s="58">
        <v>3121407</v>
      </c>
      <c r="B2482" s="58" t="s">
        <v>3404</v>
      </c>
      <c r="C2482" s="59">
        <v>-20.654630680395801</v>
      </c>
      <c r="D2482" s="59">
        <v>-44.34366600588146</v>
      </c>
    </row>
    <row r="2483" spans="1:4" x14ac:dyDescent="0.3">
      <c r="A2483" s="58">
        <v>3121506</v>
      </c>
      <c r="B2483" s="58" t="s">
        <v>3405</v>
      </c>
      <c r="C2483" s="59">
        <v>-21.147178518201205</v>
      </c>
      <c r="D2483" s="59">
        <v>-43.519600221170357</v>
      </c>
    </row>
    <row r="2484" spans="1:4" x14ac:dyDescent="0.3">
      <c r="A2484" s="58">
        <v>3121605</v>
      </c>
      <c r="B2484" s="58" t="s">
        <v>3406</v>
      </c>
      <c r="C2484" s="59">
        <v>-18.242092724164049</v>
      </c>
      <c r="D2484" s="59">
        <v>-43.594456822176241</v>
      </c>
    </row>
    <row r="2485" spans="1:4" x14ac:dyDescent="0.3">
      <c r="A2485" s="58">
        <v>3121704</v>
      </c>
      <c r="B2485" s="58" t="s">
        <v>3407</v>
      </c>
      <c r="C2485" s="59">
        <v>-20.487505799459502</v>
      </c>
      <c r="D2485" s="59">
        <v>-43.196576827167569</v>
      </c>
    </row>
    <row r="2486" spans="1:4" x14ac:dyDescent="0.3">
      <c r="A2486" s="58">
        <v>3121803</v>
      </c>
      <c r="B2486" s="58" t="s">
        <v>3408</v>
      </c>
      <c r="C2486" s="59">
        <v>-19.843996674282128</v>
      </c>
      <c r="D2486" s="59">
        <v>-42.782368440839797</v>
      </c>
    </row>
    <row r="2487" spans="1:4" x14ac:dyDescent="0.3">
      <c r="A2487" s="58">
        <v>3121902</v>
      </c>
      <c r="B2487" s="58" t="s">
        <v>3409</v>
      </c>
      <c r="C2487" s="59">
        <v>-20.990010336654752</v>
      </c>
      <c r="D2487" s="59">
        <v>-43.011081203776165</v>
      </c>
    </row>
    <row r="2488" spans="1:4" x14ac:dyDescent="0.3">
      <c r="A2488" s="58">
        <v>3122009</v>
      </c>
      <c r="B2488" s="58" t="s">
        <v>3410</v>
      </c>
      <c r="C2488" s="59">
        <v>-20.612977196504303</v>
      </c>
      <c r="D2488" s="59">
        <v>-42.147739335331529</v>
      </c>
    </row>
    <row r="2489" spans="1:4" x14ac:dyDescent="0.3">
      <c r="A2489" s="58">
        <v>3122108</v>
      </c>
      <c r="B2489" s="58" t="s">
        <v>3411</v>
      </c>
      <c r="C2489" s="59">
        <v>-18.773128472848654</v>
      </c>
      <c r="D2489" s="59">
        <v>-41.483253938302255</v>
      </c>
    </row>
    <row r="2490" spans="1:4" x14ac:dyDescent="0.3">
      <c r="A2490" s="58">
        <v>3122207</v>
      </c>
      <c r="B2490" s="58" t="s">
        <v>3412</v>
      </c>
      <c r="C2490" s="59">
        <v>-18.805260413755693</v>
      </c>
      <c r="D2490" s="59">
        <v>-42.6218202062038</v>
      </c>
    </row>
    <row r="2491" spans="1:4" x14ac:dyDescent="0.3">
      <c r="A2491" s="58">
        <v>3122306</v>
      </c>
      <c r="B2491" s="58" t="s">
        <v>3413</v>
      </c>
      <c r="C2491" s="59">
        <v>-20.142073974581951</v>
      </c>
      <c r="D2491" s="59">
        <v>-44.893885533872272</v>
      </c>
    </row>
    <row r="2492" spans="1:4" x14ac:dyDescent="0.3">
      <c r="A2492" s="58">
        <v>3122355</v>
      </c>
      <c r="B2492" s="58" t="s">
        <v>3414</v>
      </c>
      <c r="C2492" s="59">
        <v>-15.723939954939555</v>
      </c>
      <c r="D2492" s="59">
        <v>-41.340024327794445</v>
      </c>
    </row>
    <row r="2493" spans="1:4" x14ac:dyDescent="0.3">
      <c r="A2493" s="58">
        <v>3122405</v>
      </c>
      <c r="B2493" s="58" t="s">
        <v>3415</v>
      </c>
      <c r="C2493" s="59">
        <v>-21.517264464335451</v>
      </c>
      <c r="D2493" s="59">
        <v>-46.20294110623373</v>
      </c>
    </row>
    <row r="2494" spans="1:4" x14ac:dyDescent="0.3">
      <c r="A2494" s="58">
        <v>3122454</v>
      </c>
      <c r="B2494" s="58" t="s">
        <v>3416</v>
      </c>
      <c r="C2494" s="59">
        <v>-15.724635360035153</v>
      </c>
      <c r="D2494" s="59">
        <v>-41.002582396977317</v>
      </c>
    </row>
    <row r="2495" spans="1:4" x14ac:dyDescent="0.3">
      <c r="A2495" s="58">
        <v>3122470</v>
      </c>
      <c r="B2495" s="58" t="s">
        <v>3417</v>
      </c>
      <c r="C2495" s="59">
        <v>-16.650749891898702</v>
      </c>
      <c r="D2495" s="59">
        <v>-46.271449898788667</v>
      </c>
    </row>
    <row r="2496" spans="1:4" x14ac:dyDescent="0.3">
      <c r="A2496" s="58">
        <v>3122504</v>
      </c>
      <c r="B2496" s="58" t="s">
        <v>3418</v>
      </c>
      <c r="C2496" s="59">
        <v>-19.379163031859104</v>
      </c>
      <c r="D2496" s="59">
        <v>-42.110324046457826</v>
      </c>
    </row>
    <row r="2497" spans="1:4" x14ac:dyDescent="0.3">
      <c r="A2497" s="58">
        <v>3122603</v>
      </c>
      <c r="B2497" s="58" t="s">
        <v>3419</v>
      </c>
      <c r="C2497" s="59">
        <v>-18.964550186629506</v>
      </c>
      <c r="D2497" s="59">
        <v>-43.261348003974085</v>
      </c>
    </row>
    <row r="2498" spans="1:4" x14ac:dyDescent="0.3">
      <c r="A2498" s="58">
        <v>3122702</v>
      </c>
      <c r="B2498" s="58" t="s">
        <v>3420</v>
      </c>
      <c r="C2498" s="59">
        <v>-20.162204929737651</v>
      </c>
      <c r="D2498" s="59">
        <v>-42.970872967039618</v>
      </c>
    </row>
    <row r="2499" spans="1:4" x14ac:dyDescent="0.3">
      <c r="A2499" s="58">
        <v>3122801</v>
      </c>
      <c r="B2499" s="58" t="s">
        <v>3421</v>
      </c>
      <c r="C2499" s="59">
        <v>-22.253674108680507</v>
      </c>
      <c r="D2499" s="59">
        <v>-45.159168673856037</v>
      </c>
    </row>
    <row r="2500" spans="1:4" x14ac:dyDescent="0.3">
      <c r="A2500" s="58">
        <v>3122900</v>
      </c>
      <c r="B2500" s="58" t="s">
        <v>3422</v>
      </c>
      <c r="C2500" s="59">
        <v>-21.323874696549705</v>
      </c>
      <c r="D2500" s="59">
        <v>-42.806934063779231</v>
      </c>
    </row>
    <row r="2501" spans="1:4" x14ac:dyDescent="0.3">
      <c r="A2501" s="58">
        <v>3123007</v>
      </c>
      <c r="B2501" s="58" t="s">
        <v>3423</v>
      </c>
      <c r="C2501" s="59">
        <v>-21.104087560045254</v>
      </c>
      <c r="D2501" s="59">
        <v>-44.023046570888688</v>
      </c>
    </row>
    <row r="2502" spans="1:4" x14ac:dyDescent="0.3">
      <c r="A2502" s="58">
        <v>3123106</v>
      </c>
      <c r="B2502" s="58" t="s">
        <v>3424</v>
      </c>
      <c r="C2502" s="59">
        <v>-19.054261783513031</v>
      </c>
      <c r="D2502" s="59">
        <v>-42.926721892271736</v>
      </c>
    </row>
    <row r="2503" spans="1:4" x14ac:dyDescent="0.3">
      <c r="A2503" s="58">
        <v>3123205</v>
      </c>
      <c r="B2503" s="58" t="s">
        <v>3425</v>
      </c>
      <c r="C2503" s="59">
        <v>-19.461629436812903</v>
      </c>
      <c r="D2503" s="59">
        <v>-45.602655832508852</v>
      </c>
    </row>
    <row r="2504" spans="1:4" x14ac:dyDescent="0.3">
      <c r="A2504" s="58">
        <v>3123304</v>
      </c>
      <c r="B2504" s="58" t="s">
        <v>3426</v>
      </c>
      <c r="C2504" s="59">
        <v>-20.981273374404903</v>
      </c>
      <c r="D2504" s="59">
        <v>-43.195194518503143</v>
      </c>
    </row>
    <row r="2505" spans="1:4" x14ac:dyDescent="0.3">
      <c r="A2505" s="58">
        <v>3123403</v>
      </c>
      <c r="B2505" s="58" t="s">
        <v>3427</v>
      </c>
      <c r="C2505" s="59">
        <v>-20.288450960614654</v>
      </c>
      <c r="D2505" s="59">
        <v>-45.905196886151749</v>
      </c>
    </row>
    <row r="2506" spans="1:4" x14ac:dyDescent="0.3">
      <c r="A2506" s="58">
        <v>3123502</v>
      </c>
      <c r="B2506" s="58" t="s">
        <v>3428</v>
      </c>
      <c r="C2506" s="59">
        <v>-18.433834092259804</v>
      </c>
      <c r="D2506" s="59">
        <v>-47.61197494985214</v>
      </c>
    </row>
    <row r="2507" spans="1:4" x14ac:dyDescent="0.3">
      <c r="A2507" s="58">
        <v>3123528</v>
      </c>
      <c r="B2507" s="58" t="s">
        <v>3429</v>
      </c>
      <c r="C2507" s="59">
        <v>-20.207238877196655</v>
      </c>
      <c r="D2507" s="59">
        <v>-41.794261647371975</v>
      </c>
    </row>
    <row r="2508" spans="1:4" x14ac:dyDescent="0.3">
      <c r="A2508" s="58">
        <v>3123601</v>
      </c>
      <c r="B2508" s="58" t="s">
        <v>3430</v>
      </c>
      <c r="C2508" s="59">
        <v>-21.609312784925901</v>
      </c>
      <c r="D2508" s="59">
        <v>-45.566434200789665</v>
      </c>
    </row>
    <row r="2509" spans="1:4" x14ac:dyDescent="0.3">
      <c r="A2509" s="58">
        <v>3123700</v>
      </c>
      <c r="B2509" s="58" t="s">
        <v>3431</v>
      </c>
      <c r="C2509" s="59">
        <v>-19.198102870294104</v>
      </c>
      <c r="D2509" s="59">
        <v>-42.049841685774496</v>
      </c>
    </row>
    <row r="2510" spans="1:4" x14ac:dyDescent="0.3">
      <c r="A2510" s="58">
        <v>3123809</v>
      </c>
      <c r="B2510" s="58" t="s">
        <v>3432</v>
      </c>
      <c r="C2510" s="59">
        <v>-17.287753207750253</v>
      </c>
      <c r="D2510" s="59">
        <v>-43.949414738738454</v>
      </c>
    </row>
    <row r="2511" spans="1:4" x14ac:dyDescent="0.3">
      <c r="A2511" s="58">
        <v>3123858</v>
      </c>
      <c r="B2511" s="58" t="s">
        <v>3433</v>
      </c>
      <c r="C2511" s="59">
        <v>-19.627783350907052</v>
      </c>
      <c r="D2511" s="59">
        <v>-42.232359975312207</v>
      </c>
    </row>
    <row r="2512" spans="1:4" x14ac:dyDescent="0.3">
      <c r="A2512" s="58">
        <v>3123908</v>
      </c>
      <c r="B2512" s="58" t="s">
        <v>3434</v>
      </c>
      <c r="C2512" s="59">
        <v>-20.671357203825803</v>
      </c>
      <c r="D2512" s="59">
        <v>-44.067081681258671</v>
      </c>
    </row>
    <row r="2513" spans="1:4" x14ac:dyDescent="0.3">
      <c r="A2513" s="58">
        <v>3124005</v>
      </c>
      <c r="B2513" s="58" t="s">
        <v>3435</v>
      </c>
      <c r="C2513" s="59">
        <v>-20.833506557959154</v>
      </c>
      <c r="D2513" s="59">
        <v>-42.659367465009062</v>
      </c>
    </row>
    <row r="2514" spans="1:4" x14ac:dyDescent="0.3">
      <c r="A2514" s="58">
        <v>3124104</v>
      </c>
      <c r="B2514" s="58" t="s">
        <v>3436</v>
      </c>
      <c r="C2514" s="59">
        <v>-19.75920074377375</v>
      </c>
      <c r="D2514" s="59">
        <v>-44.314806919227713</v>
      </c>
    </row>
    <row r="2515" spans="1:4" x14ac:dyDescent="0.3">
      <c r="A2515" s="58">
        <v>3124203</v>
      </c>
      <c r="B2515" s="58" t="s">
        <v>3437</v>
      </c>
      <c r="C2515" s="59">
        <v>-20.643707808301503</v>
      </c>
      <c r="D2515" s="59">
        <v>-41.913935016968317</v>
      </c>
    </row>
    <row r="2516" spans="1:4" x14ac:dyDescent="0.3">
      <c r="A2516" s="58">
        <v>3124302</v>
      </c>
      <c r="B2516" s="58" t="s">
        <v>3438</v>
      </c>
      <c r="C2516" s="59">
        <v>-14.92527181115245</v>
      </c>
      <c r="D2516" s="59">
        <v>-42.812981844915747</v>
      </c>
    </row>
    <row r="2517" spans="1:4" x14ac:dyDescent="0.3">
      <c r="A2517" s="58">
        <v>3124401</v>
      </c>
      <c r="B2517" s="58" t="s">
        <v>3439</v>
      </c>
      <c r="C2517" s="59">
        <v>-22.047513641849704</v>
      </c>
      <c r="D2517" s="59">
        <v>-45.954012519856363</v>
      </c>
    </row>
    <row r="2518" spans="1:4" x14ac:dyDescent="0.3">
      <c r="A2518" s="58">
        <v>3124500</v>
      </c>
      <c r="B2518" s="58" t="s">
        <v>3440</v>
      </c>
      <c r="C2518" s="59">
        <v>-22.463045060354254</v>
      </c>
      <c r="D2518" s="59">
        <v>-46.016351806551718</v>
      </c>
    </row>
    <row r="2519" spans="1:4" x14ac:dyDescent="0.3">
      <c r="A2519" s="58">
        <v>3124609</v>
      </c>
      <c r="B2519" s="58" t="s">
        <v>3441</v>
      </c>
      <c r="C2519" s="59">
        <v>-21.7422852764394</v>
      </c>
      <c r="D2519" s="59">
        <v>-42.458371029919405</v>
      </c>
    </row>
    <row r="2520" spans="1:4" x14ac:dyDescent="0.3">
      <c r="A2520" s="58">
        <v>3124708</v>
      </c>
      <c r="B2520" s="58" t="s">
        <v>3442</v>
      </c>
      <c r="C2520" s="59">
        <v>-19.520237822070005</v>
      </c>
      <c r="D2520" s="59">
        <v>-45.792432562002489</v>
      </c>
    </row>
    <row r="2521" spans="1:4" x14ac:dyDescent="0.3">
      <c r="A2521" s="58">
        <v>3124807</v>
      </c>
      <c r="B2521" s="58" t="s">
        <v>3443</v>
      </c>
      <c r="C2521" s="59">
        <v>-18.741293175659255</v>
      </c>
      <c r="D2521" s="59">
        <v>-47.688974802145459</v>
      </c>
    </row>
    <row r="2522" spans="1:4" x14ac:dyDescent="0.3">
      <c r="A2522" s="58">
        <v>3124906</v>
      </c>
      <c r="B2522" s="58" t="s">
        <v>3444</v>
      </c>
      <c r="C2522" s="59">
        <v>-21.097222530670852</v>
      </c>
      <c r="D2522" s="59">
        <v>-42.192277081876945</v>
      </c>
    </row>
    <row r="2523" spans="1:4" x14ac:dyDescent="0.3">
      <c r="A2523" s="58">
        <v>3125002</v>
      </c>
      <c r="B2523" s="58" t="s">
        <v>3445</v>
      </c>
      <c r="C2523" s="59">
        <v>-21.541636151149351</v>
      </c>
      <c r="D2523" s="59">
        <v>-43.507591395110474</v>
      </c>
    </row>
    <row r="2524" spans="1:4" x14ac:dyDescent="0.3">
      <c r="A2524" s="58">
        <v>3125101</v>
      </c>
      <c r="B2524" s="58" t="s">
        <v>3446</v>
      </c>
      <c r="C2524" s="59">
        <v>-22.85819007202096</v>
      </c>
      <c r="D2524" s="59">
        <v>-46.322161740377595</v>
      </c>
    </row>
    <row r="2525" spans="1:4" x14ac:dyDescent="0.3">
      <c r="A2525" s="58">
        <v>3125200</v>
      </c>
      <c r="B2525" s="58" t="s">
        <v>3447</v>
      </c>
      <c r="C2525" s="59">
        <v>-21.405761529022602</v>
      </c>
      <c r="D2525" s="59">
        <v>-45.832312102444384</v>
      </c>
    </row>
    <row r="2526" spans="1:4" x14ac:dyDescent="0.3">
      <c r="A2526" s="58">
        <v>3125309</v>
      </c>
      <c r="B2526" s="58" t="s">
        <v>3448</v>
      </c>
      <c r="C2526" s="59">
        <v>-20.801744943496864</v>
      </c>
      <c r="D2526" s="59">
        <v>-42.013846176678705</v>
      </c>
    </row>
    <row r="2527" spans="1:4" x14ac:dyDescent="0.3">
      <c r="A2527" s="58">
        <v>3125408</v>
      </c>
      <c r="B2527" s="58" t="s">
        <v>3449</v>
      </c>
      <c r="C2527" s="59">
        <v>-18.077563117073002</v>
      </c>
      <c r="D2527" s="59">
        <v>-43.245170934793727</v>
      </c>
    </row>
    <row r="2528" spans="1:4" x14ac:dyDescent="0.3">
      <c r="A2528" s="58">
        <v>3125507</v>
      </c>
      <c r="B2528" s="58" t="s">
        <v>3450</v>
      </c>
      <c r="C2528" s="59">
        <v>-18.006394161478752</v>
      </c>
      <c r="D2528" s="59">
        <v>-43.384543732408297</v>
      </c>
    </row>
    <row r="2529" spans="1:4" x14ac:dyDescent="0.3">
      <c r="A2529" s="58">
        <v>3125606</v>
      </c>
      <c r="B2529" s="58" t="s">
        <v>3451</v>
      </c>
      <c r="C2529" s="59">
        <v>-16.638333150074804</v>
      </c>
      <c r="D2529" s="59">
        <v>-40.758570499543168</v>
      </c>
    </row>
    <row r="2530" spans="1:4" x14ac:dyDescent="0.3">
      <c r="A2530" s="58">
        <v>3125705</v>
      </c>
      <c r="B2530" s="58" t="s">
        <v>3452</v>
      </c>
      <c r="C2530" s="59">
        <v>-18.754356561524201</v>
      </c>
      <c r="D2530" s="59">
        <v>-44.89658661737159</v>
      </c>
    </row>
    <row r="2531" spans="1:4" x14ac:dyDescent="0.3">
      <c r="A2531" s="58">
        <v>3125804</v>
      </c>
      <c r="B2531" s="58" t="s">
        <v>3453</v>
      </c>
      <c r="C2531" s="59">
        <v>-19.151000644985604</v>
      </c>
      <c r="D2531" s="59">
        <v>-42.080978480354055</v>
      </c>
    </row>
    <row r="2532" spans="1:4" x14ac:dyDescent="0.3">
      <c r="A2532" s="58">
        <v>3125903</v>
      </c>
      <c r="B2532" s="58" t="s">
        <v>3454</v>
      </c>
      <c r="C2532" s="59">
        <v>-19.236419594707051</v>
      </c>
      <c r="D2532" s="59">
        <v>-43.019713617106085</v>
      </c>
    </row>
    <row r="2533" spans="1:4" x14ac:dyDescent="0.3">
      <c r="A2533" s="58">
        <v>3125952</v>
      </c>
      <c r="B2533" s="58" t="s">
        <v>3455</v>
      </c>
      <c r="C2533" s="59">
        <v>-20.732775685773802</v>
      </c>
      <c r="D2533" s="59">
        <v>-42.278180529237652</v>
      </c>
    </row>
    <row r="2534" spans="1:4" x14ac:dyDescent="0.3">
      <c r="A2534" s="58">
        <v>3126000</v>
      </c>
      <c r="B2534" s="58" t="s">
        <v>3456</v>
      </c>
      <c r="C2534" s="59">
        <v>-19.894518232497152</v>
      </c>
      <c r="D2534" s="59">
        <v>-44.430115562542724</v>
      </c>
    </row>
    <row r="2535" spans="1:4" x14ac:dyDescent="0.3">
      <c r="A2535" s="58">
        <v>3126109</v>
      </c>
      <c r="B2535" s="58" t="s">
        <v>3457</v>
      </c>
      <c r="C2535" s="59">
        <v>-20.464883552453703</v>
      </c>
      <c r="D2535" s="59">
        <v>-45.426428183141503</v>
      </c>
    </row>
    <row r="2536" spans="1:4" x14ac:dyDescent="0.3">
      <c r="A2536" s="58">
        <v>3126208</v>
      </c>
      <c r="B2536" s="58" t="s">
        <v>3458</v>
      </c>
      <c r="C2536" s="59">
        <v>-14.951742597889101</v>
      </c>
      <c r="D2536" s="59">
        <v>-46.239979536777959</v>
      </c>
    </row>
    <row r="2537" spans="1:4" x14ac:dyDescent="0.3">
      <c r="A2537" s="58">
        <v>3126307</v>
      </c>
      <c r="B2537" s="58" t="s">
        <v>3459</v>
      </c>
      <c r="C2537" s="59">
        <v>-20.848492511989853</v>
      </c>
      <c r="D2537" s="59">
        <v>-46.712643406440151</v>
      </c>
    </row>
    <row r="2538" spans="1:4" x14ac:dyDescent="0.3">
      <c r="A2538" s="58">
        <v>3126406</v>
      </c>
      <c r="B2538" s="58" t="s">
        <v>3460</v>
      </c>
      <c r="C2538" s="59">
        <v>-19.563900959713859</v>
      </c>
      <c r="D2538" s="59">
        <v>-44.443397045028661</v>
      </c>
    </row>
    <row r="2539" spans="1:4" x14ac:dyDescent="0.3">
      <c r="A2539" s="58">
        <v>3126505</v>
      </c>
      <c r="B2539" s="58" t="s">
        <v>3461</v>
      </c>
      <c r="C2539" s="59">
        <v>-16.990691287823051</v>
      </c>
      <c r="D2539" s="59">
        <v>-42.349773163650646</v>
      </c>
    </row>
    <row r="2540" spans="1:4" x14ac:dyDescent="0.3">
      <c r="A2540" s="58">
        <v>3126604</v>
      </c>
      <c r="B2540" s="58" t="s">
        <v>3462</v>
      </c>
      <c r="C2540" s="59">
        <v>-17.319948805643204</v>
      </c>
      <c r="D2540" s="59">
        <v>-44.234206527764655</v>
      </c>
    </row>
    <row r="2541" spans="1:4" x14ac:dyDescent="0.3">
      <c r="A2541" s="58">
        <v>3126703</v>
      </c>
      <c r="B2541" s="58" t="s">
        <v>3463</v>
      </c>
      <c r="C2541" s="59">
        <v>-16.475680865687853</v>
      </c>
      <c r="D2541" s="59">
        <v>-43.488735281491024</v>
      </c>
    </row>
    <row r="2542" spans="1:4" x14ac:dyDescent="0.3">
      <c r="A2542" s="58">
        <v>3126752</v>
      </c>
      <c r="B2542" s="58" t="s">
        <v>3464</v>
      </c>
      <c r="C2542" s="59">
        <v>-17.959043572614899</v>
      </c>
      <c r="D2542" s="59">
        <v>-42.00731281189487</v>
      </c>
    </row>
    <row r="2543" spans="1:4" x14ac:dyDescent="0.3">
      <c r="A2543" s="58">
        <v>3126802</v>
      </c>
      <c r="B2543" s="58" t="s">
        <v>3465</v>
      </c>
      <c r="C2543" s="59">
        <v>-18.071185028091502</v>
      </c>
      <c r="D2543" s="59">
        <v>-41.429420785559643</v>
      </c>
    </row>
    <row r="2544" spans="1:4" x14ac:dyDescent="0.3">
      <c r="A2544" s="58">
        <v>3126901</v>
      </c>
      <c r="B2544" s="58" t="s">
        <v>3466</v>
      </c>
      <c r="C2544" s="59">
        <v>-18.561789729772801</v>
      </c>
      <c r="D2544" s="59">
        <v>-41.901216586517641</v>
      </c>
    </row>
    <row r="2545" spans="1:4" x14ac:dyDescent="0.3">
      <c r="A2545" s="58">
        <v>3126950</v>
      </c>
      <c r="B2545" s="58" t="s">
        <v>3467</v>
      </c>
      <c r="C2545" s="59">
        <v>-18.165080712066754</v>
      </c>
      <c r="D2545" s="59">
        <v>-42.765295238553712</v>
      </c>
    </row>
    <row r="2546" spans="1:4" x14ac:dyDescent="0.3">
      <c r="A2546" s="58">
        <v>3127008</v>
      </c>
      <c r="B2546" s="58" t="s">
        <v>3468</v>
      </c>
      <c r="C2546" s="59">
        <v>-20.288300557868503</v>
      </c>
      <c r="D2546" s="59">
        <v>-49.204282025130325</v>
      </c>
    </row>
    <row r="2547" spans="1:4" x14ac:dyDescent="0.3">
      <c r="A2547" s="58">
        <v>3127057</v>
      </c>
      <c r="B2547" s="58" t="s">
        <v>3469</v>
      </c>
      <c r="C2547" s="59">
        <v>-16.892015217449501</v>
      </c>
      <c r="D2547" s="59">
        <v>-40.925078659448552</v>
      </c>
    </row>
    <row r="2548" spans="1:4" x14ac:dyDescent="0.3">
      <c r="A2548" s="58">
        <v>3127073</v>
      </c>
      <c r="B2548" s="58" t="s">
        <v>3470</v>
      </c>
      <c r="C2548" s="59">
        <v>-16.116418422998454</v>
      </c>
      <c r="D2548" s="59">
        <v>-42.532221936017429</v>
      </c>
    </row>
    <row r="2549" spans="1:4" x14ac:dyDescent="0.3">
      <c r="A2549" s="58">
        <v>3127107</v>
      </c>
      <c r="B2549" s="58" t="s">
        <v>3471</v>
      </c>
      <c r="C2549" s="59">
        <v>-20.025897875072253</v>
      </c>
      <c r="D2549" s="59">
        <v>-48.939153710257095</v>
      </c>
    </row>
    <row r="2550" spans="1:4" x14ac:dyDescent="0.3">
      <c r="A2550" s="58">
        <v>3127206</v>
      </c>
      <c r="B2550" s="58" t="s">
        <v>3472</v>
      </c>
      <c r="C2550" s="59">
        <v>-19.36998733298395</v>
      </c>
      <c r="D2550" s="59">
        <v>-44.063085880358898</v>
      </c>
    </row>
    <row r="2551" spans="1:4" x14ac:dyDescent="0.3">
      <c r="A2551" s="58">
        <v>3127305</v>
      </c>
      <c r="B2551" s="58" t="s">
        <v>3473</v>
      </c>
      <c r="C2551" s="59">
        <v>-19.005473642455453</v>
      </c>
      <c r="D2551" s="59">
        <v>-41.53619716861774</v>
      </c>
    </row>
    <row r="2552" spans="1:4" x14ac:dyDescent="0.3">
      <c r="A2552" s="58">
        <v>3127339</v>
      </c>
      <c r="B2552" s="58" t="s">
        <v>3474</v>
      </c>
      <c r="C2552" s="59">
        <v>-15.076822067506559</v>
      </c>
      <c r="D2552" s="59">
        <v>-43.119480839155045</v>
      </c>
    </row>
    <row r="2553" spans="1:4" x14ac:dyDescent="0.3">
      <c r="A2553" s="58">
        <v>3127354</v>
      </c>
      <c r="B2553" s="58" t="s">
        <v>3475</v>
      </c>
      <c r="C2553" s="59">
        <v>-16.850218691818153</v>
      </c>
      <c r="D2553" s="59">
        <v>-43.696405897757039</v>
      </c>
    </row>
    <row r="2554" spans="1:4" x14ac:dyDescent="0.3">
      <c r="A2554" s="58">
        <v>3127370</v>
      </c>
      <c r="B2554" s="58" t="s">
        <v>3476</v>
      </c>
      <c r="C2554" s="59">
        <v>-18.981713337125452</v>
      </c>
      <c r="D2554" s="59">
        <v>-41.222821610286864</v>
      </c>
    </row>
    <row r="2555" spans="1:4" x14ac:dyDescent="0.3">
      <c r="A2555" s="58">
        <v>3127388</v>
      </c>
      <c r="B2555" s="58" t="s">
        <v>2510</v>
      </c>
      <c r="C2555" s="59">
        <v>-21.532417827654655</v>
      </c>
      <c r="D2555" s="59">
        <v>-43.191482396977854</v>
      </c>
    </row>
    <row r="2556" spans="1:4" x14ac:dyDescent="0.3">
      <c r="A2556" s="58">
        <v>3127404</v>
      </c>
      <c r="B2556" s="58" t="s">
        <v>3477</v>
      </c>
      <c r="C2556" s="59">
        <v>-22.657619187118708</v>
      </c>
      <c r="D2556" s="59">
        <v>-45.856592038467113</v>
      </c>
    </row>
    <row r="2557" spans="1:4" x14ac:dyDescent="0.3">
      <c r="A2557" s="58">
        <v>3127503</v>
      </c>
      <c r="B2557" s="58" t="s">
        <v>3478</v>
      </c>
      <c r="C2557" s="59">
        <v>-18.824825001353002</v>
      </c>
      <c r="D2557" s="59">
        <v>-42.4772238728792</v>
      </c>
    </row>
    <row r="2558" spans="1:4" x14ac:dyDescent="0.3">
      <c r="A2558" s="58">
        <v>3127602</v>
      </c>
      <c r="B2558" s="58" t="s">
        <v>3479</v>
      </c>
      <c r="C2558" s="59">
        <v>-18.442972502712752</v>
      </c>
      <c r="D2558" s="59">
        <v>-43.733986745772206</v>
      </c>
    </row>
    <row r="2559" spans="1:4" x14ac:dyDescent="0.3">
      <c r="A2559" s="58">
        <v>3127701</v>
      </c>
      <c r="B2559" s="58" t="s">
        <v>3480</v>
      </c>
      <c r="C2559" s="59">
        <v>-18.852882403310254</v>
      </c>
      <c r="D2559" s="59">
        <v>-41.947081334028802</v>
      </c>
    </row>
    <row r="2560" spans="1:4" x14ac:dyDescent="0.3">
      <c r="A2560" s="58">
        <v>3127800</v>
      </c>
      <c r="B2560" s="58" t="s">
        <v>3481</v>
      </c>
      <c r="C2560" s="59">
        <v>-16.566495154791351</v>
      </c>
      <c r="D2560" s="59">
        <v>-42.888012880145993</v>
      </c>
    </row>
    <row r="2561" spans="1:4" x14ac:dyDescent="0.3">
      <c r="A2561" s="58">
        <v>3127909</v>
      </c>
      <c r="B2561" s="58" t="s">
        <v>3482</v>
      </c>
      <c r="C2561" s="59">
        <v>-18.493023802309654</v>
      </c>
      <c r="D2561" s="59">
        <v>-47.724798435021548</v>
      </c>
    </row>
    <row r="2562" spans="1:4" x14ac:dyDescent="0.3">
      <c r="A2562" s="58">
        <v>3128006</v>
      </c>
      <c r="B2562" s="58" t="s">
        <v>3483</v>
      </c>
      <c r="C2562" s="59">
        <v>-18.777150790232952</v>
      </c>
      <c r="D2562" s="59">
        <v>-42.937049095247765</v>
      </c>
    </row>
    <row r="2563" spans="1:4" x14ac:dyDescent="0.3">
      <c r="A2563" s="58">
        <v>3128105</v>
      </c>
      <c r="B2563" s="58" t="s">
        <v>3484</v>
      </c>
      <c r="C2563" s="59">
        <v>-20.756724511962751</v>
      </c>
      <c r="D2563" s="59">
        <v>-45.918383860704246</v>
      </c>
    </row>
    <row r="2564" spans="1:4" x14ac:dyDescent="0.3">
      <c r="A2564" s="58">
        <v>3128204</v>
      </c>
      <c r="B2564" s="58" t="s">
        <v>3485</v>
      </c>
      <c r="C2564" s="59">
        <v>-20.571703500985851</v>
      </c>
      <c r="D2564" s="59">
        <v>-43.011281647175167</v>
      </c>
    </row>
    <row r="2565" spans="1:4" x14ac:dyDescent="0.3">
      <c r="A2565" s="58">
        <v>3128253</v>
      </c>
      <c r="B2565" s="58" t="s">
        <v>3486</v>
      </c>
      <c r="C2565" s="59">
        <v>-17.011527463144454</v>
      </c>
      <c r="D2565" s="59">
        <v>-43.668777705754927</v>
      </c>
    </row>
    <row r="2566" spans="1:4" x14ac:dyDescent="0.3">
      <c r="A2566" s="58">
        <v>3128303</v>
      </c>
      <c r="B2566" s="58" t="s">
        <v>3487</v>
      </c>
      <c r="C2566" s="59">
        <v>-21.305560370659901</v>
      </c>
      <c r="D2566" s="59">
        <v>-46.795491220295865</v>
      </c>
    </row>
    <row r="2567" spans="1:4" x14ac:dyDescent="0.3">
      <c r="A2567" s="58">
        <v>3128402</v>
      </c>
      <c r="B2567" s="58" t="s">
        <v>3488</v>
      </c>
      <c r="C2567" s="59">
        <v>-21.362669185930105</v>
      </c>
      <c r="D2567" s="59">
        <v>-43.046456684007829</v>
      </c>
    </row>
    <row r="2568" spans="1:4" x14ac:dyDescent="0.3">
      <c r="A2568" s="58">
        <v>3128501</v>
      </c>
      <c r="B2568" s="58" t="s">
        <v>3489</v>
      </c>
      <c r="C2568" s="59">
        <v>-21.732720300845255</v>
      </c>
      <c r="D2568" s="59">
        <v>-43.038952478112172</v>
      </c>
    </row>
    <row r="2569" spans="1:4" x14ac:dyDescent="0.3">
      <c r="A2569" s="58">
        <v>3128600</v>
      </c>
      <c r="B2569" s="58" t="s">
        <v>3490</v>
      </c>
      <c r="C2569" s="59">
        <v>-17.771299897784402</v>
      </c>
      <c r="D2569" s="59">
        <v>-47.101075853497548</v>
      </c>
    </row>
    <row r="2570" spans="1:4" x14ac:dyDescent="0.3">
      <c r="A2570" s="58">
        <v>3128709</v>
      </c>
      <c r="B2570" s="58" t="s">
        <v>3491</v>
      </c>
      <c r="C2570" s="59">
        <v>-21.303781464747605</v>
      </c>
      <c r="D2570" s="59">
        <v>-46.713537230976634</v>
      </c>
    </row>
    <row r="2571" spans="1:4" x14ac:dyDescent="0.3">
      <c r="A2571" s="58">
        <v>3128808</v>
      </c>
      <c r="B2571" s="58" t="s">
        <v>3492</v>
      </c>
      <c r="C2571" s="59">
        <v>-21.144238503299952</v>
      </c>
      <c r="D2571" s="59">
        <v>-42.800817312060985</v>
      </c>
    </row>
    <row r="2572" spans="1:4" x14ac:dyDescent="0.3">
      <c r="A2572" s="58">
        <v>3128907</v>
      </c>
      <c r="B2572" s="58" t="s">
        <v>3493</v>
      </c>
      <c r="C2572" s="59">
        <v>-18.838019215062353</v>
      </c>
      <c r="D2572" s="59">
        <v>-46.797265032321576</v>
      </c>
    </row>
    <row r="2573" spans="1:4" x14ac:dyDescent="0.3">
      <c r="A2573" s="58">
        <v>3129004</v>
      </c>
      <c r="B2573" s="58" t="s">
        <v>3494</v>
      </c>
      <c r="C2573" s="59">
        <v>-21.010673374795154</v>
      </c>
      <c r="D2573" s="59">
        <v>-42.718812469754461</v>
      </c>
    </row>
    <row r="2574" spans="1:4" x14ac:dyDescent="0.3">
      <c r="A2574" s="58">
        <v>3129103</v>
      </c>
      <c r="B2574" s="58" t="s">
        <v>3495</v>
      </c>
      <c r="C2574" s="59">
        <v>-19.213748436827352</v>
      </c>
      <c r="D2574" s="59">
        <v>-49.786273293982028</v>
      </c>
    </row>
    <row r="2575" spans="1:4" x14ac:dyDescent="0.3">
      <c r="A2575" s="58">
        <v>3129202</v>
      </c>
      <c r="B2575" s="58" t="s">
        <v>3496</v>
      </c>
      <c r="C2575" s="59">
        <v>-22.064744440516058</v>
      </c>
      <c r="D2575" s="59">
        <v>-45.544576634052653</v>
      </c>
    </row>
    <row r="2576" spans="1:4" x14ac:dyDescent="0.3">
      <c r="A2576" s="58">
        <v>3129301</v>
      </c>
      <c r="B2576" s="58" t="s">
        <v>3497</v>
      </c>
      <c r="C2576" s="59">
        <v>-19.440272449235504</v>
      </c>
      <c r="D2576" s="59">
        <v>-42.214692514782392</v>
      </c>
    </row>
    <row r="2577" spans="1:4" x14ac:dyDescent="0.3">
      <c r="A2577" s="58">
        <v>3129400</v>
      </c>
      <c r="B2577" s="58" t="s">
        <v>3498</v>
      </c>
      <c r="C2577" s="59">
        <v>-21.429472482041202</v>
      </c>
      <c r="D2577" s="59">
        <v>-43.968123835075318</v>
      </c>
    </row>
    <row r="2578" spans="1:4" x14ac:dyDescent="0.3">
      <c r="A2578" s="58">
        <v>3129509</v>
      </c>
      <c r="B2578" s="58" t="s">
        <v>3499</v>
      </c>
      <c r="C2578" s="59">
        <v>-19.475111715356853</v>
      </c>
      <c r="D2578" s="59">
        <v>-46.538611418987351</v>
      </c>
    </row>
    <row r="2579" spans="1:4" x14ac:dyDescent="0.3">
      <c r="A2579" s="58">
        <v>3129608</v>
      </c>
      <c r="B2579" s="58" t="s">
        <v>3500</v>
      </c>
      <c r="C2579" s="59">
        <v>-16.859872448364204</v>
      </c>
      <c r="D2579" s="59">
        <v>-44.914106838717863</v>
      </c>
    </row>
    <row r="2580" spans="1:4" x14ac:dyDescent="0.3">
      <c r="A2580" s="58">
        <v>3129657</v>
      </c>
      <c r="B2580" s="58" t="s">
        <v>3501</v>
      </c>
      <c r="C2580" s="59">
        <v>-15.665466651327105</v>
      </c>
      <c r="D2580" s="59">
        <v>-44.167709435832087</v>
      </c>
    </row>
    <row r="2581" spans="1:4" x14ac:dyDescent="0.3">
      <c r="A2581" s="58">
        <v>3129707</v>
      </c>
      <c r="B2581" s="58" t="s">
        <v>3502</v>
      </c>
      <c r="C2581" s="59">
        <v>-20.470154879298004</v>
      </c>
      <c r="D2581" s="59">
        <v>-47.130803490680115</v>
      </c>
    </row>
    <row r="2582" spans="1:4" x14ac:dyDescent="0.3">
      <c r="A2582" s="58">
        <v>3129806</v>
      </c>
      <c r="B2582" s="58" t="s">
        <v>3503</v>
      </c>
      <c r="C2582" s="59">
        <v>-20.028037750655503</v>
      </c>
      <c r="D2582" s="59">
        <v>-44.056664638786685</v>
      </c>
    </row>
    <row r="2583" spans="1:4" x14ac:dyDescent="0.3">
      <c r="A2583" s="58">
        <v>3129905</v>
      </c>
      <c r="B2583" s="58" t="s">
        <v>3504</v>
      </c>
      <c r="C2583" s="59">
        <v>-22.057055156183257</v>
      </c>
      <c r="D2583" s="59">
        <v>-46.437603282057303</v>
      </c>
    </row>
    <row r="2584" spans="1:4" x14ac:dyDescent="0.3">
      <c r="A2584" s="58">
        <v>3130002</v>
      </c>
      <c r="B2584" s="58" t="s">
        <v>3505</v>
      </c>
      <c r="C2584" s="59">
        <v>-21.146485011151601</v>
      </c>
      <c r="D2584" s="59">
        <v>-44.738463585160346</v>
      </c>
    </row>
    <row r="2585" spans="1:4" x14ac:dyDescent="0.3">
      <c r="A2585" s="58">
        <v>3130051</v>
      </c>
      <c r="B2585" s="58" t="s">
        <v>3506</v>
      </c>
      <c r="C2585" s="59">
        <v>-16.214012777063104</v>
      </c>
      <c r="D2585" s="59">
        <v>-44.902776802084816</v>
      </c>
    </row>
    <row r="2586" spans="1:4" x14ac:dyDescent="0.3">
      <c r="A2586" s="58">
        <v>3130101</v>
      </c>
      <c r="B2586" s="58" t="s">
        <v>3507</v>
      </c>
      <c r="C2586" s="59">
        <v>-20.069908684059801</v>
      </c>
      <c r="D2586" s="59">
        <v>-44.30115788029314</v>
      </c>
    </row>
    <row r="2587" spans="1:4" x14ac:dyDescent="0.3">
      <c r="A2587" s="58">
        <v>3130200</v>
      </c>
      <c r="B2587" s="58" t="s">
        <v>3508</v>
      </c>
      <c r="C2587" s="59">
        <v>-19.953886248349452</v>
      </c>
      <c r="D2587" s="59">
        <v>-44.700495134852666</v>
      </c>
    </row>
    <row r="2588" spans="1:4" x14ac:dyDescent="0.3">
      <c r="A2588" s="58">
        <v>3130309</v>
      </c>
      <c r="B2588" s="58" t="s">
        <v>3509</v>
      </c>
      <c r="C2588" s="59">
        <v>-20.176073966370502</v>
      </c>
      <c r="D2588" s="59">
        <v>-45.709140106006302</v>
      </c>
    </row>
    <row r="2589" spans="1:4" x14ac:dyDescent="0.3">
      <c r="A2589" s="58">
        <v>3130408</v>
      </c>
      <c r="B2589" s="58" t="s">
        <v>3510</v>
      </c>
      <c r="C2589" s="59">
        <v>-21.172065615892553</v>
      </c>
      <c r="D2589" s="59">
        <v>-44.928782973722477</v>
      </c>
    </row>
    <row r="2590" spans="1:4" x14ac:dyDescent="0.3">
      <c r="A2590" s="58">
        <v>3130507</v>
      </c>
      <c r="B2590" s="58" t="s">
        <v>3511</v>
      </c>
      <c r="C2590" s="59">
        <v>-20.940389016757603</v>
      </c>
      <c r="D2590" s="59">
        <v>-45.828463623117557</v>
      </c>
    </row>
    <row r="2591" spans="1:4" x14ac:dyDescent="0.3">
      <c r="A2591" s="58">
        <v>3130556</v>
      </c>
      <c r="B2591" s="58" t="s">
        <v>3512</v>
      </c>
      <c r="C2591" s="59">
        <v>-19.595875642476255</v>
      </c>
      <c r="D2591" s="59">
        <v>-41.962480764496682</v>
      </c>
    </row>
    <row r="2592" spans="1:4" x14ac:dyDescent="0.3">
      <c r="A2592" s="58">
        <v>3130606</v>
      </c>
      <c r="B2592" s="58" t="s">
        <v>3513</v>
      </c>
      <c r="C2592" s="59">
        <v>-22.321487129964758</v>
      </c>
      <c r="D2592" s="59">
        <v>-46.333801398783564</v>
      </c>
    </row>
    <row r="2593" spans="1:4" x14ac:dyDescent="0.3">
      <c r="A2593" s="58">
        <v>3130655</v>
      </c>
      <c r="B2593" s="58" t="s">
        <v>3514</v>
      </c>
      <c r="C2593" s="59">
        <v>-15.492384714269702</v>
      </c>
      <c r="D2593" s="59">
        <v>-42.203584820466105</v>
      </c>
    </row>
    <row r="2594" spans="1:4" x14ac:dyDescent="0.3">
      <c r="A2594" s="58">
        <v>3130705</v>
      </c>
      <c r="B2594" s="58" t="s">
        <v>3515</v>
      </c>
      <c r="C2594" s="59">
        <v>-19.042494932809202</v>
      </c>
      <c r="D2594" s="59">
        <v>-47.917992316725424</v>
      </c>
    </row>
    <row r="2595" spans="1:4" x14ac:dyDescent="0.3">
      <c r="A2595" s="58">
        <v>3130804</v>
      </c>
      <c r="B2595" s="58" t="s">
        <v>3516</v>
      </c>
      <c r="C2595" s="59">
        <v>-21.403716814737603</v>
      </c>
      <c r="D2595" s="59">
        <v>-44.922422636729209</v>
      </c>
    </row>
    <row r="2596" spans="1:4" x14ac:dyDescent="0.3">
      <c r="A2596" s="58">
        <v>3130903</v>
      </c>
      <c r="B2596" s="58" t="s">
        <v>3517</v>
      </c>
      <c r="C2596" s="59">
        <v>-19.550114721817906</v>
      </c>
      <c r="D2596" s="59">
        <v>-42.121930934980568</v>
      </c>
    </row>
    <row r="2597" spans="1:4" x14ac:dyDescent="0.3">
      <c r="A2597" s="58">
        <v>3131000</v>
      </c>
      <c r="B2597" s="58" t="s">
        <v>3518</v>
      </c>
      <c r="C2597" s="59">
        <v>-19.492367388480559</v>
      </c>
      <c r="D2597" s="59">
        <v>-44.390945526608967</v>
      </c>
    </row>
    <row r="2598" spans="1:4" x14ac:dyDescent="0.3">
      <c r="A2598" s="58">
        <v>3131109</v>
      </c>
      <c r="B2598" s="58" t="s">
        <v>3519</v>
      </c>
      <c r="C2598" s="59">
        <v>-18.731440529896553</v>
      </c>
      <c r="D2598" s="59">
        <v>-44.366261766116139</v>
      </c>
    </row>
    <row r="2599" spans="1:4" x14ac:dyDescent="0.3">
      <c r="A2599" s="58">
        <v>3131158</v>
      </c>
      <c r="B2599" s="58" t="s">
        <v>3520</v>
      </c>
      <c r="C2599" s="59">
        <v>-19.413250826196052</v>
      </c>
      <c r="D2599" s="59">
        <v>-42.418165669363916</v>
      </c>
    </row>
    <row r="2600" spans="1:4" x14ac:dyDescent="0.3">
      <c r="A2600" s="58">
        <v>3131208</v>
      </c>
      <c r="B2600" s="58" t="s">
        <v>3521</v>
      </c>
      <c r="C2600" s="59">
        <v>-19.800335953907204</v>
      </c>
      <c r="D2600" s="59">
        <v>-41.717353320037844</v>
      </c>
    </row>
    <row r="2601" spans="1:4" x14ac:dyDescent="0.3">
      <c r="A2601" s="58">
        <v>3131307</v>
      </c>
      <c r="B2601" s="58" t="s">
        <v>3522</v>
      </c>
      <c r="C2601" s="59">
        <v>-19.481032097264954</v>
      </c>
      <c r="D2601" s="59">
        <v>-42.52035111141074</v>
      </c>
    </row>
    <row r="2602" spans="1:4" x14ac:dyDescent="0.3">
      <c r="A2602" s="58">
        <v>3131406</v>
      </c>
      <c r="B2602" s="58" t="s">
        <v>3523</v>
      </c>
      <c r="C2602" s="59">
        <v>-18.694880308720304</v>
      </c>
      <c r="D2602" s="59">
        <v>-49.945773211111238</v>
      </c>
    </row>
    <row r="2603" spans="1:4" x14ac:dyDescent="0.3">
      <c r="A2603" s="58">
        <v>3131505</v>
      </c>
      <c r="B2603" s="58" t="s">
        <v>3524</v>
      </c>
      <c r="C2603" s="59">
        <v>-22.099520512211203</v>
      </c>
      <c r="D2603" s="59">
        <v>-46.190829232243537</v>
      </c>
    </row>
    <row r="2604" spans="1:4" x14ac:dyDescent="0.3">
      <c r="A2604" s="58">
        <v>3131604</v>
      </c>
      <c r="B2604" s="58" t="s">
        <v>3525</v>
      </c>
      <c r="C2604" s="59">
        <v>-18.981858345518955</v>
      </c>
      <c r="D2604" s="59">
        <v>-47.462991417830892</v>
      </c>
    </row>
    <row r="2605" spans="1:4" x14ac:dyDescent="0.3">
      <c r="A2605" s="58">
        <v>3131703</v>
      </c>
      <c r="B2605" s="58" t="s">
        <v>3526</v>
      </c>
      <c r="C2605" s="59">
        <v>-19.638169492583454</v>
      </c>
      <c r="D2605" s="59">
        <v>-43.223951619030423</v>
      </c>
    </row>
    <row r="2606" spans="1:4" x14ac:dyDescent="0.3">
      <c r="A2606" s="58">
        <v>3131802</v>
      </c>
      <c r="B2606" s="58" t="s">
        <v>3527</v>
      </c>
      <c r="C2606" s="59">
        <v>-18.556799280929351</v>
      </c>
      <c r="D2606" s="59">
        <v>-41.233182715278254</v>
      </c>
    </row>
    <row r="2607" spans="1:4" x14ac:dyDescent="0.3">
      <c r="A2607" s="58">
        <v>3131901</v>
      </c>
      <c r="B2607" s="58" t="s">
        <v>3528</v>
      </c>
      <c r="C2607" s="59">
        <v>-20.254176512438356</v>
      </c>
      <c r="D2607" s="59">
        <v>-43.802142983862772</v>
      </c>
    </row>
    <row r="2608" spans="1:4" x14ac:dyDescent="0.3">
      <c r="A2608" s="58">
        <v>3132008</v>
      </c>
      <c r="B2608" s="58" t="s">
        <v>3529</v>
      </c>
      <c r="C2608" s="59">
        <v>-17.06443518172485</v>
      </c>
      <c r="D2608" s="59">
        <v>-43.310402187061378</v>
      </c>
    </row>
    <row r="2609" spans="1:4" x14ac:dyDescent="0.3">
      <c r="A2609" s="58">
        <v>3132107</v>
      </c>
      <c r="B2609" s="58" t="s">
        <v>3530</v>
      </c>
      <c r="C2609" s="59">
        <v>-15.102641864892004</v>
      </c>
      <c r="D2609" s="59">
        <v>-44.093185802053114</v>
      </c>
    </row>
    <row r="2610" spans="1:4" x14ac:dyDescent="0.3">
      <c r="A2610" s="58">
        <v>3132206</v>
      </c>
      <c r="B2610" s="58" t="s">
        <v>3531</v>
      </c>
      <c r="C2610" s="59">
        <v>-20.390678217049203</v>
      </c>
      <c r="D2610" s="59">
        <v>-44.486777957788313</v>
      </c>
    </row>
    <row r="2611" spans="1:4" x14ac:dyDescent="0.3">
      <c r="A2611" s="58">
        <v>3132305</v>
      </c>
      <c r="B2611" s="58" t="s">
        <v>3532</v>
      </c>
      <c r="C2611" s="59">
        <v>-17.404231643763051</v>
      </c>
      <c r="D2611" s="59">
        <v>-41.673229573156775</v>
      </c>
    </row>
    <row r="2612" spans="1:4" x14ac:dyDescent="0.3">
      <c r="A2612" s="58">
        <v>3132404</v>
      </c>
      <c r="B2612" s="58" t="s">
        <v>3533</v>
      </c>
      <c r="C2612" s="59">
        <v>-22.430600574494203</v>
      </c>
      <c r="D2612" s="59">
        <v>-45.46458250450447</v>
      </c>
    </row>
    <row r="2613" spans="1:4" x14ac:dyDescent="0.3">
      <c r="A2613" s="58">
        <v>3132503</v>
      </c>
      <c r="B2613" s="58" t="s">
        <v>3534</v>
      </c>
      <c r="C2613" s="59">
        <v>-17.858517325827354</v>
      </c>
      <c r="D2613" s="59">
        <v>-42.849157756926083</v>
      </c>
    </row>
    <row r="2614" spans="1:4" x14ac:dyDescent="0.3">
      <c r="A2614" s="58">
        <v>3132602</v>
      </c>
      <c r="B2614" s="58" t="s">
        <v>3535</v>
      </c>
      <c r="C2614" s="59">
        <v>-21.419455617837404</v>
      </c>
      <c r="D2614" s="59">
        <v>-42.81859335851447</v>
      </c>
    </row>
    <row r="2615" spans="1:4" x14ac:dyDescent="0.3">
      <c r="A2615" s="58">
        <v>3132701</v>
      </c>
      <c r="B2615" s="58" t="s">
        <v>3536</v>
      </c>
      <c r="C2615" s="59">
        <v>-18.034329962896201</v>
      </c>
      <c r="D2615" s="59">
        <v>-41.682267382042376</v>
      </c>
    </row>
    <row r="2616" spans="1:4" x14ac:dyDescent="0.3">
      <c r="A2616" s="58">
        <v>3132800</v>
      </c>
      <c r="B2616" s="58" t="s">
        <v>3537</v>
      </c>
      <c r="C2616" s="59">
        <v>-19.420963465734051</v>
      </c>
      <c r="D2616" s="59">
        <v>-43.322895303864691</v>
      </c>
    </row>
    <row r="2617" spans="1:4" x14ac:dyDescent="0.3">
      <c r="A2617" s="58">
        <v>3132909</v>
      </c>
      <c r="B2617" s="58" t="s">
        <v>3538</v>
      </c>
      <c r="C2617" s="59">
        <v>-21.078443361341453</v>
      </c>
      <c r="D2617" s="59">
        <v>-47.047467783890177</v>
      </c>
    </row>
    <row r="2618" spans="1:4" x14ac:dyDescent="0.3">
      <c r="A2618" s="58">
        <v>3133006</v>
      </c>
      <c r="B2618" s="58" t="s">
        <v>3539</v>
      </c>
      <c r="C2618" s="59">
        <v>-22.285126973446005</v>
      </c>
      <c r="D2618" s="59">
        <v>-44.868287503604897</v>
      </c>
    </row>
    <row r="2619" spans="1:4" x14ac:dyDescent="0.3">
      <c r="A2619" s="58">
        <v>3133105</v>
      </c>
      <c r="B2619" s="58" t="s">
        <v>3540</v>
      </c>
      <c r="C2619" s="59">
        <v>-22.295079654876808</v>
      </c>
      <c r="D2619" s="59">
        <v>-44.935921904662692</v>
      </c>
    </row>
    <row r="2620" spans="1:4" x14ac:dyDescent="0.3">
      <c r="A2620" s="58">
        <v>3133204</v>
      </c>
      <c r="B2620" s="58" t="s">
        <v>3541</v>
      </c>
      <c r="C2620" s="59">
        <v>-19.171688929563501</v>
      </c>
      <c r="D2620" s="59">
        <v>-41.864931837143956</v>
      </c>
    </row>
    <row r="2621" spans="1:4" x14ac:dyDescent="0.3">
      <c r="A2621" s="58">
        <v>3133303</v>
      </c>
      <c r="B2621" s="58" t="s">
        <v>3542</v>
      </c>
      <c r="C2621" s="59">
        <v>-16.559525916994755</v>
      </c>
      <c r="D2621" s="59">
        <v>-41.498976980372269</v>
      </c>
    </row>
    <row r="2622" spans="1:4" x14ac:dyDescent="0.3">
      <c r="A2622" s="58">
        <v>3133402</v>
      </c>
      <c r="B2622" s="58" t="s">
        <v>3543</v>
      </c>
      <c r="C2622" s="59">
        <v>-19.903295827378756</v>
      </c>
      <c r="D2622" s="59">
        <v>-49.369821044617836</v>
      </c>
    </row>
    <row r="2623" spans="1:4" x14ac:dyDescent="0.3">
      <c r="A2623" s="58">
        <v>3133501</v>
      </c>
      <c r="B2623" s="58" t="s">
        <v>3544</v>
      </c>
      <c r="C2623" s="59">
        <v>-20.472889899610209</v>
      </c>
      <c r="D2623" s="59">
        <v>-45.124679888893056</v>
      </c>
    </row>
    <row r="2624" spans="1:4" x14ac:dyDescent="0.3">
      <c r="A2624" s="58">
        <v>3133600</v>
      </c>
      <c r="B2624" s="58" t="s">
        <v>3545</v>
      </c>
      <c r="C2624" s="59">
        <v>-22.769740388915157</v>
      </c>
      <c r="D2624" s="59">
        <v>-46.219556857814474</v>
      </c>
    </row>
    <row r="2625" spans="1:4" x14ac:dyDescent="0.3">
      <c r="A2625" s="58">
        <v>3133709</v>
      </c>
      <c r="B2625" s="58" t="s">
        <v>3546</v>
      </c>
      <c r="C2625" s="59">
        <v>-20.198642360359155</v>
      </c>
      <c r="D2625" s="59">
        <v>-44.429163612927084</v>
      </c>
    </row>
    <row r="2626" spans="1:4" x14ac:dyDescent="0.3">
      <c r="A2626" s="58">
        <v>3133758</v>
      </c>
      <c r="B2626" s="58" t="s">
        <v>3547</v>
      </c>
      <c r="C2626" s="59">
        <v>-20.738189386774803</v>
      </c>
      <c r="D2626" s="59">
        <v>-46.75295378305379</v>
      </c>
    </row>
    <row r="2627" spans="1:4" x14ac:dyDescent="0.3">
      <c r="A2627" s="58">
        <v>3133808</v>
      </c>
      <c r="B2627" s="58" t="s">
        <v>3548</v>
      </c>
      <c r="C2627" s="59">
        <v>-20.074435586807354</v>
      </c>
      <c r="D2627" s="59">
        <v>-44.578276578047664</v>
      </c>
    </row>
    <row r="2628" spans="1:4" x14ac:dyDescent="0.3">
      <c r="A2628" s="58">
        <v>3133907</v>
      </c>
      <c r="B2628" s="58" t="s">
        <v>3549</v>
      </c>
      <c r="C2628" s="59">
        <v>-20.674727470991655</v>
      </c>
      <c r="D2628" s="59">
        <v>-43.604322348119133</v>
      </c>
    </row>
    <row r="2629" spans="1:4" x14ac:dyDescent="0.3">
      <c r="A2629" s="58">
        <v>3134004</v>
      </c>
      <c r="B2629" s="58" t="s">
        <v>3550</v>
      </c>
      <c r="C2629" s="59">
        <v>-16.601429391979952</v>
      </c>
      <c r="D2629" s="59">
        <v>-41.778178072196276</v>
      </c>
    </row>
    <row r="2630" spans="1:4" x14ac:dyDescent="0.3">
      <c r="A2630" s="58">
        <v>3134103</v>
      </c>
      <c r="B2630" s="58" t="s">
        <v>3551</v>
      </c>
      <c r="C2630" s="59">
        <v>-19.392397784725201</v>
      </c>
      <c r="D2630" s="59">
        <v>-41.225631912754984</v>
      </c>
    </row>
    <row r="2631" spans="1:4" x14ac:dyDescent="0.3">
      <c r="A2631" s="58">
        <v>3134202</v>
      </c>
      <c r="B2631" s="58" t="s">
        <v>3552</v>
      </c>
      <c r="C2631" s="59">
        <v>-18.973067680915953</v>
      </c>
      <c r="D2631" s="59">
        <v>-49.462235189210425</v>
      </c>
    </row>
    <row r="2632" spans="1:4" x14ac:dyDescent="0.3">
      <c r="A2632" s="58">
        <v>3134301</v>
      </c>
      <c r="B2632" s="58" t="s">
        <v>3553</v>
      </c>
      <c r="C2632" s="59">
        <v>-21.313796338097951</v>
      </c>
      <c r="D2632" s="59">
        <v>-44.875787846044211</v>
      </c>
    </row>
    <row r="2633" spans="1:4" x14ac:dyDescent="0.3">
      <c r="A2633" s="58">
        <v>3134400</v>
      </c>
      <c r="B2633" s="58" t="s">
        <v>3554</v>
      </c>
      <c r="C2633" s="59">
        <v>-19.731947524237103</v>
      </c>
      <c r="D2633" s="59">
        <v>-50.201973575373103</v>
      </c>
    </row>
    <row r="2634" spans="1:4" x14ac:dyDescent="0.3">
      <c r="A2634" s="58">
        <v>3134509</v>
      </c>
      <c r="B2634" s="58" t="s">
        <v>3555</v>
      </c>
      <c r="C2634" s="59">
        <v>-21.296056359309102</v>
      </c>
      <c r="D2634" s="59">
        <v>-44.658838154214401</v>
      </c>
    </row>
    <row r="2635" spans="1:4" x14ac:dyDescent="0.3">
      <c r="A2635" s="58">
        <v>3134608</v>
      </c>
      <c r="B2635" s="58" t="s">
        <v>3556</v>
      </c>
      <c r="C2635" s="59">
        <v>-19.522288618180752</v>
      </c>
      <c r="D2635" s="59">
        <v>-43.747333632957741</v>
      </c>
    </row>
    <row r="2636" spans="1:4" x14ac:dyDescent="0.3">
      <c r="A2636" s="58">
        <v>3134707</v>
      </c>
      <c r="B2636" s="58" t="s">
        <v>3557</v>
      </c>
      <c r="C2636" s="59">
        <v>-16.141161852922306</v>
      </c>
      <c r="D2636" s="59">
        <v>-40.291428834106561</v>
      </c>
    </row>
    <row r="2637" spans="1:4" x14ac:dyDescent="0.3">
      <c r="A2637" s="58">
        <v>3134806</v>
      </c>
      <c r="B2637" s="58" t="s">
        <v>3558</v>
      </c>
      <c r="C2637" s="59">
        <v>-21.017602158927353</v>
      </c>
      <c r="D2637" s="59">
        <v>-46.742010380709807</v>
      </c>
    </row>
    <row r="2638" spans="1:4" x14ac:dyDescent="0.3">
      <c r="A2638" s="58">
        <v>3134905</v>
      </c>
      <c r="B2638" s="58" t="s">
        <v>3559</v>
      </c>
      <c r="C2638" s="59">
        <v>-22.286638029799008</v>
      </c>
      <c r="D2638" s="59">
        <v>-46.612341166310529</v>
      </c>
    </row>
    <row r="2639" spans="1:4" x14ac:dyDescent="0.3">
      <c r="A2639" s="58">
        <v>3135001</v>
      </c>
      <c r="B2639" s="58" t="s">
        <v>3560</v>
      </c>
      <c r="C2639" s="59">
        <v>-19.647072697442304</v>
      </c>
      <c r="D2639" s="59">
        <v>-42.752999059199922</v>
      </c>
    </row>
    <row r="2640" spans="1:4" x14ac:dyDescent="0.3">
      <c r="A2640" s="58">
        <v>3135050</v>
      </c>
      <c r="B2640" s="58" t="s">
        <v>3561</v>
      </c>
      <c r="C2640" s="59">
        <v>-15.342934053612503</v>
      </c>
      <c r="D2640" s="59">
        <v>-43.670328875963854</v>
      </c>
    </row>
    <row r="2641" spans="1:4" x14ac:dyDescent="0.3">
      <c r="A2641" s="58">
        <v>3135076</v>
      </c>
      <c r="B2641" s="58" t="s">
        <v>3562</v>
      </c>
      <c r="C2641" s="59">
        <v>-18.461598574244054</v>
      </c>
      <c r="D2641" s="59">
        <v>-41.810169247388409</v>
      </c>
    </row>
    <row r="2642" spans="1:4" x14ac:dyDescent="0.3">
      <c r="A2642" s="58">
        <v>3135100</v>
      </c>
      <c r="B2642" s="58" t="s">
        <v>3563</v>
      </c>
      <c r="C2642" s="59">
        <v>-15.799028458366852</v>
      </c>
      <c r="D2642" s="59">
        <v>-43.307682943762295</v>
      </c>
    </row>
    <row r="2643" spans="1:4" x14ac:dyDescent="0.3">
      <c r="A2643" s="58">
        <v>3135209</v>
      </c>
      <c r="B2643" s="58" t="s">
        <v>3564</v>
      </c>
      <c r="C2643" s="59">
        <v>-15.487872813987904</v>
      </c>
      <c r="D2643" s="59">
        <v>-44.359805334903193</v>
      </c>
    </row>
    <row r="2644" spans="1:4" x14ac:dyDescent="0.3">
      <c r="A2644" s="58">
        <v>3135308</v>
      </c>
      <c r="B2644" s="58" t="s">
        <v>3565</v>
      </c>
      <c r="C2644" s="59">
        <v>-20.141617595070901</v>
      </c>
      <c r="D2644" s="59">
        <v>-45.504117805893777</v>
      </c>
    </row>
    <row r="2645" spans="1:4" x14ac:dyDescent="0.3">
      <c r="A2645" s="58">
        <v>3135357</v>
      </c>
      <c r="B2645" s="58" t="s">
        <v>3566</v>
      </c>
      <c r="C2645" s="59">
        <v>-16.000956933555251</v>
      </c>
      <c r="D2645" s="59">
        <v>-44.276127237154775</v>
      </c>
    </row>
    <row r="2646" spans="1:4" x14ac:dyDescent="0.3">
      <c r="A2646" s="58">
        <v>3135407</v>
      </c>
      <c r="B2646" s="58" t="s">
        <v>3567</v>
      </c>
      <c r="C2646" s="59">
        <v>-20.533033438292552</v>
      </c>
      <c r="D2646" s="59">
        <v>-43.985231917330189</v>
      </c>
    </row>
    <row r="2647" spans="1:4" x14ac:dyDescent="0.3">
      <c r="A2647" s="58">
        <v>3135456</v>
      </c>
      <c r="B2647" s="58" t="s">
        <v>3568</v>
      </c>
      <c r="C2647" s="59">
        <v>-17.080423078092302</v>
      </c>
      <c r="D2647" s="59">
        <v>-42.256047455932922</v>
      </c>
    </row>
    <row r="2648" spans="1:4" x14ac:dyDescent="0.3">
      <c r="A2648" s="58">
        <v>3135506</v>
      </c>
      <c r="B2648" s="58" t="s">
        <v>3569</v>
      </c>
      <c r="C2648" s="59">
        <v>-20.44630303750661</v>
      </c>
      <c r="D2648" s="59">
        <v>-42.682263683886838</v>
      </c>
    </row>
    <row r="2649" spans="1:4" x14ac:dyDescent="0.3">
      <c r="A2649" s="58">
        <v>3135605</v>
      </c>
      <c r="B2649" s="58" t="s">
        <v>3570</v>
      </c>
      <c r="C2649" s="59">
        <v>-17.216372557071502</v>
      </c>
      <c r="D2649" s="59">
        <v>-44.441687276591516</v>
      </c>
    </row>
    <row r="2650" spans="1:4" x14ac:dyDescent="0.3">
      <c r="A2650" s="58">
        <v>3135704</v>
      </c>
      <c r="B2650" s="58" t="s">
        <v>3571</v>
      </c>
      <c r="C2650" s="59">
        <v>-19.237673510177554</v>
      </c>
      <c r="D2650" s="59">
        <v>-44.028076393723872</v>
      </c>
    </row>
    <row r="2651" spans="1:4" x14ac:dyDescent="0.3">
      <c r="A2651" s="58">
        <v>3135803</v>
      </c>
      <c r="B2651" s="58" t="s">
        <v>3572</v>
      </c>
      <c r="C2651" s="59">
        <v>-16.441768942378904</v>
      </c>
      <c r="D2651" s="59">
        <v>-41.007115442379707</v>
      </c>
    </row>
    <row r="2652" spans="1:4" x14ac:dyDescent="0.3">
      <c r="A2652" s="58">
        <v>3135902</v>
      </c>
      <c r="B2652" s="58" t="s">
        <v>3573</v>
      </c>
      <c r="C2652" s="59">
        <v>-21.998425696060153</v>
      </c>
      <c r="D2652" s="59">
        <v>-45.290876970379067</v>
      </c>
    </row>
    <row r="2653" spans="1:4" x14ac:dyDescent="0.3">
      <c r="A2653" s="58">
        <v>3136009</v>
      </c>
      <c r="B2653" s="58" t="s">
        <v>3574</v>
      </c>
      <c r="C2653" s="59">
        <v>-16.654729637985103</v>
      </c>
      <c r="D2653" s="59">
        <v>-41.023053013666768</v>
      </c>
    </row>
    <row r="2654" spans="1:4" x14ac:dyDescent="0.3">
      <c r="A2654" s="58">
        <v>3136108</v>
      </c>
      <c r="B2654" s="58" t="s">
        <v>3575</v>
      </c>
      <c r="C2654" s="59">
        <v>-19.168695674132653</v>
      </c>
      <c r="D2654" s="59">
        <v>-42.674701682306058</v>
      </c>
    </row>
    <row r="2655" spans="1:4" x14ac:dyDescent="0.3">
      <c r="A2655" s="58">
        <v>3136207</v>
      </c>
      <c r="B2655" s="58" t="s">
        <v>3576</v>
      </c>
      <c r="C2655" s="59">
        <v>-19.805638693826705</v>
      </c>
      <c r="D2655" s="59">
        <v>-43.174571271259516</v>
      </c>
    </row>
    <row r="2656" spans="1:4" x14ac:dyDescent="0.3">
      <c r="A2656" s="58">
        <v>3136306</v>
      </c>
      <c r="B2656" s="58" t="s">
        <v>3577</v>
      </c>
      <c r="C2656" s="59">
        <v>-17.741852939563355</v>
      </c>
      <c r="D2656" s="59">
        <v>-46.17546355127044</v>
      </c>
    </row>
    <row r="2657" spans="1:4" x14ac:dyDescent="0.3">
      <c r="A2657" s="58">
        <v>3136405</v>
      </c>
      <c r="B2657" s="58" t="s">
        <v>3578</v>
      </c>
      <c r="C2657" s="59">
        <v>-17.755294306580353</v>
      </c>
      <c r="D2657" s="59">
        <v>-44.173604717765777</v>
      </c>
    </row>
    <row r="2658" spans="1:4" x14ac:dyDescent="0.3">
      <c r="A2658" s="58">
        <v>3136504</v>
      </c>
      <c r="B2658" s="58" t="s">
        <v>3579</v>
      </c>
      <c r="C2658" s="59">
        <v>-15.901065106436105</v>
      </c>
      <c r="D2658" s="59">
        <v>-40.180014159130458</v>
      </c>
    </row>
    <row r="2659" spans="1:4" x14ac:dyDescent="0.3">
      <c r="A2659" s="58">
        <v>3136520</v>
      </c>
      <c r="B2659" s="58" t="s">
        <v>3580</v>
      </c>
      <c r="C2659" s="59">
        <v>-16.907181976567205</v>
      </c>
      <c r="D2659" s="59">
        <v>-42.607174608613128</v>
      </c>
    </row>
    <row r="2660" spans="1:4" x14ac:dyDescent="0.3">
      <c r="A2660" s="58">
        <v>3136553</v>
      </c>
      <c r="B2660" s="58" t="s">
        <v>3581</v>
      </c>
      <c r="C2660" s="59">
        <v>-18.217494941193902</v>
      </c>
      <c r="D2660" s="59">
        <v>-42.500590268783547</v>
      </c>
    </row>
    <row r="2661" spans="1:4" x14ac:dyDescent="0.3">
      <c r="A2661" s="58">
        <v>3136579</v>
      </c>
      <c r="B2661" s="58" t="s">
        <v>3582</v>
      </c>
      <c r="C2661" s="59">
        <v>-16.544525400346753</v>
      </c>
      <c r="D2661" s="59">
        <v>-42.513137018713039</v>
      </c>
    </row>
    <row r="2662" spans="1:4" x14ac:dyDescent="0.3">
      <c r="A2662" s="58">
        <v>3136603</v>
      </c>
      <c r="B2662" s="58" t="s">
        <v>1076</v>
      </c>
      <c r="C2662" s="59">
        <v>-19.688103368024105</v>
      </c>
      <c r="D2662" s="59">
        <v>-43.579994414664398</v>
      </c>
    </row>
    <row r="2663" spans="1:4" x14ac:dyDescent="0.3">
      <c r="A2663" s="58">
        <v>3136652</v>
      </c>
      <c r="B2663" s="58" t="s">
        <v>3583</v>
      </c>
      <c r="C2663" s="59">
        <v>-19.955790862333753</v>
      </c>
      <c r="D2663" s="59">
        <v>-44.341331440920833</v>
      </c>
    </row>
    <row r="2664" spans="1:4" x14ac:dyDescent="0.3">
      <c r="A2664" s="58">
        <v>3136702</v>
      </c>
      <c r="B2664" s="58" t="s">
        <v>3584</v>
      </c>
      <c r="C2664" s="59">
        <v>-21.760924308674301</v>
      </c>
      <c r="D2664" s="59">
        <v>-43.348817272474669</v>
      </c>
    </row>
    <row r="2665" spans="1:4" x14ac:dyDescent="0.3">
      <c r="A2665" s="58">
        <v>3136801</v>
      </c>
      <c r="B2665" s="58" t="s">
        <v>3585</v>
      </c>
      <c r="C2665" s="59">
        <v>-16.851270455002702</v>
      </c>
      <c r="D2665" s="59">
        <v>-43.590193620643284</v>
      </c>
    </row>
    <row r="2666" spans="1:4" x14ac:dyDescent="0.3">
      <c r="A2666" s="58">
        <v>3136900</v>
      </c>
      <c r="B2666" s="58" t="s">
        <v>3586</v>
      </c>
      <c r="C2666" s="59">
        <v>-21.249355938096254</v>
      </c>
      <c r="D2666" s="59">
        <v>-46.580596484704003</v>
      </c>
    </row>
    <row r="2667" spans="1:4" x14ac:dyDescent="0.3">
      <c r="A2667" s="58">
        <v>3136959</v>
      </c>
      <c r="B2667" s="58" t="s">
        <v>3587</v>
      </c>
      <c r="C2667" s="59">
        <v>-14.263594562885054</v>
      </c>
      <c r="D2667" s="59">
        <v>-44.159589709968181</v>
      </c>
    </row>
    <row r="2668" spans="1:4" x14ac:dyDescent="0.3">
      <c r="A2668" s="58">
        <v>3137007</v>
      </c>
      <c r="B2668" s="58" t="s">
        <v>3588</v>
      </c>
      <c r="C2668" s="59">
        <v>-17.62447966968745</v>
      </c>
      <c r="D2668" s="59">
        <v>-41.740449939658049</v>
      </c>
    </row>
    <row r="2669" spans="1:4" x14ac:dyDescent="0.3">
      <c r="A2669" s="58">
        <v>3137106</v>
      </c>
      <c r="B2669" s="58" t="s">
        <v>3589</v>
      </c>
      <c r="C2669" s="59">
        <v>-18.176961622293302</v>
      </c>
      <c r="D2669" s="59">
        <v>-46.812535635083925</v>
      </c>
    </row>
    <row r="2670" spans="1:4" x14ac:dyDescent="0.3">
      <c r="A2670" s="58">
        <v>3137205</v>
      </c>
      <c r="B2670" s="58" t="s">
        <v>3590</v>
      </c>
      <c r="C2670" s="59">
        <v>-20.023765329321055</v>
      </c>
      <c r="D2670" s="59">
        <v>-45.54169203207028</v>
      </c>
    </row>
    <row r="2671" spans="1:4" x14ac:dyDescent="0.3">
      <c r="A2671" s="58">
        <v>3137304</v>
      </c>
      <c r="B2671" s="58" t="s">
        <v>3591</v>
      </c>
      <c r="C2671" s="59">
        <v>-16.978449200460904</v>
      </c>
      <c r="D2671" s="59">
        <v>-44.578334632348728</v>
      </c>
    </row>
    <row r="2672" spans="1:4" x14ac:dyDescent="0.3">
      <c r="A2672" s="58">
        <v>3137403</v>
      </c>
      <c r="B2672" s="58" t="s">
        <v>3592</v>
      </c>
      <c r="C2672" s="59">
        <v>-20.918598617033958</v>
      </c>
      <c r="D2672" s="59">
        <v>-44.071116440016056</v>
      </c>
    </row>
    <row r="2673" spans="1:4" x14ac:dyDescent="0.3">
      <c r="A2673" s="58">
        <v>3137502</v>
      </c>
      <c r="B2673" s="58" t="s">
        <v>3593</v>
      </c>
      <c r="C2673" s="59">
        <v>-18.775572580399054</v>
      </c>
      <c r="D2673" s="59">
        <v>-46.406528791961584</v>
      </c>
    </row>
    <row r="2674" spans="1:4" x14ac:dyDescent="0.3">
      <c r="A2674" s="58">
        <v>3137536</v>
      </c>
      <c r="B2674" s="58" t="s">
        <v>2540</v>
      </c>
      <c r="C2674" s="59">
        <v>-17.838046990880404</v>
      </c>
      <c r="D2674" s="59">
        <v>-46.517905400377565</v>
      </c>
    </row>
    <row r="2675" spans="1:4" x14ac:dyDescent="0.3">
      <c r="A2675" s="58">
        <v>3137601</v>
      </c>
      <c r="B2675" s="58" t="s">
        <v>3594</v>
      </c>
      <c r="C2675" s="59">
        <v>-19.625850520112504</v>
      </c>
      <c r="D2675" s="59">
        <v>-43.895287696941345</v>
      </c>
    </row>
    <row r="2676" spans="1:4" x14ac:dyDescent="0.3">
      <c r="A2676" s="58">
        <v>3137700</v>
      </c>
      <c r="B2676" s="58" t="s">
        <v>3595</v>
      </c>
      <c r="C2676" s="59">
        <v>-20.164170146797055</v>
      </c>
      <c r="D2676" s="59">
        <v>-41.645293037910967</v>
      </c>
    </row>
    <row r="2677" spans="1:4" x14ac:dyDescent="0.3">
      <c r="A2677" s="58">
        <v>3137809</v>
      </c>
      <c r="B2677" s="58" t="s">
        <v>3596</v>
      </c>
      <c r="C2677" s="59">
        <v>-21.974315555707701</v>
      </c>
      <c r="D2677" s="59">
        <v>-45.352478813475486</v>
      </c>
    </row>
    <row r="2678" spans="1:4" x14ac:dyDescent="0.3">
      <c r="A2678" s="58">
        <v>3137908</v>
      </c>
      <c r="B2678" s="58" t="s">
        <v>3597</v>
      </c>
      <c r="C2678" s="59">
        <v>-20.792057426294303</v>
      </c>
      <c r="D2678" s="59">
        <v>-43.474467060585319</v>
      </c>
    </row>
    <row r="2679" spans="1:4" x14ac:dyDescent="0.3">
      <c r="A2679" s="58">
        <v>3138005</v>
      </c>
      <c r="B2679" s="58" t="s">
        <v>3598</v>
      </c>
      <c r="C2679" s="59">
        <v>-21.36362961286785</v>
      </c>
      <c r="D2679" s="59">
        <v>-42.480674291584329</v>
      </c>
    </row>
    <row r="2680" spans="1:4" x14ac:dyDescent="0.3">
      <c r="A2680" s="58">
        <v>3138104</v>
      </c>
      <c r="B2680" s="58" t="s">
        <v>3599</v>
      </c>
      <c r="C2680" s="59">
        <v>-17.895115180520552</v>
      </c>
      <c r="D2680" s="59">
        <v>-44.579358558748091</v>
      </c>
    </row>
    <row r="2681" spans="1:4" x14ac:dyDescent="0.3">
      <c r="A2681" s="58">
        <v>3138203</v>
      </c>
      <c r="B2681" s="58" t="s">
        <v>3600</v>
      </c>
      <c r="C2681" s="59">
        <v>-21.242870237300753</v>
      </c>
      <c r="D2681" s="59">
        <v>-44.99993110911516</v>
      </c>
    </row>
    <row r="2682" spans="1:4" x14ac:dyDescent="0.3">
      <c r="A2682" s="58">
        <v>3138302</v>
      </c>
      <c r="B2682" s="58" t="s">
        <v>3601</v>
      </c>
      <c r="C2682" s="59">
        <v>-19.719223471951107</v>
      </c>
      <c r="D2682" s="59">
        <v>-45.026283785285848</v>
      </c>
    </row>
    <row r="2683" spans="1:4" x14ac:dyDescent="0.3">
      <c r="A2683" s="58">
        <v>3138351</v>
      </c>
      <c r="B2683" s="58" t="s">
        <v>3602</v>
      </c>
      <c r="C2683" s="59">
        <v>-17.083866846165652</v>
      </c>
      <c r="D2683" s="59">
        <v>-42.695682624201439</v>
      </c>
    </row>
    <row r="2684" spans="1:4" x14ac:dyDescent="0.3">
      <c r="A2684" s="58">
        <v>3138401</v>
      </c>
      <c r="B2684" s="58" t="s">
        <v>3603</v>
      </c>
      <c r="C2684" s="59">
        <v>-21.530729364529005</v>
      </c>
      <c r="D2684" s="59">
        <v>-42.641844129504271</v>
      </c>
    </row>
    <row r="2685" spans="1:4" x14ac:dyDescent="0.3">
      <c r="A2685" s="58">
        <v>3138500</v>
      </c>
      <c r="B2685" s="58" t="s">
        <v>3604</v>
      </c>
      <c r="C2685" s="59">
        <v>-22.02435870477645</v>
      </c>
      <c r="D2685" s="59">
        <v>-44.315140936408277</v>
      </c>
    </row>
    <row r="2686" spans="1:4" x14ac:dyDescent="0.3">
      <c r="A2686" s="58">
        <v>3138609</v>
      </c>
      <c r="B2686" s="58" t="s">
        <v>3605</v>
      </c>
      <c r="C2686" s="59">
        <v>-21.841095518084249</v>
      </c>
      <c r="D2686" s="59">
        <v>-43.796383224016957</v>
      </c>
    </row>
    <row r="2687" spans="1:4" x14ac:dyDescent="0.3">
      <c r="A2687" s="58">
        <v>3138625</v>
      </c>
      <c r="B2687" s="58" t="s">
        <v>3606</v>
      </c>
      <c r="C2687" s="59">
        <v>-19.547777159295851</v>
      </c>
      <c r="D2687" s="59">
        <v>-50.575290374188086</v>
      </c>
    </row>
    <row r="2688" spans="1:4" x14ac:dyDescent="0.3">
      <c r="A2688" s="58">
        <v>3138658</v>
      </c>
      <c r="B2688" s="58" t="s">
        <v>3607</v>
      </c>
      <c r="C2688" s="59">
        <v>-15.902058352996653</v>
      </c>
      <c r="D2688" s="59">
        <v>-44.30611481912927</v>
      </c>
    </row>
    <row r="2689" spans="1:4" x14ac:dyDescent="0.3">
      <c r="A2689" s="58">
        <v>3138674</v>
      </c>
      <c r="B2689" s="58" t="s">
        <v>3608</v>
      </c>
      <c r="C2689" s="59">
        <v>-20.438376108278053</v>
      </c>
      <c r="D2689" s="59">
        <v>-42.106471903589785</v>
      </c>
    </row>
    <row r="2690" spans="1:4" x14ac:dyDescent="0.3">
      <c r="A2690" s="58">
        <v>3138682</v>
      </c>
      <c r="B2690" s="58" t="s">
        <v>3609</v>
      </c>
      <c r="C2690" s="59">
        <v>-16.115311486160351</v>
      </c>
      <c r="D2690" s="59">
        <v>-44.586048427033923</v>
      </c>
    </row>
    <row r="2691" spans="1:4" x14ac:dyDescent="0.3">
      <c r="A2691" s="58">
        <v>3138708</v>
      </c>
      <c r="B2691" s="58" t="s">
        <v>3610</v>
      </c>
      <c r="C2691" s="59">
        <v>-21.512319900177754</v>
      </c>
      <c r="D2691" s="59">
        <v>-44.906106479685768</v>
      </c>
    </row>
    <row r="2692" spans="1:4" x14ac:dyDescent="0.3">
      <c r="A2692" s="58">
        <v>3138807</v>
      </c>
      <c r="B2692" s="58" t="s">
        <v>3611</v>
      </c>
      <c r="C2692" s="59">
        <v>-19.796246621858753</v>
      </c>
      <c r="D2692" s="59">
        <v>-45.683881268054535</v>
      </c>
    </row>
    <row r="2693" spans="1:4" x14ac:dyDescent="0.3">
      <c r="A2693" s="58">
        <v>3138906</v>
      </c>
      <c r="B2693" s="58" t="s">
        <v>3612</v>
      </c>
      <c r="C2693" s="59">
        <v>-17.077370352888199</v>
      </c>
      <c r="D2693" s="59">
        <v>-40.720422132249411</v>
      </c>
    </row>
    <row r="2694" spans="1:4" x14ac:dyDescent="0.3">
      <c r="A2694" s="58">
        <v>3139003</v>
      </c>
      <c r="B2694" s="58" t="s">
        <v>3613</v>
      </c>
      <c r="C2694" s="59">
        <v>-21.678353896470103</v>
      </c>
      <c r="D2694" s="59">
        <v>-45.921764083221539</v>
      </c>
    </row>
    <row r="2695" spans="1:4" x14ac:dyDescent="0.3">
      <c r="A2695" s="58">
        <v>3139102</v>
      </c>
      <c r="B2695" s="58" t="s">
        <v>3614</v>
      </c>
      <c r="C2695" s="59">
        <v>-21.477322068925005</v>
      </c>
      <c r="D2695" s="59">
        <v>-44.340885911496521</v>
      </c>
    </row>
    <row r="2696" spans="1:4" x14ac:dyDescent="0.3">
      <c r="A2696" s="58">
        <v>3139201</v>
      </c>
      <c r="B2696" s="58" t="s">
        <v>3615</v>
      </c>
      <c r="C2696" s="59">
        <v>-17.841622539976552</v>
      </c>
      <c r="D2696" s="59">
        <v>-42.076076701013285</v>
      </c>
    </row>
    <row r="2697" spans="1:4" x14ac:dyDescent="0.3">
      <c r="A2697" s="58">
        <v>3139250</v>
      </c>
      <c r="B2697" s="58" t="s">
        <v>3616</v>
      </c>
      <c r="C2697" s="59">
        <v>-15.05164691779145</v>
      </c>
      <c r="D2697" s="59">
        <v>-42.955964349258032</v>
      </c>
    </row>
    <row r="2698" spans="1:4" x14ac:dyDescent="0.3">
      <c r="A2698" s="58">
        <v>3139300</v>
      </c>
      <c r="B2698" s="58" t="s">
        <v>3617</v>
      </c>
      <c r="C2698" s="59">
        <v>-14.755922114429902</v>
      </c>
      <c r="D2698" s="59">
        <v>-43.936761522353066</v>
      </c>
    </row>
    <row r="2699" spans="1:4" x14ac:dyDescent="0.3">
      <c r="A2699" s="58">
        <v>3139409</v>
      </c>
      <c r="B2699" s="58" t="s">
        <v>3618</v>
      </c>
      <c r="C2699" s="59">
        <v>-20.258680083282353</v>
      </c>
      <c r="D2699" s="59">
        <v>-42.033848290437184</v>
      </c>
    </row>
    <row r="2700" spans="1:4" x14ac:dyDescent="0.3">
      <c r="A2700" s="58">
        <v>3139508</v>
      </c>
      <c r="B2700" s="58" t="s">
        <v>3619</v>
      </c>
      <c r="C2700" s="59">
        <v>-20.363999111451751</v>
      </c>
      <c r="D2700" s="59">
        <v>-41.962679807371423</v>
      </c>
    </row>
    <row r="2701" spans="1:4" x14ac:dyDescent="0.3">
      <c r="A2701" s="58">
        <v>3139607</v>
      </c>
      <c r="B2701" s="58" t="s">
        <v>3620</v>
      </c>
      <c r="C2701" s="59">
        <v>-18.780699874973404</v>
      </c>
      <c r="D2701" s="59">
        <v>-40.978525740746704</v>
      </c>
    </row>
    <row r="2702" spans="1:4" x14ac:dyDescent="0.3">
      <c r="A2702" s="58">
        <v>3139706</v>
      </c>
      <c r="B2702" s="58" t="s">
        <v>3621</v>
      </c>
      <c r="C2702" s="59">
        <v>-19.514679720064652</v>
      </c>
      <c r="D2702" s="59">
        <v>-44.676076130185656</v>
      </c>
    </row>
    <row r="2703" spans="1:4" x14ac:dyDescent="0.3">
      <c r="A2703" s="58">
        <v>3139805</v>
      </c>
      <c r="B2703" s="58" t="s">
        <v>3622</v>
      </c>
      <c r="C2703" s="59">
        <v>-21.866893376581558</v>
      </c>
      <c r="D2703" s="59">
        <v>-43.008406754403985</v>
      </c>
    </row>
    <row r="2704" spans="1:4" x14ac:dyDescent="0.3">
      <c r="A2704" s="58">
        <v>3139904</v>
      </c>
      <c r="B2704" s="58" t="s">
        <v>3623</v>
      </c>
      <c r="C2704" s="59">
        <v>-22.307218777599051</v>
      </c>
      <c r="D2704" s="59">
        <v>-45.371053690754955</v>
      </c>
    </row>
    <row r="2705" spans="1:4" x14ac:dyDescent="0.3">
      <c r="A2705" s="58">
        <v>3140001</v>
      </c>
      <c r="B2705" s="58" t="s">
        <v>3624</v>
      </c>
      <c r="C2705" s="59">
        <v>-20.374493230893254</v>
      </c>
      <c r="D2705" s="59">
        <v>-43.416140412137501</v>
      </c>
    </row>
    <row r="2706" spans="1:4" x14ac:dyDescent="0.3">
      <c r="A2706" s="58">
        <v>3140100</v>
      </c>
      <c r="B2706" s="58" t="s">
        <v>3625</v>
      </c>
      <c r="C2706" s="59">
        <v>-18.504972411090101</v>
      </c>
      <c r="D2706" s="59">
        <v>-42.081688952587534</v>
      </c>
    </row>
    <row r="2707" spans="1:4" x14ac:dyDescent="0.3">
      <c r="A2707" s="58">
        <v>3140159</v>
      </c>
      <c r="B2707" s="58" t="s">
        <v>3626</v>
      </c>
      <c r="C2707" s="59">
        <v>-20.053636412405705</v>
      </c>
      <c r="D2707" s="59">
        <v>-44.185825296184333</v>
      </c>
    </row>
    <row r="2708" spans="1:4" x14ac:dyDescent="0.3">
      <c r="A2708" s="58">
        <v>3140209</v>
      </c>
      <c r="B2708" s="58" t="s">
        <v>3627</v>
      </c>
      <c r="C2708" s="59">
        <v>-21.692262750963909</v>
      </c>
      <c r="D2708" s="59">
        <v>-42.968349927473639</v>
      </c>
    </row>
    <row r="2709" spans="1:4" x14ac:dyDescent="0.3">
      <c r="A2709" s="58">
        <v>3140308</v>
      </c>
      <c r="B2709" s="58" t="s">
        <v>3628</v>
      </c>
      <c r="C2709" s="59">
        <v>-19.706456109825105</v>
      </c>
      <c r="D2709" s="59">
        <v>-42.737379035917037</v>
      </c>
    </row>
    <row r="2710" spans="1:4" x14ac:dyDescent="0.3">
      <c r="A2710" s="58">
        <v>3140407</v>
      </c>
      <c r="B2710" s="58" t="s">
        <v>3629</v>
      </c>
      <c r="C2710" s="59">
        <v>-22.446517097766105</v>
      </c>
      <c r="D2710" s="59">
        <v>-45.160047802472207</v>
      </c>
    </row>
    <row r="2711" spans="1:4" x14ac:dyDescent="0.3">
      <c r="A2711" s="58">
        <v>3140506</v>
      </c>
      <c r="B2711" s="58" t="s">
        <v>3630</v>
      </c>
      <c r="C2711" s="59">
        <v>-19.329742348336701</v>
      </c>
      <c r="D2711" s="59">
        <v>-45.238650397140525</v>
      </c>
    </row>
    <row r="2712" spans="1:4" x14ac:dyDescent="0.3">
      <c r="A2712" s="58">
        <v>3140530</v>
      </c>
      <c r="B2712" s="58" t="s">
        <v>3631</v>
      </c>
      <c r="C2712" s="59">
        <v>-20.258229195984601</v>
      </c>
      <c r="D2712" s="59">
        <v>-41.875790908175269</v>
      </c>
    </row>
    <row r="2713" spans="1:4" x14ac:dyDescent="0.3">
      <c r="A2713" s="58">
        <v>3140555</v>
      </c>
      <c r="B2713" s="58" t="s">
        <v>3632</v>
      </c>
      <c r="C2713" s="59">
        <v>-15.687667804847701</v>
      </c>
      <c r="D2713" s="59">
        <v>-40.73853340846933</v>
      </c>
    </row>
    <row r="2714" spans="1:4" x14ac:dyDescent="0.3">
      <c r="A2714" s="58">
        <v>3140605</v>
      </c>
      <c r="B2714" s="58" t="s">
        <v>3633</v>
      </c>
      <c r="C2714" s="59">
        <v>-18.472773673406252</v>
      </c>
      <c r="D2714" s="59">
        <v>-43.057375905874331</v>
      </c>
    </row>
    <row r="2715" spans="1:4" x14ac:dyDescent="0.3">
      <c r="A2715" s="58">
        <v>3140704</v>
      </c>
      <c r="B2715" s="58" t="s">
        <v>3634</v>
      </c>
      <c r="C2715" s="59">
        <v>-19.990868136846903</v>
      </c>
      <c r="D2715" s="59">
        <v>-44.428991235227194</v>
      </c>
    </row>
    <row r="2716" spans="1:4" x14ac:dyDescent="0.3">
      <c r="A2716" s="58">
        <v>3140803</v>
      </c>
      <c r="B2716" s="58" t="s">
        <v>3635</v>
      </c>
      <c r="C2716" s="59">
        <v>-21.869479271075154</v>
      </c>
      <c r="D2716" s="59">
        <v>-43.319161988763163</v>
      </c>
    </row>
    <row r="2717" spans="1:4" x14ac:dyDescent="0.3">
      <c r="A2717" s="58">
        <v>3140852</v>
      </c>
      <c r="B2717" s="58" t="s">
        <v>3636</v>
      </c>
      <c r="C2717" s="59">
        <v>-14.850283877695801</v>
      </c>
      <c r="D2717" s="59">
        <v>-43.91782643656655</v>
      </c>
    </row>
    <row r="2718" spans="1:4" x14ac:dyDescent="0.3">
      <c r="A2718" s="58">
        <v>3140902</v>
      </c>
      <c r="B2718" s="58" t="s">
        <v>3637</v>
      </c>
      <c r="C2718" s="59">
        <v>-20.287148252492202</v>
      </c>
      <c r="D2718" s="59">
        <v>-42.341486406094553</v>
      </c>
    </row>
    <row r="2719" spans="1:4" x14ac:dyDescent="0.3">
      <c r="A2719" s="58">
        <v>3141009</v>
      </c>
      <c r="B2719" s="58" t="s">
        <v>3638</v>
      </c>
      <c r="C2719" s="59">
        <v>-15.397321552975903</v>
      </c>
      <c r="D2719" s="59">
        <v>-42.866514723800066</v>
      </c>
    </row>
    <row r="2720" spans="1:4" x14ac:dyDescent="0.3">
      <c r="A2720" s="58">
        <v>3141108</v>
      </c>
      <c r="B2720" s="58" t="s">
        <v>3639</v>
      </c>
      <c r="C2720" s="59">
        <v>-19.561910281038902</v>
      </c>
      <c r="D2720" s="59">
        <v>-44.083974567865368</v>
      </c>
    </row>
    <row r="2721" spans="1:4" x14ac:dyDescent="0.3">
      <c r="A2721" s="58">
        <v>3141207</v>
      </c>
      <c r="B2721" s="58" t="s">
        <v>3640</v>
      </c>
      <c r="C2721" s="59">
        <v>-19.226612063345055</v>
      </c>
      <c r="D2721" s="59">
        <v>-45.983517033486329</v>
      </c>
    </row>
    <row r="2722" spans="1:4" x14ac:dyDescent="0.3">
      <c r="A2722" s="58">
        <v>3141306</v>
      </c>
      <c r="B2722" s="58" t="s">
        <v>3641</v>
      </c>
      <c r="C2722" s="59">
        <v>-19.993307877624055</v>
      </c>
      <c r="D2722" s="59">
        <v>-46.226688820374697</v>
      </c>
    </row>
    <row r="2723" spans="1:4" x14ac:dyDescent="0.3">
      <c r="A2723" s="58">
        <v>3141405</v>
      </c>
      <c r="B2723" s="58" t="s">
        <v>3642</v>
      </c>
      <c r="C2723" s="59">
        <v>-16.224795620970401</v>
      </c>
      <c r="D2723" s="59">
        <v>-41.476309066919974</v>
      </c>
    </row>
    <row r="2724" spans="1:4" x14ac:dyDescent="0.3">
      <c r="A2724" s="58">
        <v>3141504</v>
      </c>
      <c r="B2724" s="58" t="s">
        <v>3643</v>
      </c>
      <c r="C2724" s="59">
        <v>-18.661777740612003</v>
      </c>
      <c r="D2724" s="59">
        <v>-41.40561516866854</v>
      </c>
    </row>
    <row r="2725" spans="1:4" x14ac:dyDescent="0.3">
      <c r="A2725" s="58">
        <v>3141603</v>
      </c>
      <c r="B2725" s="58" t="s">
        <v>3644</v>
      </c>
      <c r="C2725" s="59">
        <v>-21.192064924676099</v>
      </c>
      <c r="D2725" s="59">
        <v>-43.341070161399287</v>
      </c>
    </row>
    <row r="2726" spans="1:4" x14ac:dyDescent="0.3">
      <c r="A2726" s="58">
        <v>3141702</v>
      </c>
      <c r="B2726" s="58" t="s">
        <v>3645</v>
      </c>
      <c r="C2726" s="59">
        <v>-19.224345812453056</v>
      </c>
      <c r="D2726" s="59">
        <v>-42.605661056817873</v>
      </c>
    </row>
    <row r="2727" spans="1:4" x14ac:dyDescent="0.3">
      <c r="A2727" s="58">
        <v>3141801</v>
      </c>
      <c r="B2727" s="58" t="s">
        <v>3646</v>
      </c>
      <c r="C2727" s="59">
        <v>-17.215458163633702</v>
      </c>
      <c r="D2727" s="59">
        <v>-42.596758710747096</v>
      </c>
    </row>
    <row r="2728" spans="1:4" x14ac:dyDescent="0.3">
      <c r="A2728" s="58">
        <v>3141900</v>
      </c>
      <c r="B2728" s="58" t="s">
        <v>3647</v>
      </c>
      <c r="C2728" s="59">
        <v>-21.6775434808097</v>
      </c>
      <c r="D2728" s="59">
        <v>-44.609292819454247</v>
      </c>
    </row>
    <row r="2729" spans="1:4" x14ac:dyDescent="0.3">
      <c r="A2729" s="58">
        <v>3142007</v>
      </c>
      <c r="B2729" s="58" t="s">
        <v>3648</v>
      </c>
      <c r="C2729" s="59">
        <v>-16.258452938528553</v>
      </c>
      <c r="D2729" s="59">
        <v>-44.160643777201052</v>
      </c>
    </row>
    <row r="2730" spans="1:4" x14ac:dyDescent="0.3">
      <c r="A2730" s="58">
        <v>3142106</v>
      </c>
      <c r="B2730" s="58" t="s">
        <v>3649</v>
      </c>
      <c r="C2730" s="59">
        <v>-20.894419066213505</v>
      </c>
      <c r="D2730" s="59">
        <v>-42.346149856343409</v>
      </c>
    </row>
    <row r="2731" spans="1:4" x14ac:dyDescent="0.3">
      <c r="A2731" s="58">
        <v>3142205</v>
      </c>
      <c r="B2731" s="58" t="s">
        <v>3650</v>
      </c>
      <c r="C2731" s="59">
        <v>-21.193981741514651</v>
      </c>
      <c r="D2731" s="59">
        <v>-42.616039590280813</v>
      </c>
    </row>
    <row r="2732" spans="1:4" x14ac:dyDescent="0.3">
      <c r="A2732" s="58">
        <v>3142254</v>
      </c>
      <c r="B2732" s="58" t="s">
        <v>3651</v>
      </c>
      <c r="C2732" s="59">
        <v>-14.747839400711602</v>
      </c>
      <c r="D2732" s="59">
        <v>-44.412075427847874</v>
      </c>
    </row>
    <row r="2733" spans="1:4" x14ac:dyDescent="0.3">
      <c r="A2733" s="58">
        <v>3142304</v>
      </c>
      <c r="B2733" s="58" t="s">
        <v>3652</v>
      </c>
      <c r="C2733" s="59">
        <v>-20.330268842987302</v>
      </c>
      <c r="D2733" s="59">
        <v>-44.047568670537039</v>
      </c>
    </row>
    <row r="2734" spans="1:4" x14ac:dyDescent="0.3">
      <c r="A2734" s="58">
        <v>3142403</v>
      </c>
      <c r="B2734" s="58" t="s">
        <v>3653</v>
      </c>
      <c r="C2734" s="59">
        <v>-19.838699897871603</v>
      </c>
      <c r="D2734" s="59">
        <v>-45.425310133709033</v>
      </c>
    </row>
    <row r="2735" spans="1:4" x14ac:dyDescent="0.3">
      <c r="A2735" s="58">
        <v>3142502</v>
      </c>
      <c r="B2735" s="58" t="s">
        <v>3654</v>
      </c>
      <c r="C2735" s="59">
        <v>-18.323685618262804</v>
      </c>
      <c r="D2735" s="59">
        <v>-44.119316772414372</v>
      </c>
    </row>
    <row r="2736" spans="1:4" x14ac:dyDescent="0.3">
      <c r="A2736" s="58">
        <v>3142601</v>
      </c>
      <c r="B2736" s="58" t="s">
        <v>3655</v>
      </c>
      <c r="C2736" s="59">
        <v>-21.761772138065851</v>
      </c>
      <c r="D2736" s="59">
        <v>-45.545074138717276</v>
      </c>
    </row>
    <row r="2737" spans="1:4" x14ac:dyDescent="0.3">
      <c r="A2737" s="58">
        <v>3142700</v>
      </c>
      <c r="B2737" s="58" t="s">
        <v>3656</v>
      </c>
      <c r="C2737" s="59">
        <v>-14.420364778569702</v>
      </c>
      <c r="D2737" s="59">
        <v>-44.363620582557111</v>
      </c>
    </row>
    <row r="2738" spans="1:4" x14ac:dyDescent="0.3">
      <c r="A2738" s="58">
        <v>3142809</v>
      </c>
      <c r="B2738" s="58" t="s">
        <v>3657</v>
      </c>
      <c r="C2738" s="59">
        <v>-18.869166716617404</v>
      </c>
      <c r="D2738" s="59">
        <v>-48.877116908960907</v>
      </c>
    </row>
    <row r="2739" spans="1:4" x14ac:dyDescent="0.3">
      <c r="A2739" s="58">
        <v>3142908</v>
      </c>
      <c r="B2739" s="58" t="s">
        <v>3658</v>
      </c>
      <c r="C2739" s="59">
        <v>-15.155338588724153</v>
      </c>
      <c r="D2739" s="59">
        <v>-42.873165494039512</v>
      </c>
    </row>
    <row r="2740" spans="1:4" x14ac:dyDescent="0.3">
      <c r="A2740" s="58">
        <v>3143005</v>
      </c>
      <c r="B2740" s="58" t="s">
        <v>3659</v>
      </c>
      <c r="C2740" s="59">
        <v>-21.327145847454403</v>
      </c>
      <c r="D2740" s="59">
        <v>-46.368245576831079</v>
      </c>
    </row>
    <row r="2741" spans="1:4" x14ac:dyDescent="0.3">
      <c r="A2741" s="58">
        <v>3143104</v>
      </c>
      <c r="B2741" s="58" t="s">
        <v>3660</v>
      </c>
      <c r="C2741" s="59">
        <v>-18.729038440092054</v>
      </c>
      <c r="D2741" s="59">
        <v>-47.495972431219357</v>
      </c>
    </row>
    <row r="2742" spans="1:4" x14ac:dyDescent="0.3">
      <c r="A2742" s="58">
        <v>3143153</v>
      </c>
      <c r="B2742" s="58" t="s">
        <v>3661</v>
      </c>
      <c r="C2742" s="59">
        <v>-16.866493829977102</v>
      </c>
      <c r="D2742" s="59">
        <v>-41.254578741799591</v>
      </c>
    </row>
    <row r="2743" spans="1:4" x14ac:dyDescent="0.3">
      <c r="A2743" s="58">
        <v>3143203</v>
      </c>
      <c r="B2743" s="58" t="s">
        <v>3662</v>
      </c>
      <c r="C2743" s="59">
        <v>-21.190474835099256</v>
      </c>
      <c r="D2743" s="59">
        <v>-46.977118547061878</v>
      </c>
    </row>
    <row r="2744" spans="1:4" x14ac:dyDescent="0.3">
      <c r="A2744" s="58">
        <v>3143302</v>
      </c>
      <c r="B2744" s="58" t="s">
        <v>3663</v>
      </c>
      <c r="C2744" s="59">
        <v>-16.722706639983752</v>
      </c>
      <c r="D2744" s="59">
        <v>-43.865422434383156</v>
      </c>
    </row>
    <row r="2745" spans="1:4" x14ac:dyDescent="0.3">
      <c r="A2745" s="58">
        <v>3143401</v>
      </c>
      <c r="B2745" s="58" t="s">
        <v>3664</v>
      </c>
      <c r="C2745" s="59">
        <v>-22.433548821153355</v>
      </c>
      <c r="D2745" s="59">
        <v>-46.573702693360858</v>
      </c>
    </row>
    <row r="2746" spans="1:4" x14ac:dyDescent="0.3">
      <c r="A2746" s="58">
        <v>3143450</v>
      </c>
      <c r="B2746" s="58" t="s">
        <v>3665</v>
      </c>
      <c r="C2746" s="59">
        <v>-15.171144158477054</v>
      </c>
      <c r="D2746" s="59">
        <v>-42.507473699169957</v>
      </c>
    </row>
    <row r="2747" spans="1:4" x14ac:dyDescent="0.3">
      <c r="A2747" s="58">
        <v>3143500</v>
      </c>
      <c r="B2747" s="58" t="s">
        <v>3666</v>
      </c>
      <c r="C2747" s="59">
        <v>-18.607444721639407</v>
      </c>
      <c r="D2747" s="59">
        <v>-45.355502348096273</v>
      </c>
    </row>
    <row r="2748" spans="1:4" x14ac:dyDescent="0.3">
      <c r="A2748" s="58">
        <v>3143609</v>
      </c>
      <c r="B2748" s="58" t="s">
        <v>3667</v>
      </c>
      <c r="C2748" s="59">
        <v>-18.547218462938055</v>
      </c>
      <c r="D2748" s="59">
        <v>-44.603531034842518</v>
      </c>
    </row>
    <row r="2749" spans="1:4" x14ac:dyDescent="0.3">
      <c r="A2749" s="58">
        <v>3143708</v>
      </c>
      <c r="B2749" s="58" t="s">
        <v>3668</v>
      </c>
      <c r="C2749" s="59">
        <v>-19.21834222514515</v>
      </c>
      <c r="D2749" s="59">
        <v>-43.374804182298099</v>
      </c>
    </row>
    <row r="2750" spans="1:4" x14ac:dyDescent="0.3">
      <c r="A2750" s="58">
        <v>3143807</v>
      </c>
      <c r="B2750" s="58" t="s">
        <v>3669</v>
      </c>
      <c r="C2750" s="59">
        <v>-22.612782688951651</v>
      </c>
      <c r="D2750" s="59">
        <v>-46.360370934844127</v>
      </c>
    </row>
    <row r="2751" spans="1:4" x14ac:dyDescent="0.3">
      <c r="A2751" s="58">
        <v>3143906</v>
      </c>
      <c r="B2751" s="58" t="s">
        <v>3670</v>
      </c>
      <c r="C2751" s="59">
        <v>-21.132046791510156</v>
      </c>
      <c r="D2751" s="59">
        <v>-42.361074897892252</v>
      </c>
    </row>
    <row r="2752" spans="1:4" x14ac:dyDescent="0.3">
      <c r="A2752" s="58">
        <v>3144003</v>
      </c>
      <c r="B2752" s="58" t="s">
        <v>3671</v>
      </c>
      <c r="C2752" s="59">
        <v>-19.807189224316751</v>
      </c>
      <c r="D2752" s="59">
        <v>-41.439138524053853</v>
      </c>
    </row>
    <row r="2753" spans="1:4" x14ac:dyDescent="0.3">
      <c r="A2753" s="58">
        <v>3144102</v>
      </c>
      <c r="B2753" s="58" t="s">
        <v>3672</v>
      </c>
      <c r="C2753" s="59">
        <v>-21.373012752695157</v>
      </c>
      <c r="D2753" s="59">
        <v>-46.526804688547934</v>
      </c>
    </row>
    <row r="2754" spans="1:4" x14ac:dyDescent="0.3">
      <c r="A2754" s="58">
        <v>3144201</v>
      </c>
      <c r="B2754" s="58" t="s">
        <v>3673</v>
      </c>
      <c r="C2754" s="59">
        <v>-18.457924192654854</v>
      </c>
      <c r="D2754" s="59">
        <v>-42.251791593710102</v>
      </c>
    </row>
    <row r="2755" spans="1:4" x14ac:dyDescent="0.3">
      <c r="A2755" s="58">
        <v>3144300</v>
      </c>
      <c r="B2755" s="58" t="s">
        <v>3674</v>
      </c>
      <c r="C2755" s="59">
        <v>-17.838993351938701</v>
      </c>
      <c r="D2755" s="59">
        <v>-40.351738833610398</v>
      </c>
    </row>
    <row r="2756" spans="1:4" x14ac:dyDescent="0.3">
      <c r="A2756" s="58">
        <v>3144359</v>
      </c>
      <c r="B2756" s="58" t="s">
        <v>3675</v>
      </c>
      <c r="C2756" s="59">
        <v>-19.223543474867451</v>
      </c>
      <c r="D2756" s="59">
        <v>-42.334708448851821</v>
      </c>
    </row>
    <row r="2757" spans="1:4" x14ac:dyDescent="0.3">
      <c r="A2757" s="58">
        <v>3144375</v>
      </c>
      <c r="B2757" s="58" t="s">
        <v>3676</v>
      </c>
      <c r="C2757" s="59">
        <v>-16.503836483617501</v>
      </c>
      <c r="D2757" s="59">
        <v>-46.497534355290803</v>
      </c>
    </row>
    <row r="2758" spans="1:4" x14ac:dyDescent="0.3">
      <c r="A2758" s="58">
        <v>3144409</v>
      </c>
      <c r="B2758" s="58" t="s">
        <v>3677</v>
      </c>
      <c r="C2758" s="59">
        <v>-22.118473738940352</v>
      </c>
      <c r="D2758" s="59">
        <v>-45.518234505653624</v>
      </c>
    </row>
    <row r="2759" spans="1:4" x14ac:dyDescent="0.3">
      <c r="A2759" s="58">
        <v>3144508</v>
      </c>
      <c r="B2759" s="58" t="s">
        <v>3678</v>
      </c>
      <c r="C2759" s="59">
        <v>-21.217696967160553</v>
      </c>
      <c r="D2759" s="59">
        <v>-44.617234664426185</v>
      </c>
    </row>
    <row r="2760" spans="1:4" x14ac:dyDescent="0.3">
      <c r="A2760" s="58">
        <v>3144607</v>
      </c>
      <c r="B2760" s="58" t="s">
        <v>3679</v>
      </c>
      <c r="C2760" s="59">
        <v>-21.234576935024656</v>
      </c>
      <c r="D2760" s="59">
        <v>-45.237429119815985</v>
      </c>
    </row>
    <row r="2761" spans="1:4" x14ac:dyDescent="0.3">
      <c r="A2761" s="58">
        <v>3144656</v>
      </c>
      <c r="B2761" s="58" t="s">
        <v>3680</v>
      </c>
      <c r="C2761" s="59">
        <v>-15.323801919196102</v>
      </c>
      <c r="D2761" s="59">
        <v>-41.748788959379461</v>
      </c>
    </row>
    <row r="2762" spans="1:4" x14ac:dyDescent="0.3">
      <c r="A2762" s="58">
        <v>3144672</v>
      </c>
      <c r="B2762" s="58" t="s">
        <v>3681</v>
      </c>
      <c r="C2762" s="59">
        <v>-18.494090820783754</v>
      </c>
      <c r="D2762" s="59">
        <v>-41.103687832356982</v>
      </c>
    </row>
    <row r="2763" spans="1:4" x14ac:dyDescent="0.3">
      <c r="A2763" s="58">
        <v>3144706</v>
      </c>
      <c r="B2763" s="58" t="s">
        <v>3682</v>
      </c>
      <c r="C2763" s="59">
        <v>-19.764423068632702</v>
      </c>
      <c r="D2763" s="59">
        <v>-43.035456849718933</v>
      </c>
    </row>
    <row r="2764" spans="1:4" x14ac:dyDescent="0.3">
      <c r="A2764" s="58">
        <v>3144805</v>
      </c>
      <c r="B2764" s="58" t="s">
        <v>3683</v>
      </c>
      <c r="C2764" s="59">
        <v>-19.983892993866551</v>
      </c>
      <c r="D2764" s="59">
        <v>-43.849783362616336</v>
      </c>
    </row>
    <row r="2765" spans="1:4" x14ac:dyDescent="0.3">
      <c r="A2765" s="58">
        <v>3144904</v>
      </c>
      <c r="B2765" s="58" t="s">
        <v>3684</v>
      </c>
      <c r="C2765" s="59">
        <v>-18.441605613545402</v>
      </c>
      <c r="D2765" s="59">
        <v>-41.50133627399957</v>
      </c>
    </row>
    <row r="2766" spans="1:4" x14ac:dyDescent="0.3">
      <c r="A2766" s="58">
        <v>3145000</v>
      </c>
      <c r="B2766" s="58" t="s">
        <v>3685</v>
      </c>
      <c r="C2766" s="59">
        <v>-19.168891649263802</v>
      </c>
      <c r="D2766" s="59">
        <v>-47.670570749698044</v>
      </c>
    </row>
    <row r="2767" spans="1:4" x14ac:dyDescent="0.3">
      <c r="A2767" s="58">
        <v>3145059</v>
      </c>
      <c r="B2767" s="58" t="s">
        <v>3686</v>
      </c>
      <c r="C2767" s="59">
        <v>-15.802210196731055</v>
      </c>
      <c r="D2767" s="59">
        <v>-43.302551229515856</v>
      </c>
    </row>
    <row r="2768" spans="1:4" x14ac:dyDescent="0.3">
      <c r="A2768" s="58">
        <v>3145109</v>
      </c>
      <c r="B2768" s="58" t="s">
        <v>3687</v>
      </c>
      <c r="C2768" s="59">
        <v>-21.1266519125721</v>
      </c>
      <c r="D2768" s="59">
        <v>-46.417029104606513</v>
      </c>
    </row>
    <row r="2769" spans="1:4" x14ac:dyDescent="0.3">
      <c r="A2769" s="58">
        <v>3145208</v>
      </c>
      <c r="B2769" s="58" t="s">
        <v>3688</v>
      </c>
      <c r="C2769" s="59">
        <v>-19.875867380561953</v>
      </c>
      <c r="D2769" s="59">
        <v>-44.985578736331924</v>
      </c>
    </row>
    <row r="2770" spans="1:4" x14ac:dyDescent="0.3">
      <c r="A2770" s="58">
        <v>3145307</v>
      </c>
      <c r="B2770" s="58" t="s">
        <v>3689</v>
      </c>
      <c r="C2770" s="59">
        <v>-17.474888855205503</v>
      </c>
      <c r="D2770" s="59">
        <v>-41.875391542121896</v>
      </c>
    </row>
    <row r="2771" spans="1:4" x14ac:dyDescent="0.3">
      <c r="A2771" s="58">
        <v>3145356</v>
      </c>
      <c r="B2771" s="58" t="s">
        <v>3690</v>
      </c>
      <c r="C2771" s="59">
        <v>-17.409165680873404</v>
      </c>
      <c r="D2771" s="59">
        <v>-41.222096610120154</v>
      </c>
    </row>
    <row r="2772" spans="1:4" x14ac:dyDescent="0.3">
      <c r="A2772" s="58">
        <v>3145372</v>
      </c>
      <c r="B2772" s="58" t="s">
        <v>3691</v>
      </c>
      <c r="C2772" s="59">
        <v>-16.019538566783151</v>
      </c>
      <c r="D2772" s="59">
        <v>-42.416780837008169</v>
      </c>
    </row>
    <row r="2773" spans="1:4" x14ac:dyDescent="0.3">
      <c r="A2773" s="58">
        <v>3145406</v>
      </c>
      <c r="B2773" s="58" t="s">
        <v>3692</v>
      </c>
      <c r="C2773" s="59">
        <v>-21.864772942427102</v>
      </c>
      <c r="D2773" s="59">
        <v>-43.930926880185304</v>
      </c>
    </row>
    <row r="2774" spans="1:4" x14ac:dyDescent="0.3">
      <c r="A2774" s="58">
        <v>3145455</v>
      </c>
      <c r="B2774" s="58" t="s">
        <v>3693</v>
      </c>
      <c r="C2774" s="59">
        <v>-17.401899926527303</v>
      </c>
      <c r="D2774" s="59">
        <v>-43.571410982514536</v>
      </c>
    </row>
    <row r="2775" spans="1:4" x14ac:dyDescent="0.3">
      <c r="A2775" s="58">
        <v>3145505</v>
      </c>
      <c r="B2775" s="58" t="s">
        <v>3694</v>
      </c>
      <c r="C2775" s="59">
        <v>-22.066959814499004</v>
      </c>
      <c r="D2775" s="59">
        <v>-45.264135695928097</v>
      </c>
    </row>
    <row r="2776" spans="1:4" x14ac:dyDescent="0.3">
      <c r="A2776" s="58">
        <v>3145604</v>
      </c>
      <c r="B2776" s="58" t="s">
        <v>3695</v>
      </c>
      <c r="C2776" s="59">
        <v>-20.697515776184357</v>
      </c>
      <c r="D2776" s="59">
        <v>-44.826410866481957</v>
      </c>
    </row>
    <row r="2777" spans="1:4" x14ac:dyDescent="0.3">
      <c r="A2777" s="58">
        <v>3145703</v>
      </c>
      <c r="B2777" s="58" t="s">
        <v>3696</v>
      </c>
      <c r="C2777" s="59">
        <v>-21.339493274263251</v>
      </c>
      <c r="D2777" s="59">
        <v>-43.462543869180955</v>
      </c>
    </row>
    <row r="2778" spans="1:4" x14ac:dyDescent="0.3">
      <c r="A2778" s="58">
        <v>3145802</v>
      </c>
      <c r="B2778" s="58" t="s">
        <v>3697</v>
      </c>
      <c r="C2778" s="59">
        <v>-19.745524484591002</v>
      </c>
      <c r="D2778" s="59">
        <v>-44.808382179950819</v>
      </c>
    </row>
    <row r="2779" spans="1:4" x14ac:dyDescent="0.3">
      <c r="A2779" s="58">
        <v>3145851</v>
      </c>
      <c r="B2779" s="58" t="s">
        <v>3698</v>
      </c>
      <c r="C2779" s="59">
        <v>-20.430995952083801</v>
      </c>
      <c r="D2779" s="59">
        <v>-42.806339220774916</v>
      </c>
    </row>
    <row r="2780" spans="1:4" x14ac:dyDescent="0.3">
      <c r="A2780" s="58">
        <v>3145877</v>
      </c>
      <c r="B2780" s="58" t="s">
        <v>3699</v>
      </c>
      <c r="C2780" s="59">
        <v>-20.504121374245305</v>
      </c>
      <c r="D2780" s="59">
        <v>-42.202946082089788</v>
      </c>
    </row>
    <row r="2781" spans="1:4" x14ac:dyDescent="0.3">
      <c r="A2781" s="58">
        <v>3145901</v>
      </c>
      <c r="B2781" s="58" t="s">
        <v>2176</v>
      </c>
      <c r="C2781" s="59">
        <v>-20.523583123509304</v>
      </c>
      <c r="D2781" s="59">
        <v>-43.694770796939565</v>
      </c>
    </row>
    <row r="2782" spans="1:4" x14ac:dyDescent="0.3">
      <c r="A2782" s="58">
        <v>3146008</v>
      </c>
      <c r="B2782" s="58" t="s">
        <v>3700</v>
      </c>
      <c r="C2782" s="59">
        <v>-22.283524423873303</v>
      </c>
      <c r="D2782" s="59">
        <v>-46.380080828762267</v>
      </c>
    </row>
    <row r="2783" spans="1:4" x14ac:dyDescent="0.3">
      <c r="A2783" s="58">
        <v>3146107</v>
      </c>
      <c r="B2783" s="58" t="s">
        <v>3701</v>
      </c>
      <c r="C2783" s="59">
        <v>-20.386776367865803</v>
      </c>
      <c r="D2783" s="59">
        <v>-43.506447519713674</v>
      </c>
    </row>
    <row r="2784" spans="1:4" x14ac:dyDescent="0.3">
      <c r="A2784" s="58">
        <v>3146206</v>
      </c>
      <c r="B2784" s="58" t="s">
        <v>3702</v>
      </c>
      <c r="C2784" s="59">
        <v>-18.069339094982602</v>
      </c>
      <c r="D2784" s="59">
        <v>-41.268709492315004</v>
      </c>
    </row>
    <row r="2785" spans="1:4" x14ac:dyDescent="0.3">
      <c r="A2785" s="58">
        <v>3146255</v>
      </c>
      <c r="B2785" s="58" t="s">
        <v>3703</v>
      </c>
      <c r="C2785" s="59">
        <v>-16.365103268309152</v>
      </c>
      <c r="D2785" s="59">
        <v>-42.520744826640303</v>
      </c>
    </row>
    <row r="2786" spans="1:4" x14ac:dyDescent="0.3">
      <c r="A2786" s="58">
        <v>3146305</v>
      </c>
      <c r="B2786" s="58" t="s">
        <v>3704</v>
      </c>
      <c r="C2786" s="59">
        <v>-17.076318651422003</v>
      </c>
      <c r="D2786" s="59">
        <v>-41.484964809224728</v>
      </c>
    </row>
    <row r="2787" spans="1:4" x14ac:dyDescent="0.3">
      <c r="A2787" s="58">
        <v>3146404</v>
      </c>
      <c r="B2787" s="58" t="s">
        <v>3705</v>
      </c>
      <c r="C2787" s="59">
        <v>-18.902217214369152</v>
      </c>
      <c r="D2787" s="59">
        <v>-45.538757686226809</v>
      </c>
    </row>
    <row r="2788" spans="1:4" x14ac:dyDescent="0.3">
      <c r="A2788" s="58">
        <v>3146503</v>
      </c>
      <c r="B2788" s="58" t="s">
        <v>3706</v>
      </c>
      <c r="C2788" s="59">
        <v>-20.370917245536351</v>
      </c>
      <c r="D2788" s="59">
        <v>-45.660813183335037</v>
      </c>
    </row>
    <row r="2789" spans="1:4" x14ac:dyDescent="0.3">
      <c r="A2789" s="58">
        <v>3146552</v>
      </c>
      <c r="B2789" s="58" t="s">
        <v>3707</v>
      </c>
      <c r="C2789" s="59">
        <v>-15.537065987525001</v>
      </c>
      <c r="D2789" s="59">
        <v>-43.070555975611327</v>
      </c>
    </row>
    <row r="2790" spans="1:4" x14ac:dyDescent="0.3">
      <c r="A2790" s="58">
        <v>3146602</v>
      </c>
      <c r="B2790" s="58" t="s">
        <v>3708</v>
      </c>
      <c r="C2790" s="59">
        <v>-21.287852249312454</v>
      </c>
      <c r="D2790" s="59">
        <v>-43.41883337325222</v>
      </c>
    </row>
    <row r="2791" spans="1:4" x14ac:dyDescent="0.3">
      <c r="A2791" s="58">
        <v>3146701</v>
      </c>
      <c r="B2791" s="58" t="s">
        <v>3709</v>
      </c>
      <c r="C2791" s="59">
        <v>-21.372561155857053</v>
      </c>
      <c r="D2791" s="59">
        <v>-42.315825882845687</v>
      </c>
    </row>
    <row r="2792" spans="1:4" x14ac:dyDescent="0.3">
      <c r="A2792" s="58">
        <v>3146750</v>
      </c>
      <c r="B2792" s="58" t="s">
        <v>3710</v>
      </c>
      <c r="C2792" s="59">
        <v>-16.734467496734855</v>
      </c>
      <c r="D2792" s="59">
        <v>-40.420397598382472</v>
      </c>
    </row>
    <row r="2793" spans="1:4" x14ac:dyDescent="0.3">
      <c r="A2793" s="58">
        <v>3146909</v>
      </c>
      <c r="B2793" s="58" t="s">
        <v>3711</v>
      </c>
      <c r="C2793" s="59">
        <v>-19.455536759614507</v>
      </c>
      <c r="D2793" s="59">
        <v>-44.74470172506183</v>
      </c>
    </row>
    <row r="2794" spans="1:4" x14ac:dyDescent="0.3">
      <c r="A2794" s="58">
        <v>3147006</v>
      </c>
      <c r="B2794" s="58" t="s">
        <v>3712</v>
      </c>
      <c r="C2794" s="59">
        <v>-17.219741910187</v>
      </c>
      <c r="D2794" s="59">
        <v>-46.875418890956432</v>
      </c>
    </row>
    <row r="2795" spans="1:4" x14ac:dyDescent="0.3">
      <c r="A2795" s="58">
        <v>3147105</v>
      </c>
      <c r="B2795" s="58" t="s">
        <v>3713</v>
      </c>
      <c r="C2795" s="59">
        <v>-19.864737963946304</v>
      </c>
      <c r="D2795" s="59">
        <v>-44.605380187893722</v>
      </c>
    </row>
    <row r="2796" spans="1:4" x14ac:dyDescent="0.3">
      <c r="A2796" s="58">
        <v>3147204</v>
      </c>
      <c r="B2796" s="58" t="s">
        <v>3714</v>
      </c>
      <c r="C2796" s="59">
        <v>-21.547316026761752</v>
      </c>
      <c r="D2796" s="59">
        <v>-45.732695470760802</v>
      </c>
    </row>
    <row r="2797" spans="1:4" x14ac:dyDescent="0.3">
      <c r="A2797" s="58">
        <v>3147303</v>
      </c>
      <c r="B2797" s="58" t="s">
        <v>3715</v>
      </c>
      <c r="C2797" s="59">
        <v>-22.555192771490308</v>
      </c>
      <c r="D2797" s="59">
        <v>-45.781703528006197</v>
      </c>
    </row>
    <row r="2798" spans="1:4" x14ac:dyDescent="0.3">
      <c r="A2798" s="58">
        <v>3147402</v>
      </c>
      <c r="B2798" s="58" t="s">
        <v>3716</v>
      </c>
      <c r="C2798" s="59">
        <v>-19.281428952073856</v>
      </c>
      <c r="D2798" s="59">
        <v>-44.403116870288024</v>
      </c>
    </row>
    <row r="2799" spans="1:4" x14ac:dyDescent="0.3">
      <c r="A2799" s="58">
        <v>3147501</v>
      </c>
      <c r="B2799" s="58" t="s">
        <v>3717</v>
      </c>
      <c r="C2799" s="59">
        <v>-19.350982479192101</v>
      </c>
      <c r="D2799" s="59">
        <v>-43.143813739483612</v>
      </c>
    </row>
    <row r="2800" spans="1:4" x14ac:dyDescent="0.3">
      <c r="A2800" s="58">
        <v>3147600</v>
      </c>
      <c r="B2800" s="58" t="s">
        <v>3718</v>
      </c>
      <c r="C2800" s="59">
        <v>-22.389798131618804</v>
      </c>
      <c r="D2800" s="59">
        <v>-44.969638673097286</v>
      </c>
    </row>
    <row r="2801" spans="1:4" x14ac:dyDescent="0.3">
      <c r="A2801" s="58">
        <v>3147709</v>
      </c>
      <c r="B2801" s="58" t="s">
        <v>3719</v>
      </c>
      <c r="C2801" s="59">
        <v>-20.652387747284003</v>
      </c>
      <c r="D2801" s="59">
        <v>-44.4934171989932</v>
      </c>
    </row>
    <row r="2802" spans="1:4" x14ac:dyDescent="0.3">
      <c r="A2802" s="58">
        <v>3147808</v>
      </c>
      <c r="B2802" s="58" t="s">
        <v>3720</v>
      </c>
      <c r="C2802" s="59">
        <v>-22.208976878402002</v>
      </c>
      <c r="D2802" s="59">
        <v>-44.23104879208433</v>
      </c>
    </row>
    <row r="2803" spans="1:4" x14ac:dyDescent="0.3">
      <c r="A2803" s="58">
        <v>3147907</v>
      </c>
      <c r="B2803" s="58" t="s">
        <v>3721</v>
      </c>
      <c r="C2803" s="59">
        <v>-20.719211901863353</v>
      </c>
      <c r="D2803" s="59">
        <v>-46.611412568035469</v>
      </c>
    </row>
    <row r="2804" spans="1:4" x14ac:dyDescent="0.3">
      <c r="A2804" s="58">
        <v>3147956</v>
      </c>
      <c r="B2804" s="58" t="s">
        <v>3722</v>
      </c>
      <c r="C2804" s="59">
        <v>-16.079276359656152</v>
      </c>
      <c r="D2804" s="59">
        <v>-44.082705306676779</v>
      </c>
    </row>
    <row r="2805" spans="1:4" x14ac:dyDescent="0.3">
      <c r="A2805" s="58">
        <v>3148004</v>
      </c>
      <c r="B2805" s="58" t="s">
        <v>3723</v>
      </c>
      <c r="C2805" s="59">
        <v>-18.592570819923353</v>
      </c>
      <c r="D2805" s="59">
        <v>-46.515915676605914</v>
      </c>
    </row>
    <row r="2806" spans="1:4" x14ac:dyDescent="0.3">
      <c r="A2806" s="58">
        <v>3148103</v>
      </c>
      <c r="B2806" s="58" t="s">
        <v>3724</v>
      </c>
      <c r="C2806" s="59">
        <v>-18.940812961349657</v>
      </c>
      <c r="D2806" s="59">
        <v>-46.997438240164534</v>
      </c>
    </row>
    <row r="2807" spans="1:4" x14ac:dyDescent="0.3">
      <c r="A2807" s="58">
        <v>3148202</v>
      </c>
      <c r="B2807" s="58" t="s">
        <v>3725</v>
      </c>
      <c r="C2807" s="59">
        <v>-21.151711274508504</v>
      </c>
      <c r="D2807" s="59">
        <v>-42.212653298287584</v>
      </c>
    </row>
    <row r="2808" spans="1:4" x14ac:dyDescent="0.3">
      <c r="A2808" s="58">
        <v>3148301</v>
      </c>
      <c r="B2808" s="58" t="s">
        <v>3726</v>
      </c>
      <c r="C2808" s="59">
        <v>-20.870161533024202</v>
      </c>
      <c r="D2808" s="59">
        <v>-42.983155098669563</v>
      </c>
    </row>
    <row r="2809" spans="1:4" x14ac:dyDescent="0.3">
      <c r="A2809" s="58">
        <v>3148400</v>
      </c>
      <c r="B2809" s="58" t="s">
        <v>3727</v>
      </c>
      <c r="C2809" s="59">
        <v>-18.431737712707207</v>
      </c>
      <c r="D2809" s="59">
        <v>-42.872625098921588</v>
      </c>
    </row>
    <row r="2810" spans="1:4" x14ac:dyDescent="0.3">
      <c r="A2810" s="58">
        <v>3148509</v>
      </c>
      <c r="B2810" s="58" t="s">
        <v>3728</v>
      </c>
      <c r="C2810" s="59">
        <v>-17.432689576716601</v>
      </c>
      <c r="D2810" s="59">
        <v>-41.000113209131761</v>
      </c>
    </row>
    <row r="2811" spans="1:4" x14ac:dyDescent="0.3">
      <c r="A2811" s="58">
        <v>3148608</v>
      </c>
      <c r="B2811" s="58" t="s">
        <v>3729</v>
      </c>
      <c r="C2811" s="59">
        <v>-18.546888988770505</v>
      </c>
      <c r="D2811" s="59">
        <v>-42.563186267501997</v>
      </c>
    </row>
    <row r="2812" spans="1:4" x14ac:dyDescent="0.3">
      <c r="A2812" s="58">
        <v>3148707</v>
      </c>
      <c r="B2812" s="58" t="s">
        <v>3730</v>
      </c>
      <c r="C2812" s="59">
        <v>-16.005922789065554</v>
      </c>
      <c r="D2812" s="59">
        <v>-41.281751978248828</v>
      </c>
    </row>
    <row r="2813" spans="1:4" x14ac:dyDescent="0.3">
      <c r="A2813" s="58">
        <v>3148756</v>
      </c>
      <c r="B2813" s="58" t="s">
        <v>3731</v>
      </c>
      <c r="C2813" s="59">
        <v>-20.520018490572401</v>
      </c>
      <c r="D2813" s="59">
        <v>-42.332134491682524</v>
      </c>
    </row>
    <row r="2814" spans="1:4" x14ac:dyDescent="0.3">
      <c r="A2814" s="58">
        <v>3148806</v>
      </c>
      <c r="B2814" s="58" t="s">
        <v>3732</v>
      </c>
      <c r="C2814" s="59">
        <v>-20.596011264768702</v>
      </c>
      <c r="D2814" s="59">
        <v>-42.715933324772571</v>
      </c>
    </row>
    <row r="2815" spans="1:4" x14ac:dyDescent="0.3">
      <c r="A2815" s="58">
        <v>3148905</v>
      </c>
      <c r="B2815" s="58" t="s">
        <v>3733</v>
      </c>
      <c r="C2815" s="59">
        <v>-20.253596401433352</v>
      </c>
      <c r="D2815" s="59">
        <v>-45.209810090566258</v>
      </c>
    </row>
    <row r="2816" spans="1:4" x14ac:dyDescent="0.3">
      <c r="A2816" s="58">
        <v>3149002</v>
      </c>
      <c r="B2816" s="58" t="s">
        <v>3734</v>
      </c>
      <c r="C2816" s="59">
        <v>-20.829946155248503</v>
      </c>
      <c r="D2816" s="59">
        <v>-42.154538668972357</v>
      </c>
    </row>
    <row r="2817" spans="1:4" x14ac:dyDescent="0.3">
      <c r="A2817" s="58">
        <v>3149101</v>
      </c>
      <c r="B2817" s="58" t="s">
        <v>3735</v>
      </c>
      <c r="C2817" s="59">
        <v>-22.254226003117953</v>
      </c>
      <c r="D2817" s="59">
        <v>-45.465971517569081</v>
      </c>
    </row>
    <row r="2818" spans="1:4" x14ac:dyDescent="0.3">
      <c r="A2818" s="58">
        <v>3149150</v>
      </c>
      <c r="B2818" s="58" t="s">
        <v>3736</v>
      </c>
      <c r="C2818" s="59">
        <v>-15.599012453172751</v>
      </c>
      <c r="D2818" s="59">
        <v>-44.392443959151109</v>
      </c>
    </row>
    <row r="2819" spans="1:4" x14ac:dyDescent="0.3">
      <c r="A2819" s="58">
        <v>3149200</v>
      </c>
      <c r="B2819" s="58" t="s">
        <v>3737</v>
      </c>
      <c r="C2819" s="59">
        <v>-19.227720406682206</v>
      </c>
      <c r="D2819" s="59">
        <v>-47.460617392648196</v>
      </c>
    </row>
    <row r="2820" spans="1:4" x14ac:dyDescent="0.3">
      <c r="A2820" s="58">
        <v>3149309</v>
      </c>
      <c r="B2820" s="58" t="s">
        <v>3738</v>
      </c>
      <c r="C2820" s="59">
        <v>-19.618395890954755</v>
      </c>
      <c r="D2820" s="59">
        <v>-44.04588396030902</v>
      </c>
    </row>
    <row r="2821" spans="1:4" x14ac:dyDescent="0.3">
      <c r="A2821" s="58">
        <v>3149408</v>
      </c>
      <c r="B2821" s="58" t="s">
        <v>3739</v>
      </c>
      <c r="C2821" s="59">
        <v>-21.706807149668606</v>
      </c>
      <c r="D2821" s="59">
        <v>-43.745459057194537</v>
      </c>
    </row>
    <row r="2822" spans="1:4" x14ac:dyDescent="0.3">
      <c r="A2822" s="58">
        <v>3149507</v>
      </c>
      <c r="B2822" s="58" t="s">
        <v>3740</v>
      </c>
      <c r="C2822" s="59">
        <v>-21.836904128508557</v>
      </c>
      <c r="D2822" s="59">
        <v>-43.126286174620951</v>
      </c>
    </row>
    <row r="2823" spans="1:4" x14ac:dyDescent="0.3">
      <c r="A2823" s="58">
        <v>3149606</v>
      </c>
      <c r="B2823" s="58" t="s">
        <v>3741</v>
      </c>
      <c r="C2823" s="59">
        <v>-19.627987091132052</v>
      </c>
      <c r="D2823" s="59">
        <v>-44.653441896498009</v>
      </c>
    </row>
    <row r="2824" spans="1:4" x14ac:dyDescent="0.3">
      <c r="A2824" s="58">
        <v>3149705</v>
      </c>
      <c r="B2824" s="58" t="s">
        <v>3742</v>
      </c>
      <c r="C2824" s="59">
        <v>-19.955122935449705</v>
      </c>
      <c r="D2824" s="59">
        <v>-45.079362582268878</v>
      </c>
    </row>
    <row r="2825" spans="1:4" x14ac:dyDescent="0.3">
      <c r="A2825" s="58">
        <v>3149804</v>
      </c>
      <c r="B2825" s="58" t="s">
        <v>3743</v>
      </c>
      <c r="C2825" s="59">
        <v>-19.338657524886603</v>
      </c>
      <c r="D2825" s="59">
        <v>-47.292008447081152</v>
      </c>
    </row>
    <row r="2826" spans="1:4" x14ac:dyDescent="0.3">
      <c r="A2826" s="58">
        <v>3149903</v>
      </c>
      <c r="B2826" s="58" t="s">
        <v>3744</v>
      </c>
      <c r="C2826" s="59">
        <v>-21.094518867597902</v>
      </c>
      <c r="D2826" s="59">
        <v>-45.093087829404077</v>
      </c>
    </row>
    <row r="2827" spans="1:4" x14ac:dyDescent="0.3">
      <c r="A2827" s="58">
        <v>3149952</v>
      </c>
      <c r="B2827" s="58" t="s">
        <v>3745</v>
      </c>
      <c r="C2827" s="59">
        <v>-19.154484901106454</v>
      </c>
      <c r="D2827" s="59">
        <v>-42.234724628049648</v>
      </c>
    </row>
    <row r="2828" spans="1:4" x14ac:dyDescent="0.3">
      <c r="A2828" s="58">
        <v>3150000</v>
      </c>
      <c r="B2828" s="58" t="s">
        <v>3746</v>
      </c>
      <c r="C2828" s="59">
        <v>-18.353628728976801</v>
      </c>
      <c r="D2828" s="59">
        <v>-41.601622817580619</v>
      </c>
    </row>
    <row r="2829" spans="1:4" x14ac:dyDescent="0.3">
      <c r="A2829" s="58">
        <v>3150109</v>
      </c>
      <c r="B2829" s="58" t="s">
        <v>3747</v>
      </c>
      <c r="C2829" s="59">
        <v>-21.504617529369451</v>
      </c>
      <c r="D2829" s="59">
        <v>-43.329125174333015</v>
      </c>
    </row>
    <row r="2830" spans="1:4" x14ac:dyDescent="0.3">
      <c r="A2830" s="58">
        <v>3150158</v>
      </c>
      <c r="B2830" s="58" t="s">
        <v>3748</v>
      </c>
      <c r="C2830" s="59">
        <v>-19.759212624956504</v>
      </c>
      <c r="D2830" s="59">
        <v>-42.074263971586483</v>
      </c>
    </row>
    <row r="2831" spans="1:4" x14ac:dyDescent="0.3">
      <c r="A2831" s="58">
        <v>3150208</v>
      </c>
      <c r="B2831" s="58" t="s">
        <v>3749</v>
      </c>
      <c r="C2831" s="59">
        <v>-20.247664615443753</v>
      </c>
      <c r="D2831" s="59">
        <v>-42.735238898740512</v>
      </c>
    </row>
    <row r="2832" spans="1:4" x14ac:dyDescent="0.3">
      <c r="A2832" s="58">
        <v>3150307</v>
      </c>
      <c r="B2832" s="58" t="s">
        <v>3750</v>
      </c>
      <c r="C2832" s="59">
        <v>-21.469732873634754</v>
      </c>
      <c r="D2832" s="59">
        <v>-44.202501747159559</v>
      </c>
    </row>
    <row r="2833" spans="1:4" x14ac:dyDescent="0.3">
      <c r="A2833" s="58">
        <v>3150406</v>
      </c>
      <c r="B2833" s="58" t="s">
        <v>3751</v>
      </c>
      <c r="C2833" s="59">
        <v>-20.461010353828801</v>
      </c>
      <c r="D2833" s="59">
        <v>-44.227916010212262</v>
      </c>
    </row>
    <row r="2834" spans="1:4" x14ac:dyDescent="0.3">
      <c r="A2834" s="58">
        <v>3150505</v>
      </c>
      <c r="B2834" s="58" t="s">
        <v>3752</v>
      </c>
      <c r="C2834" s="59">
        <v>-20.483195392434656</v>
      </c>
      <c r="D2834" s="59">
        <v>-45.799087029246316</v>
      </c>
    </row>
    <row r="2835" spans="1:4" x14ac:dyDescent="0.3">
      <c r="A2835" s="58">
        <v>3150539</v>
      </c>
      <c r="B2835" s="58" t="s">
        <v>3753</v>
      </c>
      <c r="C2835" s="59">
        <v>-19.728608252847156</v>
      </c>
      <c r="D2835" s="59">
        <v>-42.408665778362071</v>
      </c>
    </row>
    <row r="2836" spans="1:4" x14ac:dyDescent="0.3">
      <c r="A2836" s="58">
        <v>3150570</v>
      </c>
      <c r="B2836" s="58" t="s">
        <v>3754</v>
      </c>
      <c r="C2836" s="59">
        <v>-16.054989729884504</v>
      </c>
      <c r="D2836" s="59">
        <v>-45.149506880596604</v>
      </c>
    </row>
    <row r="2837" spans="1:4" x14ac:dyDescent="0.3">
      <c r="A2837" s="58">
        <v>3150604</v>
      </c>
      <c r="B2837" s="58" t="s">
        <v>3755</v>
      </c>
      <c r="C2837" s="59">
        <v>-20.508995862821003</v>
      </c>
      <c r="D2837" s="59">
        <v>-44.47847177497183</v>
      </c>
    </row>
    <row r="2838" spans="1:4" x14ac:dyDescent="0.3">
      <c r="A2838" s="58">
        <v>3150703</v>
      </c>
      <c r="B2838" s="58" t="s">
        <v>3756</v>
      </c>
      <c r="C2838" s="59">
        <v>-19.908504908627105</v>
      </c>
      <c r="D2838" s="59">
        <v>-48.696638063801245</v>
      </c>
    </row>
    <row r="2839" spans="1:4" x14ac:dyDescent="0.3">
      <c r="A2839" s="58">
        <v>3150802</v>
      </c>
      <c r="B2839" s="58" t="s">
        <v>3757</v>
      </c>
      <c r="C2839" s="59">
        <v>-20.685143816154351</v>
      </c>
      <c r="D2839" s="59">
        <v>-43.287345553356381</v>
      </c>
    </row>
    <row r="2840" spans="1:4" x14ac:dyDescent="0.3">
      <c r="A2840" s="58">
        <v>3150901</v>
      </c>
      <c r="B2840" s="58" t="s">
        <v>3758</v>
      </c>
      <c r="C2840" s="59">
        <v>-22.526493845373153</v>
      </c>
      <c r="D2840" s="59">
        <v>-45.493271704966524</v>
      </c>
    </row>
    <row r="2841" spans="1:4" x14ac:dyDescent="0.3">
      <c r="A2841" s="58">
        <v>3151008</v>
      </c>
      <c r="B2841" s="58" t="s">
        <v>3759</v>
      </c>
      <c r="C2841" s="59">
        <v>-22.411873067843707</v>
      </c>
      <c r="D2841" s="59">
        <v>-45.534739178586555</v>
      </c>
    </row>
    <row r="2842" spans="1:4" x14ac:dyDescent="0.3">
      <c r="A2842" s="58">
        <v>3151107</v>
      </c>
      <c r="B2842" s="58" t="s">
        <v>3760</v>
      </c>
      <c r="C2842" s="59">
        <v>-21.655972007179901</v>
      </c>
      <c r="D2842" s="59">
        <v>-42.348431046642553</v>
      </c>
    </row>
    <row r="2843" spans="1:4" x14ac:dyDescent="0.3">
      <c r="A2843" s="58">
        <v>3151206</v>
      </c>
      <c r="B2843" s="58" t="s">
        <v>3761</v>
      </c>
      <c r="C2843" s="59">
        <v>-17.349582095609751</v>
      </c>
      <c r="D2843" s="59">
        <v>-44.951065380487478</v>
      </c>
    </row>
    <row r="2844" spans="1:4" x14ac:dyDescent="0.3">
      <c r="A2844" s="58">
        <v>3151305</v>
      </c>
      <c r="B2844" s="58" t="s">
        <v>3762</v>
      </c>
      <c r="C2844" s="59">
        <v>-21.276550129258602</v>
      </c>
      <c r="D2844" s="59">
        <v>-43.018130810869927</v>
      </c>
    </row>
    <row r="2845" spans="1:4" x14ac:dyDescent="0.3">
      <c r="A2845" s="58">
        <v>3151404</v>
      </c>
      <c r="B2845" s="58" t="s">
        <v>3763</v>
      </c>
      <c r="C2845" s="59">
        <v>-19.680597241292304</v>
      </c>
      <c r="D2845" s="59">
        <v>-44.890118890669186</v>
      </c>
    </row>
    <row r="2846" spans="1:4" x14ac:dyDescent="0.3">
      <c r="A2846" s="58">
        <v>3151503</v>
      </c>
      <c r="B2846" s="58" t="s">
        <v>3764</v>
      </c>
      <c r="C2846" s="59">
        <v>-20.470882867622201</v>
      </c>
      <c r="D2846" s="59">
        <v>-45.960568666787502</v>
      </c>
    </row>
    <row r="2847" spans="1:4" x14ac:dyDescent="0.3">
      <c r="A2847" s="58">
        <v>3151602</v>
      </c>
      <c r="B2847" s="58" t="s">
        <v>3765</v>
      </c>
      <c r="C2847" s="59">
        <v>-20.138663202028251</v>
      </c>
      <c r="D2847" s="59">
        <v>-48.699918855178971</v>
      </c>
    </row>
    <row r="2848" spans="1:4" x14ac:dyDescent="0.3">
      <c r="A2848" s="58">
        <v>3151701</v>
      </c>
      <c r="B2848" s="58" t="s">
        <v>3766</v>
      </c>
      <c r="C2848" s="59">
        <v>-21.784692549993153</v>
      </c>
      <c r="D2848" s="59">
        <v>-45.964969563160501</v>
      </c>
    </row>
    <row r="2849" spans="1:4" x14ac:dyDescent="0.3">
      <c r="A2849" s="58">
        <v>3151800</v>
      </c>
      <c r="B2849" s="58" t="s">
        <v>3767</v>
      </c>
      <c r="C2849" s="59">
        <v>-21.787363578594903</v>
      </c>
      <c r="D2849" s="59">
        <v>-46.566410044960428</v>
      </c>
    </row>
    <row r="2850" spans="1:4" x14ac:dyDescent="0.3">
      <c r="A2850" s="58">
        <v>3151909</v>
      </c>
      <c r="B2850" s="58" t="s">
        <v>3768</v>
      </c>
      <c r="C2850" s="59">
        <v>-19.620144404402403</v>
      </c>
      <c r="D2850" s="59">
        <v>-41.629001253256781</v>
      </c>
    </row>
    <row r="2851" spans="1:4" x14ac:dyDescent="0.3">
      <c r="A2851" s="58">
        <v>3152006</v>
      </c>
      <c r="B2851" s="58" t="s">
        <v>3769</v>
      </c>
      <c r="C2851" s="59">
        <v>-19.220957177094451</v>
      </c>
      <c r="D2851" s="59">
        <v>-45.001870858506813</v>
      </c>
    </row>
    <row r="2852" spans="1:4" x14ac:dyDescent="0.3">
      <c r="A2852" s="58">
        <v>3152105</v>
      </c>
      <c r="B2852" s="58" t="s">
        <v>3770</v>
      </c>
      <c r="C2852" s="59">
        <v>-20.416643422487855</v>
      </c>
      <c r="D2852" s="59">
        <v>-42.909684269937891</v>
      </c>
    </row>
    <row r="2853" spans="1:4" x14ac:dyDescent="0.3">
      <c r="A2853" s="58">
        <v>3152131</v>
      </c>
      <c r="B2853" s="58" t="s">
        <v>3771</v>
      </c>
      <c r="C2853" s="59">
        <v>-16.633039739249501</v>
      </c>
      <c r="D2853" s="59">
        <v>-45.063134509639404</v>
      </c>
    </row>
    <row r="2854" spans="1:4" x14ac:dyDescent="0.3">
      <c r="A2854" s="58">
        <v>3152170</v>
      </c>
      <c r="B2854" s="58" t="s">
        <v>3772</v>
      </c>
      <c r="C2854" s="59">
        <v>-16.754519633283003</v>
      </c>
      <c r="D2854" s="59">
        <v>-41.507808203431665</v>
      </c>
    </row>
    <row r="2855" spans="1:4" x14ac:dyDescent="0.3">
      <c r="A2855" s="58">
        <v>3152204</v>
      </c>
      <c r="B2855" s="58" t="s">
        <v>3773</v>
      </c>
      <c r="C2855" s="59">
        <v>-15.746837727002953</v>
      </c>
      <c r="D2855" s="59">
        <v>-43.028522649443268</v>
      </c>
    </row>
    <row r="2856" spans="1:4" x14ac:dyDescent="0.3">
      <c r="A2856" s="58">
        <v>3152303</v>
      </c>
      <c r="B2856" s="58" t="s">
        <v>3774</v>
      </c>
      <c r="C2856" s="59">
        <v>-20.668266969367657</v>
      </c>
      <c r="D2856" s="59">
        <v>-43.091410908435655</v>
      </c>
    </row>
    <row r="2857" spans="1:4" x14ac:dyDescent="0.3">
      <c r="A2857" s="58">
        <v>3152402</v>
      </c>
      <c r="B2857" s="58" t="s">
        <v>3775</v>
      </c>
      <c r="C2857" s="59">
        <v>-17.801369447294704</v>
      </c>
      <c r="D2857" s="59">
        <v>-41.788385524875217</v>
      </c>
    </row>
    <row r="2858" spans="1:4" x14ac:dyDescent="0.3">
      <c r="A2858" s="58">
        <v>3152501</v>
      </c>
      <c r="B2858" s="58" t="s">
        <v>3776</v>
      </c>
      <c r="C2858" s="59">
        <v>-22.230302995154805</v>
      </c>
      <c r="D2858" s="59">
        <v>-45.937144275826533</v>
      </c>
    </row>
    <row r="2859" spans="1:4" x14ac:dyDescent="0.3">
      <c r="A2859" s="58">
        <v>3152600</v>
      </c>
      <c r="B2859" s="58" t="s">
        <v>3777</v>
      </c>
      <c r="C2859" s="59">
        <v>-22.190942292589007</v>
      </c>
      <c r="D2859" s="59">
        <v>-44.975343574321123</v>
      </c>
    </row>
    <row r="2860" spans="1:4" x14ac:dyDescent="0.3">
      <c r="A2860" s="58">
        <v>3152709</v>
      </c>
      <c r="B2860" s="58" t="s">
        <v>3778</v>
      </c>
      <c r="C2860" s="59">
        <v>-21.056014458148155</v>
      </c>
      <c r="D2860" s="59">
        <v>-44.073280277183748</v>
      </c>
    </row>
    <row r="2861" spans="1:4" x14ac:dyDescent="0.3">
      <c r="A2861" s="58">
        <v>3152808</v>
      </c>
      <c r="B2861" s="58" t="s">
        <v>2387</v>
      </c>
      <c r="C2861" s="59">
        <v>-19.308211206298605</v>
      </c>
      <c r="D2861" s="59">
        <v>-48.923846069459934</v>
      </c>
    </row>
    <row r="2862" spans="1:4" x14ac:dyDescent="0.3">
      <c r="A2862" s="58">
        <v>3152907</v>
      </c>
      <c r="B2862" s="58" t="s">
        <v>3779</v>
      </c>
      <c r="C2862" s="59">
        <v>-20.744184453965453</v>
      </c>
      <c r="D2862" s="59">
        <v>-46.860917341701636</v>
      </c>
    </row>
    <row r="2863" spans="1:4" x14ac:dyDescent="0.3">
      <c r="A2863" s="58">
        <v>3153004</v>
      </c>
      <c r="B2863" s="58" t="s">
        <v>3780</v>
      </c>
      <c r="C2863" s="59">
        <v>-19.756945252258902</v>
      </c>
      <c r="D2863" s="59">
        <v>-46.378448644106378</v>
      </c>
    </row>
    <row r="2864" spans="1:4" x14ac:dyDescent="0.3">
      <c r="A2864" s="58">
        <v>3153103</v>
      </c>
      <c r="B2864" s="58" t="s">
        <v>3781</v>
      </c>
      <c r="C2864" s="59">
        <v>-20.765677501021255</v>
      </c>
      <c r="D2864" s="59">
        <v>-43.190055579242397</v>
      </c>
    </row>
    <row r="2865" spans="1:4" x14ac:dyDescent="0.3">
      <c r="A2865" s="58">
        <v>3153202</v>
      </c>
      <c r="B2865" s="58" t="s">
        <v>1618</v>
      </c>
      <c r="C2865" s="59">
        <v>-18.640781738392104</v>
      </c>
      <c r="D2865" s="59">
        <v>-44.054182275165481</v>
      </c>
    </row>
    <row r="2866" spans="1:4" x14ac:dyDescent="0.3">
      <c r="A2866" s="58">
        <v>3153301</v>
      </c>
      <c r="B2866" s="58" t="s">
        <v>3782</v>
      </c>
      <c r="C2866" s="59">
        <v>-18.615489802575553</v>
      </c>
      <c r="D2866" s="59">
        <v>-43.557447948681222</v>
      </c>
    </row>
    <row r="2867" spans="1:4" x14ac:dyDescent="0.3">
      <c r="A2867" s="58">
        <v>3153400</v>
      </c>
      <c r="B2867" s="58" t="s">
        <v>3783</v>
      </c>
      <c r="C2867" s="59">
        <v>-18.414741973874953</v>
      </c>
      <c r="D2867" s="59">
        <v>-46.417788687990637</v>
      </c>
    </row>
    <row r="2868" spans="1:4" x14ac:dyDescent="0.3">
      <c r="A2868" s="58">
        <v>3153509</v>
      </c>
      <c r="B2868" s="58" t="s">
        <v>3784</v>
      </c>
      <c r="C2868" s="59">
        <v>-20.422927110928601</v>
      </c>
      <c r="D2868" s="59">
        <v>-41.96717511267704</v>
      </c>
    </row>
    <row r="2869" spans="1:4" x14ac:dyDescent="0.3">
      <c r="A2869" s="58">
        <v>3153608</v>
      </c>
      <c r="B2869" s="58" t="s">
        <v>3785</v>
      </c>
      <c r="C2869" s="59">
        <v>-19.483560382447454</v>
      </c>
      <c r="D2869" s="59">
        <v>-44.158390667061752</v>
      </c>
    </row>
    <row r="2870" spans="1:4" x14ac:dyDescent="0.3">
      <c r="A2870" s="58">
        <v>3153707</v>
      </c>
      <c r="B2870" s="58" t="s">
        <v>3786</v>
      </c>
      <c r="C2870" s="59">
        <v>-19.267690095515899</v>
      </c>
      <c r="D2870" s="59">
        <v>-45.558863385959164</v>
      </c>
    </row>
    <row r="2871" spans="1:4" x14ac:dyDescent="0.3">
      <c r="A2871" s="58">
        <v>3153806</v>
      </c>
      <c r="B2871" s="58" t="s">
        <v>3787</v>
      </c>
      <c r="C2871" s="59">
        <v>-20.742384477711052</v>
      </c>
      <c r="D2871" s="59">
        <v>-43.880027302834314</v>
      </c>
    </row>
    <row r="2872" spans="1:4" x14ac:dyDescent="0.3">
      <c r="A2872" s="58">
        <v>3153905</v>
      </c>
      <c r="B2872" s="58" t="s">
        <v>3788</v>
      </c>
      <c r="C2872" s="59">
        <v>-19.965598769194504</v>
      </c>
      <c r="D2872" s="59">
        <v>-43.804774198126829</v>
      </c>
    </row>
    <row r="2873" spans="1:4" x14ac:dyDescent="0.3">
      <c r="A2873" s="58">
        <v>3154002</v>
      </c>
      <c r="B2873" s="58" t="s">
        <v>3789</v>
      </c>
      <c r="C2873" s="59">
        <v>-20.101958851994301</v>
      </c>
      <c r="D2873" s="59">
        <v>-42.454167536743483</v>
      </c>
    </row>
    <row r="2874" spans="1:4" x14ac:dyDescent="0.3">
      <c r="A2874" s="58">
        <v>3154101</v>
      </c>
      <c r="B2874" s="58" t="s">
        <v>3790</v>
      </c>
      <c r="C2874" s="59">
        <v>-21.533784618759753</v>
      </c>
      <c r="D2874" s="59">
        <v>-42.471394567285934</v>
      </c>
    </row>
    <row r="2875" spans="1:4" x14ac:dyDescent="0.3">
      <c r="A2875" s="58">
        <v>3154150</v>
      </c>
      <c r="B2875" s="58" t="s">
        <v>3791</v>
      </c>
      <c r="C2875" s="59">
        <v>-20.242679703493202</v>
      </c>
      <c r="D2875" s="59">
        <v>-41.985198857630159</v>
      </c>
    </row>
    <row r="2876" spans="1:4" x14ac:dyDescent="0.3">
      <c r="A2876" s="58">
        <v>3154200</v>
      </c>
      <c r="B2876" s="58" t="s">
        <v>3792</v>
      </c>
      <c r="C2876" s="59">
        <v>-20.917369244295404</v>
      </c>
      <c r="D2876" s="59">
        <v>-44.239403504313572</v>
      </c>
    </row>
    <row r="2877" spans="1:4" x14ac:dyDescent="0.3">
      <c r="A2877" s="58">
        <v>3154309</v>
      </c>
      <c r="B2877" s="58" t="s">
        <v>3793</v>
      </c>
      <c r="C2877" s="59">
        <v>-19.325483930853157</v>
      </c>
      <c r="D2877" s="59">
        <v>-41.253967108168169</v>
      </c>
    </row>
    <row r="2878" spans="1:4" x14ac:dyDescent="0.3">
      <c r="A2878" s="58">
        <v>3154408</v>
      </c>
      <c r="B2878" s="58" t="s">
        <v>3794</v>
      </c>
      <c r="C2878" s="59">
        <v>-21.055300917004349</v>
      </c>
      <c r="D2878" s="59">
        <v>-43.758706093883369</v>
      </c>
    </row>
    <row r="2879" spans="1:4" x14ac:dyDescent="0.3">
      <c r="A2879" s="58">
        <v>3154457</v>
      </c>
      <c r="B2879" s="58" t="s">
        <v>1441</v>
      </c>
      <c r="C2879" s="59">
        <v>-16.21682617241925</v>
      </c>
      <c r="D2879" s="59">
        <v>-46.002746818308694</v>
      </c>
    </row>
    <row r="2880" spans="1:4" x14ac:dyDescent="0.3">
      <c r="A2880" s="58">
        <v>3154507</v>
      </c>
      <c r="B2880" s="58" t="s">
        <v>3795</v>
      </c>
      <c r="C2880" s="59">
        <v>-15.998034160731903</v>
      </c>
      <c r="D2880" s="59">
        <v>-43.044563731779178</v>
      </c>
    </row>
    <row r="2881" spans="1:4" x14ac:dyDescent="0.3">
      <c r="A2881" s="58">
        <v>3154606</v>
      </c>
      <c r="B2881" s="58" t="s">
        <v>3796</v>
      </c>
      <c r="C2881" s="59">
        <v>-19.766022015497953</v>
      </c>
      <c r="D2881" s="59">
        <v>-44.08582364914097</v>
      </c>
    </row>
    <row r="2882" spans="1:4" x14ac:dyDescent="0.3">
      <c r="A2882" s="58">
        <v>3154705</v>
      </c>
      <c r="B2882" s="58" t="s">
        <v>3797</v>
      </c>
      <c r="C2882" s="59">
        <v>-21.190414325047303</v>
      </c>
      <c r="D2882" s="59">
        <v>-45.064782108457997</v>
      </c>
    </row>
    <row r="2883" spans="1:4" x14ac:dyDescent="0.3">
      <c r="A2883" s="58">
        <v>3154804</v>
      </c>
      <c r="B2883" s="58" t="s">
        <v>3798</v>
      </c>
      <c r="C2883" s="59">
        <v>-20.095130162918302</v>
      </c>
      <c r="D2883" s="59">
        <v>-43.790854376836712</v>
      </c>
    </row>
    <row r="2884" spans="1:4" x14ac:dyDescent="0.3">
      <c r="A2884" s="58">
        <v>3154903</v>
      </c>
      <c r="B2884" s="58" t="s">
        <v>3799</v>
      </c>
      <c r="C2884" s="59">
        <v>-20.226512866494108</v>
      </c>
      <c r="D2884" s="59">
        <v>-42.652230199154417</v>
      </c>
    </row>
    <row r="2885" spans="1:4" x14ac:dyDescent="0.3">
      <c r="A2885" s="58">
        <v>3155009</v>
      </c>
      <c r="B2885" s="58" t="s">
        <v>3800</v>
      </c>
      <c r="C2885" s="59">
        <v>-20.244645703406295</v>
      </c>
      <c r="D2885" s="59">
        <v>-42.89568130883444</v>
      </c>
    </row>
    <row r="2886" spans="1:4" x14ac:dyDescent="0.3">
      <c r="A2886" s="58">
        <v>3155108</v>
      </c>
      <c r="B2886" s="58" t="s">
        <v>3801</v>
      </c>
      <c r="C2886" s="59">
        <v>-16.609407845473601</v>
      </c>
      <c r="D2886" s="59">
        <v>-40.571893933796595</v>
      </c>
    </row>
    <row r="2887" spans="1:4" x14ac:dyDescent="0.3">
      <c r="A2887" s="58">
        <v>3155207</v>
      </c>
      <c r="B2887" s="58" t="s">
        <v>3802</v>
      </c>
      <c r="C2887" s="59">
        <v>-20.858080098641057</v>
      </c>
      <c r="D2887" s="59">
        <v>-43.465333400317299</v>
      </c>
    </row>
    <row r="2888" spans="1:4" x14ac:dyDescent="0.3">
      <c r="A2888" s="58">
        <v>3155306</v>
      </c>
      <c r="B2888" s="58" t="s">
        <v>3803</v>
      </c>
      <c r="C2888" s="59">
        <v>-20.261682365162503</v>
      </c>
      <c r="D2888" s="59">
        <v>-44.310205044565414</v>
      </c>
    </row>
    <row r="2889" spans="1:4" x14ac:dyDescent="0.3">
      <c r="A2889" s="58">
        <v>3155405</v>
      </c>
      <c r="B2889" s="58" t="s">
        <v>3804</v>
      </c>
      <c r="C2889" s="59">
        <v>-21.483249149878855</v>
      </c>
      <c r="D2889" s="59">
        <v>-43.12866891528666</v>
      </c>
    </row>
    <row r="2890" spans="1:4" x14ac:dyDescent="0.3">
      <c r="A2890" s="58">
        <v>3155504</v>
      </c>
      <c r="B2890" s="58" t="s">
        <v>3805</v>
      </c>
      <c r="C2890" s="59">
        <v>-19.191238301812952</v>
      </c>
      <c r="D2890" s="59">
        <v>-46.242753091627463</v>
      </c>
    </row>
    <row r="2891" spans="1:4" x14ac:dyDescent="0.3">
      <c r="A2891" s="58">
        <v>3155603</v>
      </c>
      <c r="B2891" s="58" t="s">
        <v>3806</v>
      </c>
      <c r="C2891" s="59">
        <v>-15.613078018859703</v>
      </c>
      <c r="D2891" s="59">
        <v>-42.541231978654899</v>
      </c>
    </row>
    <row r="2892" spans="1:4" x14ac:dyDescent="0.3">
      <c r="A2892" s="58">
        <v>3155702</v>
      </c>
      <c r="B2892" s="58" t="s">
        <v>3807</v>
      </c>
      <c r="C2892" s="59">
        <v>-19.954941168099104</v>
      </c>
      <c r="D2892" s="59">
        <v>-43.179823745668848</v>
      </c>
    </row>
    <row r="2893" spans="1:4" x14ac:dyDescent="0.3">
      <c r="A2893" s="58">
        <v>3155801</v>
      </c>
      <c r="B2893" s="58" t="s">
        <v>3808</v>
      </c>
      <c r="C2893" s="59">
        <v>-21.272190609813201</v>
      </c>
      <c r="D2893" s="59">
        <v>-43.177805645403247</v>
      </c>
    </row>
    <row r="2894" spans="1:4" x14ac:dyDescent="0.3">
      <c r="A2894" s="58">
        <v>3155900</v>
      </c>
      <c r="B2894" s="58" t="s">
        <v>3809</v>
      </c>
      <c r="C2894" s="59">
        <v>-22.08692225245505</v>
      </c>
      <c r="D2894" s="59">
        <v>-43.829465665580322</v>
      </c>
    </row>
    <row r="2895" spans="1:4" x14ac:dyDescent="0.3">
      <c r="A2895" s="58">
        <v>3156007</v>
      </c>
      <c r="B2895" s="58" t="s">
        <v>3810</v>
      </c>
      <c r="C2895" s="59">
        <v>-18.301110569207253</v>
      </c>
      <c r="D2895" s="59">
        <v>-43.022439098062165</v>
      </c>
    </row>
    <row r="2896" spans="1:4" x14ac:dyDescent="0.3">
      <c r="A2896" s="58">
        <v>3156106</v>
      </c>
      <c r="B2896" s="58" t="s">
        <v>3811</v>
      </c>
      <c r="C2896" s="59">
        <v>-21.023253270420856</v>
      </c>
      <c r="D2896" s="59">
        <v>-44.323477523838356</v>
      </c>
    </row>
    <row r="2897" spans="1:4" x14ac:dyDescent="0.3">
      <c r="A2897" s="58">
        <v>3156205</v>
      </c>
      <c r="B2897" s="58" t="s">
        <v>3812</v>
      </c>
      <c r="C2897" s="59">
        <v>-21.631459631461507</v>
      </c>
      <c r="D2897" s="59">
        <v>-43.022068505382613</v>
      </c>
    </row>
    <row r="2898" spans="1:4" x14ac:dyDescent="0.3">
      <c r="A2898" s="58">
        <v>3156304</v>
      </c>
      <c r="B2898" s="58" t="s">
        <v>3813</v>
      </c>
      <c r="C2898" s="59">
        <v>-21.200705079223006</v>
      </c>
      <c r="D2898" s="59">
        <v>-42.868676258612652</v>
      </c>
    </row>
    <row r="2899" spans="1:4" x14ac:dyDescent="0.3">
      <c r="A2899" s="58">
        <v>3156403</v>
      </c>
      <c r="B2899" s="58" t="s">
        <v>3814</v>
      </c>
      <c r="C2899" s="59">
        <v>-18.883480034871955</v>
      </c>
      <c r="D2899" s="59">
        <v>-47.581754900456026</v>
      </c>
    </row>
    <row r="2900" spans="1:4" x14ac:dyDescent="0.3">
      <c r="A2900" s="58">
        <v>3156452</v>
      </c>
      <c r="B2900" s="58" t="s">
        <v>3815</v>
      </c>
      <c r="C2900" s="59">
        <v>-20.981298201362005</v>
      </c>
      <c r="D2900" s="59">
        <v>-42.506059970218288</v>
      </c>
    </row>
    <row r="2901" spans="1:4" x14ac:dyDescent="0.3">
      <c r="A2901" s="58">
        <v>3156502</v>
      </c>
      <c r="B2901" s="58" t="s">
        <v>3816</v>
      </c>
      <c r="C2901" s="59">
        <v>-16.402966415692603</v>
      </c>
      <c r="D2901" s="59">
        <v>-42.264762332381508</v>
      </c>
    </row>
    <row r="2902" spans="1:4" x14ac:dyDescent="0.3">
      <c r="A2902" s="58">
        <v>3156601</v>
      </c>
      <c r="B2902" s="58" t="s">
        <v>3817</v>
      </c>
      <c r="C2902" s="59">
        <v>-16.372973516689601</v>
      </c>
      <c r="D2902" s="59">
        <v>-40.536941473853197</v>
      </c>
    </row>
    <row r="2903" spans="1:4" x14ac:dyDescent="0.3">
      <c r="A2903" s="58">
        <v>3156700</v>
      </c>
      <c r="B2903" s="58" t="s">
        <v>3818</v>
      </c>
      <c r="C2903" s="59">
        <v>-19.892494512089701</v>
      </c>
      <c r="D2903" s="59">
        <v>-43.825557090330221</v>
      </c>
    </row>
    <row r="2904" spans="1:4" x14ac:dyDescent="0.3">
      <c r="A2904" s="58">
        <v>3156809</v>
      </c>
      <c r="B2904" s="58" t="s">
        <v>3819</v>
      </c>
      <c r="C2904" s="59">
        <v>-18.6718146531902</v>
      </c>
      <c r="D2904" s="59">
        <v>-43.088203642904993</v>
      </c>
    </row>
    <row r="2905" spans="1:4" x14ac:dyDescent="0.3">
      <c r="A2905" s="58">
        <v>3156908</v>
      </c>
      <c r="B2905" s="58" t="s">
        <v>3820</v>
      </c>
      <c r="C2905" s="59">
        <v>-19.863576339353106</v>
      </c>
      <c r="D2905" s="59">
        <v>-47.436555316387462</v>
      </c>
    </row>
    <row r="2906" spans="1:4" x14ac:dyDescent="0.3">
      <c r="A2906" s="58">
        <v>3157005</v>
      </c>
      <c r="B2906" s="58" t="s">
        <v>3821</v>
      </c>
      <c r="C2906" s="59">
        <v>-16.169855732115803</v>
      </c>
      <c r="D2906" s="59">
        <v>-42.293506472275674</v>
      </c>
    </row>
    <row r="2907" spans="1:4" x14ac:dyDescent="0.3">
      <c r="A2907" s="58">
        <v>3157104</v>
      </c>
      <c r="B2907" s="58" t="s">
        <v>3822</v>
      </c>
      <c r="C2907" s="59">
        <v>-15.997570702152151</v>
      </c>
      <c r="D2907" s="59">
        <v>-39.950756023587303</v>
      </c>
    </row>
    <row r="2908" spans="1:4" x14ac:dyDescent="0.3">
      <c r="A2908" s="58">
        <v>3157203</v>
      </c>
      <c r="B2908" s="58" t="s">
        <v>3101</v>
      </c>
      <c r="C2908" s="59">
        <v>-19.965591192717202</v>
      </c>
      <c r="D2908" s="59">
        <v>-43.405220987975518</v>
      </c>
    </row>
    <row r="2909" spans="1:4" x14ac:dyDescent="0.3">
      <c r="A2909" s="58">
        <v>3157252</v>
      </c>
      <c r="B2909" s="58" t="s">
        <v>3823</v>
      </c>
      <c r="C2909" s="59">
        <v>-19.975792667414101</v>
      </c>
      <c r="D2909" s="59">
        <v>-42.140840581915903</v>
      </c>
    </row>
    <row r="2910" spans="1:4" x14ac:dyDescent="0.3">
      <c r="A2910" s="58">
        <v>3157278</v>
      </c>
      <c r="B2910" s="58" t="s">
        <v>3824</v>
      </c>
      <c r="C2910" s="59">
        <v>-21.957267015090359</v>
      </c>
      <c r="D2910" s="59">
        <v>-43.701774166392774</v>
      </c>
    </row>
    <row r="2911" spans="1:4" x14ac:dyDescent="0.3">
      <c r="A2911" s="58">
        <v>3157302</v>
      </c>
      <c r="B2911" s="58" t="s">
        <v>3825</v>
      </c>
      <c r="C2911" s="59">
        <v>-21.246208389465355</v>
      </c>
      <c r="D2911" s="59">
        <v>-43.5589487842784</v>
      </c>
    </row>
    <row r="2912" spans="1:4" x14ac:dyDescent="0.3">
      <c r="A2912" s="58">
        <v>3157336</v>
      </c>
      <c r="B2912" s="58" t="s">
        <v>3826</v>
      </c>
      <c r="C2912" s="59">
        <v>-21.119471032200703</v>
      </c>
      <c r="D2912" s="59">
        <v>-44.223257848384193</v>
      </c>
    </row>
    <row r="2913" spans="1:4" x14ac:dyDescent="0.3">
      <c r="A2913" s="58">
        <v>3157377</v>
      </c>
      <c r="B2913" s="58" t="s">
        <v>3827</v>
      </c>
      <c r="C2913" s="59">
        <v>-16.094355635283396</v>
      </c>
      <c r="D2913" s="59">
        <v>-41.750354526749653</v>
      </c>
    </row>
    <row r="2914" spans="1:4" x14ac:dyDescent="0.3">
      <c r="A2914" s="58">
        <v>3157401</v>
      </c>
      <c r="B2914" s="58" t="s">
        <v>3828</v>
      </c>
      <c r="C2914" s="59">
        <v>-20.238277255279204</v>
      </c>
      <c r="D2914" s="59">
        <v>-42.818452853326143</v>
      </c>
    </row>
    <row r="2915" spans="1:4" x14ac:dyDescent="0.3">
      <c r="A2915" s="58">
        <v>3157500</v>
      </c>
      <c r="B2915" s="58" t="s">
        <v>3829</v>
      </c>
      <c r="C2915" s="59">
        <v>-18.819837823213806</v>
      </c>
      <c r="D2915" s="59">
        <v>-42.43931266857048</v>
      </c>
    </row>
    <row r="2916" spans="1:4" x14ac:dyDescent="0.3">
      <c r="A2916" s="58">
        <v>3157609</v>
      </c>
      <c r="B2916" s="58" t="s">
        <v>3830</v>
      </c>
      <c r="C2916" s="59">
        <v>-16.687373452800852</v>
      </c>
      <c r="D2916" s="59">
        <v>-45.413633122154721</v>
      </c>
    </row>
    <row r="2917" spans="1:4" x14ac:dyDescent="0.3">
      <c r="A2917" s="58">
        <v>3157658</v>
      </c>
      <c r="B2917" s="58" t="s">
        <v>3831</v>
      </c>
      <c r="C2917" s="59">
        <v>-16.936307533624355</v>
      </c>
      <c r="D2917" s="59">
        <v>-40.686288642112189</v>
      </c>
    </row>
    <row r="2918" spans="1:4" x14ac:dyDescent="0.3">
      <c r="A2918" s="58">
        <v>3157708</v>
      </c>
      <c r="B2918" s="58" t="s">
        <v>3832</v>
      </c>
      <c r="C2918" s="59">
        <v>-19.311298933699955</v>
      </c>
      <c r="D2918" s="59">
        <v>-47.527144334350297</v>
      </c>
    </row>
    <row r="2919" spans="1:4" x14ac:dyDescent="0.3">
      <c r="A2919" s="58">
        <v>3157807</v>
      </c>
      <c r="B2919" s="58" t="s">
        <v>1630</v>
      </c>
      <c r="C2919" s="59">
        <v>-19.767616852522103</v>
      </c>
      <c r="D2919" s="59">
        <v>-43.850007260632069</v>
      </c>
    </row>
    <row r="2920" spans="1:4" x14ac:dyDescent="0.3">
      <c r="A2920" s="58">
        <v>3157906</v>
      </c>
      <c r="B2920" s="58" t="s">
        <v>3833</v>
      </c>
      <c r="C2920" s="59">
        <v>-20.377925426806055</v>
      </c>
      <c r="D2920" s="59">
        <v>-42.252535780265411</v>
      </c>
    </row>
    <row r="2921" spans="1:4" x14ac:dyDescent="0.3">
      <c r="A2921" s="58">
        <v>3158003</v>
      </c>
      <c r="B2921" s="58" t="s">
        <v>3834</v>
      </c>
      <c r="C2921" s="59">
        <v>-19.4590107742798</v>
      </c>
      <c r="D2921" s="59">
        <v>-43.110149844123782</v>
      </c>
    </row>
    <row r="2922" spans="1:4" x14ac:dyDescent="0.3">
      <c r="A2922" s="58">
        <v>3158102</v>
      </c>
      <c r="B2922" s="58" t="s">
        <v>3835</v>
      </c>
      <c r="C2922" s="59">
        <v>-16.2475726793913</v>
      </c>
      <c r="D2922" s="59">
        <v>-40.14693301499684</v>
      </c>
    </row>
    <row r="2923" spans="1:4" x14ac:dyDescent="0.3">
      <c r="A2923" s="58">
        <v>3158201</v>
      </c>
      <c r="B2923" s="58" t="s">
        <v>3836</v>
      </c>
      <c r="C2923" s="59">
        <v>-18.192252202490781</v>
      </c>
      <c r="D2923" s="59">
        <v>-42.417802450459796</v>
      </c>
    </row>
    <row r="2924" spans="1:4" x14ac:dyDescent="0.3">
      <c r="A2924" s="58">
        <v>3158300</v>
      </c>
      <c r="B2924" s="58" t="s">
        <v>3837</v>
      </c>
      <c r="C2924" s="59">
        <v>-21.248962180189753</v>
      </c>
      <c r="D2924" s="59">
        <v>-45.507121048738561</v>
      </c>
    </row>
    <row r="2925" spans="1:4" x14ac:dyDescent="0.3">
      <c r="A2925" s="58">
        <v>3158409</v>
      </c>
      <c r="B2925" s="58" t="s">
        <v>3838</v>
      </c>
      <c r="C2925" s="59">
        <v>-21.284028078618054</v>
      </c>
      <c r="D2925" s="59">
        <v>-42.554604949081089</v>
      </c>
    </row>
    <row r="2926" spans="1:4" x14ac:dyDescent="0.3">
      <c r="A2926" s="58">
        <v>3158508</v>
      </c>
      <c r="B2926" s="58" t="s">
        <v>3839</v>
      </c>
      <c r="C2926" s="59">
        <v>-19.006885996855303</v>
      </c>
      <c r="D2926" s="59">
        <v>-44.038102508067823</v>
      </c>
    </row>
    <row r="2927" spans="1:4" x14ac:dyDescent="0.3">
      <c r="A2927" s="58">
        <v>3158607</v>
      </c>
      <c r="B2927" s="58" t="s">
        <v>3840</v>
      </c>
      <c r="C2927" s="59">
        <v>-21.949692044444902</v>
      </c>
      <c r="D2927" s="59">
        <v>-43.172317833715987</v>
      </c>
    </row>
    <row r="2928" spans="1:4" x14ac:dyDescent="0.3">
      <c r="A2928" s="58">
        <v>3158706</v>
      </c>
      <c r="B2928" s="58" t="s">
        <v>3841</v>
      </c>
      <c r="C2928" s="59">
        <v>-21.601831857364054</v>
      </c>
      <c r="D2928" s="59">
        <v>-44.110873430003984</v>
      </c>
    </row>
    <row r="2929" spans="1:4" x14ac:dyDescent="0.3">
      <c r="A2929" s="58">
        <v>3158805</v>
      </c>
      <c r="B2929" s="58" t="s">
        <v>3842</v>
      </c>
      <c r="C2929" s="59">
        <v>-20.901677492436956</v>
      </c>
      <c r="D2929" s="59">
        <v>-45.128048569567774</v>
      </c>
    </row>
    <row r="2930" spans="1:4" x14ac:dyDescent="0.3">
      <c r="A2930" s="58">
        <v>3158904</v>
      </c>
      <c r="B2930" s="58" t="s">
        <v>3843</v>
      </c>
      <c r="C2930" s="59">
        <v>-20.108546165050704</v>
      </c>
      <c r="D2930" s="59">
        <v>-41.923497464232355</v>
      </c>
    </row>
    <row r="2931" spans="1:4" x14ac:dyDescent="0.3">
      <c r="A2931" s="58">
        <v>3158953</v>
      </c>
      <c r="B2931" s="58" t="s">
        <v>3844</v>
      </c>
      <c r="C2931" s="59">
        <v>-19.369098523554552</v>
      </c>
      <c r="D2931" s="59">
        <v>-42.552582949044947</v>
      </c>
    </row>
    <row r="2932" spans="1:4" x14ac:dyDescent="0.3">
      <c r="A2932" s="58">
        <v>3159001</v>
      </c>
      <c r="B2932" s="58" t="s">
        <v>3845</v>
      </c>
      <c r="C2932" s="59">
        <v>-19.170091868926303</v>
      </c>
      <c r="D2932" s="59">
        <v>-43.711459303395131</v>
      </c>
    </row>
    <row r="2933" spans="1:4" x14ac:dyDescent="0.3">
      <c r="A2933" s="58">
        <v>3159100</v>
      </c>
      <c r="B2933" s="58" t="s">
        <v>3846</v>
      </c>
      <c r="C2933" s="59">
        <v>-20.789734851480507</v>
      </c>
      <c r="D2933" s="59">
        <v>-43.705998278999786</v>
      </c>
    </row>
    <row r="2934" spans="1:4" x14ac:dyDescent="0.3">
      <c r="A2934" s="58">
        <v>3159209</v>
      </c>
      <c r="B2934" s="58" t="s">
        <v>3847</v>
      </c>
      <c r="C2934" s="59">
        <v>-22.026435486111005</v>
      </c>
      <c r="D2934" s="59">
        <v>-46.338625781358211</v>
      </c>
    </row>
    <row r="2935" spans="1:4" x14ac:dyDescent="0.3">
      <c r="A2935" s="58">
        <v>3159308</v>
      </c>
      <c r="B2935" s="58" t="s">
        <v>3848</v>
      </c>
      <c r="C2935" s="59">
        <v>-22.148461122225456</v>
      </c>
      <c r="D2935" s="59">
        <v>-44.100441854394155</v>
      </c>
    </row>
    <row r="2936" spans="1:4" x14ac:dyDescent="0.3">
      <c r="A2936" s="58">
        <v>3159357</v>
      </c>
      <c r="B2936" s="58" t="s">
        <v>3849</v>
      </c>
      <c r="C2936" s="59">
        <v>-19.875210170167502</v>
      </c>
      <c r="D2936" s="59">
        <v>-42.131780836916541</v>
      </c>
    </row>
    <row r="2937" spans="1:4" x14ac:dyDescent="0.3">
      <c r="A2937" s="58">
        <v>3159407</v>
      </c>
      <c r="B2937" s="58" t="s">
        <v>3850</v>
      </c>
      <c r="C2937" s="59">
        <v>-21.561230079445004</v>
      </c>
      <c r="D2937" s="59">
        <v>-43.916760518773437</v>
      </c>
    </row>
    <row r="2938" spans="1:4" x14ac:dyDescent="0.3">
      <c r="A2938" s="58">
        <v>3159506</v>
      </c>
      <c r="B2938" s="58" t="s">
        <v>3851</v>
      </c>
      <c r="C2938" s="59">
        <v>-19.3598130146739</v>
      </c>
      <c r="D2938" s="59">
        <v>-41.379278217515981</v>
      </c>
    </row>
    <row r="2939" spans="1:4" x14ac:dyDescent="0.3">
      <c r="A2939" s="58">
        <v>3159605</v>
      </c>
      <c r="B2939" s="58" t="s">
        <v>3852</v>
      </c>
      <c r="C2939" s="59">
        <v>-22.253329826369605</v>
      </c>
      <c r="D2939" s="59">
        <v>-45.703988192512362</v>
      </c>
    </row>
    <row r="2940" spans="1:4" x14ac:dyDescent="0.3">
      <c r="A2940" s="58">
        <v>3159704</v>
      </c>
      <c r="B2940" s="58" t="s">
        <v>3853</v>
      </c>
      <c r="C2940" s="59">
        <v>-19.532621138026006</v>
      </c>
      <c r="D2940" s="59">
        <v>-45.970664427352702</v>
      </c>
    </row>
    <row r="2941" spans="1:4" x14ac:dyDescent="0.3">
      <c r="A2941" s="58">
        <v>3159803</v>
      </c>
      <c r="B2941" s="58" t="s">
        <v>3854</v>
      </c>
      <c r="C2941" s="59">
        <v>-18.84394798256255</v>
      </c>
      <c r="D2941" s="59">
        <v>-50.123465111517469</v>
      </c>
    </row>
    <row r="2942" spans="1:4" x14ac:dyDescent="0.3">
      <c r="A2942" s="58">
        <v>3159902</v>
      </c>
      <c r="B2942" s="58" t="s">
        <v>3855</v>
      </c>
      <c r="C2942" s="59">
        <v>-20.946248565830555</v>
      </c>
      <c r="D2942" s="59">
        <v>-44.918674935228417</v>
      </c>
    </row>
    <row r="2943" spans="1:4" x14ac:dyDescent="0.3">
      <c r="A2943" s="58">
        <v>3160009</v>
      </c>
      <c r="B2943" s="58" t="s">
        <v>3856</v>
      </c>
      <c r="C2943" s="59">
        <v>-21.755828175855005</v>
      </c>
      <c r="D2943" s="59">
        <v>-42.811637246119304</v>
      </c>
    </row>
    <row r="2944" spans="1:4" x14ac:dyDescent="0.3">
      <c r="A2944" s="58">
        <v>3160108</v>
      </c>
      <c r="B2944" s="58" t="s">
        <v>3857</v>
      </c>
      <c r="C2944" s="59">
        <v>-20.312500277939602</v>
      </c>
      <c r="D2944" s="59">
        <v>-42.613898797015402</v>
      </c>
    </row>
    <row r="2945" spans="1:4" x14ac:dyDescent="0.3">
      <c r="A2945" s="58">
        <v>3160207</v>
      </c>
      <c r="B2945" s="58" t="s">
        <v>3858</v>
      </c>
      <c r="C2945" s="59">
        <v>-18.468971645516351</v>
      </c>
      <c r="D2945" s="59">
        <v>-43.303779409490836</v>
      </c>
    </row>
    <row r="2946" spans="1:4" x14ac:dyDescent="0.3">
      <c r="A2946" s="58">
        <v>3160306</v>
      </c>
      <c r="B2946" s="58" t="s">
        <v>3859</v>
      </c>
      <c r="C2946" s="59">
        <v>-16.537683409686004</v>
      </c>
      <c r="D2946" s="59">
        <v>-40.175337325243632</v>
      </c>
    </row>
    <row r="2947" spans="1:4" x14ac:dyDescent="0.3">
      <c r="A2947" s="58">
        <v>3160405</v>
      </c>
      <c r="B2947" s="58" t="s">
        <v>3860</v>
      </c>
      <c r="C2947" s="59">
        <v>-20.087219248879403</v>
      </c>
      <c r="D2947" s="59">
        <v>-45.293935919144495</v>
      </c>
    </row>
    <row r="2948" spans="1:4" x14ac:dyDescent="0.3">
      <c r="A2948" s="58">
        <v>3160454</v>
      </c>
      <c r="B2948" s="58" t="s">
        <v>3861</v>
      </c>
      <c r="C2948" s="59">
        <v>-15.342633537269453</v>
      </c>
      <c r="D2948" s="59">
        <v>-42.624376515675486</v>
      </c>
    </row>
    <row r="2949" spans="1:4" x14ac:dyDescent="0.3">
      <c r="A2949" s="58">
        <v>3160504</v>
      </c>
      <c r="B2949" s="58" t="s">
        <v>3862</v>
      </c>
      <c r="C2949" s="59">
        <v>-19.225679803791198</v>
      </c>
      <c r="D2949" s="59">
        <v>-43.253057182380793</v>
      </c>
    </row>
    <row r="2950" spans="1:4" x14ac:dyDescent="0.3">
      <c r="A2950" s="58">
        <v>3160603</v>
      </c>
      <c r="B2950" s="58" t="s">
        <v>3863</v>
      </c>
      <c r="C2950" s="59">
        <v>-18.287810190047303</v>
      </c>
      <c r="D2950" s="59">
        <v>-44.221698220523393</v>
      </c>
    </row>
    <row r="2951" spans="1:4" x14ac:dyDescent="0.3">
      <c r="A2951" s="58">
        <v>3160702</v>
      </c>
      <c r="B2951" s="58" t="s">
        <v>3864</v>
      </c>
      <c r="C2951" s="59">
        <v>-21.457531994701402</v>
      </c>
      <c r="D2951" s="59">
        <v>-43.553752165292103</v>
      </c>
    </row>
    <row r="2952" spans="1:4" x14ac:dyDescent="0.3">
      <c r="A2952" s="58">
        <v>3160801</v>
      </c>
      <c r="B2952" s="58" t="s">
        <v>3865</v>
      </c>
      <c r="C2952" s="59">
        <v>-21.579048016494554</v>
      </c>
      <c r="D2952" s="59">
        <v>-45.075360626692834</v>
      </c>
    </row>
    <row r="2953" spans="1:4" x14ac:dyDescent="0.3">
      <c r="A2953" s="58">
        <v>3160900</v>
      </c>
      <c r="B2953" s="58" t="s">
        <v>3866</v>
      </c>
      <c r="C2953" s="59">
        <v>-20.626504068482301</v>
      </c>
      <c r="D2953" s="59">
        <v>-43.952674647889054</v>
      </c>
    </row>
    <row r="2954" spans="1:4" x14ac:dyDescent="0.3">
      <c r="A2954" s="58">
        <v>3160959</v>
      </c>
      <c r="B2954" s="58" t="s">
        <v>3867</v>
      </c>
      <c r="C2954" s="59">
        <v>-19.529446067277103</v>
      </c>
      <c r="D2954" s="59">
        <v>-42.009507996903402</v>
      </c>
    </row>
    <row r="2955" spans="1:4" x14ac:dyDescent="0.3">
      <c r="A2955" s="58">
        <v>3161007</v>
      </c>
      <c r="B2955" s="58" t="s">
        <v>3868</v>
      </c>
      <c r="C2955" s="59">
        <v>-19.871027900436193</v>
      </c>
      <c r="D2955" s="59">
        <v>-42.960363400399011</v>
      </c>
    </row>
    <row r="2956" spans="1:4" x14ac:dyDescent="0.3">
      <c r="A2956" s="58">
        <v>3161056</v>
      </c>
      <c r="B2956" s="58" t="s">
        <v>3869</v>
      </c>
      <c r="C2956" s="59">
        <v>-18.586105594455255</v>
      </c>
      <c r="D2956" s="59">
        <v>-41.49035282882798</v>
      </c>
    </row>
    <row r="2957" spans="1:4" x14ac:dyDescent="0.3">
      <c r="A2957" s="58">
        <v>3161106</v>
      </c>
      <c r="B2957" s="58" t="s">
        <v>2409</v>
      </c>
      <c r="C2957" s="59">
        <v>-15.952563805561152</v>
      </c>
      <c r="D2957" s="59">
        <v>-44.861312742376583</v>
      </c>
    </row>
    <row r="2958" spans="1:4" x14ac:dyDescent="0.3">
      <c r="A2958" s="58">
        <v>3161205</v>
      </c>
      <c r="B2958" s="58" t="s">
        <v>3870</v>
      </c>
      <c r="C2958" s="59">
        <v>-20.713531799944505</v>
      </c>
      <c r="D2958" s="59">
        <v>-44.982630619926361</v>
      </c>
    </row>
    <row r="2959" spans="1:4" x14ac:dyDescent="0.3">
      <c r="A2959" s="58">
        <v>3161304</v>
      </c>
      <c r="B2959" s="58" t="s">
        <v>3871</v>
      </c>
      <c r="C2959" s="59">
        <v>-19.865114358281954</v>
      </c>
      <c r="D2959" s="59">
        <v>-49.765566317888187</v>
      </c>
    </row>
    <row r="2960" spans="1:4" x14ac:dyDescent="0.3">
      <c r="A2960" s="58">
        <v>3161403</v>
      </c>
      <c r="B2960" s="58" t="s">
        <v>3872</v>
      </c>
      <c r="C2960" s="59">
        <v>-20.792301418718854</v>
      </c>
      <c r="D2960" s="59">
        <v>-42.268220532667492</v>
      </c>
    </row>
    <row r="2961" spans="1:4" x14ac:dyDescent="0.3">
      <c r="A2961" s="58">
        <v>3161502</v>
      </c>
      <c r="B2961" s="58" t="s">
        <v>3873</v>
      </c>
      <c r="C2961" s="59">
        <v>-20.920847527928505</v>
      </c>
      <c r="D2961" s="59">
        <v>-42.837664133247159</v>
      </c>
    </row>
    <row r="2962" spans="1:4" x14ac:dyDescent="0.3">
      <c r="A2962" s="58">
        <v>3161601</v>
      </c>
      <c r="B2962" s="58" t="s">
        <v>3874</v>
      </c>
      <c r="C2962" s="59">
        <v>-18.844031341877756</v>
      </c>
      <c r="D2962" s="59">
        <v>-42.289135067930033</v>
      </c>
    </row>
    <row r="2963" spans="1:4" x14ac:dyDescent="0.3">
      <c r="A2963" s="58">
        <v>3161650</v>
      </c>
      <c r="B2963" s="58" t="s">
        <v>3875</v>
      </c>
      <c r="C2963" s="59">
        <v>-18.918808516417151</v>
      </c>
      <c r="D2963" s="59">
        <v>-41.36362823686958</v>
      </c>
    </row>
    <row r="2964" spans="1:4" x14ac:dyDescent="0.3">
      <c r="A2964" s="58">
        <v>3161700</v>
      </c>
      <c r="B2964" s="58" t="s">
        <v>3876</v>
      </c>
      <c r="C2964" s="59">
        <v>-18.341112928049352</v>
      </c>
      <c r="D2964" s="59">
        <v>-45.834246150400894</v>
      </c>
    </row>
    <row r="2965" spans="1:4" x14ac:dyDescent="0.3">
      <c r="A2965" s="58">
        <v>3161809</v>
      </c>
      <c r="B2965" s="58" t="s">
        <v>3877</v>
      </c>
      <c r="C2965" s="59">
        <v>-19.985684731903454</v>
      </c>
      <c r="D2965" s="59">
        <v>-44.857188983822958</v>
      </c>
    </row>
    <row r="2966" spans="1:4" x14ac:dyDescent="0.3">
      <c r="A2966" s="58">
        <v>3161908</v>
      </c>
      <c r="B2966" s="58" t="s">
        <v>3878</v>
      </c>
      <c r="C2966" s="59">
        <v>-19.831800701790602</v>
      </c>
      <c r="D2966" s="59">
        <v>-43.348040019305621</v>
      </c>
    </row>
    <row r="2967" spans="1:4" x14ac:dyDescent="0.3">
      <c r="A2967" s="58">
        <v>3162005</v>
      </c>
      <c r="B2967" s="58" t="s">
        <v>3879</v>
      </c>
      <c r="C2967" s="59">
        <v>-21.891905142095553</v>
      </c>
      <c r="D2967" s="59">
        <v>-45.594637794936901</v>
      </c>
    </row>
    <row r="2968" spans="1:4" x14ac:dyDescent="0.3">
      <c r="A2968" s="58">
        <v>3162104</v>
      </c>
      <c r="B2968" s="58" t="s">
        <v>3880</v>
      </c>
      <c r="C2968" s="59">
        <v>-19.312700191332151</v>
      </c>
      <c r="D2968" s="59">
        <v>-46.0531440401029</v>
      </c>
    </row>
    <row r="2969" spans="1:4" x14ac:dyDescent="0.3">
      <c r="A2969" s="58">
        <v>3162203</v>
      </c>
      <c r="B2969" s="58" t="s">
        <v>3881</v>
      </c>
      <c r="C2969" s="59">
        <v>-20.639036845645801</v>
      </c>
      <c r="D2969" s="59">
        <v>-46.503461469339442</v>
      </c>
    </row>
    <row r="2970" spans="1:4" x14ac:dyDescent="0.3">
      <c r="A2970" s="58">
        <v>3162252</v>
      </c>
      <c r="B2970" s="58" t="s">
        <v>3882</v>
      </c>
      <c r="C2970" s="59">
        <v>-16.8520551567279</v>
      </c>
      <c r="D2970" s="59">
        <v>-44.349088562194702</v>
      </c>
    </row>
    <row r="2971" spans="1:4" x14ac:dyDescent="0.3">
      <c r="A2971" s="58">
        <v>3162302</v>
      </c>
      <c r="B2971" s="58" t="s">
        <v>3883</v>
      </c>
      <c r="C2971" s="59">
        <v>-21.934852824523656</v>
      </c>
      <c r="D2971" s="59">
        <v>-45.926529807598783</v>
      </c>
    </row>
    <row r="2972" spans="1:4" x14ac:dyDescent="0.3">
      <c r="A2972" s="58">
        <v>3162401</v>
      </c>
      <c r="B2972" s="58" t="s">
        <v>3884</v>
      </c>
      <c r="C2972" s="59">
        <v>-15.924513065499154</v>
      </c>
      <c r="D2972" s="59">
        <v>-44.008955108496693</v>
      </c>
    </row>
    <row r="2973" spans="1:4" x14ac:dyDescent="0.3">
      <c r="A2973" s="58">
        <v>3162450</v>
      </c>
      <c r="B2973" s="58" t="s">
        <v>3885</v>
      </c>
      <c r="C2973" s="59">
        <v>-14.882533483912352</v>
      </c>
      <c r="D2973" s="59">
        <v>-44.081262289527494</v>
      </c>
    </row>
    <row r="2974" spans="1:4" x14ac:dyDescent="0.3">
      <c r="A2974" s="58">
        <v>3162500</v>
      </c>
      <c r="B2974" s="58" t="s">
        <v>3886</v>
      </c>
      <c r="C2974" s="59">
        <v>-21.135508974317251</v>
      </c>
      <c r="D2974" s="59">
        <v>-44.260972734729194</v>
      </c>
    </row>
    <row r="2975" spans="1:4" x14ac:dyDescent="0.3">
      <c r="A2975" s="58">
        <v>3162559</v>
      </c>
      <c r="B2975" s="58" t="s">
        <v>3887</v>
      </c>
      <c r="C2975" s="59">
        <v>-20.395499865980902</v>
      </c>
      <c r="D2975" s="59">
        <v>-42.152157750549399</v>
      </c>
    </row>
    <row r="2976" spans="1:4" x14ac:dyDescent="0.3">
      <c r="A2976" s="58">
        <v>3162575</v>
      </c>
      <c r="B2976" s="58" t="s">
        <v>3888</v>
      </c>
      <c r="C2976" s="59">
        <v>-18.727837486580302</v>
      </c>
      <c r="D2976" s="59">
        <v>-41.158748442561041</v>
      </c>
    </row>
    <row r="2977" spans="1:4" x14ac:dyDescent="0.3">
      <c r="A2977" s="58">
        <v>3162609</v>
      </c>
      <c r="B2977" s="58" t="s">
        <v>3889</v>
      </c>
      <c r="C2977" s="59">
        <v>-19.337666134261955</v>
      </c>
      <c r="D2977" s="59">
        <v>-42.156459894962033</v>
      </c>
    </row>
    <row r="2978" spans="1:4" x14ac:dyDescent="0.3">
      <c r="A2978" s="58">
        <v>3162658</v>
      </c>
      <c r="B2978" s="58" t="s">
        <v>3890</v>
      </c>
      <c r="C2978" s="59">
        <v>-16.538375144554454</v>
      </c>
      <c r="D2978" s="59">
        <v>-44.529570989100058</v>
      </c>
    </row>
    <row r="2979" spans="1:4" x14ac:dyDescent="0.3">
      <c r="A2979" s="58">
        <v>3162708</v>
      </c>
      <c r="B2979" s="58" t="s">
        <v>1647</v>
      </c>
      <c r="C2979" s="59">
        <v>-15.318438095090903</v>
      </c>
      <c r="D2979" s="59">
        <v>-42.011422442815508</v>
      </c>
    </row>
    <row r="2980" spans="1:4" x14ac:dyDescent="0.3">
      <c r="A2980" s="58">
        <v>3162807</v>
      </c>
      <c r="B2980" s="58" t="s">
        <v>3891</v>
      </c>
      <c r="C2980" s="59">
        <v>-18.545186829506438</v>
      </c>
      <c r="D2980" s="59">
        <v>-42.776048143391698</v>
      </c>
    </row>
    <row r="2981" spans="1:4" x14ac:dyDescent="0.3">
      <c r="A2981" s="58">
        <v>3162906</v>
      </c>
      <c r="B2981" s="58" t="s">
        <v>3892</v>
      </c>
      <c r="C2981" s="59">
        <v>-21.535697063588554</v>
      </c>
      <c r="D2981" s="59">
        <v>-43.011285768503974</v>
      </c>
    </row>
    <row r="2982" spans="1:4" x14ac:dyDescent="0.3">
      <c r="A2982" s="58">
        <v>3162922</v>
      </c>
      <c r="B2982" s="58" t="s">
        <v>3893</v>
      </c>
      <c r="C2982" s="59">
        <v>-20.063468460613155</v>
      </c>
      <c r="D2982" s="59">
        <v>-44.26627301609718</v>
      </c>
    </row>
    <row r="2983" spans="1:4" x14ac:dyDescent="0.3">
      <c r="A2983" s="58">
        <v>3162948</v>
      </c>
      <c r="B2983" s="58" t="s">
        <v>3894</v>
      </c>
      <c r="C2983" s="59">
        <v>-20.722090966241201</v>
      </c>
      <c r="D2983" s="59">
        <v>-46.319329570875489</v>
      </c>
    </row>
    <row r="2984" spans="1:4" x14ac:dyDescent="0.3">
      <c r="A2984" s="58">
        <v>3162955</v>
      </c>
      <c r="B2984" s="58" t="s">
        <v>3895</v>
      </c>
      <c r="C2984" s="59">
        <v>-19.698626821519053</v>
      </c>
      <c r="D2984" s="59">
        <v>-43.959956298233671</v>
      </c>
    </row>
    <row r="2985" spans="1:4" x14ac:dyDescent="0.3">
      <c r="A2985" s="58">
        <v>3163003</v>
      </c>
      <c r="B2985" s="58" t="s">
        <v>3896</v>
      </c>
      <c r="C2985" s="59">
        <v>-18.325117456760051</v>
      </c>
      <c r="D2985" s="59">
        <v>-42.146410524946383</v>
      </c>
    </row>
    <row r="2986" spans="1:4" x14ac:dyDescent="0.3">
      <c r="A2986" s="58">
        <v>3163102</v>
      </c>
      <c r="B2986" s="58" t="s">
        <v>3897</v>
      </c>
      <c r="C2986" s="59">
        <v>-19.704805986823605</v>
      </c>
      <c r="D2986" s="59">
        <v>-44.561059732986386</v>
      </c>
    </row>
    <row r="2987" spans="1:4" x14ac:dyDescent="0.3">
      <c r="A2987" s="58">
        <v>3163201</v>
      </c>
      <c r="B2987" s="58" t="s">
        <v>3898</v>
      </c>
      <c r="C2987" s="59">
        <v>-22.329055248633754</v>
      </c>
      <c r="D2987" s="59">
        <v>-45.530187607466772</v>
      </c>
    </row>
    <row r="2988" spans="1:4" x14ac:dyDescent="0.3">
      <c r="A2988" s="58">
        <v>3163300</v>
      </c>
      <c r="B2988" s="58" t="s">
        <v>1877</v>
      </c>
      <c r="C2988" s="59">
        <v>-18.483263321987099</v>
      </c>
      <c r="D2988" s="59">
        <v>-41.391208784389569</v>
      </c>
    </row>
    <row r="2989" spans="1:4" x14ac:dyDescent="0.3">
      <c r="A2989" s="58">
        <v>3163409</v>
      </c>
      <c r="B2989" s="58" t="s">
        <v>3899</v>
      </c>
      <c r="C2989" s="59">
        <v>-19.927983216965554</v>
      </c>
      <c r="D2989" s="59">
        <v>-42.709860126898171</v>
      </c>
    </row>
    <row r="2990" spans="1:4" x14ac:dyDescent="0.3">
      <c r="A2990" s="58">
        <v>3163508</v>
      </c>
      <c r="B2990" s="58" t="s">
        <v>3900</v>
      </c>
      <c r="C2990" s="59">
        <v>-18.275810750341552</v>
      </c>
      <c r="D2990" s="59">
        <v>-42.666626769167259</v>
      </c>
    </row>
    <row r="2991" spans="1:4" x14ac:dyDescent="0.3">
      <c r="A2991" s="58">
        <v>3163607</v>
      </c>
      <c r="B2991" s="58" t="s">
        <v>3901</v>
      </c>
      <c r="C2991" s="59">
        <v>-20.005998981942501</v>
      </c>
      <c r="D2991" s="59">
        <v>-41.749072816425972</v>
      </c>
    </row>
    <row r="2992" spans="1:4" x14ac:dyDescent="0.3">
      <c r="A2992" s="58">
        <v>3163706</v>
      </c>
      <c r="B2992" s="58" t="s">
        <v>3902</v>
      </c>
      <c r="C2992" s="59">
        <v>-22.117768671360206</v>
      </c>
      <c r="D2992" s="59">
        <v>-45.053373103144608</v>
      </c>
    </row>
    <row r="2993" spans="1:4" x14ac:dyDescent="0.3">
      <c r="A2993" s="58">
        <v>3163805</v>
      </c>
      <c r="B2993" s="58" t="s">
        <v>3903</v>
      </c>
      <c r="C2993" s="59">
        <v>-20.705917590458302</v>
      </c>
      <c r="D2993" s="59">
        <v>-42.720899046333166</v>
      </c>
    </row>
    <row r="2994" spans="1:4" x14ac:dyDescent="0.3">
      <c r="A2994" s="58">
        <v>3163904</v>
      </c>
      <c r="B2994" s="58" t="s">
        <v>3904</v>
      </c>
      <c r="C2994" s="59">
        <v>-21.133458495541451</v>
      </c>
      <c r="D2994" s="59">
        <v>-46.621326889343152</v>
      </c>
    </row>
    <row r="2995" spans="1:4" x14ac:dyDescent="0.3">
      <c r="A2995" s="58">
        <v>3164001</v>
      </c>
      <c r="B2995" s="58" t="s">
        <v>3905</v>
      </c>
      <c r="C2995" s="59">
        <v>-20.171909824516703</v>
      </c>
      <c r="D2995" s="59">
        <v>-42.523900934800992</v>
      </c>
    </row>
    <row r="2996" spans="1:4" x14ac:dyDescent="0.3">
      <c r="A2996" s="58">
        <v>3164100</v>
      </c>
      <c r="B2996" s="58" t="s">
        <v>3906</v>
      </c>
      <c r="C2996" s="59">
        <v>-18.365505759513557</v>
      </c>
      <c r="D2996" s="59">
        <v>-42.600231939651138</v>
      </c>
    </row>
    <row r="2997" spans="1:4" x14ac:dyDescent="0.3">
      <c r="A2997" s="58">
        <v>3164209</v>
      </c>
      <c r="B2997" s="58" t="s">
        <v>3907</v>
      </c>
      <c r="C2997" s="59">
        <v>-16.368639215831205</v>
      </c>
      <c r="D2997" s="59">
        <v>-45.069135197125163</v>
      </c>
    </row>
    <row r="2998" spans="1:4" x14ac:dyDescent="0.3">
      <c r="A2998" s="58">
        <v>3164308</v>
      </c>
      <c r="B2998" s="58" t="s">
        <v>3908</v>
      </c>
      <c r="C2998" s="59">
        <v>-20.250670811515601</v>
      </c>
      <c r="D2998" s="59">
        <v>-46.368994934639915</v>
      </c>
    </row>
    <row r="2999" spans="1:4" x14ac:dyDescent="0.3">
      <c r="A2999" s="58">
        <v>3164407</v>
      </c>
      <c r="B2999" s="58" t="s">
        <v>3909</v>
      </c>
      <c r="C2999" s="59">
        <v>-22.155005786784148</v>
      </c>
      <c r="D2999" s="59">
        <v>-45.754789208875536</v>
      </c>
    </row>
    <row r="3000" spans="1:4" x14ac:dyDescent="0.3">
      <c r="A3000" s="58">
        <v>3164431</v>
      </c>
      <c r="B3000" s="58" t="s">
        <v>3910</v>
      </c>
      <c r="C3000" s="59">
        <v>-21.073830338080754</v>
      </c>
      <c r="D3000" s="59">
        <v>-42.638665891930131</v>
      </c>
    </row>
    <row r="3001" spans="1:4" x14ac:dyDescent="0.3">
      <c r="A3001" s="58">
        <v>3164472</v>
      </c>
      <c r="B3001" s="58" t="s">
        <v>3911</v>
      </c>
      <c r="C3001" s="59">
        <v>-19.500107089935753</v>
      </c>
      <c r="D3001" s="59">
        <v>-41.979598898526042</v>
      </c>
    </row>
    <row r="3002" spans="1:4" x14ac:dyDescent="0.3">
      <c r="A3002" s="58">
        <v>3164506</v>
      </c>
      <c r="B3002" s="58" t="s">
        <v>3912</v>
      </c>
      <c r="C3002" s="59">
        <v>-18.09137151132985</v>
      </c>
      <c r="D3002" s="59">
        <v>-42.565745696668721</v>
      </c>
    </row>
    <row r="3003" spans="1:4" x14ac:dyDescent="0.3">
      <c r="A3003" s="58">
        <v>3164605</v>
      </c>
      <c r="B3003" s="58" t="s">
        <v>3913</v>
      </c>
      <c r="C3003" s="59">
        <v>-20.274095195186902</v>
      </c>
      <c r="D3003" s="59">
        <v>-45.00313398701595</v>
      </c>
    </row>
    <row r="3004" spans="1:4" x14ac:dyDescent="0.3">
      <c r="A3004" s="58">
        <v>3164704</v>
      </c>
      <c r="B3004" s="58" t="s">
        <v>3914</v>
      </c>
      <c r="C3004" s="59">
        <v>-20.918065448646903</v>
      </c>
      <c r="D3004" s="59">
        <v>-46.986471825605022</v>
      </c>
    </row>
    <row r="3005" spans="1:4" x14ac:dyDescent="0.3">
      <c r="A3005" s="58">
        <v>3164803</v>
      </c>
      <c r="B3005" s="58" t="s">
        <v>3915</v>
      </c>
      <c r="C3005" s="59">
        <v>-19.285766670318502</v>
      </c>
      <c r="D3005" s="59">
        <v>-43.174734422313641</v>
      </c>
    </row>
    <row r="3006" spans="1:4" x14ac:dyDescent="0.3">
      <c r="A3006" s="58">
        <v>3164902</v>
      </c>
      <c r="B3006" s="58" t="s">
        <v>3916</v>
      </c>
      <c r="C3006" s="59">
        <v>-22.215056227905553</v>
      </c>
      <c r="D3006" s="59">
        <v>-44.977736053397173</v>
      </c>
    </row>
    <row r="3007" spans="1:4" x14ac:dyDescent="0.3">
      <c r="A3007" s="58">
        <v>3165008</v>
      </c>
      <c r="B3007" s="58" t="s">
        <v>3917</v>
      </c>
      <c r="C3007" s="59">
        <v>-20.900946349895904</v>
      </c>
      <c r="D3007" s="59">
        <v>-44.503992442730677</v>
      </c>
    </row>
    <row r="3008" spans="1:4" x14ac:dyDescent="0.3">
      <c r="A3008" s="58">
        <v>3165107</v>
      </c>
      <c r="B3008" s="58" t="s">
        <v>3918</v>
      </c>
      <c r="C3008" s="59">
        <v>-20.784994387043152</v>
      </c>
      <c r="D3008" s="59">
        <v>-47.096782971871804</v>
      </c>
    </row>
    <row r="3009" spans="1:4" x14ac:dyDescent="0.3">
      <c r="A3009" s="58">
        <v>3165206</v>
      </c>
      <c r="B3009" s="58" t="s">
        <v>3919</v>
      </c>
      <c r="C3009" s="59">
        <v>-21.720722780225252</v>
      </c>
      <c r="D3009" s="59">
        <v>-44.98700845462168</v>
      </c>
    </row>
    <row r="3010" spans="1:4" x14ac:dyDescent="0.3">
      <c r="A3010" s="58">
        <v>3165305</v>
      </c>
      <c r="B3010" s="58" t="s">
        <v>3920</v>
      </c>
      <c r="C3010" s="59">
        <v>-21.697471837507305</v>
      </c>
      <c r="D3010" s="59">
        <v>-44.454683503552509</v>
      </c>
    </row>
    <row r="3011" spans="1:4" x14ac:dyDescent="0.3">
      <c r="A3011" s="58">
        <v>3165404</v>
      </c>
      <c r="B3011" s="58" t="s">
        <v>3921</v>
      </c>
      <c r="C3011" s="59">
        <v>-22.751596380934203</v>
      </c>
      <c r="D3011" s="59">
        <v>-45.740925737555791</v>
      </c>
    </row>
    <row r="3012" spans="1:4" x14ac:dyDescent="0.3">
      <c r="A3012" s="58">
        <v>3165503</v>
      </c>
      <c r="B3012" s="58" t="s">
        <v>3922</v>
      </c>
      <c r="C3012" s="59">
        <v>-18.783265346876053</v>
      </c>
      <c r="D3012" s="59">
        <v>-42.366129222893527</v>
      </c>
    </row>
    <row r="3013" spans="1:4" x14ac:dyDescent="0.3">
      <c r="A3013" s="58">
        <v>3165537</v>
      </c>
      <c r="B3013" s="58" t="s">
        <v>3923</v>
      </c>
      <c r="C3013" s="59">
        <v>-20.034534920799505</v>
      </c>
      <c r="D3013" s="59">
        <v>-44.145867361276629</v>
      </c>
    </row>
    <row r="3014" spans="1:4" x14ac:dyDescent="0.3">
      <c r="A3014" s="58">
        <v>3165552</v>
      </c>
      <c r="B3014" s="58" t="s">
        <v>3924</v>
      </c>
      <c r="C3014" s="59">
        <v>-17.597019016703886</v>
      </c>
      <c r="D3014" s="59">
        <v>-42.166438310787036</v>
      </c>
    </row>
    <row r="3015" spans="1:4" x14ac:dyDescent="0.3">
      <c r="A3015" s="58">
        <v>3165560</v>
      </c>
      <c r="B3015" s="58" t="s">
        <v>3925</v>
      </c>
      <c r="C3015" s="59">
        <v>-20.102536369222204</v>
      </c>
      <c r="D3015" s="59">
        <v>-42.841901730209344</v>
      </c>
    </row>
    <row r="3016" spans="1:4" x14ac:dyDescent="0.3">
      <c r="A3016" s="58">
        <v>3165578</v>
      </c>
      <c r="B3016" s="58" t="s">
        <v>3926</v>
      </c>
      <c r="C3016" s="59">
        <v>-22.588721566565805</v>
      </c>
      <c r="D3016" s="59">
        <v>-46.180233593797944</v>
      </c>
    </row>
    <row r="3017" spans="1:4" x14ac:dyDescent="0.3">
      <c r="A3017" s="58">
        <v>3165602</v>
      </c>
      <c r="B3017" s="58" t="s">
        <v>3927</v>
      </c>
      <c r="C3017" s="59">
        <v>-21.802516957544054</v>
      </c>
      <c r="D3017" s="59">
        <v>-42.944332099396433</v>
      </c>
    </row>
    <row r="3018" spans="1:4" x14ac:dyDescent="0.3">
      <c r="A3018" s="58">
        <v>3165701</v>
      </c>
      <c r="B3018" s="58" t="s">
        <v>3928</v>
      </c>
      <c r="C3018" s="59">
        <v>-20.918059600315054</v>
      </c>
      <c r="D3018" s="59">
        <v>-43.1041303932776</v>
      </c>
    </row>
    <row r="3019" spans="1:4" x14ac:dyDescent="0.3">
      <c r="A3019" s="58">
        <v>3165800</v>
      </c>
      <c r="B3019" s="58" t="s">
        <v>3929</v>
      </c>
      <c r="C3019" s="59">
        <v>-22.166606677687753</v>
      </c>
      <c r="D3019" s="59">
        <v>-46.179472695833319</v>
      </c>
    </row>
    <row r="3020" spans="1:4" x14ac:dyDescent="0.3">
      <c r="A3020" s="58">
        <v>3165909</v>
      </c>
      <c r="B3020" s="58" t="s">
        <v>3930</v>
      </c>
      <c r="C3020" s="59">
        <v>-17.946024670840405</v>
      </c>
      <c r="D3020" s="59">
        <v>-43.222975471485782</v>
      </c>
    </row>
    <row r="3021" spans="1:4" x14ac:dyDescent="0.3">
      <c r="A3021" s="58">
        <v>3166006</v>
      </c>
      <c r="B3021" s="58" t="s">
        <v>3931</v>
      </c>
      <c r="C3021" s="59">
        <v>-20.793899763181432</v>
      </c>
      <c r="D3021" s="59">
        <v>-43.33773199401508</v>
      </c>
    </row>
    <row r="3022" spans="1:4" x14ac:dyDescent="0.3">
      <c r="A3022" s="58">
        <v>3166105</v>
      </c>
      <c r="B3022" s="58" t="s">
        <v>3932</v>
      </c>
      <c r="C3022" s="59">
        <v>-18.898008019968401</v>
      </c>
      <c r="D3022" s="59">
        <v>-43.081755720779093</v>
      </c>
    </row>
    <row r="3023" spans="1:4" x14ac:dyDescent="0.3">
      <c r="A3023" s="58">
        <v>3166204</v>
      </c>
      <c r="B3023" s="58" t="s">
        <v>3933</v>
      </c>
      <c r="C3023" s="59">
        <v>-21.033082964242354</v>
      </c>
      <c r="D3023" s="59">
        <v>-43.58638195220346</v>
      </c>
    </row>
    <row r="3024" spans="1:4" x14ac:dyDescent="0.3">
      <c r="A3024" s="58">
        <v>3166303</v>
      </c>
      <c r="B3024" s="58" t="s">
        <v>3934</v>
      </c>
      <c r="C3024" s="59">
        <v>-20.471555354465103</v>
      </c>
      <c r="D3024" s="59">
        <v>-42.482007265626727</v>
      </c>
    </row>
    <row r="3025" spans="1:4" x14ac:dyDescent="0.3">
      <c r="A3025" s="58">
        <v>3166402</v>
      </c>
      <c r="B3025" s="58" t="s">
        <v>3935</v>
      </c>
      <c r="C3025" s="59">
        <v>-21.911349277747295</v>
      </c>
      <c r="D3025" s="59">
        <v>-44.521445351754458</v>
      </c>
    </row>
    <row r="3026" spans="1:4" x14ac:dyDescent="0.3">
      <c r="A3026" s="58">
        <v>3166501</v>
      </c>
      <c r="B3026" s="58" t="s">
        <v>3936</v>
      </c>
      <c r="C3026" s="59">
        <v>-18.362279724982404</v>
      </c>
      <c r="D3026" s="59">
        <v>-43.174459309057838</v>
      </c>
    </row>
    <row r="3027" spans="1:4" x14ac:dyDescent="0.3">
      <c r="A3027" s="58">
        <v>3166600</v>
      </c>
      <c r="B3027" s="58" t="s">
        <v>3937</v>
      </c>
      <c r="C3027" s="59">
        <v>-19.440562245750851</v>
      </c>
      <c r="D3027" s="59">
        <v>-45.796589574672097</v>
      </c>
    </row>
    <row r="3028" spans="1:4" x14ac:dyDescent="0.3">
      <c r="A3028" s="58">
        <v>3166709</v>
      </c>
      <c r="B3028" s="58" t="s">
        <v>3938</v>
      </c>
      <c r="C3028" s="59">
        <v>-17.785747018265656</v>
      </c>
      <c r="D3028" s="59">
        <v>-40.243168574940938</v>
      </c>
    </row>
    <row r="3029" spans="1:4" x14ac:dyDescent="0.3">
      <c r="A3029" s="58">
        <v>3166808</v>
      </c>
      <c r="B3029" s="58" t="s">
        <v>3939</v>
      </c>
      <c r="C3029" s="59">
        <v>-19.111795763451301</v>
      </c>
      <c r="D3029" s="59">
        <v>-46.69210872618401</v>
      </c>
    </row>
    <row r="3030" spans="1:4" x14ac:dyDescent="0.3">
      <c r="A3030" s="58">
        <v>3166907</v>
      </c>
      <c r="B3030" s="58" t="s">
        <v>3940</v>
      </c>
      <c r="C3030" s="59">
        <v>-21.546680651974654</v>
      </c>
      <c r="D3030" s="59">
        <v>-46.04314493578071</v>
      </c>
    </row>
    <row r="3031" spans="1:4" x14ac:dyDescent="0.3">
      <c r="A3031" s="58">
        <v>3166956</v>
      </c>
      <c r="B3031" s="58" t="s">
        <v>3941</v>
      </c>
      <c r="C3031" s="59">
        <v>-15.808783782071854</v>
      </c>
      <c r="D3031" s="59">
        <v>-42.874386393071681</v>
      </c>
    </row>
    <row r="3032" spans="1:4" x14ac:dyDescent="0.3">
      <c r="A3032" s="58">
        <v>3167004</v>
      </c>
      <c r="B3032" s="58" t="s">
        <v>3942</v>
      </c>
      <c r="C3032" s="59">
        <v>-21.888781797905853</v>
      </c>
      <c r="D3032" s="59">
        <v>-44.506754164736869</v>
      </c>
    </row>
    <row r="3033" spans="1:4" x14ac:dyDescent="0.3">
      <c r="A3033" s="58">
        <v>3167103</v>
      </c>
      <c r="B3033" s="58" t="s">
        <v>3943</v>
      </c>
      <c r="C3033" s="59">
        <v>-18.604442245340053</v>
      </c>
      <c r="D3033" s="59">
        <v>-43.388631268083437</v>
      </c>
    </row>
    <row r="3034" spans="1:4" x14ac:dyDescent="0.3">
      <c r="A3034" s="58">
        <v>3167202</v>
      </c>
      <c r="B3034" s="58" t="s">
        <v>3944</v>
      </c>
      <c r="C3034" s="59">
        <v>-19.458287418750754</v>
      </c>
      <c r="D3034" s="59">
        <v>-44.239594615620966</v>
      </c>
    </row>
    <row r="3035" spans="1:4" x14ac:dyDescent="0.3">
      <c r="A3035" s="58">
        <v>3167301</v>
      </c>
      <c r="B3035" s="58" t="s">
        <v>3945</v>
      </c>
      <c r="C3035" s="59">
        <v>-21.164637538520203</v>
      </c>
      <c r="D3035" s="59">
        <v>-43.217878469846013</v>
      </c>
    </row>
    <row r="3036" spans="1:4" x14ac:dyDescent="0.3">
      <c r="A3036" s="58">
        <v>3167400</v>
      </c>
      <c r="B3036" s="58" t="s">
        <v>3946</v>
      </c>
      <c r="C3036" s="59">
        <v>-22.027997263856253</v>
      </c>
      <c r="D3036" s="59">
        <v>-45.832447145567777</v>
      </c>
    </row>
    <row r="3037" spans="1:4" x14ac:dyDescent="0.3">
      <c r="A3037" s="58">
        <v>3167509</v>
      </c>
      <c r="B3037" s="58" t="s">
        <v>3947</v>
      </c>
      <c r="C3037" s="59">
        <v>-21.9648567892045</v>
      </c>
      <c r="D3037" s="59">
        <v>-43.31495581262115</v>
      </c>
    </row>
    <row r="3038" spans="1:4" x14ac:dyDescent="0.3">
      <c r="A3038" s="58">
        <v>3167608</v>
      </c>
      <c r="B3038" s="58" t="s">
        <v>3948</v>
      </c>
      <c r="C3038" s="59">
        <v>-20.122029597393702</v>
      </c>
      <c r="D3038" s="59">
        <v>-42.003856748696826</v>
      </c>
    </row>
    <row r="3039" spans="1:4" x14ac:dyDescent="0.3">
      <c r="A3039" s="58">
        <v>3167707</v>
      </c>
      <c r="B3039" s="58" t="s">
        <v>3949</v>
      </c>
      <c r="C3039" s="59">
        <v>-19.235549287903854</v>
      </c>
      <c r="D3039" s="59">
        <v>-42.098653839718899</v>
      </c>
    </row>
    <row r="3040" spans="1:4" x14ac:dyDescent="0.3">
      <c r="A3040" s="58">
        <v>3167806</v>
      </c>
      <c r="B3040" s="58" t="s">
        <v>3950</v>
      </c>
      <c r="C3040" s="59">
        <v>-22.059206405782053</v>
      </c>
      <c r="D3040" s="59">
        <v>-45.041022641962783</v>
      </c>
    </row>
    <row r="3041" spans="1:4" x14ac:dyDescent="0.3">
      <c r="A3041" s="58">
        <v>3167905</v>
      </c>
      <c r="B3041" s="58" t="s">
        <v>3951</v>
      </c>
      <c r="C3041" s="59">
        <v>-21.357577659441553</v>
      </c>
      <c r="D3041" s="59">
        <v>-43.245605264616678</v>
      </c>
    </row>
    <row r="3042" spans="1:4" x14ac:dyDescent="0.3">
      <c r="A3042" s="58">
        <v>3168002</v>
      </c>
      <c r="B3042" s="58" t="s">
        <v>3952</v>
      </c>
      <c r="C3042" s="59">
        <v>-15.811521437656753</v>
      </c>
      <c r="D3042" s="59">
        <v>-42.227915545579329</v>
      </c>
    </row>
    <row r="3043" spans="1:4" x14ac:dyDescent="0.3">
      <c r="A3043" s="58">
        <v>3168051</v>
      </c>
      <c r="B3043" s="58" t="s">
        <v>3953</v>
      </c>
      <c r="C3043" s="59">
        <v>-19.761469584343857</v>
      </c>
      <c r="D3043" s="59">
        <v>-41.615858130647354</v>
      </c>
    </row>
    <row r="3044" spans="1:4" x14ac:dyDescent="0.3">
      <c r="A3044" s="58">
        <v>3168101</v>
      </c>
      <c r="B3044" s="58" t="s">
        <v>3954</v>
      </c>
      <c r="C3044" s="59">
        <v>-19.92557921831725</v>
      </c>
      <c r="D3044" s="59">
        <v>-46.821915362183262</v>
      </c>
    </row>
    <row r="3045" spans="1:4" x14ac:dyDescent="0.3">
      <c r="A3045" s="58">
        <v>3168200</v>
      </c>
      <c r="B3045" s="58" t="s">
        <v>3955</v>
      </c>
      <c r="C3045" s="59">
        <v>-19.885805606880105</v>
      </c>
      <c r="D3045" s="59">
        <v>-46.018570209812133</v>
      </c>
    </row>
    <row r="3046" spans="1:4" x14ac:dyDescent="0.3">
      <c r="A3046" s="58">
        <v>3168309</v>
      </c>
      <c r="B3046" s="58" t="s">
        <v>3956</v>
      </c>
      <c r="C3046" s="59">
        <v>-19.673848048413053</v>
      </c>
      <c r="D3046" s="59">
        <v>-43.687142789668776</v>
      </c>
    </row>
    <row r="3047" spans="1:4" x14ac:dyDescent="0.3">
      <c r="A3047" s="58">
        <v>3168408</v>
      </c>
      <c r="B3047" s="58" t="s">
        <v>3957</v>
      </c>
      <c r="C3047" s="59">
        <v>-19.281494872784403</v>
      </c>
      <c r="D3047" s="59">
        <v>-42.007734577441234</v>
      </c>
    </row>
    <row r="3048" spans="1:4" x14ac:dyDescent="0.3">
      <c r="A3048" s="58">
        <v>3168507</v>
      </c>
      <c r="B3048" s="58" t="s">
        <v>3958</v>
      </c>
      <c r="C3048" s="59">
        <v>-20.649066525092159</v>
      </c>
      <c r="D3048" s="59">
        <v>-42.862643804410688</v>
      </c>
    </row>
    <row r="3049" spans="1:4" x14ac:dyDescent="0.3">
      <c r="A3049" s="58">
        <v>3168606</v>
      </c>
      <c r="B3049" s="58" t="s">
        <v>3959</v>
      </c>
      <c r="C3049" s="59">
        <v>-17.862539808014002</v>
      </c>
      <c r="D3049" s="59">
        <v>-41.509635165789696</v>
      </c>
    </row>
    <row r="3050" spans="1:4" x14ac:dyDescent="0.3">
      <c r="A3050" s="58">
        <v>3168705</v>
      </c>
      <c r="B3050" s="58" t="s">
        <v>3960</v>
      </c>
      <c r="C3050" s="59">
        <v>-19.584050358507803</v>
      </c>
      <c r="D3050" s="59">
        <v>-42.643942310806757</v>
      </c>
    </row>
    <row r="3051" spans="1:4" x14ac:dyDescent="0.3">
      <c r="A3051" s="58">
        <v>3168804</v>
      </c>
      <c r="B3051" s="58" t="s">
        <v>3961</v>
      </c>
      <c r="C3051" s="59">
        <v>-21.107043436754957</v>
      </c>
      <c r="D3051" s="59">
        <v>-44.172692381106664</v>
      </c>
    </row>
    <row r="3052" spans="1:4" x14ac:dyDescent="0.3">
      <c r="A3052" s="58">
        <v>3168903</v>
      </c>
      <c r="B3052" s="58" t="s">
        <v>3962</v>
      </c>
      <c r="C3052" s="59">
        <v>-19.003917380069804</v>
      </c>
      <c r="D3052" s="59">
        <v>-45.963551099152639</v>
      </c>
    </row>
    <row r="3053" spans="1:4" x14ac:dyDescent="0.3">
      <c r="A3053" s="58">
        <v>3169000</v>
      </c>
      <c r="B3053" s="58" t="s">
        <v>3963</v>
      </c>
      <c r="C3053" s="59">
        <v>-21.175549526018958</v>
      </c>
      <c r="D3053" s="59">
        <v>-43.01869950839113</v>
      </c>
    </row>
    <row r="3054" spans="1:4" x14ac:dyDescent="0.3">
      <c r="A3054" s="58">
        <v>3169059</v>
      </c>
      <c r="B3054" s="58" t="s">
        <v>3964</v>
      </c>
      <c r="C3054" s="59">
        <v>-22.371645594738453</v>
      </c>
      <c r="D3054" s="59">
        <v>-46.096446800741724</v>
      </c>
    </row>
    <row r="3055" spans="1:4" x14ac:dyDescent="0.3">
      <c r="A3055" s="58">
        <v>3169109</v>
      </c>
      <c r="B3055" s="58" t="s">
        <v>3965</v>
      </c>
      <c r="C3055" s="59">
        <v>-22.743394808070704</v>
      </c>
      <c r="D3055" s="59">
        <v>-46.378972656494277</v>
      </c>
    </row>
    <row r="3056" spans="1:4" x14ac:dyDescent="0.3">
      <c r="A3056" s="58">
        <v>3169208</v>
      </c>
      <c r="B3056" s="58" t="s">
        <v>3966</v>
      </c>
      <c r="C3056" s="59">
        <v>-20.902589225088104</v>
      </c>
      <c r="D3056" s="59">
        <v>-42.014681621078296</v>
      </c>
    </row>
    <row r="3057" spans="1:4" x14ac:dyDescent="0.3">
      <c r="A3057" s="58">
        <v>3169307</v>
      </c>
      <c r="B3057" s="58" t="s">
        <v>3967</v>
      </c>
      <c r="C3057" s="59">
        <v>-21.695965776909304</v>
      </c>
      <c r="D3057" s="59">
        <v>-45.254936873167047</v>
      </c>
    </row>
    <row r="3058" spans="1:4" x14ac:dyDescent="0.3">
      <c r="A3058" s="58">
        <v>3169356</v>
      </c>
      <c r="B3058" s="58" t="s">
        <v>3968</v>
      </c>
      <c r="C3058" s="59">
        <v>-18.205921224017402</v>
      </c>
      <c r="D3058" s="59">
        <v>-45.225735246741465</v>
      </c>
    </row>
    <row r="3059" spans="1:4" x14ac:dyDescent="0.3">
      <c r="A3059" s="58">
        <v>3169406</v>
      </c>
      <c r="B3059" s="58" t="s">
        <v>3969</v>
      </c>
      <c r="C3059" s="59">
        <v>-21.368769921651804</v>
      </c>
      <c r="D3059" s="59">
        <v>-45.515474797041044</v>
      </c>
    </row>
    <row r="3060" spans="1:4" x14ac:dyDescent="0.3">
      <c r="A3060" s="58">
        <v>3169505</v>
      </c>
      <c r="B3060" s="58" t="s">
        <v>3970</v>
      </c>
      <c r="C3060" s="59">
        <v>-18.976607661169453</v>
      </c>
      <c r="D3060" s="59">
        <v>-41.637980479358575</v>
      </c>
    </row>
    <row r="3061" spans="1:4" x14ac:dyDescent="0.3">
      <c r="A3061" s="58">
        <v>3169604</v>
      </c>
      <c r="B3061" s="58" t="s">
        <v>3971</v>
      </c>
      <c r="C3061" s="59">
        <v>-18.599352564442952</v>
      </c>
      <c r="D3061" s="59">
        <v>-48.693735880205899</v>
      </c>
    </row>
    <row r="3062" spans="1:4" x14ac:dyDescent="0.3">
      <c r="A3062" s="58">
        <v>3169703</v>
      </c>
      <c r="B3062" s="58" t="s">
        <v>3972</v>
      </c>
      <c r="C3062" s="59">
        <v>-17.286412094275203</v>
      </c>
      <c r="D3062" s="59">
        <v>-42.730414544790278</v>
      </c>
    </row>
    <row r="3063" spans="1:4" x14ac:dyDescent="0.3">
      <c r="A3063" s="58">
        <v>3169802</v>
      </c>
      <c r="B3063" s="58" t="s">
        <v>3973</v>
      </c>
      <c r="C3063" s="59">
        <v>-21.879389005663853</v>
      </c>
      <c r="D3063" s="59">
        <v>-45.796735792709036</v>
      </c>
    </row>
    <row r="3064" spans="1:4" x14ac:dyDescent="0.3">
      <c r="A3064" s="58">
        <v>3169901</v>
      </c>
      <c r="B3064" s="58" t="s">
        <v>3974</v>
      </c>
      <c r="C3064" s="59">
        <v>-21.118596951497803</v>
      </c>
      <c r="D3064" s="59">
        <v>-42.936786464392043</v>
      </c>
    </row>
    <row r="3065" spans="1:4" x14ac:dyDescent="0.3">
      <c r="A3065" s="58">
        <v>3170008</v>
      </c>
      <c r="B3065" s="58" t="s">
        <v>3975</v>
      </c>
      <c r="C3065" s="59">
        <v>-16.297404520945854</v>
      </c>
      <c r="D3065" s="59">
        <v>-44.787086205494113</v>
      </c>
    </row>
    <row r="3066" spans="1:4" x14ac:dyDescent="0.3">
      <c r="A3066" s="58">
        <v>3170057</v>
      </c>
      <c r="B3066" s="58" t="s">
        <v>3976</v>
      </c>
      <c r="C3066" s="59">
        <v>-19.641362004921053</v>
      </c>
      <c r="D3066" s="59">
        <v>-42.109216327090891</v>
      </c>
    </row>
    <row r="3067" spans="1:4" x14ac:dyDescent="0.3">
      <c r="A3067" s="58">
        <v>3170107</v>
      </c>
      <c r="B3067" s="58" t="s">
        <v>3977</v>
      </c>
      <c r="C3067" s="59">
        <v>-19.713534607102051</v>
      </c>
      <c r="D3067" s="59">
        <v>-47.983624895574245</v>
      </c>
    </row>
    <row r="3068" spans="1:4" x14ac:dyDescent="0.3">
      <c r="A3068" s="58">
        <v>3170206</v>
      </c>
      <c r="B3068" s="58" t="s">
        <v>3978</v>
      </c>
      <c r="C3068" s="59">
        <v>-18.918998609305604</v>
      </c>
      <c r="D3068" s="59">
        <v>-48.277950184734472</v>
      </c>
    </row>
    <row r="3069" spans="1:4" x14ac:dyDescent="0.3">
      <c r="A3069" s="58">
        <v>3170305</v>
      </c>
      <c r="B3069" s="58" t="s">
        <v>3979</v>
      </c>
      <c r="C3069" s="59">
        <v>-17.253607210291452</v>
      </c>
      <c r="D3069" s="59">
        <v>-40.572645020522792</v>
      </c>
    </row>
    <row r="3070" spans="1:4" x14ac:dyDescent="0.3">
      <c r="A3070" s="58">
        <v>3170404</v>
      </c>
      <c r="B3070" s="58" t="s">
        <v>3980</v>
      </c>
      <c r="C3070" s="59">
        <v>-16.359008492497701</v>
      </c>
      <c r="D3070" s="59">
        <v>-46.899956595284984</v>
      </c>
    </row>
    <row r="3071" spans="1:4" x14ac:dyDescent="0.3">
      <c r="A3071" s="58">
        <v>3170438</v>
      </c>
      <c r="B3071" s="58" t="s">
        <v>3981</v>
      </c>
      <c r="C3071" s="59">
        <v>-19.529736644128452</v>
      </c>
      <c r="D3071" s="59">
        <v>-50.33080294135442</v>
      </c>
    </row>
    <row r="3072" spans="1:4" x14ac:dyDescent="0.3">
      <c r="A3072" s="58">
        <v>3170479</v>
      </c>
      <c r="B3072" s="58" t="s">
        <v>3982</v>
      </c>
      <c r="C3072" s="59">
        <v>-16.060025197128756</v>
      </c>
      <c r="D3072" s="59">
        <v>-46.256228873446645</v>
      </c>
    </row>
    <row r="3073" spans="1:4" x14ac:dyDescent="0.3">
      <c r="A3073" s="58">
        <v>3170503</v>
      </c>
      <c r="B3073" s="58" t="s">
        <v>3983</v>
      </c>
      <c r="C3073" s="59">
        <v>-20.350870415719701</v>
      </c>
      <c r="D3073" s="59">
        <v>-42.741228451710619</v>
      </c>
    </row>
    <row r="3074" spans="1:4" x14ac:dyDescent="0.3">
      <c r="A3074" s="58">
        <v>3170529</v>
      </c>
      <c r="B3074" s="58" t="s">
        <v>3984</v>
      </c>
      <c r="C3074" s="59">
        <v>-16.132091016993098</v>
      </c>
      <c r="D3074" s="59">
        <v>-45.737028184367468</v>
      </c>
    </row>
    <row r="3075" spans="1:4" x14ac:dyDescent="0.3">
      <c r="A3075" s="58">
        <v>3170578</v>
      </c>
      <c r="B3075" s="58" t="s">
        <v>3985</v>
      </c>
      <c r="C3075" s="59">
        <v>-19.600720204109503</v>
      </c>
      <c r="D3075" s="59">
        <v>-42.299815482251731</v>
      </c>
    </row>
    <row r="3076" spans="1:4" x14ac:dyDescent="0.3">
      <c r="A3076" s="58">
        <v>3170602</v>
      </c>
      <c r="B3076" s="58" t="s">
        <v>3986</v>
      </c>
      <c r="C3076" s="59">
        <v>-20.326776648408753</v>
      </c>
      <c r="D3076" s="59">
        <v>-46.372456979448494</v>
      </c>
    </row>
    <row r="3077" spans="1:4" x14ac:dyDescent="0.3">
      <c r="A3077" s="58">
        <v>3170651</v>
      </c>
      <c r="B3077" s="58" t="s">
        <v>3987</v>
      </c>
      <c r="C3077" s="59">
        <v>-15.402400615917351</v>
      </c>
      <c r="D3077" s="59">
        <v>-42.309290866284201</v>
      </c>
    </row>
    <row r="3078" spans="1:4" x14ac:dyDescent="0.3">
      <c r="A3078" s="58">
        <v>3170701</v>
      </c>
      <c r="B3078" s="58" t="s">
        <v>3988</v>
      </c>
      <c r="C3078" s="59">
        <v>-21.557080039063354</v>
      </c>
      <c r="D3078" s="59">
        <v>-45.43188614427855</v>
      </c>
    </row>
    <row r="3079" spans="1:4" x14ac:dyDescent="0.3">
      <c r="A3079" s="58">
        <v>3170750</v>
      </c>
      <c r="B3079" s="58" t="s">
        <v>3989</v>
      </c>
      <c r="C3079" s="59">
        <v>-18.383704463781054</v>
      </c>
      <c r="D3079" s="59">
        <v>-46.033501545730978</v>
      </c>
    </row>
    <row r="3080" spans="1:4" x14ac:dyDescent="0.3">
      <c r="A3080" s="58">
        <v>3170800</v>
      </c>
      <c r="B3080" s="58" t="s">
        <v>3990</v>
      </c>
      <c r="C3080" s="59">
        <v>-17.597570177090454</v>
      </c>
      <c r="D3080" s="59">
        <v>-44.730346582732288</v>
      </c>
    </row>
    <row r="3081" spans="1:4" x14ac:dyDescent="0.3">
      <c r="A3081" s="58">
        <v>3170909</v>
      </c>
      <c r="B3081" s="58" t="s">
        <v>3991</v>
      </c>
      <c r="C3081" s="59">
        <v>-15.7088710522808</v>
      </c>
      <c r="D3081" s="59">
        <v>-44.027948143227029</v>
      </c>
    </row>
    <row r="3082" spans="1:4" x14ac:dyDescent="0.3">
      <c r="A3082" s="58">
        <v>3171006</v>
      </c>
      <c r="B3082" s="58" t="s">
        <v>3992</v>
      </c>
      <c r="C3082" s="59">
        <v>-17.991038430243851</v>
      </c>
      <c r="D3082" s="59">
        <v>-46.901966885847962</v>
      </c>
    </row>
    <row r="3083" spans="1:4" x14ac:dyDescent="0.3">
      <c r="A3083" s="58">
        <v>3171030</v>
      </c>
      <c r="B3083" s="58" t="s">
        <v>3993</v>
      </c>
      <c r="C3083" s="59">
        <v>-15.594542347344403</v>
      </c>
      <c r="D3083" s="59">
        <v>-43.606022262399698</v>
      </c>
    </row>
    <row r="3084" spans="1:4" x14ac:dyDescent="0.3">
      <c r="A3084" s="58">
        <v>3171071</v>
      </c>
      <c r="B3084" s="58" t="s">
        <v>3994</v>
      </c>
      <c r="C3084" s="59">
        <v>-17.393969080340501</v>
      </c>
      <c r="D3084" s="59">
        <v>-42.735930240024729</v>
      </c>
    </row>
    <row r="3085" spans="1:4" x14ac:dyDescent="0.3">
      <c r="A3085" s="58">
        <v>3171105</v>
      </c>
      <c r="B3085" s="58" t="s">
        <v>3995</v>
      </c>
      <c r="C3085" s="59">
        <v>-19.669357832615002</v>
      </c>
      <c r="D3085" s="59">
        <v>-48.303710580260976</v>
      </c>
    </row>
    <row r="3086" spans="1:4" x14ac:dyDescent="0.3">
      <c r="A3086" s="58">
        <v>3171154</v>
      </c>
      <c r="B3086" s="58" t="s">
        <v>3996</v>
      </c>
      <c r="C3086" s="59">
        <v>-20.034766088254152</v>
      </c>
      <c r="D3086" s="59">
        <v>-42.268345817397275</v>
      </c>
    </row>
    <row r="3087" spans="1:4" x14ac:dyDescent="0.3">
      <c r="A3087" s="58">
        <v>3171204</v>
      </c>
      <c r="B3087" s="58" t="s">
        <v>3997</v>
      </c>
      <c r="C3087" s="59">
        <v>-19.693030439771253</v>
      </c>
      <c r="D3087" s="59">
        <v>-43.919915186737846</v>
      </c>
    </row>
    <row r="3088" spans="1:4" x14ac:dyDescent="0.3">
      <c r="A3088" s="58">
        <v>3171303</v>
      </c>
      <c r="B3088" s="58" t="s">
        <v>2245</v>
      </c>
      <c r="C3088" s="59">
        <v>-20.752072007029252</v>
      </c>
      <c r="D3088" s="59">
        <v>-42.879477375670859</v>
      </c>
    </row>
    <row r="3089" spans="1:4" x14ac:dyDescent="0.3">
      <c r="A3089" s="58">
        <v>3171402</v>
      </c>
      <c r="B3089" s="58" t="s">
        <v>3998</v>
      </c>
      <c r="C3089" s="59">
        <v>-20.865340693219707</v>
      </c>
      <c r="D3089" s="59">
        <v>-42.245803542323152</v>
      </c>
    </row>
    <row r="3090" spans="1:4" x14ac:dyDescent="0.3">
      <c r="A3090" s="58">
        <v>3171501</v>
      </c>
      <c r="B3090" s="58" t="s">
        <v>3999</v>
      </c>
      <c r="C3090" s="59">
        <v>-18.579588908262604</v>
      </c>
      <c r="D3090" s="59">
        <v>-41.92336046091679</v>
      </c>
    </row>
    <row r="3091" spans="1:4" x14ac:dyDescent="0.3">
      <c r="A3091" s="58">
        <v>3171600</v>
      </c>
      <c r="B3091" s="58" t="s">
        <v>4000</v>
      </c>
      <c r="C3091" s="59">
        <v>-16.802148857031256</v>
      </c>
      <c r="D3091" s="59">
        <v>-42.343281066566156</v>
      </c>
    </row>
    <row r="3092" spans="1:4" x14ac:dyDescent="0.3">
      <c r="A3092" s="58">
        <v>3171709</v>
      </c>
      <c r="B3092" s="58" t="s">
        <v>4001</v>
      </c>
      <c r="C3092" s="59">
        <v>-22.336972066806858</v>
      </c>
      <c r="D3092" s="59">
        <v>-45.095425162955806</v>
      </c>
    </row>
    <row r="3093" spans="1:4" x14ac:dyDescent="0.3">
      <c r="A3093" s="58">
        <v>3171808</v>
      </c>
      <c r="B3093" s="58" t="s">
        <v>4002</v>
      </c>
      <c r="C3093" s="59">
        <v>-18.825140392548054</v>
      </c>
      <c r="D3093" s="59">
        <v>-42.714804470327067</v>
      </c>
    </row>
    <row r="3094" spans="1:4" x14ac:dyDescent="0.3">
      <c r="A3094" s="58">
        <v>3171907</v>
      </c>
      <c r="B3094" s="58" t="s">
        <v>4003</v>
      </c>
      <c r="C3094" s="59">
        <v>-18.476061704788055</v>
      </c>
      <c r="D3094" s="59">
        <v>-42.310810037318518</v>
      </c>
    </row>
    <row r="3095" spans="1:4" x14ac:dyDescent="0.3">
      <c r="A3095" s="58">
        <v>3172004</v>
      </c>
      <c r="B3095" s="58" t="s">
        <v>4004</v>
      </c>
      <c r="C3095" s="59">
        <v>-21.0119895771312</v>
      </c>
      <c r="D3095" s="59">
        <v>-42.839389391001568</v>
      </c>
    </row>
    <row r="3096" spans="1:4" x14ac:dyDescent="0.3">
      <c r="A3096" s="58">
        <v>3172103</v>
      </c>
      <c r="B3096" s="58" t="s">
        <v>4005</v>
      </c>
      <c r="C3096" s="59">
        <v>-21.770711149206804</v>
      </c>
      <c r="D3096" s="59">
        <v>-42.541284947387545</v>
      </c>
    </row>
    <row r="3097" spans="1:4" x14ac:dyDescent="0.3">
      <c r="A3097" s="58">
        <v>3172202</v>
      </c>
      <c r="B3097" s="58" t="s">
        <v>4006</v>
      </c>
      <c r="C3097" s="59">
        <v>-22.529013039655652</v>
      </c>
      <c r="D3097" s="59">
        <v>-45.356773953052809</v>
      </c>
    </row>
    <row r="3098" spans="1:4" x14ac:dyDescent="0.3">
      <c r="A3098" s="58">
        <v>3200102</v>
      </c>
      <c r="B3098" s="58" t="s">
        <v>4007</v>
      </c>
      <c r="C3098" s="59">
        <v>-20.077040009896901</v>
      </c>
      <c r="D3098" s="59">
        <v>-41.125459717168944</v>
      </c>
    </row>
    <row r="3099" spans="1:4" x14ac:dyDescent="0.3">
      <c r="A3099" s="58">
        <v>3200136</v>
      </c>
      <c r="B3099" s="58" t="s">
        <v>4008</v>
      </c>
      <c r="C3099" s="59">
        <v>-18.987361369525253</v>
      </c>
      <c r="D3099" s="59">
        <v>-40.736638167374949</v>
      </c>
    </row>
    <row r="3100" spans="1:4" x14ac:dyDescent="0.3">
      <c r="A3100" s="58">
        <v>3200169</v>
      </c>
      <c r="B3100" s="58" t="s">
        <v>4009</v>
      </c>
      <c r="C3100" s="59">
        <v>-18.5455464912766</v>
      </c>
      <c r="D3100" s="59">
        <v>-40.976455911881963</v>
      </c>
    </row>
    <row r="3101" spans="1:4" x14ac:dyDescent="0.3">
      <c r="A3101" s="58">
        <v>3200201</v>
      </c>
      <c r="B3101" s="58" t="s">
        <v>4010</v>
      </c>
      <c r="C3101" s="59">
        <v>-20.763265135122602</v>
      </c>
      <c r="D3101" s="59">
        <v>-41.536488318766317</v>
      </c>
    </row>
    <row r="3102" spans="1:4" x14ac:dyDescent="0.3">
      <c r="A3102" s="58">
        <v>3200300</v>
      </c>
      <c r="B3102" s="58" t="s">
        <v>4011</v>
      </c>
      <c r="C3102" s="59">
        <v>-20.630347537231987</v>
      </c>
      <c r="D3102" s="59">
        <v>-40.76004964639111</v>
      </c>
    </row>
    <row r="3103" spans="1:4" x14ac:dyDescent="0.3">
      <c r="A3103" s="58">
        <v>3200359</v>
      </c>
      <c r="B3103" s="58" t="s">
        <v>4012</v>
      </c>
      <c r="C3103" s="59">
        <v>-19.057499605620404</v>
      </c>
      <c r="D3103" s="59">
        <v>-41.018684343341803</v>
      </c>
    </row>
    <row r="3104" spans="1:4" x14ac:dyDescent="0.3">
      <c r="A3104" s="58">
        <v>3200409</v>
      </c>
      <c r="B3104" s="58" t="s">
        <v>4013</v>
      </c>
      <c r="C3104" s="59">
        <v>-20.8056132241888</v>
      </c>
      <c r="D3104" s="59">
        <v>-40.647658942202654</v>
      </c>
    </row>
    <row r="3105" spans="1:4" x14ac:dyDescent="0.3">
      <c r="A3105" s="58">
        <v>3200508</v>
      </c>
      <c r="B3105" s="58" t="s">
        <v>4014</v>
      </c>
      <c r="C3105" s="59">
        <v>-21.156447885261802</v>
      </c>
      <c r="D3105" s="59">
        <v>-41.563379760861835</v>
      </c>
    </row>
    <row r="3106" spans="1:4" x14ac:dyDescent="0.3">
      <c r="A3106" s="58">
        <v>3200607</v>
      </c>
      <c r="B3106" s="58" t="s">
        <v>4015</v>
      </c>
      <c r="C3106" s="59">
        <v>-19.823277740446702</v>
      </c>
      <c r="D3106" s="59">
        <v>-40.276223376362431</v>
      </c>
    </row>
    <row r="3107" spans="1:4" x14ac:dyDescent="0.3">
      <c r="A3107" s="58">
        <v>3200706</v>
      </c>
      <c r="B3107" s="58" t="s">
        <v>4016</v>
      </c>
      <c r="C3107" s="59">
        <v>-20.915896620209907</v>
      </c>
      <c r="D3107" s="59">
        <v>-41.191241909454412</v>
      </c>
    </row>
    <row r="3108" spans="1:4" x14ac:dyDescent="0.3">
      <c r="A3108" s="58">
        <v>3200805</v>
      </c>
      <c r="B3108" s="58" t="s">
        <v>4017</v>
      </c>
      <c r="C3108" s="59">
        <v>-19.514246128619053</v>
      </c>
      <c r="D3108" s="59">
        <v>-41.012067735901205</v>
      </c>
    </row>
    <row r="3109" spans="1:4" x14ac:dyDescent="0.3">
      <c r="A3109" s="58">
        <v>3200904</v>
      </c>
      <c r="B3109" s="58" t="s">
        <v>4018</v>
      </c>
      <c r="C3109" s="59">
        <v>-18.759089053331252</v>
      </c>
      <c r="D3109" s="59">
        <v>-40.890398623960024</v>
      </c>
    </row>
    <row r="3110" spans="1:4" x14ac:dyDescent="0.3">
      <c r="A3110" s="58">
        <v>3201001</v>
      </c>
      <c r="B3110" s="58" t="s">
        <v>3248</v>
      </c>
      <c r="C3110" s="59">
        <v>-18.538715162204053</v>
      </c>
      <c r="D3110" s="59">
        <v>-40.302955643101278</v>
      </c>
    </row>
    <row r="3111" spans="1:4" x14ac:dyDescent="0.3">
      <c r="A3111" s="58">
        <v>3201100</v>
      </c>
      <c r="B3111" s="58" t="s">
        <v>4019</v>
      </c>
      <c r="C3111" s="59">
        <v>-21.129341788413004</v>
      </c>
      <c r="D3111" s="59">
        <v>-41.675810507765412</v>
      </c>
    </row>
    <row r="3112" spans="1:4" x14ac:dyDescent="0.3">
      <c r="A3112" s="58">
        <v>3201159</v>
      </c>
      <c r="B3112" s="58" t="s">
        <v>4020</v>
      </c>
      <c r="C3112" s="59">
        <v>-20.157034186191051</v>
      </c>
      <c r="D3112" s="59">
        <v>-41.289676528511208</v>
      </c>
    </row>
    <row r="3113" spans="1:4" x14ac:dyDescent="0.3">
      <c r="A3113" s="58">
        <v>3201209</v>
      </c>
      <c r="B3113" s="58" t="s">
        <v>4021</v>
      </c>
      <c r="C3113" s="59">
        <v>-20.850112349692051</v>
      </c>
      <c r="D3113" s="59">
        <v>-41.11191881044261</v>
      </c>
    </row>
    <row r="3114" spans="1:4" x14ac:dyDescent="0.3">
      <c r="A3114" s="58">
        <v>3201308</v>
      </c>
      <c r="B3114" s="58" t="s">
        <v>4022</v>
      </c>
      <c r="C3114" s="59">
        <v>-20.294677796517153</v>
      </c>
      <c r="D3114" s="59">
        <v>-40.390559104677514</v>
      </c>
    </row>
    <row r="3115" spans="1:4" x14ac:dyDescent="0.3">
      <c r="A3115" s="58">
        <v>3201407</v>
      </c>
      <c r="B3115" s="58" t="s">
        <v>4023</v>
      </c>
      <c r="C3115" s="59">
        <v>-20.602065086052004</v>
      </c>
      <c r="D3115" s="59">
        <v>-41.202212703976251</v>
      </c>
    </row>
    <row r="3116" spans="1:4" x14ac:dyDescent="0.3">
      <c r="A3116" s="58">
        <v>3201506</v>
      </c>
      <c r="B3116" s="58" t="s">
        <v>4024</v>
      </c>
      <c r="C3116" s="59">
        <v>-19.536270083621655</v>
      </c>
      <c r="D3116" s="59">
        <v>-40.63031755403194</v>
      </c>
    </row>
    <row r="3117" spans="1:4" x14ac:dyDescent="0.3">
      <c r="A3117" s="58">
        <v>3201605</v>
      </c>
      <c r="B3117" s="58" t="s">
        <v>4025</v>
      </c>
      <c r="C3117" s="59">
        <v>-18.598462300899701</v>
      </c>
      <c r="D3117" s="59">
        <v>-39.727474419438906</v>
      </c>
    </row>
    <row r="3118" spans="1:4" x14ac:dyDescent="0.3">
      <c r="A3118" s="58">
        <v>3201704</v>
      </c>
      <c r="B3118" s="58" t="s">
        <v>4026</v>
      </c>
      <c r="C3118" s="59">
        <v>-20.365581113809856</v>
      </c>
      <c r="D3118" s="59">
        <v>-41.245348041194099</v>
      </c>
    </row>
    <row r="3119" spans="1:4" x14ac:dyDescent="0.3">
      <c r="A3119" s="58">
        <v>3201803</v>
      </c>
      <c r="B3119" s="58" t="s">
        <v>4027</v>
      </c>
      <c r="C3119" s="59">
        <v>-20.620470651850301</v>
      </c>
      <c r="D3119" s="59">
        <v>-41.679976328320691</v>
      </c>
    </row>
    <row r="3120" spans="1:4" x14ac:dyDescent="0.3">
      <c r="A3120" s="58">
        <v>3201902</v>
      </c>
      <c r="B3120" s="58" t="s">
        <v>4028</v>
      </c>
      <c r="C3120" s="59">
        <v>-20.364238522378553</v>
      </c>
      <c r="D3120" s="59">
        <v>-40.659396354581062</v>
      </c>
    </row>
    <row r="3121" spans="1:4" x14ac:dyDescent="0.3">
      <c r="A3121" s="58">
        <v>3202009</v>
      </c>
      <c r="B3121" s="58" t="s">
        <v>4029</v>
      </c>
      <c r="C3121" s="59">
        <v>-20.692893905302956</v>
      </c>
      <c r="D3121" s="59">
        <v>-41.8495773624823</v>
      </c>
    </row>
    <row r="3122" spans="1:4" x14ac:dyDescent="0.3">
      <c r="A3122" s="58">
        <v>3202108</v>
      </c>
      <c r="B3122" s="58" t="s">
        <v>4030</v>
      </c>
      <c r="C3122" s="59">
        <v>-18.375252379510801</v>
      </c>
      <c r="D3122" s="59">
        <v>-40.830081159336224</v>
      </c>
    </row>
    <row r="3123" spans="1:4" x14ac:dyDescent="0.3">
      <c r="A3123" s="58">
        <v>3202207</v>
      </c>
      <c r="B3123" s="58" t="s">
        <v>4031</v>
      </c>
      <c r="C3123" s="59">
        <v>-19.93344711769355</v>
      </c>
      <c r="D3123" s="59">
        <v>-40.403765444029837</v>
      </c>
    </row>
    <row r="3124" spans="1:4" x14ac:dyDescent="0.3">
      <c r="A3124" s="58">
        <v>3202256</v>
      </c>
      <c r="B3124" s="58" t="s">
        <v>4032</v>
      </c>
      <c r="C3124" s="59">
        <v>-19.252807444409704</v>
      </c>
      <c r="D3124" s="59">
        <v>-40.457766061407888</v>
      </c>
    </row>
    <row r="3125" spans="1:4" x14ac:dyDescent="0.3">
      <c r="A3125" s="58">
        <v>3202306</v>
      </c>
      <c r="B3125" s="58" t="s">
        <v>4033</v>
      </c>
      <c r="C3125" s="59">
        <v>-20.775337805284856</v>
      </c>
      <c r="D3125" s="59">
        <v>-41.679496292747345</v>
      </c>
    </row>
    <row r="3126" spans="1:4" x14ac:dyDescent="0.3">
      <c r="A3126" s="58">
        <v>3202405</v>
      </c>
      <c r="B3126" s="58" t="s">
        <v>4034</v>
      </c>
      <c r="C3126" s="59">
        <v>-20.665974579644203</v>
      </c>
      <c r="D3126" s="59">
        <v>-40.495021019457887</v>
      </c>
    </row>
    <row r="3127" spans="1:4" x14ac:dyDescent="0.3">
      <c r="A3127" s="58">
        <v>3202454</v>
      </c>
      <c r="B3127" s="58" t="s">
        <v>4035</v>
      </c>
      <c r="C3127" s="59">
        <v>-20.234020346285803</v>
      </c>
      <c r="D3127" s="59">
        <v>-41.507207999498014</v>
      </c>
    </row>
    <row r="3128" spans="1:4" x14ac:dyDescent="0.3">
      <c r="A3128" s="58">
        <v>3202504</v>
      </c>
      <c r="B3128" s="58" t="s">
        <v>4036</v>
      </c>
      <c r="C3128" s="59">
        <v>-19.83187999807215</v>
      </c>
      <c r="D3128" s="59">
        <v>-40.371666178863471</v>
      </c>
    </row>
    <row r="3129" spans="1:4" x14ac:dyDescent="0.3">
      <c r="A3129" s="58">
        <v>3202553</v>
      </c>
      <c r="B3129" s="58" t="s">
        <v>4037</v>
      </c>
      <c r="C3129" s="59">
        <v>-20.538730966589402</v>
      </c>
      <c r="D3129" s="59">
        <v>-41.659412400859679</v>
      </c>
    </row>
    <row r="3130" spans="1:4" x14ac:dyDescent="0.3">
      <c r="A3130" s="58">
        <v>3202603</v>
      </c>
      <c r="B3130" s="58" t="s">
        <v>4038</v>
      </c>
      <c r="C3130" s="59">
        <v>-20.797144753860504</v>
      </c>
      <c r="D3130" s="59">
        <v>-40.81122104533712</v>
      </c>
    </row>
    <row r="3131" spans="1:4" x14ac:dyDescent="0.3">
      <c r="A3131" s="58">
        <v>3202652</v>
      </c>
      <c r="B3131" s="58" t="s">
        <v>4039</v>
      </c>
      <c r="C3131" s="59">
        <v>-20.348597039293203</v>
      </c>
      <c r="D3131" s="59">
        <v>-41.647527861467282</v>
      </c>
    </row>
    <row r="3132" spans="1:4" x14ac:dyDescent="0.3">
      <c r="A3132" s="58">
        <v>3202702</v>
      </c>
      <c r="B3132" s="58" t="s">
        <v>4040</v>
      </c>
      <c r="C3132" s="59">
        <v>-19.802507711212701</v>
      </c>
      <c r="D3132" s="59">
        <v>-40.856598486628428</v>
      </c>
    </row>
    <row r="3133" spans="1:4" x14ac:dyDescent="0.3">
      <c r="A3133" s="58">
        <v>3202801</v>
      </c>
      <c r="B3133" s="58" t="s">
        <v>4041</v>
      </c>
      <c r="C3133" s="59">
        <v>-21.011099627250704</v>
      </c>
      <c r="D3133" s="59">
        <v>-40.836145116845039</v>
      </c>
    </row>
    <row r="3134" spans="1:4" x14ac:dyDescent="0.3">
      <c r="A3134" s="58">
        <v>3202900</v>
      </c>
      <c r="B3134" s="58" t="s">
        <v>4042</v>
      </c>
      <c r="C3134" s="59">
        <v>-19.872348006049005</v>
      </c>
      <c r="D3134" s="59">
        <v>-40.879791082226049</v>
      </c>
    </row>
    <row r="3135" spans="1:4" x14ac:dyDescent="0.3">
      <c r="A3135" s="58">
        <v>3203007</v>
      </c>
      <c r="B3135" s="58" t="s">
        <v>4043</v>
      </c>
      <c r="C3135" s="59">
        <v>-20.348599513777902</v>
      </c>
      <c r="D3135" s="59">
        <v>-41.532888693521308</v>
      </c>
    </row>
    <row r="3136" spans="1:4" x14ac:dyDescent="0.3">
      <c r="A3136" s="58">
        <v>3203056</v>
      </c>
      <c r="B3136" s="58" t="s">
        <v>4044</v>
      </c>
      <c r="C3136" s="59">
        <v>-18.900435909521402</v>
      </c>
      <c r="D3136" s="59">
        <v>-40.086140992363916</v>
      </c>
    </row>
    <row r="3137" spans="1:4" x14ac:dyDescent="0.3">
      <c r="A3137" s="58">
        <v>3203106</v>
      </c>
      <c r="B3137" s="58" t="s">
        <v>4045</v>
      </c>
      <c r="C3137" s="59">
        <v>-20.797697898267703</v>
      </c>
      <c r="D3137" s="59">
        <v>-41.402934574470599</v>
      </c>
    </row>
    <row r="3138" spans="1:4" x14ac:dyDescent="0.3">
      <c r="A3138" s="58">
        <v>3203130</v>
      </c>
      <c r="B3138" s="58" t="s">
        <v>4046</v>
      </c>
      <c r="C3138" s="59">
        <v>-19.752958598857223</v>
      </c>
      <c r="D3138" s="59">
        <v>-40.380880485337649</v>
      </c>
    </row>
    <row r="3139" spans="1:4" x14ac:dyDescent="0.3">
      <c r="A3139" s="58">
        <v>3203163</v>
      </c>
      <c r="B3139" s="58" t="s">
        <v>4047</v>
      </c>
      <c r="C3139" s="59">
        <v>-19.898693450439001</v>
      </c>
      <c r="D3139" s="59">
        <v>-41.055244354522422</v>
      </c>
    </row>
    <row r="3140" spans="1:4" x14ac:dyDescent="0.3">
      <c r="A3140" s="58">
        <v>3203205</v>
      </c>
      <c r="B3140" s="58" t="s">
        <v>4048</v>
      </c>
      <c r="C3140" s="59">
        <v>-19.398105934464905</v>
      </c>
      <c r="D3140" s="59">
        <v>-40.065305798695533</v>
      </c>
    </row>
    <row r="3141" spans="1:4" x14ac:dyDescent="0.3">
      <c r="A3141" s="58">
        <v>3203304</v>
      </c>
      <c r="B3141" s="58" t="s">
        <v>4049</v>
      </c>
      <c r="C3141" s="59">
        <v>-18.861178966247149</v>
      </c>
      <c r="D3141" s="59">
        <v>-41.117737478806028</v>
      </c>
    </row>
    <row r="3142" spans="1:4" x14ac:dyDescent="0.3">
      <c r="A3142" s="58">
        <v>3203320</v>
      </c>
      <c r="B3142" s="58" t="s">
        <v>4050</v>
      </c>
      <c r="C3142" s="59">
        <v>-21.042996275291305</v>
      </c>
      <c r="D3142" s="59">
        <v>-40.83018728567442</v>
      </c>
    </row>
    <row r="3143" spans="1:4" x14ac:dyDescent="0.3">
      <c r="A3143" s="58">
        <v>3203346</v>
      </c>
      <c r="B3143" s="58" t="s">
        <v>4051</v>
      </c>
      <c r="C3143" s="59">
        <v>-20.42670859197165</v>
      </c>
      <c r="D3143" s="59">
        <v>-40.680383432888092</v>
      </c>
    </row>
    <row r="3144" spans="1:4" x14ac:dyDescent="0.3">
      <c r="A3144" s="58">
        <v>3203353</v>
      </c>
      <c r="B3144" s="58" t="s">
        <v>4052</v>
      </c>
      <c r="C3144" s="59">
        <v>-19.412812757751755</v>
      </c>
      <c r="D3144" s="59">
        <v>-40.550951003632299</v>
      </c>
    </row>
    <row r="3145" spans="1:4" x14ac:dyDescent="0.3">
      <c r="A3145" s="58">
        <v>3203403</v>
      </c>
      <c r="B3145" s="58" t="s">
        <v>4053</v>
      </c>
      <c r="C3145" s="59">
        <v>-21.065373508171703</v>
      </c>
      <c r="D3145" s="59">
        <v>-41.364425265884535</v>
      </c>
    </row>
    <row r="3146" spans="1:4" x14ac:dyDescent="0.3">
      <c r="A3146" s="58">
        <v>3203502</v>
      </c>
      <c r="B3146" s="58" t="s">
        <v>4054</v>
      </c>
      <c r="C3146" s="59">
        <v>-18.126856647178155</v>
      </c>
      <c r="D3146" s="59">
        <v>-40.363420879571486</v>
      </c>
    </row>
    <row r="3147" spans="1:4" x14ac:dyDescent="0.3">
      <c r="A3147" s="58">
        <v>3203601</v>
      </c>
      <c r="B3147" s="58" t="s">
        <v>4055</v>
      </c>
      <c r="C3147" s="59">
        <v>-18.097236379571953</v>
      </c>
      <c r="D3147" s="59">
        <v>-40.517926836510121</v>
      </c>
    </row>
    <row r="3148" spans="1:4" x14ac:dyDescent="0.3">
      <c r="A3148" s="58">
        <v>3203700</v>
      </c>
      <c r="B3148" s="58" t="s">
        <v>4056</v>
      </c>
      <c r="C3148" s="59">
        <v>-20.456545593526755</v>
      </c>
      <c r="D3148" s="59">
        <v>-41.417513780413024</v>
      </c>
    </row>
    <row r="3149" spans="1:4" x14ac:dyDescent="0.3">
      <c r="A3149" s="58">
        <v>3203809</v>
      </c>
      <c r="B3149" s="58" t="s">
        <v>4057</v>
      </c>
      <c r="C3149" s="59">
        <v>-20.953692309542252</v>
      </c>
      <c r="D3149" s="59">
        <v>-41.346213998369102</v>
      </c>
    </row>
    <row r="3150" spans="1:4" x14ac:dyDescent="0.3">
      <c r="A3150" s="58">
        <v>3203908</v>
      </c>
      <c r="B3150" s="58" t="s">
        <v>4058</v>
      </c>
      <c r="C3150" s="59">
        <v>-18.7129060016259</v>
      </c>
      <c r="D3150" s="59">
        <v>-40.401547877016981</v>
      </c>
    </row>
    <row r="3151" spans="1:4" x14ac:dyDescent="0.3">
      <c r="A3151" s="58">
        <v>3204005</v>
      </c>
      <c r="B3151" s="58" t="s">
        <v>4059</v>
      </c>
      <c r="C3151" s="59">
        <v>-19.224419786132049</v>
      </c>
      <c r="D3151" s="59">
        <v>-40.856003100712506</v>
      </c>
    </row>
    <row r="3152" spans="1:4" x14ac:dyDescent="0.3">
      <c r="A3152" s="58">
        <v>3204054</v>
      </c>
      <c r="B3152" s="58" t="s">
        <v>4060</v>
      </c>
      <c r="C3152" s="59">
        <v>-18.297191503895601</v>
      </c>
      <c r="D3152" s="59">
        <v>-39.954936951872639</v>
      </c>
    </row>
    <row r="3153" spans="1:4" x14ac:dyDescent="0.3">
      <c r="A3153" s="58">
        <v>3204104</v>
      </c>
      <c r="B3153" s="58" t="s">
        <v>4061</v>
      </c>
      <c r="C3153" s="59">
        <v>-18.413323343618007</v>
      </c>
      <c r="D3153" s="59">
        <v>-40.2177280801912</v>
      </c>
    </row>
    <row r="3154" spans="1:4" x14ac:dyDescent="0.3">
      <c r="A3154" s="58">
        <v>3204203</v>
      </c>
      <c r="B3154" s="58" t="s">
        <v>4062</v>
      </c>
      <c r="C3154" s="59">
        <v>-20.837608899689901</v>
      </c>
      <c r="D3154" s="59">
        <v>-40.727980940428566</v>
      </c>
    </row>
    <row r="3155" spans="1:4" x14ac:dyDescent="0.3">
      <c r="A3155" s="58">
        <v>3204252</v>
      </c>
      <c r="B3155" s="58" t="s">
        <v>4063</v>
      </c>
      <c r="C3155" s="59">
        <v>-18.129126085531151</v>
      </c>
      <c r="D3155" s="59">
        <v>-40.538133777057958</v>
      </c>
    </row>
    <row r="3156" spans="1:4" x14ac:dyDescent="0.3">
      <c r="A3156" s="58">
        <v>3204302</v>
      </c>
      <c r="B3156" s="58" t="s">
        <v>1438</v>
      </c>
      <c r="C3156" s="59">
        <v>-21.100148408468058</v>
      </c>
      <c r="D3156" s="59">
        <v>-41.051895630589534</v>
      </c>
    </row>
    <row r="3157" spans="1:4" x14ac:dyDescent="0.3">
      <c r="A3157" s="58">
        <v>3204351</v>
      </c>
      <c r="B3157" s="58" t="s">
        <v>4064</v>
      </c>
      <c r="C3157" s="59">
        <v>-19.27708648592375</v>
      </c>
      <c r="D3157" s="59">
        <v>-40.322478428269882</v>
      </c>
    </row>
    <row r="3158" spans="1:4" x14ac:dyDescent="0.3">
      <c r="A3158" s="58">
        <v>3204401</v>
      </c>
      <c r="B3158" s="58" t="s">
        <v>4065</v>
      </c>
      <c r="C3158" s="59">
        <v>-20.864586149686701</v>
      </c>
      <c r="D3158" s="59">
        <v>-40.936228355451171</v>
      </c>
    </row>
    <row r="3159" spans="1:4" x14ac:dyDescent="0.3">
      <c r="A3159" s="58">
        <v>3204500</v>
      </c>
      <c r="B3159" s="58" t="s">
        <v>4066</v>
      </c>
      <c r="C3159" s="59">
        <v>-20.098890692492553</v>
      </c>
      <c r="D3159" s="59">
        <v>-40.533209612337835</v>
      </c>
    </row>
    <row r="3160" spans="1:4" x14ac:dyDescent="0.3">
      <c r="A3160" s="58">
        <v>3204559</v>
      </c>
      <c r="B3160" s="58" t="s">
        <v>4067</v>
      </c>
      <c r="C3160" s="59">
        <v>-20.028814058188352</v>
      </c>
      <c r="D3160" s="59">
        <v>-40.741617800649692</v>
      </c>
    </row>
    <row r="3161" spans="1:4" x14ac:dyDescent="0.3">
      <c r="A3161" s="58">
        <v>3204609</v>
      </c>
      <c r="B3161" s="58" t="s">
        <v>4068</v>
      </c>
      <c r="C3161" s="59">
        <v>-19.937714316860653</v>
      </c>
      <c r="D3161" s="59">
        <v>-40.598997721714163</v>
      </c>
    </row>
    <row r="3162" spans="1:4" x14ac:dyDescent="0.3">
      <c r="A3162" s="58">
        <v>3204658</v>
      </c>
      <c r="B3162" s="58" t="s">
        <v>4069</v>
      </c>
      <c r="C3162" s="59">
        <v>-19.148168510005899</v>
      </c>
      <c r="D3162" s="59">
        <v>-40.621877732717017</v>
      </c>
    </row>
    <row r="3163" spans="1:4" x14ac:dyDescent="0.3">
      <c r="A3163" s="58">
        <v>3204708</v>
      </c>
      <c r="B3163" s="58" t="s">
        <v>4070</v>
      </c>
      <c r="C3163" s="59">
        <v>-19.021964753248952</v>
      </c>
      <c r="D3163" s="59">
        <v>-40.529599507560022</v>
      </c>
    </row>
    <row r="3164" spans="1:4" x14ac:dyDescent="0.3">
      <c r="A3164" s="58">
        <v>3204807</v>
      </c>
      <c r="B3164" s="58" t="s">
        <v>4071</v>
      </c>
      <c r="C3164" s="59">
        <v>-21.026130246727501</v>
      </c>
      <c r="D3164" s="59">
        <v>-41.656087849807385</v>
      </c>
    </row>
    <row r="3165" spans="1:4" x14ac:dyDescent="0.3">
      <c r="A3165" s="58">
        <v>3204906</v>
      </c>
      <c r="B3165" s="58" t="s">
        <v>4072</v>
      </c>
      <c r="C3165" s="59">
        <v>-18.718446967859602</v>
      </c>
      <c r="D3165" s="59">
        <v>-39.858200595610505</v>
      </c>
    </row>
    <row r="3166" spans="1:4" x14ac:dyDescent="0.3">
      <c r="A3166" s="58">
        <v>3204955</v>
      </c>
      <c r="B3166" s="58" t="s">
        <v>4073</v>
      </c>
      <c r="C3166" s="59">
        <v>-19.725307204810097</v>
      </c>
      <c r="D3166" s="59">
        <v>-40.643138755547376</v>
      </c>
    </row>
    <row r="3167" spans="1:4" x14ac:dyDescent="0.3">
      <c r="A3167" s="58">
        <v>3205002</v>
      </c>
      <c r="B3167" s="58" t="s">
        <v>4074</v>
      </c>
      <c r="C3167" s="59">
        <v>-20.156769842431704</v>
      </c>
      <c r="D3167" s="59">
        <v>-40.27521703670849</v>
      </c>
    </row>
    <row r="3168" spans="1:4" x14ac:dyDescent="0.3">
      <c r="A3168" s="58">
        <v>3205010</v>
      </c>
      <c r="B3168" s="58" t="s">
        <v>4075</v>
      </c>
      <c r="C3168" s="59">
        <v>-19.19194962785615</v>
      </c>
      <c r="D3168" s="59">
        <v>-40.096490807132177</v>
      </c>
    </row>
    <row r="3169" spans="1:4" x14ac:dyDescent="0.3">
      <c r="A3169" s="58">
        <v>3205036</v>
      </c>
      <c r="B3169" s="58" t="s">
        <v>4076</v>
      </c>
      <c r="C3169" s="59">
        <v>-20.671678198787852</v>
      </c>
      <c r="D3169" s="59">
        <v>-41.007148360164344</v>
      </c>
    </row>
    <row r="3170" spans="1:4" x14ac:dyDescent="0.3">
      <c r="A3170" s="58">
        <v>3205069</v>
      </c>
      <c r="B3170" s="58" t="s">
        <v>4077</v>
      </c>
      <c r="C3170" s="59">
        <v>-20.331518177434251</v>
      </c>
      <c r="D3170" s="59">
        <v>-41.129053211088213</v>
      </c>
    </row>
    <row r="3171" spans="1:4" x14ac:dyDescent="0.3">
      <c r="A3171" s="58">
        <v>3205101</v>
      </c>
      <c r="B3171" s="58" t="s">
        <v>1678</v>
      </c>
      <c r="C3171" s="59">
        <v>-20.390862511166151</v>
      </c>
      <c r="D3171" s="59">
        <v>-40.495624335491073</v>
      </c>
    </row>
    <row r="3172" spans="1:4" x14ac:dyDescent="0.3">
      <c r="A3172" s="58">
        <v>3205150</v>
      </c>
      <c r="B3172" s="58" t="s">
        <v>4078</v>
      </c>
      <c r="C3172" s="59">
        <v>-18.620803452346003</v>
      </c>
      <c r="D3172" s="59">
        <v>-40.60241141082134</v>
      </c>
    </row>
    <row r="3173" spans="1:4" x14ac:dyDescent="0.3">
      <c r="A3173" s="58">
        <v>3205176</v>
      </c>
      <c r="B3173" s="58" t="s">
        <v>4079</v>
      </c>
      <c r="C3173" s="59">
        <v>-18.993617438914303</v>
      </c>
      <c r="D3173" s="59">
        <v>-40.390589777413766</v>
      </c>
    </row>
    <row r="3174" spans="1:4" x14ac:dyDescent="0.3">
      <c r="A3174" s="58">
        <v>3205200</v>
      </c>
      <c r="B3174" s="58" t="s">
        <v>4080</v>
      </c>
      <c r="C3174" s="59">
        <v>-20.338374104213852</v>
      </c>
      <c r="D3174" s="59">
        <v>-40.293956636947101</v>
      </c>
    </row>
    <row r="3175" spans="1:4" x14ac:dyDescent="0.3">
      <c r="A3175" s="58">
        <v>3205309</v>
      </c>
      <c r="B3175" s="58" t="s">
        <v>4081</v>
      </c>
      <c r="C3175" s="59">
        <v>-20.320153792853304</v>
      </c>
      <c r="D3175" s="59">
        <v>-40.322208726726629</v>
      </c>
    </row>
    <row r="3176" spans="1:4" x14ac:dyDescent="0.3">
      <c r="A3176" s="58">
        <v>3300100</v>
      </c>
      <c r="B3176" s="58" t="s">
        <v>4082</v>
      </c>
      <c r="C3176" s="59">
        <v>-23.009115935275499</v>
      </c>
      <c r="D3176" s="59">
        <v>-44.319627262266629</v>
      </c>
    </row>
    <row r="3177" spans="1:4" x14ac:dyDescent="0.3">
      <c r="A3177" s="58">
        <v>3300159</v>
      </c>
      <c r="B3177" s="58" t="s">
        <v>4083</v>
      </c>
      <c r="C3177" s="59">
        <v>-21.619421769786104</v>
      </c>
      <c r="D3177" s="59">
        <v>-42.104916654112586</v>
      </c>
    </row>
    <row r="3178" spans="1:4" x14ac:dyDescent="0.3">
      <c r="A3178" s="58">
        <v>3300209</v>
      </c>
      <c r="B3178" s="58" t="s">
        <v>4084</v>
      </c>
      <c r="C3178" s="59">
        <v>-22.877438387354356</v>
      </c>
      <c r="D3178" s="59">
        <v>-42.341096023163381</v>
      </c>
    </row>
    <row r="3179" spans="1:4" x14ac:dyDescent="0.3">
      <c r="A3179" s="58">
        <v>3300225</v>
      </c>
      <c r="B3179" s="58" t="s">
        <v>4085</v>
      </c>
      <c r="C3179" s="59">
        <v>-22.2369120035668</v>
      </c>
      <c r="D3179" s="59">
        <v>-43.101069805168287</v>
      </c>
    </row>
    <row r="3180" spans="1:4" x14ac:dyDescent="0.3">
      <c r="A3180" s="58">
        <v>3300233</v>
      </c>
      <c r="B3180" s="58" t="s">
        <v>4086</v>
      </c>
      <c r="C3180" s="59">
        <v>-22.75776379292375</v>
      </c>
      <c r="D3180" s="59">
        <v>-41.887749468088096</v>
      </c>
    </row>
    <row r="3181" spans="1:4" x14ac:dyDescent="0.3">
      <c r="A3181" s="58">
        <v>3300258</v>
      </c>
      <c r="B3181" s="58" t="s">
        <v>4087</v>
      </c>
      <c r="C3181" s="59">
        <v>-22.967638277583955</v>
      </c>
      <c r="D3181" s="59">
        <v>-42.028335967636842</v>
      </c>
    </row>
    <row r="3182" spans="1:4" x14ac:dyDescent="0.3">
      <c r="A3182" s="58">
        <v>3300308</v>
      </c>
      <c r="B3182" s="58" t="s">
        <v>4088</v>
      </c>
      <c r="C3182" s="59">
        <v>-22.469596292123956</v>
      </c>
      <c r="D3182" s="59">
        <v>-43.828452453825491</v>
      </c>
    </row>
    <row r="3183" spans="1:4" x14ac:dyDescent="0.3">
      <c r="A3183" s="58">
        <v>3300407</v>
      </c>
      <c r="B3183" s="58" t="s">
        <v>4089</v>
      </c>
      <c r="C3183" s="59">
        <v>-22.545301133930451</v>
      </c>
      <c r="D3183" s="59">
        <v>-44.172431373686599</v>
      </c>
    </row>
    <row r="3184" spans="1:4" x14ac:dyDescent="0.3">
      <c r="A3184" s="58">
        <v>3300456</v>
      </c>
      <c r="B3184" s="58" t="s">
        <v>4090</v>
      </c>
      <c r="C3184" s="59">
        <v>-22.764555967546052</v>
      </c>
      <c r="D3184" s="59">
        <v>-43.399624970815175</v>
      </c>
    </row>
    <row r="3185" spans="1:4" x14ac:dyDescent="0.3">
      <c r="A3185" s="58">
        <v>3300506</v>
      </c>
      <c r="B3185" s="58" t="s">
        <v>1501</v>
      </c>
      <c r="C3185" s="59">
        <v>-22.1533052283079</v>
      </c>
      <c r="D3185" s="59">
        <v>-42.417211482286788</v>
      </c>
    </row>
    <row r="3186" spans="1:4" x14ac:dyDescent="0.3">
      <c r="A3186" s="58">
        <v>3300605</v>
      </c>
      <c r="B3186" s="58" t="s">
        <v>4091</v>
      </c>
      <c r="C3186" s="59">
        <v>-21.13449744187735</v>
      </c>
      <c r="D3186" s="59">
        <v>-41.677679794981685</v>
      </c>
    </row>
    <row r="3187" spans="1:4" x14ac:dyDescent="0.3">
      <c r="A3187" s="58">
        <v>3300704</v>
      </c>
      <c r="B3187" s="58" t="s">
        <v>4092</v>
      </c>
      <c r="C3187" s="59">
        <v>-22.880764667133001</v>
      </c>
      <c r="D3187" s="59">
        <v>-42.020074801902645</v>
      </c>
    </row>
    <row r="3188" spans="1:4" x14ac:dyDescent="0.3">
      <c r="A3188" s="58">
        <v>3300803</v>
      </c>
      <c r="B3188" s="58" t="s">
        <v>4093</v>
      </c>
      <c r="C3188" s="59">
        <v>-22.467570872249699</v>
      </c>
      <c r="D3188" s="59">
        <v>-42.663164357262744</v>
      </c>
    </row>
    <row r="3189" spans="1:4" x14ac:dyDescent="0.3">
      <c r="A3189" s="58">
        <v>3300902</v>
      </c>
      <c r="B3189" s="58" t="s">
        <v>4094</v>
      </c>
      <c r="C3189" s="59">
        <v>-21.5772767096589</v>
      </c>
      <c r="D3189" s="59">
        <v>-41.908636004656152</v>
      </c>
    </row>
    <row r="3190" spans="1:4" x14ac:dyDescent="0.3">
      <c r="A3190" s="58">
        <v>3300936</v>
      </c>
      <c r="B3190" s="58" t="s">
        <v>4095</v>
      </c>
      <c r="C3190" s="59">
        <v>-22.182594727367352</v>
      </c>
      <c r="D3190" s="59">
        <v>-41.664010595857846</v>
      </c>
    </row>
    <row r="3191" spans="1:4" x14ac:dyDescent="0.3">
      <c r="A3191" s="58">
        <v>3300951</v>
      </c>
      <c r="B3191" s="58" t="s">
        <v>4096</v>
      </c>
      <c r="C3191" s="59">
        <v>-22.033358938382751</v>
      </c>
      <c r="D3191" s="59">
        <v>-43.217223715587089</v>
      </c>
    </row>
    <row r="3192" spans="1:4" x14ac:dyDescent="0.3">
      <c r="A3192" s="58">
        <v>3301009</v>
      </c>
      <c r="B3192" s="58" t="s">
        <v>4097</v>
      </c>
      <c r="C3192" s="59">
        <v>-21.751898632064051</v>
      </c>
      <c r="D3192" s="59">
        <v>-41.33047649186264</v>
      </c>
    </row>
    <row r="3193" spans="1:4" x14ac:dyDescent="0.3">
      <c r="A3193" s="58">
        <v>3301108</v>
      </c>
      <c r="B3193" s="58" t="s">
        <v>3297</v>
      </c>
      <c r="C3193" s="59">
        <v>-21.981839858792103</v>
      </c>
      <c r="D3193" s="59">
        <v>-42.365977599020972</v>
      </c>
    </row>
    <row r="3194" spans="1:4" x14ac:dyDescent="0.3">
      <c r="A3194" s="58">
        <v>3301157</v>
      </c>
      <c r="B3194" s="58" t="s">
        <v>4098</v>
      </c>
      <c r="C3194" s="59">
        <v>-21.496157356667602</v>
      </c>
      <c r="D3194" s="59">
        <v>-41.613296346210134</v>
      </c>
    </row>
    <row r="3195" spans="1:4" x14ac:dyDescent="0.3">
      <c r="A3195" s="58">
        <v>3301207</v>
      </c>
      <c r="B3195" s="58" t="s">
        <v>4099</v>
      </c>
      <c r="C3195" s="59">
        <v>-21.929311780139351</v>
      </c>
      <c r="D3195" s="59">
        <v>-42.609717640681744</v>
      </c>
    </row>
    <row r="3196" spans="1:4" x14ac:dyDescent="0.3">
      <c r="A3196" s="58">
        <v>3301306</v>
      </c>
      <c r="B3196" s="58" t="s">
        <v>4100</v>
      </c>
      <c r="C3196" s="59">
        <v>-22.479536502554801</v>
      </c>
      <c r="D3196" s="59">
        <v>-42.204210544431</v>
      </c>
    </row>
    <row r="3197" spans="1:4" x14ac:dyDescent="0.3">
      <c r="A3197" s="58">
        <v>3301405</v>
      </c>
      <c r="B3197" s="58" t="s">
        <v>4101</v>
      </c>
      <c r="C3197" s="59">
        <v>-22.087871526525351</v>
      </c>
      <c r="D3197" s="59">
        <v>-41.867758505714782</v>
      </c>
    </row>
    <row r="3198" spans="1:4" x14ac:dyDescent="0.3">
      <c r="A3198" s="58">
        <v>3301504</v>
      </c>
      <c r="B3198" s="58" t="s">
        <v>4102</v>
      </c>
      <c r="C3198" s="59">
        <v>-22.0277765631233</v>
      </c>
      <c r="D3198" s="59">
        <v>-42.363030537907719</v>
      </c>
    </row>
    <row r="3199" spans="1:4" x14ac:dyDescent="0.3">
      <c r="A3199" s="58">
        <v>3301603</v>
      </c>
      <c r="B3199" s="58" t="s">
        <v>4103</v>
      </c>
      <c r="C3199" s="59">
        <v>-22.058906089940102</v>
      </c>
      <c r="D3199" s="59">
        <v>-42.515097631466951</v>
      </c>
    </row>
    <row r="3200" spans="1:4" x14ac:dyDescent="0.3">
      <c r="A3200" s="58">
        <v>3301702</v>
      </c>
      <c r="B3200" s="58" t="s">
        <v>4104</v>
      </c>
      <c r="C3200" s="59">
        <v>-22.785253249654154</v>
      </c>
      <c r="D3200" s="59">
        <v>-43.309888071722604</v>
      </c>
    </row>
    <row r="3201" spans="1:4" x14ac:dyDescent="0.3">
      <c r="A3201" s="58">
        <v>3301801</v>
      </c>
      <c r="B3201" s="58" t="s">
        <v>4105</v>
      </c>
      <c r="C3201" s="59">
        <v>-22.543684664727301</v>
      </c>
      <c r="D3201" s="59">
        <v>-43.679476828952623</v>
      </c>
    </row>
    <row r="3202" spans="1:4" x14ac:dyDescent="0.3">
      <c r="A3202" s="58">
        <v>3301850</v>
      </c>
      <c r="B3202" s="58" t="s">
        <v>4106</v>
      </c>
      <c r="C3202" s="59">
        <v>-22.519595794123902</v>
      </c>
      <c r="D3202" s="59">
        <v>-42.978329704320743</v>
      </c>
    </row>
    <row r="3203" spans="1:4" x14ac:dyDescent="0.3">
      <c r="A3203" s="58">
        <v>3301876</v>
      </c>
      <c r="B3203" s="58" t="s">
        <v>4107</v>
      </c>
      <c r="C3203" s="59">
        <v>-22.8390569836941</v>
      </c>
      <c r="D3203" s="59">
        <v>-42.222124542323925</v>
      </c>
    </row>
    <row r="3204" spans="1:4" x14ac:dyDescent="0.3">
      <c r="A3204" s="58">
        <v>3301900</v>
      </c>
      <c r="B3204" s="58" t="s">
        <v>4108</v>
      </c>
      <c r="C3204" s="59">
        <v>-22.745863017426252</v>
      </c>
      <c r="D3204" s="59">
        <v>-42.86034342619638</v>
      </c>
    </row>
    <row r="3205" spans="1:4" x14ac:dyDescent="0.3">
      <c r="A3205" s="58">
        <v>3302007</v>
      </c>
      <c r="B3205" s="58" t="s">
        <v>4109</v>
      </c>
      <c r="C3205" s="59">
        <v>-22.871250768421952</v>
      </c>
      <c r="D3205" s="59">
        <v>-43.77504063494181</v>
      </c>
    </row>
    <row r="3206" spans="1:4" x14ac:dyDescent="0.3">
      <c r="A3206" s="58">
        <v>3302056</v>
      </c>
      <c r="B3206" s="58" t="s">
        <v>4110</v>
      </c>
      <c r="C3206" s="59">
        <v>-21.425103277982902</v>
      </c>
      <c r="D3206" s="59">
        <v>-41.690964760493024</v>
      </c>
    </row>
    <row r="3207" spans="1:4" x14ac:dyDescent="0.3">
      <c r="A3207" s="58">
        <v>3302106</v>
      </c>
      <c r="B3207" s="58" t="s">
        <v>4111</v>
      </c>
      <c r="C3207" s="59">
        <v>-21.670502673297101</v>
      </c>
      <c r="D3207" s="59">
        <v>-42.077729524570778</v>
      </c>
    </row>
    <row r="3208" spans="1:4" x14ac:dyDescent="0.3">
      <c r="A3208" s="58">
        <v>3302205</v>
      </c>
      <c r="B3208" s="58" t="s">
        <v>4112</v>
      </c>
      <c r="C3208" s="59">
        <v>-21.210591084753752</v>
      </c>
      <c r="D3208" s="59">
        <v>-41.886203176650604</v>
      </c>
    </row>
    <row r="3209" spans="1:4" x14ac:dyDescent="0.3">
      <c r="A3209" s="58">
        <v>3302254</v>
      </c>
      <c r="B3209" s="58" t="s">
        <v>4113</v>
      </c>
      <c r="C3209" s="59">
        <v>-22.4970145997172</v>
      </c>
      <c r="D3209" s="59">
        <v>-44.562771994177012</v>
      </c>
    </row>
    <row r="3210" spans="1:4" x14ac:dyDescent="0.3">
      <c r="A3210" s="58">
        <v>3302270</v>
      </c>
      <c r="B3210" s="58" t="s">
        <v>4114</v>
      </c>
      <c r="C3210" s="59">
        <v>-22.644818571111404</v>
      </c>
      <c r="D3210" s="59">
        <v>-43.653785800982781</v>
      </c>
    </row>
    <row r="3211" spans="1:4" x14ac:dyDescent="0.3">
      <c r="A3211" s="58">
        <v>3302304</v>
      </c>
      <c r="B3211" s="58" t="s">
        <v>4115</v>
      </c>
      <c r="C3211" s="59">
        <v>-21.205720835248801</v>
      </c>
      <c r="D3211" s="59">
        <v>-42.131174419234732</v>
      </c>
    </row>
    <row r="3212" spans="1:4" x14ac:dyDescent="0.3">
      <c r="A3212" s="58">
        <v>3302403</v>
      </c>
      <c r="B3212" s="58" t="s">
        <v>4116</v>
      </c>
      <c r="C3212" s="59">
        <v>-22.368704974385</v>
      </c>
      <c r="D3212" s="59">
        <v>-41.775064285475999</v>
      </c>
    </row>
    <row r="3213" spans="1:4" x14ac:dyDescent="0.3">
      <c r="A3213" s="58">
        <v>3302452</v>
      </c>
      <c r="B3213" s="58" t="s">
        <v>4117</v>
      </c>
      <c r="C3213" s="59">
        <v>-21.990229505143351</v>
      </c>
      <c r="D3213" s="59">
        <v>-42.25707387972632</v>
      </c>
    </row>
    <row r="3214" spans="1:4" x14ac:dyDescent="0.3">
      <c r="A3214" s="58">
        <v>3302502</v>
      </c>
      <c r="B3214" s="58" t="s">
        <v>4118</v>
      </c>
      <c r="C3214" s="59">
        <v>-22.654348757433404</v>
      </c>
      <c r="D3214" s="59">
        <v>-43.040246132715069</v>
      </c>
    </row>
    <row r="3215" spans="1:4" x14ac:dyDescent="0.3">
      <c r="A3215" s="58">
        <v>3302601</v>
      </c>
      <c r="B3215" s="58" t="s">
        <v>4119</v>
      </c>
      <c r="C3215" s="59">
        <v>-22.961711941240253</v>
      </c>
      <c r="D3215" s="59">
        <v>-44.041126545357614</v>
      </c>
    </row>
    <row r="3216" spans="1:4" x14ac:dyDescent="0.3">
      <c r="A3216" s="58">
        <v>3302700</v>
      </c>
      <c r="B3216" s="58" t="s">
        <v>4120</v>
      </c>
      <c r="C3216" s="59">
        <v>-22.916955337401049</v>
      </c>
      <c r="D3216" s="59">
        <v>-42.819824114826964</v>
      </c>
    </row>
    <row r="3217" spans="1:4" x14ac:dyDescent="0.3">
      <c r="A3217" s="58">
        <v>3302809</v>
      </c>
      <c r="B3217" s="58" t="s">
        <v>4121</v>
      </c>
      <c r="C3217" s="59">
        <v>-22.517422601897948</v>
      </c>
      <c r="D3217" s="59">
        <v>-43.72148688769515</v>
      </c>
    </row>
    <row r="3218" spans="1:4" x14ac:dyDescent="0.3">
      <c r="A3218" s="58">
        <v>3302858</v>
      </c>
      <c r="B3218" s="58" t="s">
        <v>3645</v>
      </c>
      <c r="C3218" s="59">
        <v>-22.768087922634951</v>
      </c>
      <c r="D3218" s="59">
        <v>-43.429223763106883</v>
      </c>
    </row>
    <row r="3219" spans="1:4" x14ac:dyDescent="0.3">
      <c r="A3219" s="58">
        <v>3302908</v>
      </c>
      <c r="B3219" s="58" t="s">
        <v>4122</v>
      </c>
      <c r="C3219" s="59">
        <v>-22.455426608425153</v>
      </c>
      <c r="D3219" s="59">
        <v>-43.47467612145936</v>
      </c>
    </row>
    <row r="3220" spans="1:4" x14ac:dyDescent="0.3">
      <c r="A3220" s="58">
        <v>3303005</v>
      </c>
      <c r="B3220" s="58" t="s">
        <v>4123</v>
      </c>
      <c r="C3220" s="59">
        <v>-21.411163299160251</v>
      </c>
      <c r="D3220" s="59">
        <v>-42.198411407190278</v>
      </c>
    </row>
    <row r="3221" spans="1:4" x14ac:dyDescent="0.3">
      <c r="A3221" s="58">
        <v>3303104</v>
      </c>
      <c r="B3221" s="58" t="s">
        <v>1416</v>
      </c>
      <c r="C3221" s="59">
        <v>-21.043756988965502</v>
      </c>
      <c r="D3221" s="59">
        <v>-41.97644031334459</v>
      </c>
    </row>
    <row r="3222" spans="1:4" x14ac:dyDescent="0.3">
      <c r="A3222" s="58">
        <v>3303203</v>
      </c>
      <c r="B3222" s="58" t="s">
        <v>4124</v>
      </c>
      <c r="C3222" s="59">
        <v>-22.8075142239115</v>
      </c>
      <c r="D3222" s="59">
        <v>-43.416609980863726</v>
      </c>
    </row>
    <row r="3223" spans="1:4" x14ac:dyDescent="0.3">
      <c r="A3223" s="58">
        <v>3303302</v>
      </c>
      <c r="B3223" s="58" t="s">
        <v>4125</v>
      </c>
      <c r="C3223" s="59">
        <v>-22.896452385127251</v>
      </c>
      <c r="D3223" s="59">
        <v>-43.075823167273469</v>
      </c>
    </row>
    <row r="3224" spans="1:4" x14ac:dyDescent="0.3">
      <c r="A3224" s="58">
        <v>3303401</v>
      </c>
      <c r="B3224" s="58" t="s">
        <v>4126</v>
      </c>
      <c r="C3224" s="59">
        <v>-22.286461459196055</v>
      </c>
      <c r="D3224" s="59">
        <v>-42.532771262963344</v>
      </c>
    </row>
    <row r="3225" spans="1:4" x14ac:dyDescent="0.3">
      <c r="A3225" s="58">
        <v>3303500</v>
      </c>
      <c r="B3225" s="58" t="s">
        <v>4127</v>
      </c>
      <c r="C3225" s="59">
        <v>-22.759834826264751</v>
      </c>
      <c r="D3225" s="59">
        <v>-43.450345329919124</v>
      </c>
    </row>
    <row r="3226" spans="1:4" x14ac:dyDescent="0.3">
      <c r="A3226" s="58">
        <v>3303609</v>
      </c>
      <c r="B3226" s="58" t="s">
        <v>4128</v>
      </c>
      <c r="C3226" s="59">
        <v>-22.60972716206625</v>
      </c>
      <c r="D3226" s="59">
        <v>-43.709384563029239</v>
      </c>
    </row>
    <row r="3227" spans="1:4" x14ac:dyDescent="0.3">
      <c r="A3227" s="58">
        <v>3303708</v>
      </c>
      <c r="B3227" s="58" t="s">
        <v>4129</v>
      </c>
      <c r="C3227" s="59">
        <v>-22.161981542183298</v>
      </c>
      <c r="D3227" s="59">
        <v>-43.289544464845683</v>
      </c>
    </row>
    <row r="3228" spans="1:4" x14ac:dyDescent="0.3">
      <c r="A3228" s="58">
        <v>3303807</v>
      </c>
      <c r="B3228" s="58" t="s">
        <v>4130</v>
      </c>
      <c r="C3228" s="59">
        <v>-23.219413607340901</v>
      </c>
      <c r="D3228" s="59">
        <v>-44.710858502017381</v>
      </c>
    </row>
    <row r="3229" spans="1:4" x14ac:dyDescent="0.3">
      <c r="A3229" s="58">
        <v>3303856</v>
      </c>
      <c r="B3229" s="58" t="s">
        <v>4131</v>
      </c>
      <c r="C3229" s="59">
        <v>-22.427414633233504</v>
      </c>
      <c r="D3229" s="59">
        <v>-43.424870916733845</v>
      </c>
    </row>
    <row r="3230" spans="1:4" x14ac:dyDescent="0.3">
      <c r="A3230" s="58">
        <v>3303906</v>
      </c>
      <c r="B3230" s="58" t="s">
        <v>4132</v>
      </c>
      <c r="C3230" s="59">
        <v>-22.510598611961804</v>
      </c>
      <c r="D3230" s="59">
        <v>-43.177336576674996</v>
      </c>
    </row>
    <row r="3231" spans="1:4" x14ac:dyDescent="0.3">
      <c r="A3231" s="58">
        <v>3303955</v>
      </c>
      <c r="B3231" s="58" t="s">
        <v>4133</v>
      </c>
      <c r="C3231" s="59">
        <v>-22.51567398579175</v>
      </c>
      <c r="D3231" s="59">
        <v>-44.000354556953901</v>
      </c>
    </row>
    <row r="3232" spans="1:4" x14ac:dyDescent="0.3">
      <c r="A3232" s="58">
        <v>3304003</v>
      </c>
      <c r="B3232" s="58" t="s">
        <v>4134</v>
      </c>
      <c r="C3232" s="59">
        <v>-22.6287569098054</v>
      </c>
      <c r="D3232" s="59">
        <v>-43.899351185765653</v>
      </c>
    </row>
    <row r="3233" spans="1:4" x14ac:dyDescent="0.3">
      <c r="A3233" s="58">
        <v>3304102</v>
      </c>
      <c r="B3233" s="58" t="s">
        <v>4135</v>
      </c>
      <c r="C3233" s="59">
        <v>-20.962607626976556</v>
      </c>
      <c r="D3233" s="59">
        <v>-42.040156358505207</v>
      </c>
    </row>
    <row r="3234" spans="1:4" x14ac:dyDescent="0.3">
      <c r="A3234" s="58">
        <v>3304110</v>
      </c>
      <c r="B3234" s="58" t="s">
        <v>4136</v>
      </c>
      <c r="C3234" s="59">
        <v>-22.432948423821021</v>
      </c>
      <c r="D3234" s="59">
        <v>-44.296900734991141</v>
      </c>
    </row>
    <row r="3235" spans="1:4" x14ac:dyDescent="0.3">
      <c r="A3235" s="58">
        <v>3304128</v>
      </c>
      <c r="B3235" s="58" t="s">
        <v>4137</v>
      </c>
      <c r="C3235" s="59">
        <v>-22.409918661677001</v>
      </c>
      <c r="D3235" s="59">
        <v>-44.262711301584162</v>
      </c>
    </row>
    <row r="3236" spans="1:4" x14ac:dyDescent="0.3">
      <c r="A3236" s="58">
        <v>3304144</v>
      </c>
      <c r="B3236" s="58" t="s">
        <v>4138</v>
      </c>
      <c r="C3236" s="59">
        <v>-22.717430490091903</v>
      </c>
      <c r="D3236" s="59">
        <v>-43.555669547082736</v>
      </c>
    </row>
    <row r="3237" spans="1:4" x14ac:dyDescent="0.3">
      <c r="A3237" s="58">
        <v>3304151</v>
      </c>
      <c r="B3237" s="58" t="s">
        <v>4139</v>
      </c>
      <c r="C3237" s="59">
        <v>-22.106640165514552</v>
      </c>
      <c r="D3237" s="59">
        <v>-41.472509400099923</v>
      </c>
    </row>
    <row r="3238" spans="1:4" x14ac:dyDescent="0.3">
      <c r="A3238" s="58">
        <v>3304201</v>
      </c>
      <c r="B3238" s="58" t="s">
        <v>4140</v>
      </c>
      <c r="C3238" s="59">
        <v>-22.471183586122802</v>
      </c>
      <c r="D3238" s="59">
        <v>-44.443613422920684</v>
      </c>
    </row>
    <row r="3239" spans="1:4" x14ac:dyDescent="0.3">
      <c r="A3239" s="58">
        <v>3304300</v>
      </c>
      <c r="B3239" s="58" t="s">
        <v>4141</v>
      </c>
      <c r="C3239" s="59">
        <v>-22.711271502570202</v>
      </c>
      <c r="D3239" s="59">
        <v>-42.625997841162707</v>
      </c>
    </row>
    <row r="3240" spans="1:4" x14ac:dyDescent="0.3">
      <c r="A3240" s="58">
        <v>3304409</v>
      </c>
      <c r="B3240" s="58" t="s">
        <v>4142</v>
      </c>
      <c r="C3240" s="59">
        <v>-22.731726834048548</v>
      </c>
      <c r="D3240" s="59">
        <v>-44.139405637707313</v>
      </c>
    </row>
    <row r="3241" spans="1:4" x14ac:dyDescent="0.3">
      <c r="A3241" s="58">
        <v>3304508</v>
      </c>
      <c r="B3241" s="58" t="s">
        <v>4143</v>
      </c>
      <c r="C3241" s="59">
        <v>-22.171862243836003</v>
      </c>
      <c r="D3241" s="59">
        <v>-43.576432948133466</v>
      </c>
    </row>
    <row r="3242" spans="1:4" x14ac:dyDescent="0.3">
      <c r="A3242" s="58">
        <v>3304524</v>
      </c>
      <c r="B3242" s="58" t="s">
        <v>4144</v>
      </c>
      <c r="C3242" s="59">
        <v>-22.523941185805</v>
      </c>
      <c r="D3242" s="59">
        <v>-41.936967127160798</v>
      </c>
    </row>
    <row r="3243" spans="1:4" x14ac:dyDescent="0.3">
      <c r="A3243" s="58">
        <v>3304557</v>
      </c>
      <c r="B3243" s="58" t="s">
        <v>4145</v>
      </c>
      <c r="C3243" s="59">
        <v>-22.876652118186456</v>
      </c>
      <c r="D3243" s="59">
        <v>-43.227875124995187</v>
      </c>
    </row>
    <row r="3244" spans="1:4" x14ac:dyDescent="0.3">
      <c r="A3244" s="58">
        <v>3304607</v>
      </c>
      <c r="B3244" s="58" t="s">
        <v>4146</v>
      </c>
      <c r="C3244" s="59">
        <v>-21.966094470677152</v>
      </c>
      <c r="D3244" s="59">
        <v>-42.014444992831521</v>
      </c>
    </row>
    <row r="3245" spans="1:4" x14ac:dyDescent="0.3">
      <c r="A3245" s="58">
        <v>3304706</v>
      </c>
      <c r="B3245" s="58" t="s">
        <v>4147</v>
      </c>
      <c r="C3245" s="59">
        <v>-21.535977120944455</v>
      </c>
      <c r="D3245" s="59">
        <v>-42.177911557488187</v>
      </c>
    </row>
    <row r="3246" spans="1:4" x14ac:dyDescent="0.3">
      <c r="A3246" s="58">
        <v>3304755</v>
      </c>
      <c r="B3246" s="58" t="s">
        <v>4148</v>
      </c>
      <c r="C3246" s="59">
        <v>-21.4801381322882</v>
      </c>
      <c r="D3246" s="59">
        <v>-41.117719728579772</v>
      </c>
    </row>
    <row r="3247" spans="1:4" x14ac:dyDescent="0.3">
      <c r="A3247" s="58">
        <v>3304805</v>
      </c>
      <c r="B3247" s="58" t="s">
        <v>4149</v>
      </c>
      <c r="C3247" s="59">
        <v>-21.643626546627949</v>
      </c>
      <c r="D3247" s="59">
        <v>-41.755592312335828</v>
      </c>
    </row>
    <row r="3248" spans="1:4" x14ac:dyDescent="0.3">
      <c r="A3248" s="58">
        <v>3304904</v>
      </c>
      <c r="B3248" s="58" t="s">
        <v>4150</v>
      </c>
      <c r="C3248" s="59">
        <v>-22.829547313026101</v>
      </c>
      <c r="D3248" s="59">
        <v>-43.032335061964822</v>
      </c>
    </row>
    <row r="3249" spans="1:4" x14ac:dyDescent="0.3">
      <c r="A3249" s="58">
        <v>3305000</v>
      </c>
      <c r="B3249" s="58" t="s">
        <v>4151</v>
      </c>
      <c r="C3249" s="59">
        <v>-21.640457752379248</v>
      </c>
      <c r="D3249" s="59">
        <v>-41.05034814548398</v>
      </c>
    </row>
    <row r="3250" spans="1:4" x14ac:dyDescent="0.3">
      <c r="A3250" s="58">
        <v>3305109</v>
      </c>
      <c r="B3250" s="58" t="s">
        <v>4152</v>
      </c>
      <c r="C3250" s="59">
        <v>-22.80233080863395</v>
      </c>
      <c r="D3250" s="59">
        <v>-43.371884603039526</v>
      </c>
    </row>
    <row r="3251" spans="1:4" x14ac:dyDescent="0.3">
      <c r="A3251" s="58">
        <v>3305133</v>
      </c>
      <c r="B3251" s="58" t="s">
        <v>4153</v>
      </c>
      <c r="C3251" s="59">
        <v>-21.360221109757351</v>
      </c>
      <c r="D3251" s="59">
        <v>-41.941231941445785</v>
      </c>
    </row>
    <row r="3252" spans="1:4" x14ac:dyDescent="0.3">
      <c r="A3252" s="58">
        <v>3305158</v>
      </c>
      <c r="B3252" s="58" t="s">
        <v>4154</v>
      </c>
      <c r="C3252" s="59">
        <v>-22.149739510490324</v>
      </c>
      <c r="D3252" s="59">
        <v>-42.923368301334094</v>
      </c>
    </row>
    <row r="3253" spans="1:4" x14ac:dyDescent="0.3">
      <c r="A3253" s="58">
        <v>3305208</v>
      </c>
      <c r="B3253" s="58" t="s">
        <v>4155</v>
      </c>
      <c r="C3253" s="59">
        <v>-22.837203194755649</v>
      </c>
      <c r="D3253" s="59">
        <v>-42.103528670154155</v>
      </c>
    </row>
    <row r="3254" spans="1:4" x14ac:dyDescent="0.3">
      <c r="A3254" s="58">
        <v>3305307</v>
      </c>
      <c r="B3254" s="58" t="s">
        <v>4156</v>
      </c>
      <c r="C3254" s="59">
        <v>-21.954463410854853</v>
      </c>
      <c r="D3254" s="59">
        <v>-42.130219678486398</v>
      </c>
    </row>
    <row r="3255" spans="1:4" x14ac:dyDescent="0.3">
      <c r="A3255" s="58">
        <v>3305406</v>
      </c>
      <c r="B3255" s="58" t="s">
        <v>1311</v>
      </c>
      <c r="C3255" s="59">
        <v>-21.9939558651925</v>
      </c>
      <c r="D3255" s="59">
        <v>-42.914175360467645</v>
      </c>
    </row>
    <row r="3256" spans="1:4" x14ac:dyDescent="0.3">
      <c r="A3256" s="58">
        <v>3305505</v>
      </c>
      <c r="B3256" s="58" t="s">
        <v>4157</v>
      </c>
      <c r="C3256" s="59">
        <v>-22.931127415995949</v>
      </c>
      <c r="D3256" s="59">
        <v>-42.496694050033803</v>
      </c>
    </row>
    <row r="3257" spans="1:4" x14ac:dyDescent="0.3">
      <c r="A3257" s="58">
        <v>3305554</v>
      </c>
      <c r="B3257" s="58" t="s">
        <v>4158</v>
      </c>
      <c r="C3257" s="59">
        <v>-22.74301106802405</v>
      </c>
      <c r="D3257" s="59">
        <v>-43.70192522116178</v>
      </c>
    </row>
    <row r="3258" spans="1:4" x14ac:dyDescent="0.3">
      <c r="A3258" s="58">
        <v>3305604</v>
      </c>
      <c r="B3258" s="58" t="s">
        <v>4159</v>
      </c>
      <c r="C3258" s="59">
        <v>-22.654330198418549</v>
      </c>
      <c r="D3258" s="59">
        <v>-42.38982592735379</v>
      </c>
    </row>
    <row r="3259" spans="1:4" x14ac:dyDescent="0.3">
      <c r="A3259" s="58">
        <v>3305703</v>
      </c>
      <c r="B3259" s="58" t="s">
        <v>4160</v>
      </c>
      <c r="C3259" s="59">
        <v>-22.050669410834701</v>
      </c>
      <c r="D3259" s="59">
        <v>-42.678625581111923</v>
      </c>
    </row>
    <row r="3260" spans="1:4" x14ac:dyDescent="0.3">
      <c r="A3260" s="58">
        <v>3305752</v>
      </c>
      <c r="B3260" s="58" t="s">
        <v>4161</v>
      </c>
      <c r="C3260" s="59">
        <v>-22.733937434316434</v>
      </c>
      <c r="D3260" s="59">
        <v>-42.721171948412938</v>
      </c>
    </row>
    <row r="3261" spans="1:4" x14ac:dyDescent="0.3">
      <c r="A3261" s="58">
        <v>3305802</v>
      </c>
      <c r="B3261" s="58" t="s">
        <v>4162</v>
      </c>
      <c r="C3261" s="59">
        <v>-22.409004945563151</v>
      </c>
      <c r="D3261" s="59">
        <v>-42.962956713902443</v>
      </c>
    </row>
    <row r="3262" spans="1:4" x14ac:dyDescent="0.3">
      <c r="A3262" s="58">
        <v>3305901</v>
      </c>
      <c r="B3262" s="58" t="s">
        <v>4163</v>
      </c>
      <c r="C3262" s="59">
        <v>-22.061379704848605</v>
      </c>
      <c r="D3262" s="59">
        <v>-42.054815248620208</v>
      </c>
    </row>
    <row r="3263" spans="1:4" x14ac:dyDescent="0.3">
      <c r="A3263" s="58">
        <v>3306008</v>
      </c>
      <c r="B3263" s="58" t="s">
        <v>4164</v>
      </c>
      <c r="C3263" s="59">
        <v>-22.117448000951704</v>
      </c>
      <c r="D3263" s="59">
        <v>-43.211609444335359</v>
      </c>
    </row>
    <row r="3264" spans="1:4" x14ac:dyDescent="0.3">
      <c r="A3264" s="58">
        <v>3306107</v>
      </c>
      <c r="B3264" s="58" t="s">
        <v>3161</v>
      </c>
      <c r="C3264" s="59">
        <v>-22.244719431179352</v>
      </c>
      <c r="D3264" s="59">
        <v>-43.704843678327094</v>
      </c>
    </row>
    <row r="3265" spans="1:4" x14ac:dyDescent="0.3">
      <c r="A3265" s="58">
        <v>3306156</v>
      </c>
      <c r="B3265" s="58" t="s">
        <v>4165</v>
      </c>
      <c r="C3265" s="59">
        <v>-20.929297663870901</v>
      </c>
      <c r="D3265" s="59">
        <v>-41.863295388298816</v>
      </c>
    </row>
    <row r="3266" spans="1:4" x14ac:dyDescent="0.3">
      <c r="A3266" s="58">
        <v>3306206</v>
      </c>
      <c r="B3266" s="58" t="s">
        <v>4166</v>
      </c>
      <c r="C3266" s="59">
        <v>-22.4090075730264</v>
      </c>
      <c r="D3266" s="59">
        <v>-43.663874024513206</v>
      </c>
    </row>
    <row r="3267" spans="1:4" x14ac:dyDescent="0.3">
      <c r="A3267" s="58">
        <v>3306305</v>
      </c>
      <c r="B3267" s="58" t="s">
        <v>4167</v>
      </c>
      <c r="C3267" s="59">
        <v>-22.509967600797751</v>
      </c>
      <c r="D3267" s="59">
        <v>-44.093521884687092</v>
      </c>
    </row>
    <row r="3268" spans="1:4" x14ac:dyDescent="0.3">
      <c r="A3268" s="58">
        <v>3500105</v>
      </c>
      <c r="B3268" s="58" t="s">
        <v>4168</v>
      </c>
      <c r="C3268" s="59">
        <v>-21.688311480000003</v>
      </c>
      <c r="D3268" s="59">
        <v>-51.073364749581806</v>
      </c>
    </row>
    <row r="3269" spans="1:4" x14ac:dyDescent="0.3">
      <c r="A3269" s="58">
        <v>3500204</v>
      </c>
      <c r="B3269" s="58" t="s">
        <v>4169</v>
      </c>
      <c r="C3269" s="59">
        <v>-21.232729777347952</v>
      </c>
      <c r="D3269" s="59">
        <v>-49.649721425559569</v>
      </c>
    </row>
    <row r="3270" spans="1:4" x14ac:dyDescent="0.3">
      <c r="A3270" s="58">
        <v>3500303</v>
      </c>
      <c r="B3270" s="58" t="s">
        <v>4170</v>
      </c>
      <c r="C3270" s="59">
        <v>-22.059684000000001</v>
      </c>
      <c r="D3270" s="59">
        <v>-46.979693109269718</v>
      </c>
    </row>
    <row r="3271" spans="1:4" x14ac:dyDescent="0.3">
      <c r="A3271" s="58">
        <v>3500402</v>
      </c>
      <c r="B3271" s="58" t="s">
        <v>4171</v>
      </c>
      <c r="C3271" s="59">
        <v>-21.934829000000004</v>
      </c>
      <c r="D3271" s="59">
        <v>-46.716766709626121</v>
      </c>
    </row>
    <row r="3272" spans="1:4" x14ac:dyDescent="0.3">
      <c r="A3272" s="58">
        <v>3500501</v>
      </c>
      <c r="B3272" s="58" t="s">
        <v>4172</v>
      </c>
      <c r="C3272" s="59">
        <v>-22.473822036170656</v>
      </c>
      <c r="D3272" s="59">
        <v>-46.631778835922162</v>
      </c>
    </row>
    <row r="3273" spans="1:4" x14ac:dyDescent="0.3">
      <c r="A3273" s="58">
        <v>3500550</v>
      </c>
      <c r="B3273" s="58" t="s">
        <v>4173</v>
      </c>
      <c r="C3273" s="59">
        <v>-22.869149409424953</v>
      </c>
      <c r="D3273" s="59">
        <v>-49.238607767131619</v>
      </c>
    </row>
    <row r="3274" spans="1:4" x14ac:dyDescent="0.3">
      <c r="A3274" s="58">
        <v>3500600</v>
      </c>
      <c r="B3274" s="58" t="s">
        <v>4174</v>
      </c>
      <c r="C3274" s="59">
        <v>-22.597339553853903</v>
      </c>
      <c r="D3274" s="59">
        <v>-47.883974740977592</v>
      </c>
    </row>
    <row r="3275" spans="1:4" x14ac:dyDescent="0.3">
      <c r="A3275" s="58">
        <v>3500709</v>
      </c>
      <c r="B3275" s="58" t="s">
        <v>4175</v>
      </c>
      <c r="C3275" s="59">
        <v>-22.474037000000003</v>
      </c>
      <c r="D3275" s="59">
        <v>-48.990156287942362</v>
      </c>
    </row>
    <row r="3276" spans="1:4" x14ac:dyDescent="0.3">
      <c r="A3276" s="58">
        <v>3500758</v>
      </c>
      <c r="B3276" s="58" t="s">
        <v>4176</v>
      </c>
      <c r="C3276" s="59">
        <v>-23.553898892670556</v>
      </c>
      <c r="D3276" s="59">
        <v>-47.893588387233564</v>
      </c>
    </row>
    <row r="3277" spans="1:4" x14ac:dyDescent="0.3">
      <c r="A3277" s="58">
        <v>3500808</v>
      </c>
      <c r="B3277" s="58" t="s">
        <v>4177</v>
      </c>
      <c r="C3277" s="59">
        <v>-21.952741123600152</v>
      </c>
      <c r="D3277" s="59">
        <v>-51.412938066506307</v>
      </c>
    </row>
    <row r="3278" spans="1:4" x14ac:dyDescent="0.3">
      <c r="A3278" s="58">
        <v>3500907</v>
      </c>
      <c r="B3278" s="58" t="s">
        <v>4178</v>
      </c>
      <c r="C3278" s="59">
        <v>-20.523304881603952</v>
      </c>
      <c r="D3278" s="59">
        <v>-49.060110754240945</v>
      </c>
    </row>
    <row r="3279" spans="1:4" x14ac:dyDescent="0.3">
      <c r="A3279" s="58">
        <v>3501004</v>
      </c>
      <c r="B3279" s="58" t="s">
        <v>4179</v>
      </c>
      <c r="C3279" s="59">
        <v>-21.02458264457281</v>
      </c>
      <c r="D3279" s="59">
        <v>-47.373280292890094</v>
      </c>
    </row>
    <row r="3280" spans="1:4" x14ac:dyDescent="0.3">
      <c r="A3280" s="58">
        <v>3501103</v>
      </c>
      <c r="B3280" s="58" t="s">
        <v>74</v>
      </c>
      <c r="C3280" s="59">
        <v>-21.581689457205304</v>
      </c>
      <c r="D3280" s="59">
        <v>-50.163596796087383</v>
      </c>
    </row>
    <row r="3281" spans="1:4" x14ac:dyDescent="0.3">
      <c r="A3281" s="58">
        <v>3501152</v>
      </c>
      <c r="B3281" s="58" t="s">
        <v>4180</v>
      </c>
      <c r="C3281" s="59">
        <v>-23.533373047846855</v>
      </c>
      <c r="D3281" s="59">
        <v>-47.259056918470357</v>
      </c>
    </row>
    <row r="3282" spans="1:4" x14ac:dyDescent="0.3">
      <c r="A3282" s="58">
        <v>3501202</v>
      </c>
      <c r="B3282" s="58" t="s">
        <v>4181</v>
      </c>
      <c r="C3282" s="59">
        <v>-20.3198762474474</v>
      </c>
      <c r="D3282" s="59">
        <v>-49.911184812489964</v>
      </c>
    </row>
    <row r="3283" spans="1:4" x14ac:dyDescent="0.3">
      <c r="A3283" s="58">
        <v>3501301</v>
      </c>
      <c r="B3283" s="58" t="s">
        <v>4182</v>
      </c>
      <c r="C3283" s="59">
        <v>-22.077778995000003</v>
      </c>
      <c r="D3283" s="59">
        <v>-51.468797273012463</v>
      </c>
    </row>
    <row r="3284" spans="1:4" x14ac:dyDescent="0.3">
      <c r="A3284" s="58">
        <v>3501400</v>
      </c>
      <c r="B3284" s="58" t="s">
        <v>4183</v>
      </c>
      <c r="C3284" s="59">
        <v>-22.076374634043351</v>
      </c>
      <c r="D3284" s="59">
        <v>-49.720609020316033</v>
      </c>
    </row>
    <row r="3285" spans="1:4" x14ac:dyDescent="0.3">
      <c r="A3285" s="58">
        <v>3501509</v>
      </c>
      <c r="B3285" s="58" t="s">
        <v>4184</v>
      </c>
      <c r="C3285" s="59">
        <v>-22.445010151578803</v>
      </c>
      <c r="D3285" s="59">
        <v>-49.763033029359946</v>
      </c>
    </row>
    <row r="3286" spans="1:4" x14ac:dyDescent="0.3">
      <c r="A3286" s="58">
        <v>3501608</v>
      </c>
      <c r="B3286" s="58" t="s">
        <v>4185</v>
      </c>
      <c r="C3286" s="59">
        <v>-22.740883500000006</v>
      </c>
      <c r="D3286" s="59">
        <v>-47.330362926381412</v>
      </c>
    </row>
    <row r="3287" spans="1:4" x14ac:dyDescent="0.3">
      <c r="A3287" s="58">
        <v>3501707</v>
      </c>
      <c r="B3287" s="58" t="s">
        <v>4186</v>
      </c>
      <c r="C3287" s="59">
        <v>-21.730036500000004</v>
      </c>
      <c r="D3287" s="59">
        <v>-48.106604561843916</v>
      </c>
    </row>
    <row r="3288" spans="1:4" x14ac:dyDescent="0.3">
      <c r="A3288" s="58">
        <v>3501806</v>
      </c>
      <c r="B3288" s="58" t="s">
        <v>4187</v>
      </c>
      <c r="C3288" s="59">
        <v>-20.296401943598305</v>
      </c>
      <c r="D3288" s="59">
        <v>-49.727026837449621</v>
      </c>
    </row>
    <row r="3289" spans="1:4" x14ac:dyDescent="0.3">
      <c r="A3289" s="58">
        <v>3501905</v>
      </c>
      <c r="B3289" s="58" t="s">
        <v>2255</v>
      </c>
      <c r="C3289" s="59">
        <v>-22.699388626340653</v>
      </c>
      <c r="D3289" s="59">
        <v>-46.765085690463664</v>
      </c>
    </row>
    <row r="3290" spans="1:4" x14ac:dyDescent="0.3">
      <c r="A3290" s="58">
        <v>3502002</v>
      </c>
      <c r="B3290" s="58" t="s">
        <v>4188</v>
      </c>
      <c r="C3290" s="59">
        <v>-22.128785499340903</v>
      </c>
      <c r="D3290" s="59">
        <v>-47.660766415922573</v>
      </c>
    </row>
    <row r="3291" spans="1:4" x14ac:dyDescent="0.3">
      <c r="A3291" s="58">
        <v>3502101</v>
      </c>
      <c r="B3291" s="58" t="s">
        <v>4189</v>
      </c>
      <c r="C3291" s="59">
        <v>-20.901463515000003</v>
      </c>
      <c r="D3291" s="59">
        <v>-51.378847794763693</v>
      </c>
    </row>
    <row r="3292" spans="1:4" x14ac:dyDescent="0.3">
      <c r="A3292" s="58">
        <v>3502200</v>
      </c>
      <c r="B3292" s="58" t="s">
        <v>4190</v>
      </c>
      <c r="C3292" s="59">
        <v>-23.483987000000003</v>
      </c>
      <c r="D3292" s="59">
        <v>-48.406759616492963</v>
      </c>
    </row>
    <row r="3293" spans="1:4" x14ac:dyDescent="0.3">
      <c r="A3293" s="58">
        <v>3502309</v>
      </c>
      <c r="B3293" s="58" t="s">
        <v>4191</v>
      </c>
      <c r="C3293" s="59">
        <v>-22.786320939625003</v>
      </c>
      <c r="D3293" s="59">
        <v>-48.126926830642979</v>
      </c>
    </row>
    <row r="3294" spans="1:4" x14ac:dyDescent="0.3">
      <c r="A3294" s="58">
        <v>3502408</v>
      </c>
      <c r="B3294" s="58" t="s">
        <v>4192</v>
      </c>
      <c r="C3294" s="59">
        <v>-22.293237175831106</v>
      </c>
      <c r="D3294" s="59">
        <v>-51.386074423277968</v>
      </c>
    </row>
    <row r="3295" spans="1:4" x14ac:dyDescent="0.3">
      <c r="A3295" s="58">
        <v>3502507</v>
      </c>
      <c r="B3295" s="58" t="s">
        <v>2256</v>
      </c>
      <c r="C3295" s="59">
        <v>-22.848154000000008</v>
      </c>
      <c r="D3295" s="59">
        <v>-45.229429338091826</v>
      </c>
    </row>
    <row r="3296" spans="1:4" x14ac:dyDescent="0.3">
      <c r="A3296" s="58">
        <v>3502606</v>
      </c>
      <c r="B3296" s="58" t="s">
        <v>4193</v>
      </c>
      <c r="C3296" s="59">
        <v>-20.4508453725492</v>
      </c>
      <c r="D3296" s="59">
        <v>-50.885615706166355</v>
      </c>
    </row>
    <row r="3297" spans="1:4" x14ac:dyDescent="0.3">
      <c r="A3297" s="58">
        <v>3502705</v>
      </c>
      <c r="B3297" s="58" t="s">
        <v>4194</v>
      </c>
      <c r="C3297" s="59">
        <v>-24.513316000000007</v>
      </c>
      <c r="D3297" s="59">
        <v>-48.848659904639831</v>
      </c>
    </row>
    <row r="3298" spans="1:4" x14ac:dyDescent="0.3">
      <c r="A3298" s="58">
        <v>3502754</v>
      </c>
      <c r="B3298" s="58" t="s">
        <v>4195</v>
      </c>
      <c r="C3298" s="59">
        <v>-23.430040848169252</v>
      </c>
      <c r="D3298" s="59">
        <v>-47.071547636190239</v>
      </c>
    </row>
    <row r="3299" spans="1:4" x14ac:dyDescent="0.3">
      <c r="A3299" s="58">
        <v>3502804</v>
      </c>
      <c r="B3299" s="58" t="s">
        <v>4196</v>
      </c>
      <c r="C3299" s="59">
        <v>-21.205476000000004</v>
      </c>
      <c r="D3299" s="59">
        <v>-50.439226072752582</v>
      </c>
    </row>
    <row r="3300" spans="1:4" x14ac:dyDescent="0.3">
      <c r="A3300" s="58">
        <v>3502903</v>
      </c>
      <c r="B3300" s="58" t="s">
        <v>4197</v>
      </c>
      <c r="C3300" s="59">
        <v>-23.507319797218656</v>
      </c>
      <c r="D3300" s="59">
        <v>-47.587242938627121</v>
      </c>
    </row>
    <row r="3301" spans="1:4" x14ac:dyDescent="0.3">
      <c r="A3301" s="58">
        <v>3503000</v>
      </c>
      <c r="B3301" s="58" t="s">
        <v>4198</v>
      </c>
      <c r="C3301" s="59">
        <v>-20.089944207125054</v>
      </c>
      <c r="D3301" s="59">
        <v>-47.786013041037712</v>
      </c>
    </row>
    <row r="3302" spans="1:4" x14ac:dyDescent="0.3">
      <c r="A3302" s="58">
        <v>3503109</v>
      </c>
      <c r="B3302" s="58" t="s">
        <v>4199</v>
      </c>
      <c r="C3302" s="59">
        <v>-23.133407115644449</v>
      </c>
      <c r="D3302" s="59">
        <v>-49.050975871537453</v>
      </c>
    </row>
    <row r="3303" spans="1:4" x14ac:dyDescent="0.3">
      <c r="A3303" s="58">
        <v>3503158</v>
      </c>
      <c r="B3303" s="58" t="s">
        <v>4200</v>
      </c>
      <c r="C3303" s="59">
        <v>-22.674798723272453</v>
      </c>
      <c r="D3303" s="59">
        <v>-44.448106556794272</v>
      </c>
    </row>
    <row r="3304" spans="1:4" x14ac:dyDescent="0.3">
      <c r="A3304" s="58">
        <v>3503208</v>
      </c>
      <c r="B3304" s="58" t="s">
        <v>4201</v>
      </c>
      <c r="C3304" s="59">
        <v>-21.790359500000005</v>
      </c>
      <c r="D3304" s="59">
        <v>-48.174439937543745</v>
      </c>
    </row>
    <row r="3305" spans="1:4" x14ac:dyDescent="0.3">
      <c r="A3305" s="58">
        <v>3503307</v>
      </c>
      <c r="B3305" s="58" t="s">
        <v>4202</v>
      </c>
      <c r="C3305" s="59">
        <v>-22.357086519658704</v>
      </c>
      <c r="D3305" s="59">
        <v>-47.385829527469362</v>
      </c>
    </row>
    <row r="3306" spans="1:4" x14ac:dyDescent="0.3">
      <c r="A3306" s="58">
        <v>3503356</v>
      </c>
      <c r="B3306" s="58" t="s">
        <v>4203</v>
      </c>
      <c r="C3306" s="59">
        <v>-21.773914025021153</v>
      </c>
      <c r="D3306" s="59">
        <v>-50.464910868264113</v>
      </c>
    </row>
    <row r="3307" spans="1:4" x14ac:dyDescent="0.3">
      <c r="A3307" s="58">
        <v>3503406</v>
      </c>
      <c r="B3307" s="58" t="s">
        <v>4204</v>
      </c>
      <c r="C3307" s="59">
        <v>-22.024767499308755</v>
      </c>
      <c r="D3307" s="59">
        <v>-48.920414801370661</v>
      </c>
    </row>
    <row r="3308" spans="1:4" x14ac:dyDescent="0.3">
      <c r="A3308" s="58">
        <v>3503505</v>
      </c>
      <c r="B3308" s="58" t="s">
        <v>4205</v>
      </c>
      <c r="C3308" s="59">
        <v>-22.582193885871909</v>
      </c>
      <c r="D3308" s="59">
        <v>-44.699432005090451</v>
      </c>
    </row>
    <row r="3309" spans="1:4" x14ac:dyDescent="0.3">
      <c r="A3309" s="58">
        <v>3503604</v>
      </c>
      <c r="B3309" s="58" t="s">
        <v>4206</v>
      </c>
      <c r="C3309" s="59">
        <v>-22.673940449164554</v>
      </c>
      <c r="D3309" s="59">
        <v>-48.665594558484656</v>
      </c>
    </row>
    <row r="3310" spans="1:4" x14ac:dyDescent="0.3">
      <c r="A3310" s="58">
        <v>3503703</v>
      </c>
      <c r="B3310" s="58" t="s">
        <v>4207</v>
      </c>
      <c r="C3310" s="59">
        <v>-21.186127442915851</v>
      </c>
      <c r="D3310" s="59">
        <v>-48.788336564107944</v>
      </c>
    </row>
    <row r="3311" spans="1:4" x14ac:dyDescent="0.3">
      <c r="A3311" s="58">
        <v>3503802</v>
      </c>
      <c r="B3311" s="58" t="s">
        <v>4208</v>
      </c>
      <c r="C3311" s="59">
        <v>-22.571343010476571</v>
      </c>
      <c r="D3311" s="59">
        <v>-47.164301150267747</v>
      </c>
    </row>
    <row r="3312" spans="1:4" x14ac:dyDescent="0.3">
      <c r="A3312" s="58">
        <v>3503901</v>
      </c>
      <c r="B3312" s="58" t="s">
        <v>4209</v>
      </c>
      <c r="C3312" s="59">
        <v>-23.395826740999905</v>
      </c>
      <c r="D3312" s="59">
        <v>-46.320489600113774</v>
      </c>
    </row>
    <row r="3313" spans="1:4" x14ac:dyDescent="0.3">
      <c r="A3313" s="58">
        <v>3503950</v>
      </c>
      <c r="B3313" s="58" t="s">
        <v>4210</v>
      </c>
      <c r="C3313" s="59">
        <v>-20.158189985895003</v>
      </c>
      <c r="D3313" s="59">
        <v>-50.726962671419088</v>
      </c>
    </row>
    <row r="3314" spans="1:4" x14ac:dyDescent="0.3">
      <c r="A3314" s="58">
        <v>3504008</v>
      </c>
      <c r="B3314" s="58" t="s">
        <v>4211</v>
      </c>
      <c r="C3314" s="59">
        <v>-22.662835020000003</v>
      </c>
      <c r="D3314" s="59">
        <v>-50.417510040000003</v>
      </c>
    </row>
    <row r="3315" spans="1:4" x14ac:dyDescent="0.3">
      <c r="A3315" s="58">
        <v>3504107</v>
      </c>
      <c r="B3315" s="58" t="s">
        <v>4212</v>
      </c>
      <c r="C3315" s="59">
        <v>-23.116308</v>
      </c>
      <c r="D3315" s="59">
        <v>-46.555062500674296</v>
      </c>
    </row>
    <row r="3316" spans="1:4" x14ac:dyDescent="0.3">
      <c r="A3316" s="58">
        <v>3504206</v>
      </c>
      <c r="B3316" s="58" t="s">
        <v>4213</v>
      </c>
      <c r="C3316" s="59">
        <v>-20.6873348994576</v>
      </c>
      <c r="D3316" s="59">
        <v>-50.553959333214863</v>
      </c>
    </row>
    <row r="3317" spans="1:4" x14ac:dyDescent="0.3">
      <c r="A3317" s="58">
        <v>3504305</v>
      </c>
      <c r="B3317" s="58" t="s">
        <v>4214</v>
      </c>
      <c r="C3317" s="59">
        <v>-22.156772116287204</v>
      </c>
      <c r="D3317" s="59">
        <v>-49.336815041183421</v>
      </c>
    </row>
    <row r="3318" spans="1:4" x14ac:dyDescent="0.3">
      <c r="A3318" s="58">
        <v>3504404</v>
      </c>
      <c r="B3318" s="58" t="s">
        <v>4215</v>
      </c>
      <c r="C3318" s="59">
        <v>-21.460870560715154</v>
      </c>
      <c r="D3318" s="59">
        <v>-49.942697301187621</v>
      </c>
    </row>
    <row r="3319" spans="1:4" x14ac:dyDescent="0.3">
      <c r="A3319" s="58">
        <v>3504503</v>
      </c>
      <c r="B3319" s="58" t="s">
        <v>4216</v>
      </c>
      <c r="C3319" s="59">
        <v>-23.1031935</v>
      </c>
      <c r="D3319" s="59">
        <v>-48.92326319435665</v>
      </c>
    </row>
    <row r="3320" spans="1:4" x14ac:dyDescent="0.3">
      <c r="A3320" s="58">
        <v>3504602</v>
      </c>
      <c r="B3320" s="58" t="s">
        <v>4217</v>
      </c>
      <c r="C3320" s="59">
        <v>-20.918563779599804</v>
      </c>
      <c r="D3320" s="59">
        <v>-49.44857370929315</v>
      </c>
    </row>
    <row r="3321" spans="1:4" x14ac:dyDescent="0.3">
      <c r="A3321" s="58">
        <v>3504701</v>
      </c>
      <c r="B3321" s="58" t="s">
        <v>4218</v>
      </c>
      <c r="C3321" s="59">
        <v>-21.901523782031152</v>
      </c>
      <c r="D3321" s="59">
        <v>-49.356473499413504</v>
      </c>
    </row>
    <row r="3322" spans="1:4" x14ac:dyDescent="0.3">
      <c r="A3322" s="58">
        <v>3504800</v>
      </c>
      <c r="B3322" s="58" t="s">
        <v>4219</v>
      </c>
      <c r="C3322" s="59">
        <v>-20.738263778181601</v>
      </c>
      <c r="D3322" s="59">
        <v>-49.579327690024719</v>
      </c>
    </row>
    <row r="3323" spans="1:4" x14ac:dyDescent="0.3">
      <c r="A3323" s="58">
        <v>3504909</v>
      </c>
      <c r="B3323" s="58" t="s">
        <v>4220</v>
      </c>
      <c r="C3323" s="59">
        <v>-22.682615999324106</v>
      </c>
      <c r="D3323" s="59">
        <v>-44.323330128990769</v>
      </c>
    </row>
    <row r="3324" spans="1:4" x14ac:dyDescent="0.3">
      <c r="A3324" s="58">
        <v>3505005</v>
      </c>
      <c r="B3324" s="58" t="s">
        <v>4221</v>
      </c>
      <c r="C3324" s="59">
        <v>-23.627110519724603</v>
      </c>
      <c r="D3324" s="59">
        <v>-49.566063896902328</v>
      </c>
    </row>
    <row r="3325" spans="1:4" x14ac:dyDescent="0.3">
      <c r="A3325" s="58">
        <v>3505104</v>
      </c>
      <c r="B3325" s="58" t="s">
        <v>4222</v>
      </c>
      <c r="C3325" s="59">
        <v>-21.259025921970753</v>
      </c>
      <c r="D3325" s="59">
        <v>-49.953988516548904</v>
      </c>
    </row>
    <row r="3326" spans="1:4" x14ac:dyDescent="0.3">
      <c r="A3326" s="58">
        <v>3505203</v>
      </c>
      <c r="B3326" s="58" t="s">
        <v>4223</v>
      </c>
      <c r="C3326" s="59">
        <v>-22.071978000000001</v>
      </c>
      <c r="D3326" s="59">
        <v>-48.74152477123976</v>
      </c>
    </row>
    <row r="3327" spans="1:4" x14ac:dyDescent="0.3">
      <c r="A3327" s="58">
        <v>3505302</v>
      </c>
      <c r="B3327" s="58" t="s">
        <v>4224</v>
      </c>
      <c r="C3327" s="59">
        <v>-22.491145500000005</v>
      </c>
      <c r="D3327" s="59">
        <v>-48.563229227569458</v>
      </c>
    </row>
    <row r="3328" spans="1:4" x14ac:dyDescent="0.3">
      <c r="A3328" s="58">
        <v>3505351</v>
      </c>
      <c r="B3328" s="58" t="s">
        <v>4225</v>
      </c>
      <c r="C3328" s="59">
        <v>-24.471425999287952</v>
      </c>
      <c r="D3328" s="59">
        <v>-49.027139136803854</v>
      </c>
    </row>
    <row r="3329" spans="1:4" x14ac:dyDescent="0.3">
      <c r="A3329" s="58">
        <v>3505401</v>
      </c>
      <c r="B3329" s="58" t="s">
        <v>4226</v>
      </c>
      <c r="C3329" s="59">
        <v>-24.759386656017259</v>
      </c>
      <c r="D3329" s="59">
        <v>-48.502343452770837</v>
      </c>
    </row>
    <row r="3330" spans="1:4" x14ac:dyDescent="0.3">
      <c r="A3330" s="58">
        <v>3505500</v>
      </c>
      <c r="B3330" s="58" t="s">
        <v>4227</v>
      </c>
      <c r="C3330" s="59">
        <v>-20.558455515000002</v>
      </c>
      <c r="D3330" s="59">
        <v>-48.567377839455055</v>
      </c>
    </row>
    <row r="3331" spans="1:4" x14ac:dyDescent="0.3">
      <c r="A3331" s="58">
        <v>3505609</v>
      </c>
      <c r="B3331" s="58" t="s">
        <v>4228</v>
      </c>
      <c r="C3331" s="59">
        <v>-21.191743500000005</v>
      </c>
      <c r="D3331" s="59">
        <v>-48.162813518526143</v>
      </c>
    </row>
    <row r="3332" spans="1:4" x14ac:dyDescent="0.3">
      <c r="A3332" s="58">
        <v>3505708</v>
      </c>
      <c r="B3332" s="58" t="s">
        <v>4229</v>
      </c>
      <c r="C3332" s="59">
        <v>-23.508902000000003</v>
      </c>
      <c r="D3332" s="59">
        <v>-46.874652886530505</v>
      </c>
    </row>
    <row r="3333" spans="1:4" x14ac:dyDescent="0.3">
      <c r="A3333" s="58">
        <v>3505807</v>
      </c>
      <c r="B3333" s="58" t="s">
        <v>4230</v>
      </c>
      <c r="C3333" s="59">
        <v>-21.921037470000005</v>
      </c>
      <c r="D3333" s="59">
        <v>-50.734870861895374</v>
      </c>
    </row>
    <row r="3334" spans="1:4" x14ac:dyDescent="0.3">
      <c r="A3334" s="58">
        <v>3505906</v>
      </c>
      <c r="B3334" s="58" t="s">
        <v>4231</v>
      </c>
      <c r="C3334" s="59">
        <v>-20.891929500000003</v>
      </c>
      <c r="D3334" s="59">
        <v>-47.586106726868273</v>
      </c>
    </row>
    <row r="3335" spans="1:4" x14ac:dyDescent="0.3">
      <c r="A3335" s="58">
        <v>3506003</v>
      </c>
      <c r="B3335" s="58" t="s">
        <v>4232</v>
      </c>
      <c r="C3335" s="59">
        <v>-22.325122500000006</v>
      </c>
      <c r="D3335" s="59">
        <v>-49.083000867090362</v>
      </c>
    </row>
    <row r="3336" spans="1:4" x14ac:dyDescent="0.3">
      <c r="A3336" s="58">
        <v>3506102</v>
      </c>
      <c r="B3336" s="58" t="s">
        <v>4233</v>
      </c>
      <c r="C3336" s="59">
        <v>-20.949815520000005</v>
      </c>
      <c r="D3336" s="59">
        <v>-48.477362174701703</v>
      </c>
    </row>
    <row r="3337" spans="1:4" x14ac:dyDescent="0.3">
      <c r="A3337" s="58">
        <v>3506201</v>
      </c>
      <c r="B3337" s="58" t="s">
        <v>4234</v>
      </c>
      <c r="C3337" s="59">
        <v>-21.269108021202353</v>
      </c>
      <c r="D3337" s="59">
        <v>-50.811852214805619</v>
      </c>
    </row>
    <row r="3338" spans="1:4" x14ac:dyDescent="0.3">
      <c r="A3338" s="58">
        <v>3506300</v>
      </c>
      <c r="B3338" s="58" t="s">
        <v>4235</v>
      </c>
      <c r="C3338" s="59">
        <v>-23.013553004003153</v>
      </c>
      <c r="D3338" s="59">
        <v>-49.474043484681708</v>
      </c>
    </row>
    <row r="3339" spans="1:4" x14ac:dyDescent="0.3">
      <c r="A3339" s="58">
        <v>3506359</v>
      </c>
      <c r="B3339" s="58" t="s">
        <v>4236</v>
      </c>
      <c r="C3339" s="59">
        <v>-23.854014500000005</v>
      </c>
      <c r="D3339" s="59">
        <v>-46.136538335134581</v>
      </c>
    </row>
    <row r="3340" spans="1:4" x14ac:dyDescent="0.3">
      <c r="A3340" s="58">
        <v>3506409</v>
      </c>
      <c r="B3340" s="58" t="s">
        <v>4237</v>
      </c>
      <c r="C3340" s="59">
        <v>-21.402571135191707</v>
      </c>
      <c r="D3340" s="59">
        <v>-50.481110480500149</v>
      </c>
    </row>
    <row r="3341" spans="1:4" x14ac:dyDescent="0.3">
      <c r="A3341" s="58">
        <v>3506508</v>
      </c>
      <c r="B3341" s="58" t="s">
        <v>4238</v>
      </c>
      <c r="C3341" s="59">
        <v>-21.292392288249403</v>
      </c>
      <c r="D3341" s="59">
        <v>-50.339328516986953</v>
      </c>
    </row>
    <row r="3342" spans="1:4" x14ac:dyDescent="0.3">
      <c r="A3342" s="58">
        <v>3506607</v>
      </c>
      <c r="B3342" s="58" t="s">
        <v>4239</v>
      </c>
      <c r="C3342" s="59">
        <v>-23.571033387499956</v>
      </c>
      <c r="D3342" s="59">
        <v>-46.041212224814579</v>
      </c>
    </row>
    <row r="3343" spans="1:4" x14ac:dyDescent="0.3">
      <c r="A3343" s="58">
        <v>3506706</v>
      </c>
      <c r="B3343" s="58" t="s">
        <v>4240</v>
      </c>
      <c r="C3343" s="59">
        <v>-21.992484163440356</v>
      </c>
      <c r="D3343" s="59">
        <v>-48.390596906985081</v>
      </c>
    </row>
    <row r="3344" spans="1:4" x14ac:dyDescent="0.3">
      <c r="A3344" s="58">
        <v>3506805</v>
      </c>
      <c r="B3344" s="58" t="s">
        <v>1712</v>
      </c>
      <c r="C3344" s="59">
        <v>-22.133922545685706</v>
      </c>
      <c r="D3344" s="59">
        <v>-48.52049362438256</v>
      </c>
    </row>
    <row r="3345" spans="1:4" x14ac:dyDescent="0.3">
      <c r="A3345" s="58">
        <v>3506904</v>
      </c>
      <c r="B3345" s="58" t="s">
        <v>4241</v>
      </c>
      <c r="C3345" s="59">
        <v>-23.1025199999814</v>
      </c>
      <c r="D3345" s="59">
        <v>-48.260033058819779</v>
      </c>
    </row>
    <row r="3346" spans="1:4" x14ac:dyDescent="0.3">
      <c r="A3346" s="58">
        <v>3507001</v>
      </c>
      <c r="B3346" s="58" t="s">
        <v>4242</v>
      </c>
      <c r="C3346" s="59">
        <v>-23.281944003499902</v>
      </c>
      <c r="D3346" s="59">
        <v>-47.671473497974105</v>
      </c>
    </row>
    <row r="3347" spans="1:4" x14ac:dyDescent="0.3">
      <c r="A3347" s="58">
        <v>3507100</v>
      </c>
      <c r="B3347" s="58" t="s">
        <v>4243</v>
      </c>
      <c r="C3347" s="59">
        <v>-23.13083742873885</v>
      </c>
      <c r="D3347" s="59">
        <v>-46.466492842629151</v>
      </c>
    </row>
    <row r="3348" spans="1:4" x14ac:dyDescent="0.3">
      <c r="A3348" s="58">
        <v>3507159</v>
      </c>
      <c r="B3348" s="58" t="s">
        <v>4244</v>
      </c>
      <c r="C3348" s="59">
        <v>-24.318262840715601</v>
      </c>
      <c r="D3348" s="59">
        <v>-49.143761922603886</v>
      </c>
    </row>
    <row r="3349" spans="1:4" x14ac:dyDescent="0.3">
      <c r="A3349" s="58">
        <v>3507209</v>
      </c>
      <c r="B3349" s="58" t="s">
        <v>4245</v>
      </c>
      <c r="C3349" s="59">
        <v>-22.270117106681351</v>
      </c>
      <c r="D3349" s="59">
        <v>-50.544880999220943</v>
      </c>
    </row>
    <row r="3350" spans="1:4" x14ac:dyDescent="0.3">
      <c r="A3350" s="58">
        <v>3507308</v>
      </c>
      <c r="B3350" s="58" t="s">
        <v>4246</v>
      </c>
      <c r="C3350" s="59">
        <v>-22.193205654365752</v>
      </c>
      <c r="D3350" s="59">
        <v>-48.779218283157569</v>
      </c>
    </row>
    <row r="3351" spans="1:4" x14ac:dyDescent="0.3">
      <c r="A3351" s="58">
        <v>3507407</v>
      </c>
      <c r="B3351" s="58" t="s">
        <v>2278</v>
      </c>
      <c r="C3351" s="59">
        <v>-21.621537994247401</v>
      </c>
      <c r="D3351" s="59">
        <v>-49.072640247934004</v>
      </c>
    </row>
    <row r="3352" spans="1:4" x14ac:dyDescent="0.3">
      <c r="A3352" s="58">
        <v>3507456</v>
      </c>
      <c r="B3352" s="58" t="s">
        <v>4247</v>
      </c>
      <c r="C3352" s="59">
        <v>-22.567833116865355</v>
      </c>
      <c r="D3352" s="59">
        <v>-48.971595840505195</v>
      </c>
    </row>
    <row r="3353" spans="1:4" x14ac:dyDescent="0.3">
      <c r="A3353" s="58">
        <v>3507506</v>
      </c>
      <c r="B3353" s="58" t="s">
        <v>4248</v>
      </c>
      <c r="C3353" s="59">
        <v>-22.888381500000008</v>
      </c>
      <c r="D3353" s="59">
        <v>-48.441289384350434</v>
      </c>
    </row>
    <row r="3354" spans="1:4" x14ac:dyDescent="0.3">
      <c r="A3354" s="58">
        <v>3507605</v>
      </c>
      <c r="B3354" s="58" t="s">
        <v>4249</v>
      </c>
      <c r="C3354" s="59">
        <v>-22.956895500000009</v>
      </c>
      <c r="D3354" s="59">
        <v>-46.542333373979822</v>
      </c>
    </row>
    <row r="3355" spans="1:4" x14ac:dyDescent="0.3">
      <c r="A3355" s="58">
        <v>3507704</v>
      </c>
      <c r="B3355" s="58" t="s">
        <v>4250</v>
      </c>
      <c r="C3355" s="59">
        <v>-21.501021208455452</v>
      </c>
      <c r="D3355" s="59">
        <v>-50.318165610326361</v>
      </c>
    </row>
    <row r="3356" spans="1:4" x14ac:dyDescent="0.3">
      <c r="A3356" s="58">
        <v>3507753</v>
      </c>
      <c r="B3356" s="58" t="s">
        <v>4251</v>
      </c>
      <c r="C3356" s="59">
        <v>-21.166128499364003</v>
      </c>
      <c r="D3356" s="59">
        <v>-50.187258508288046</v>
      </c>
    </row>
    <row r="3357" spans="1:4" x14ac:dyDescent="0.3">
      <c r="A3357" s="58">
        <v>3507803</v>
      </c>
      <c r="B3357" s="58" t="s">
        <v>4252</v>
      </c>
      <c r="C3357" s="59">
        <v>-20.990140380192404</v>
      </c>
      <c r="D3357" s="59">
        <v>-47.656397956853844</v>
      </c>
    </row>
    <row r="3358" spans="1:4" x14ac:dyDescent="0.3">
      <c r="A3358" s="58">
        <v>3507902</v>
      </c>
      <c r="B3358" s="58" t="s">
        <v>4253</v>
      </c>
      <c r="C3358" s="59">
        <v>-22.286516985000006</v>
      </c>
      <c r="D3358" s="59">
        <v>-48.126833324115658</v>
      </c>
    </row>
    <row r="3359" spans="1:4" x14ac:dyDescent="0.3">
      <c r="A3359" s="58">
        <v>3508009</v>
      </c>
      <c r="B3359" s="58" t="s">
        <v>4254</v>
      </c>
      <c r="C3359" s="59">
        <v>-23.799381418972601</v>
      </c>
      <c r="D3359" s="59">
        <v>-48.597414973797804</v>
      </c>
    </row>
    <row r="3360" spans="1:4" x14ac:dyDescent="0.3">
      <c r="A3360" s="58">
        <v>3508108</v>
      </c>
      <c r="B3360" s="58" t="s">
        <v>4255</v>
      </c>
      <c r="C3360" s="59">
        <v>-21.067039566902153</v>
      </c>
      <c r="D3360" s="59">
        <v>-50.149281252785258</v>
      </c>
    </row>
    <row r="3361" spans="1:4" x14ac:dyDescent="0.3">
      <c r="A3361" s="58">
        <v>3508207</v>
      </c>
      <c r="B3361" s="58" t="s">
        <v>4256</v>
      </c>
      <c r="C3361" s="59">
        <v>-20.193148221638555</v>
      </c>
      <c r="D3361" s="59">
        <v>-47.708860039517496</v>
      </c>
    </row>
    <row r="3362" spans="1:4" x14ac:dyDescent="0.3">
      <c r="A3362" s="58">
        <v>3508306</v>
      </c>
      <c r="B3362" s="58" t="s">
        <v>4257</v>
      </c>
      <c r="C3362" s="59">
        <v>-22.455086958133503</v>
      </c>
      <c r="D3362" s="59">
        <v>-49.332446833143095</v>
      </c>
    </row>
    <row r="3363" spans="1:4" x14ac:dyDescent="0.3">
      <c r="A3363" s="58">
        <v>3508405</v>
      </c>
      <c r="B3363" s="58" t="s">
        <v>4258</v>
      </c>
      <c r="C3363" s="59">
        <v>-23.312674394775829</v>
      </c>
      <c r="D3363" s="59">
        <v>-47.133658373434912</v>
      </c>
    </row>
    <row r="3364" spans="1:4" x14ac:dyDescent="0.3">
      <c r="A3364" s="58">
        <v>3508504</v>
      </c>
      <c r="B3364" s="58" t="s">
        <v>4259</v>
      </c>
      <c r="C3364" s="59">
        <v>-23.100663752708954</v>
      </c>
      <c r="D3364" s="59">
        <v>-45.707730365087535</v>
      </c>
    </row>
    <row r="3365" spans="1:4" x14ac:dyDescent="0.3">
      <c r="A3365" s="58">
        <v>3508603</v>
      </c>
      <c r="B3365" s="58" t="s">
        <v>4260</v>
      </c>
      <c r="C3365" s="59">
        <v>-22.664754376142351</v>
      </c>
      <c r="D3365" s="59">
        <v>-45.010630414928322</v>
      </c>
    </row>
    <row r="3366" spans="1:4" x14ac:dyDescent="0.3">
      <c r="A3366" s="58">
        <v>3508702</v>
      </c>
      <c r="B3366" s="58" t="s">
        <v>4261</v>
      </c>
      <c r="C3366" s="59">
        <v>-21.528738037497451</v>
      </c>
      <c r="D3366" s="59">
        <v>-46.646834878964285</v>
      </c>
    </row>
    <row r="3367" spans="1:4" x14ac:dyDescent="0.3">
      <c r="A3367" s="58">
        <v>3508801</v>
      </c>
      <c r="B3367" s="58" t="s">
        <v>4262</v>
      </c>
      <c r="C3367" s="59">
        <v>-21.809705286609603</v>
      </c>
      <c r="D3367" s="59">
        <v>-49.6003544059215</v>
      </c>
    </row>
    <row r="3368" spans="1:4" x14ac:dyDescent="0.3">
      <c r="A3368" s="58">
        <v>3508900</v>
      </c>
      <c r="B3368" s="58" t="s">
        <v>4263</v>
      </c>
      <c r="C3368" s="59">
        <v>-22.012325256593304</v>
      </c>
      <c r="D3368" s="59">
        <v>-51.235953135481132</v>
      </c>
    </row>
    <row r="3369" spans="1:4" x14ac:dyDescent="0.3">
      <c r="A3369" s="58">
        <v>3509007</v>
      </c>
      <c r="B3369" s="58" t="s">
        <v>4264</v>
      </c>
      <c r="C3369" s="59">
        <v>-23.362116054741225</v>
      </c>
      <c r="D3369" s="59">
        <v>-46.744101417665405</v>
      </c>
    </row>
    <row r="3370" spans="1:4" x14ac:dyDescent="0.3">
      <c r="A3370" s="58">
        <v>3509106</v>
      </c>
      <c r="B3370" s="58" t="s">
        <v>4265</v>
      </c>
      <c r="C3370" s="59">
        <v>-21.829910273396901</v>
      </c>
      <c r="D3370" s="59">
        <v>-51.986892696725555</v>
      </c>
    </row>
    <row r="3371" spans="1:4" x14ac:dyDescent="0.3">
      <c r="A3371" s="58">
        <v>3509205</v>
      </c>
      <c r="B3371" s="58" t="s">
        <v>4266</v>
      </c>
      <c r="C3371" s="59">
        <v>-23.360971384727979</v>
      </c>
      <c r="D3371" s="59">
        <v>-46.882920146569546</v>
      </c>
    </row>
    <row r="3372" spans="1:4" x14ac:dyDescent="0.3">
      <c r="A3372" s="58">
        <v>3509254</v>
      </c>
      <c r="B3372" s="58" t="s">
        <v>4267</v>
      </c>
      <c r="C3372" s="59">
        <v>-24.726360972223041</v>
      </c>
      <c r="D3372" s="59">
        <v>-48.104999809005243</v>
      </c>
    </row>
    <row r="3373" spans="1:4" x14ac:dyDescent="0.3">
      <c r="A3373" s="58">
        <v>3509304</v>
      </c>
      <c r="B3373" s="58" t="s">
        <v>4268</v>
      </c>
      <c r="C3373" s="59">
        <v>-20.879092517862851</v>
      </c>
      <c r="D3373" s="59">
        <v>-48.810122364709429</v>
      </c>
    </row>
    <row r="3374" spans="1:4" x14ac:dyDescent="0.3">
      <c r="A3374" s="58">
        <v>3509403</v>
      </c>
      <c r="B3374" s="58" t="s">
        <v>4269</v>
      </c>
      <c r="C3374" s="59">
        <v>-21.274717500000005</v>
      </c>
      <c r="D3374" s="59">
        <v>-47.304266116796953</v>
      </c>
    </row>
    <row r="3375" spans="1:4" x14ac:dyDescent="0.3">
      <c r="A3375" s="58">
        <v>3509452</v>
      </c>
      <c r="B3375" s="58" t="s">
        <v>4270</v>
      </c>
      <c r="C3375" s="59">
        <v>-23.584076838313354</v>
      </c>
      <c r="D3375" s="59">
        <v>-48.480399019938346</v>
      </c>
    </row>
    <row r="3376" spans="1:4" x14ac:dyDescent="0.3">
      <c r="A3376" s="58">
        <v>3509502</v>
      </c>
      <c r="B3376" s="58" t="s">
        <v>4271</v>
      </c>
      <c r="C3376" s="59">
        <v>-22.907342500000002</v>
      </c>
      <c r="D3376" s="59">
        <v>-47.06015627297316</v>
      </c>
    </row>
    <row r="3377" spans="1:4" x14ac:dyDescent="0.3">
      <c r="A3377" s="58">
        <v>3509601</v>
      </c>
      <c r="B3377" s="58" t="s">
        <v>4272</v>
      </c>
      <c r="C3377" s="59">
        <v>-23.209396429522258</v>
      </c>
      <c r="D3377" s="59">
        <v>-46.763819232789082</v>
      </c>
    </row>
    <row r="3378" spans="1:4" x14ac:dyDescent="0.3">
      <c r="A3378" s="58">
        <v>3509700</v>
      </c>
      <c r="B3378" s="58" t="s">
        <v>4273</v>
      </c>
      <c r="C3378" s="59">
        <v>-22.740091913881155</v>
      </c>
      <c r="D3378" s="59">
        <v>-45.58920170044906</v>
      </c>
    </row>
    <row r="3379" spans="1:4" x14ac:dyDescent="0.3">
      <c r="A3379" s="58">
        <v>3509809</v>
      </c>
      <c r="B3379" s="58" t="s">
        <v>4274</v>
      </c>
      <c r="C3379" s="59">
        <v>-22.599748999328352</v>
      </c>
      <c r="D3379" s="59">
        <v>-50.001794724885286</v>
      </c>
    </row>
    <row r="3380" spans="1:4" x14ac:dyDescent="0.3">
      <c r="A3380" s="58">
        <v>3509908</v>
      </c>
      <c r="B3380" s="58" t="s">
        <v>4275</v>
      </c>
      <c r="C3380" s="59">
        <v>-25.016908069980904</v>
      </c>
      <c r="D3380" s="59">
        <v>-47.928482814429735</v>
      </c>
    </row>
    <row r="3381" spans="1:4" x14ac:dyDescent="0.3">
      <c r="A3381" s="58">
        <v>3509957</v>
      </c>
      <c r="B3381" s="58" t="s">
        <v>4276</v>
      </c>
      <c r="C3381" s="59">
        <v>-22.690669066040002</v>
      </c>
      <c r="D3381" s="59">
        <v>-45.056975740535016</v>
      </c>
    </row>
    <row r="3382" spans="1:4" x14ac:dyDescent="0.3">
      <c r="A3382" s="58">
        <v>3510005</v>
      </c>
      <c r="B3382" s="58" t="s">
        <v>4277</v>
      </c>
      <c r="C3382" s="59">
        <v>-22.746925500000007</v>
      </c>
      <c r="D3382" s="59">
        <v>-50.388393171768513</v>
      </c>
    </row>
    <row r="3383" spans="1:4" x14ac:dyDescent="0.3">
      <c r="A3383" s="58">
        <v>3510104</v>
      </c>
      <c r="B3383" s="58" t="s">
        <v>4278</v>
      </c>
      <c r="C3383" s="59">
        <v>-21.322613582849804</v>
      </c>
      <c r="D3383" s="59">
        <v>-48.63403931083802</v>
      </c>
    </row>
    <row r="3384" spans="1:4" x14ac:dyDescent="0.3">
      <c r="A3384" s="58">
        <v>3510153</v>
      </c>
      <c r="B3384" s="58" t="s">
        <v>4279</v>
      </c>
      <c r="C3384" s="59">
        <v>-23.009837218795305</v>
      </c>
      <c r="D3384" s="59">
        <v>-49.785431954502307</v>
      </c>
    </row>
    <row r="3385" spans="1:4" x14ac:dyDescent="0.3">
      <c r="A3385" s="58">
        <v>3510203</v>
      </c>
      <c r="B3385" s="58" t="s">
        <v>4280</v>
      </c>
      <c r="C3385" s="59">
        <v>-24.006800970000004</v>
      </c>
      <c r="D3385" s="59">
        <v>-48.351434517927522</v>
      </c>
    </row>
    <row r="3386" spans="1:4" x14ac:dyDescent="0.3">
      <c r="A3386" s="58">
        <v>3510302</v>
      </c>
      <c r="B3386" s="58" t="s">
        <v>4281</v>
      </c>
      <c r="C3386" s="59">
        <v>-23.469902955253907</v>
      </c>
      <c r="D3386" s="59">
        <v>-47.736118443644258</v>
      </c>
    </row>
    <row r="3387" spans="1:4" x14ac:dyDescent="0.3">
      <c r="A3387" s="58">
        <v>3510401</v>
      </c>
      <c r="B3387" s="58" t="s">
        <v>4282</v>
      </c>
      <c r="C3387" s="59">
        <v>-22.999548914588303</v>
      </c>
      <c r="D3387" s="59">
        <v>-47.502206154668748</v>
      </c>
    </row>
    <row r="3388" spans="1:4" x14ac:dyDescent="0.3">
      <c r="A3388" s="58">
        <v>3510500</v>
      </c>
      <c r="B3388" s="58" t="s">
        <v>4283</v>
      </c>
      <c r="C3388" s="59">
        <v>-23.622006500000001</v>
      </c>
      <c r="D3388" s="59">
        <v>-45.410818382249786</v>
      </c>
    </row>
    <row r="3389" spans="1:4" x14ac:dyDescent="0.3">
      <c r="A3389" s="58">
        <v>3510609</v>
      </c>
      <c r="B3389" s="58" t="s">
        <v>4284</v>
      </c>
      <c r="C3389" s="59">
        <v>-23.535249500000003</v>
      </c>
      <c r="D3389" s="59">
        <v>-46.841445431909598</v>
      </c>
    </row>
    <row r="3390" spans="1:4" x14ac:dyDescent="0.3">
      <c r="A3390" s="58">
        <v>3510708</v>
      </c>
      <c r="B3390" s="58" t="s">
        <v>4285</v>
      </c>
      <c r="C3390" s="59">
        <v>-20.080991509997855</v>
      </c>
      <c r="D3390" s="59">
        <v>-49.91494230289026</v>
      </c>
    </row>
    <row r="3391" spans="1:4" x14ac:dyDescent="0.3">
      <c r="A3391" s="58">
        <v>3510807</v>
      </c>
      <c r="B3391" s="58" t="s">
        <v>4286</v>
      </c>
      <c r="C3391" s="59">
        <v>-21.777986990000006</v>
      </c>
      <c r="D3391" s="59">
        <v>-47.079758204827158</v>
      </c>
    </row>
    <row r="3392" spans="1:4" x14ac:dyDescent="0.3">
      <c r="A3392" s="58">
        <v>3510906</v>
      </c>
      <c r="B3392" s="58" t="s">
        <v>4287</v>
      </c>
      <c r="C3392" s="59">
        <v>-21.285000428529404</v>
      </c>
      <c r="D3392" s="59">
        <v>-47.167105877048876</v>
      </c>
    </row>
    <row r="3393" spans="1:4" x14ac:dyDescent="0.3">
      <c r="A3393" s="58">
        <v>3511003</v>
      </c>
      <c r="B3393" s="58" t="s">
        <v>4288</v>
      </c>
      <c r="C3393" s="59">
        <v>-20.872026554121053</v>
      </c>
      <c r="D3393" s="59">
        <v>-51.489407055842278</v>
      </c>
    </row>
    <row r="3394" spans="1:4" x14ac:dyDescent="0.3">
      <c r="A3394" s="58">
        <v>3511102</v>
      </c>
      <c r="B3394" s="58" t="s">
        <v>4289</v>
      </c>
      <c r="C3394" s="59">
        <v>-21.139538500000004</v>
      </c>
      <c r="D3394" s="59">
        <v>-48.975870939042814</v>
      </c>
    </row>
    <row r="3395" spans="1:4" x14ac:dyDescent="0.3">
      <c r="A3395" s="58">
        <v>3511201</v>
      </c>
      <c r="B3395" s="58" t="s">
        <v>4290</v>
      </c>
      <c r="C3395" s="59">
        <v>-21.048579999366858</v>
      </c>
      <c r="D3395" s="59">
        <v>-49.057742152508247</v>
      </c>
    </row>
    <row r="3396" spans="1:4" x14ac:dyDescent="0.3">
      <c r="A3396" s="58">
        <v>3511300</v>
      </c>
      <c r="B3396" s="58" t="s">
        <v>1520</v>
      </c>
      <c r="C3396" s="59">
        <v>-20.904231922286552</v>
      </c>
      <c r="D3396" s="59">
        <v>-49.272841545890991</v>
      </c>
    </row>
    <row r="3397" spans="1:4" x14ac:dyDescent="0.3">
      <c r="A3397" s="58">
        <v>3511409</v>
      </c>
      <c r="B3397" s="58" t="s">
        <v>4291</v>
      </c>
      <c r="C3397" s="59">
        <v>-23.034797499319904</v>
      </c>
      <c r="D3397" s="59">
        <v>-49.165330170887934</v>
      </c>
    </row>
    <row r="3398" spans="1:4" x14ac:dyDescent="0.3">
      <c r="A3398" s="58">
        <v>3511508</v>
      </c>
      <c r="B3398" s="58" t="s">
        <v>4292</v>
      </c>
      <c r="C3398" s="59">
        <v>-23.168672500000003</v>
      </c>
      <c r="D3398" s="59">
        <v>-47.737531325107895</v>
      </c>
    </row>
    <row r="3399" spans="1:4" x14ac:dyDescent="0.3">
      <c r="A3399" s="58">
        <v>3511607</v>
      </c>
      <c r="B3399" s="58" t="s">
        <v>4293</v>
      </c>
      <c r="C3399" s="59">
        <v>-23.224731835877456</v>
      </c>
      <c r="D3399" s="59">
        <v>-47.952110655390264</v>
      </c>
    </row>
    <row r="3400" spans="1:4" x14ac:dyDescent="0.3">
      <c r="A3400" s="58">
        <v>3511706</v>
      </c>
      <c r="B3400" s="58" t="s">
        <v>4294</v>
      </c>
      <c r="C3400" s="59">
        <v>-22.508882412068655</v>
      </c>
      <c r="D3400" s="59">
        <v>-47.775700203456722</v>
      </c>
    </row>
    <row r="3401" spans="1:4" x14ac:dyDescent="0.3">
      <c r="A3401" s="58">
        <v>3511904</v>
      </c>
      <c r="B3401" s="58" t="s">
        <v>4295</v>
      </c>
      <c r="C3401" s="59">
        <v>-21.560310036799354</v>
      </c>
      <c r="D3401" s="59">
        <v>-50.450348692156652</v>
      </c>
    </row>
    <row r="3402" spans="1:4" x14ac:dyDescent="0.3">
      <c r="A3402" s="58">
        <v>3512001</v>
      </c>
      <c r="B3402" s="58" t="s">
        <v>4296</v>
      </c>
      <c r="C3402" s="59">
        <v>-20.718734499377604</v>
      </c>
      <c r="D3402" s="59">
        <v>-48.539738329013375</v>
      </c>
    </row>
    <row r="3403" spans="1:4" x14ac:dyDescent="0.3">
      <c r="A3403" s="58">
        <v>3512100</v>
      </c>
      <c r="B3403" s="58" t="s">
        <v>4297</v>
      </c>
      <c r="C3403" s="59">
        <v>-20.171558843335301</v>
      </c>
      <c r="D3403" s="59">
        <v>-48.687484179829646</v>
      </c>
    </row>
    <row r="3404" spans="1:4" x14ac:dyDescent="0.3">
      <c r="A3404" s="58">
        <v>3512209</v>
      </c>
      <c r="B3404" s="58" t="s">
        <v>4298</v>
      </c>
      <c r="C3404" s="59">
        <v>-22.330076447999904</v>
      </c>
      <c r="D3404" s="59">
        <v>-47.174375742552414</v>
      </c>
    </row>
    <row r="3405" spans="1:4" x14ac:dyDescent="0.3">
      <c r="A3405" s="58">
        <v>3512308</v>
      </c>
      <c r="B3405" s="58" t="s">
        <v>4299</v>
      </c>
      <c r="C3405" s="59">
        <v>-23.012958080648964</v>
      </c>
      <c r="D3405" s="59">
        <v>-48.00989213364484</v>
      </c>
    </row>
    <row r="3406" spans="1:4" x14ac:dyDescent="0.3">
      <c r="A3406" s="58">
        <v>3512407</v>
      </c>
      <c r="B3406" s="58" t="s">
        <v>4300</v>
      </c>
      <c r="C3406" s="59">
        <v>-22.481707032329005</v>
      </c>
      <c r="D3406" s="59">
        <v>-47.458282925400148</v>
      </c>
    </row>
    <row r="3407" spans="1:4" x14ac:dyDescent="0.3">
      <c r="A3407" s="58">
        <v>3512506</v>
      </c>
      <c r="B3407" s="58" t="s">
        <v>4301</v>
      </c>
      <c r="C3407" s="59">
        <v>-21.35405285027235</v>
      </c>
      <c r="D3407" s="59">
        <v>-50.287295847911714</v>
      </c>
    </row>
    <row r="3408" spans="1:4" x14ac:dyDescent="0.3">
      <c r="A3408" s="58">
        <v>3512605</v>
      </c>
      <c r="B3408" s="58" t="s">
        <v>4302</v>
      </c>
      <c r="C3408" s="59">
        <v>-23.632234981801354</v>
      </c>
      <c r="D3408" s="59">
        <v>-49.318912396415541</v>
      </c>
    </row>
    <row r="3409" spans="1:4" x14ac:dyDescent="0.3">
      <c r="A3409" s="58">
        <v>3512704</v>
      </c>
      <c r="B3409" s="58" t="s">
        <v>4303</v>
      </c>
      <c r="C3409" s="59">
        <v>-22.218996750170806</v>
      </c>
      <c r="D3409" s="59">
        <v>-47.626610130408217</v>
      </c>
    </row>
    <row r="3410" spans="1:4" x14ac:dyDescent="0.3">
      <c r="A3410" s="58">
        <v>3512803</v>
      </c>
      <c r="B3410" s="58" t="s">
        <v>4304</v>
      </c>
      <c r="C3410" s="59">
        <v>-22.645784885852652</v>
      </c>
      <c r="D3410" s="59">
        <v>-47.196770776794587</v>
      </c>
    </row>
    <row r="3411" spans="1:4" x14ac:dyDescent="0.3">
      <c r="A3411" s="58">
        <v>3512902</v>
      </c>
      <c r="B3411" s="58" t="s">
        <v>4305</v>
      </c>
      <c r="C3411" s="59">
        <v>-20.477034658871002</v>
      </c>
      <c r="D3411" s="59">
        <v>-49.778859693117063</v>
      </c>
    </row>
    <row r="3412" spans="1:4" x14ac:dyDescent="0.3">
      <c r="A3412" s="58">
        <v>3513009</v>
      </c>
      <c r="B3412" s="58" t="s">
        <v>4306</v>
      </c>
      <c r="C3412" s="59">
        <v>-23.603514000000004</v>
      </c>
      <c r="D3412" s="59">
        <v>-46.931846327888586</v>
      </c>
    </row>
    <row r="3413" spans="1:4" x14ac:dyDescent="0.3">
      <c r="A3413" s="58">
        <v>3513108</v>
      </c>
      <c r="B3413" s="58" t="s">
        <v>4307</v>
      </c>
      <c r="C3413" s="59">
        <v>-21.340430500000004</v>
      </c>
      <c r="D3413" s="59">
        <v>-47.730042348127988</v>
      </c>
    </row>
    <row r="3414" spans="1:4" x14ac:dyDescent="0.3">
      <c r="A3414" s="58">
        <v>3513207</v>
      </c>
      <c r="B3414" s="58" t="s">
        <v>4308</v>
      </c>
      <c r="C3414" s="59">
        <v>-20.402491999392403</v>
      </c>
      <c r="D3414" s="59">
        <v>-47.423806452050769</v>
      </c>
    </row>
    <row r="3415" spans="1:4" x14ac:dyDescent="0.3">
      <c r="A3415" s="58">
        <v>3513306</v>
      </c>
      <c r="B3415" s="58" t="s">
        <v>4309</v>
      </c>
      <c r="C3415" s="59">
        <v>-22.745498928978854</v>
      </c>
      <c r="D3415" s="59">
        <v>-50.793666159557638</v>
      </c>
    </row>
    <row r="3416" spans="1:4" x14ac:dyDescent="0.3">
      <c r="A3416" s="58">
        <v>3513405</v>
      </c>
      <c r="B3416" s="58" t="s">
        <v>4310</v>
      </c>
      <c r="C3416" s="59">
        <v>-22.577749880422036</v>
      </c>
      <c r="D3416" s="59">
        <v>-44.96173196059668</v>
      </c>
    </row>
    <row r="3417" spans="1:4" x14ac:dyDescent="0.3">
      <c r="A3417" s="58">
        <v>3513504</v>
      </c>
      <c r="B3417" s="58" t="s">
        <v>4311</v>
      </c>
      <c r="C3417" s="59">
        <v>-23.883839000000005</v>
      </c>
      <c r="D3417" s="59">
        <v>-46.420031768274477</v>
      </c>
    </row>
    <row r="3418" spans="1:4" x14ac:dyDescent="0.3">
      <c r="A3418" s="58">
        <v>3513603</v>
      </c>
      <c r="B3418" s="58" t="s">
        <v>4312</v>
      </c>
      <c r="C3418" s="59">
        <v>-23.074750147406501</v>
      </c>
      <c r="D3418" s="59">
        <v>-44.958026903498052</v>
      </c>
    </row>
    <row r="3419" spans="1:4" x14ac:dyDescent="0.3">
      <c r="A3419" s="58">
        <v>3513702</v>
      </c>
      <c r="B3419" s="58" t="s">
        <v>4313</v>
      </c>
      <c r="C3419" s="59">
        <v>-21.909083000000006</v>
      </c>
      <c r="D3419" s="59">
        <v>-47.620663971859237</v>
      </c>
    </row>
    <row r="3420" spans="1:4" x14ac:dyDescent="0.3">
      <c r="A3420" s="58">
        <v>3513801</v>
      </c>
      <c r="B3420" s="58" t="s">
        <v>4314</v>
      </c>
      <c r="C3420" s="59">
        <v>-23.689295000000008</v>
      </c>
      <c r="D3420" s="59">
        <v>-46.623381393203019</v>
      </c>
    </row>
    <row r="3421" spans="1:4" x14ac:dyDescent="0.3">
      <c r="A3421" s="58">
        <v>3513850</v>
      </c>
      <c r="B3421" s="58" t="s">
        <v>4315</v>
      </c>
      <c r="C3421" s="59">
        <v>-20.464412794300202</v>
      </c>
      <c r="D3421" s="59">
        <v>-50.606055988833148</v>
      </c>
    </row>
    <row r="3422" spans="1:4" x14ac:dyDescent="0.3">
      <c r="A3422" s="58">
        <v>3513900</v>
      </c>
      <c r="B3422" s="58" t="s">
        <v>4316</v>
      </c>
      <c r="C3422" s="59">
        <v>-21.661621506036553</v>
      </c>
      <c r="D3422" s="59">
        <v>-46.736869786792376</v>
      </c>
    </row>
    <row r="3423" spans="1:4" x14ac:dyDescent="0.3">
      <c r="A3423" s="58">
        <v>3514007</v>
      </c>
      <c r="B3423" s="58" t="s">
        <v>4317</v>
      </c>
      <c r="C3423" s="59">
        <v>-21.514804330405855</v>
      </c>
      <c r="D3423" s="59">
        <v>-48.400242719251693</v>
      </c>
    </row>
    <row r="3424" spans="1:4" x14ac:dyDescent="0.3">
      <c r="A3424" s="58">
        <v>3514106</v>
      </c>
      <c r="B3424" s="58" t="s">
        <v>4318</v>
      </c>
      <c r="C3424" s="59">
        <v>-22.367316000000002</v>
      </c>
      <c r="D3424" s="59">
        <v>-48.382675987535464</v>
      </c>
    </row>
    <row r="3425" spans="1:4" x14ac:dyDescent="0.3">
      <c r="A3425" s="58">
        <v>3514205</v>
      </c>
      <c r="B3425" s="58" t="s">
        <v>4319</v>
      </c>
      <c r="C3425" s="59">
        <v>-20.122870661056659</v>
      </c>
      <c r="D3425" s="59">
        <v>-50.515363084024557</v>
      </c>
    </row>
    <row r="3426" spans="1:4" x14ac:dyDescent="0.3">
      <c r="A3426" s="58">
        <v>3514304</v>
      </c>
      <c r="B3426" s="58" t="s">
        <v>4320</v>
      </c>
      <c r="C3426" s="59">
        <v>-22.113167196367058</v>
      </c>
      <c r="D3426" s="59">
        <v>-48.316235806343272</v>
      </c>
    </row>
    <row r="3427" spans="1:4" x14ac:dyDescent="0.3">
      <c r="A3427" s="58">
        <v>3514403</v>
      </c>
      <c r="B3427" s="58" t="s">
        <v>4321</v>
      </c>
      <c r="C3427" s="59">
        <v>-21.486137535000005</v>
      </c>
      <c r="D3427" s="59">
        <v>-51.53404966006272</v>
      </c>
    </row>
    <row r="3428" spans="1:4" x14ac:dyDescent="0.3">
      <c r="A3428" s="58">
        <v>3514502</v>
      </c>
      <c r="B3428" s="58" t="s">
        <v>4322</v>
      </c>
      <c r="C3428" s="59">
        <v>-22.414881375807752</v>
      </c>
      <c r="D3428" s="59">
        <v>-49.405045410632958</v>
      </c>
    </row>
    <row r="3429" spans="1:4" x14ac:dyDescent="0.3">
      <c r="A3429" s="58">
        <v>3514601</v>
      </c>
      <c r="B3429" s="58" t="s">
        <v>4323</v>
      </c>
      <c r="C3429" s="59">
        <v>-21.233325999362354</v>
      </c>
      <c r="D3429" s="59">
        <v>-47.970843449444295</v>
      </c>
    </row>
    <row r="3430" spans="1:4" x14ac:dyDescent="0.3">
      <c r="A3430" s="58">
        <v>3514700</v>
      </c>
      <c r="B3430" s="58" t="s">
        <v>4324</v>
      </c>
      <c r="C3430" s="59">
        <v>-22.424996999334002</v>
      </c>
      <c r="D3430" s="59">
        <v>-50.207006146214439</v>
      </c>
    </row>
    <row r="3431" spans="1:4" x14ac:dyDescent="0.3">
      <c r="A3431" s="58">
        <v>3514809</v>
      </c>
      <c r="B3431" s="58" t="s">
        <v>4325</v>
      </c>
      <c r="C3431" s="59">
        <v>-24.525386611147006</v>
      </c>
      <c r="D3431" s="59">
        <v>-48.103228422535025</v>
      </c>
    </row>
    <row r="3432" spans="1:4" x14ac:dyDescent="0.3">
      <c r="A3432" s="58">
        <v>3514908</v>
      </c>
      <c r="B3432" s="58" t="s">
        <v>4326</v>
      </c>
      <c r="C3432" s="59">
        <v>-23.04253672118076</v>
      </c>
      <c r="D3432" s="59">
        <v>-47.376774239641627</v>
      </c>
    </row>
    <row r="3433" spans="1:4" x14ac:dyDescent="0.3">
      <c r="A3433" s="58">
        <v>3514924</v>
      </c>
      <c r="B3433" s="58" t="s">
        <v>4327</v>
      </c>
      <c r="C3433" s="59">
        <v>-21.164429018489251</v>
      </c>
      <c r="D3433" s="59">
        <v>-49.110835890202573</v>
      </c>
    </row>
    <row r="3434" spans="1:4" x14ac:dyDescent="0.3">
      <c r="A3434" s="58">
        <v>3514957</v>
      </c>
      <c r="B3434" s="58" t="s">
        <v>4328</v>
      </c>
      <c r="C3434" s="59">
        <v>-20.982668054874704</v>
      </c>
      <c r="D3434" s="59">
        <v>-48.83262029214584</v>
      </c>
    </row>
    <row r="3435" spans="1:4" x14ac:dyDescent="0.3">
      <c r="A3435" s="58">
        <v>3515004</v>
      </c>
      <c r="B3435" s="58" t="s">
        <v>4329</v>
      </c>
      <c r="C3435" s="59">
        <v>-23.647312500000005</v>
      </c>
      <c r="D3435" s="59">
        <v>-46.850859993673581</v>
      </c>
    </row>
    <row r="3436" spans="1:4" x14ac:dyDescent="0.3">
      <c r="A3436" s="58">
        <v>3515103</v>
      </c>
      <c r="B3436" s="58" t="s">
        <v>4330</v>
      </c>
      <c r="C3436" s="59">
        <v>-23.831829103771252</v>
      </c>
      <c r="D3436" s="59">
        <v>-46.817108872549611</v>
      </c>
    </row>
    <row r="3437" spans="1:4" x14ac:dyDescent="0.3">
      <c r="A3437" s="58">
        <v>3515129</v>
      </c>
      <c r="B3437" s="58" t="s">
        <v>4331</v>
      </c>
      <c r="C3437" s="59">
        <v>-21.83130897810015</v>
      </c>
      <c r="D3437" s="59">
        <v>-51.480431428050558</v>
      </c>
    </row>
    <row r="3438" spans="1:4" x14ac:dyDescent="0.3">
      <c r="A3438" s="58">
        <v>3515152</v>
      </c>
      <c r="B3438" s="58" t="s">
        <v>4332</v>
      </c>
      <c r="C3438" s="59">
        <v>-22.491189952477502</v>
      </c>
      <c r="D3438" s="59">
        <v>-47.213079730539313</v>
      </c>
    </row>
    <row r="3439" spans="1:4" x14ac:dyDescent="0.3">
      <c r="A3439" s="58">
        <v>3515186</v>
      </c>
      <c r="B3439" s="58" t="s">
        <v>4333</v>
      </c>
      <c r="C3439" s="59">
        <v>-22.197053500000003</v>
      </c>
      <c r="D3439" s="59">
        <v>-46.745514289869647</v>
      </c>
    </row>
    <row r="3440" spans="1:4" x14ac:dyDescent="0.3">
      <c r="A3440" s="58">
        <v>3515194</v>
      </c>
      <c r="B3440" s="58" t="s">
        <v>4334</v>
      </c>
      <c r="C3440" s="59">
        <v>-22.694973492069455</v>
      </c>
      <c r="D3440" s="59">
        <v>-49.429825285815944</v>
      </c>
    </row>
    <row r="3441" spans="1:4" x14ac:dyDescent="0.3">
      <c r="A3441" s="58">
        <v>3515202</v>
      </c>
      <c r="B3441" s="58" t="s">
        <v>4335</v>
      </c>
      <c r="C3441" s="59">
        <v>-20.286082203974658</v>
      </c>
      <c r="D3441" s="59">
        <v>-50.405466847951246</v>
      </c>
    </row>
    <row r="3442" spans="1:4" x14ac:dyDescent="0.3">
      <c r="A3442" s="58">
        <v>3515301</v>
      </c>
      <c r="B3442" s="58" t="s">
        <v>4336</v>
      </c>
      <c r="C3442" s="59">
        <v>-22.490598901991106</v>
      </c>
      <c r="D3442" s="59">
        <v>-51.664176190951686</v>
      </c>
    </row>
    <row r="3443" spans="1:4" x14ac:dyDescent="0.3">
      <c r="A3443" s="58">
        <v>3515350</v>
      </c>
      <c r="B3443" s="58" t="s">
        <v>4337</v>
      </c>
      <c r="C3443" s="59">
        <v>-22.554996920208456</v>
      </c>
      <c r="D3443" s="59">
        <v>-52.590898380276627</v>
      </c>
    </row>
    <row r="3444" spans="1:4" x14ac:dyDescent="0.3">
      <c r="A3444" s="58">
        <v>3515400</v>
      </c>
      <c r="B3444" s="58" t="s">
        <v>4338</v>
      </c>
      <c r="C3444" s="59">
        <v>-23.388960913938501</v>
      </c>
      <c r="D3444" s="59">
        <v>-49.512053376698297</v>
      </c>
    </row>
    <row r="3445" spans="1:4" x14ac:dyDescent="0.3">
      <c r="A3445" s="58">
        <v>3515509</v>
      </c>
      <c r="B3445" s="58" t="s">
        <v>4339</v>
      </c>
      <c r="C3445" s="59">
        <v>-20.282382990000006</v>
      </c>
      <c r="D3445" s="59">
        <v>-50.248748430583433</v>
      </c>
    </row>
    <row r="3446" spans="1:4" x14ac:dyDescent="0.3">
      <c r="A3446" s="58">
        <v>3515608</v>
      </c>
      <c r="B3446" s="58" t="s">
        <v>4340</v>
      </c>
      <c r="C3446" s="59">
        <v>-21.267121989952404</v>
      </c>
      <c r="D3446" s="59">
        <v>-48.692273053194221</v>
      </c>
    </row>
    <row r="3447" spans="1:4" x14ac:dyDescent="0.3">
      <c r="A3447" s="58">
        <v>3515657</v>
      </c>
      <c r="B3447" s="58" t="s">
        <v>4341</v>
      </c>
      <c r="C3447" s="59">
        <v>-22.359138319147654</v>
      </c>
      <c r="D3447" s="59">
        <v>-49.519841211156304</v>
      </c>
    </row>
    <row r="3448" spans="1:4" x14ac:dyDescent="0.3">
      <c r="A3448" s="58">
        <v>3515707</v>
      </c>
      <c r="B3448" s="58" t="s">
        <v>4342</v>
      </c>
      <c r="C3448" s="59">
        <v>-23.541544500000004</v>
      </c>
      <c r="D3448" s="59">
        <v>-46.366552671574183</v>
      </c>
    </row>
    <row r="3449" spans="1:4" x14ac:dyDescent="0.3">
      <c r="A3449" s="58">
        <v>3515806</v>
      </c>
      <c r="B3449" s="58" t="s">
        <v>4343</v>
      </c>
      <c r="C3449" s="59">
        <v>-21.676733935614351</v>
      </c>
      <c r="D3449" s="59">
        <v>-51.382300841071938</v>
      </c>
    </row>
    <row r="3450" spans="1:4" x14ac:dyDescent="0.3">
      <c r="A3450" s="58">
        <v>3515905</v>
      </c>
      <c r="B3450" s="58" t="s">
        <v>4344</v>
      </c>
      <c r="C3450" s="59">
        <v>-20.674031227925401</v>
      </c>
      <c r="D3450" s="59">
        <v>-50.145689008682758</v>
      </c>
    </row>
    <row r="3451" spans="1:4" x14ac:dyDescent="0.3">
      <c r="A3451" s="58">
        <v>3516002</v>
      </c>
      <c r="B3451" s="58" t="s">
        <v>4345</v>
      </c>
      <c r="C3451" s="59">
        <v>-21.613427615164152</v>
      </c>
      <c r="D3451" s="59">
        <v>-51.168876466827719</v>
      </c>
    </row>
    <row r="3452" spans="1:4" x14ac:dyDescent="0.3">
      <c r="A3452" s="58">
        <v>3516101</v>
      </c>
      <c r="B3452" s="58" t="s">
        <v>4346</v>
      </c>
      <c r="C3452" s="59">
        <v>-22.903568778761954</v>
      </c>
      <c r="D3452" s="59">
        <v>-50.724822473379952</v>
      </c>
    </row>
    <row r="3453" spans="1:4" x14ac:dyDescent="0.3">
      <c r="A3453" s="58">
        <v>3516200</v>
      </c>
      <c r="B3453" s="58" t="s">
        <v>4347</v>
      </c>
      <c r="C3453" s="59">
        <v>-20.536097000000002</v>
      </c>
      <c r="D3453" s="59">
        <v>-47.40233162567754</v>
      </c>
    </row>
    <row r="3454" spans="1:4" x14ac:dyDescent="0.3">
      <c r="A3454" s="58">
        <v>3516309</v>
      </c>
      <c r="B3454" s="58" t="s">
        <v>4348</v>
      </c>
      <c r="C3454" s="59">
        <v>-23.2758255</v>
      </c>
      <c r="D3454" s="59">
        <v>-46.732526704705307</v>
      </c>
    </row>
    <row r="3455" spans="1:4" x14ac:dyDescent="0.3">
      <c r="A3455" s="58">
        <v>3516408</v>
      </c>
      <c r="B3455" s="58" t="s">
        <v>4349</v>
      </c>
      <c r="C3455" s="59">
        <v>-23.320302500000004</v>
      </c>
      <c r="D3455" s="59">
        <v>-46.727874668552587</v>
      </c>
    </row>
    <row r="3456" spans="1:4" x14ac:dyDescent="0.3">
      <c r="A3456" s="58">
        <v>3516507</v>
      </c>
      <c r="B3456" s="58" t="s">
        <v>4350</v>
      </c>
      <c r="C3456" s="59">
        <v>-21.528980135312807</v>
      </c>
      <c r="D3456" s="59">
        <v>-50.555460841939841</v>
      </c>
    </row>
    <row r="3457" spans="1:4" x14ac:dyDescent="0.3">
      <c r="A3457" s="58">
        <v>3516606</v>
      </c>
      <c r="B3457" s="58" t="s">
        <v>4351</v>
      </c>
      <c r="C3457" s="59">
        <v>-22.294019248259001</v>
      </c>
      <c r="D3457" s="59">
        <v>-49.552111329830026</v>
      </c>
    </row>
    <row r="3458" spans="1:4" x14ac:dyDescent="0.3">
      <c r="A3458" s="58">
        <v>3516705</v>
      </c>
      <c r="B3458" s="58" t="s">
        <v>4352</v>
      </c>
      <c r="C3458" s="59">
        <v>-22.210709490000003</v>
      </c>
      <c r="D3458" s="59">
        <v>-49.656529935058046</v>
      </c>
    </row>
    <row r="3459" spans="1:4" x14ac:dyDescent="0.3">
      <c r="A3459" s="58">
        <v>3516804</v>
      </c>
      <c r="B3459" s="58" t="s">
        <v>4353</v>
      </c>
      <c r="C3459" s="59">
        <v>-20.795239499374603</v>
      </c>
      <c r="D3459" s="59">
        <v>-50.190219732204923</v>
      </c>
    </row>
    <row r="3460" spans="1:4" x14ac:dyDescent="0.3">
      <c r="A3460" s="58">
        <v>3516853</v>
      </c>
      <c r="B3460" s="58" t="s">
        <v>4354</v>
      </c>
      <c r="C3460" s="59">
        <v>-21.840366902270201</v>
      </c>
      <c r="D3460" s="59">
        <v>-48.495459202748087</v>
      </c>
    </row>
    <row r="3461" spans="1:4" x14ac:dyDescent="0.3">
      <c r="A3461" s="58">
        <v>3516903</v>
      </c>
      <c r="B3461" s="58" t="s">
        <v>4355</v>
      </c>
      <c r="C3461" s="59">
        <v>-20.648369316722</v>
      </c>
      <c r="D3461" s="59">
        <v>-50.361813702123669</v>
      </c>
    </row>
    <row r="3462" spans="1:4" x14ac:dyDescent="0.3">
      <c r="A3462" s="58">
        <v>3517000</v>
      </c>
      <c r="B3462" s="58" t="s">
        <v>4356</v>
      </c>
      <c r="C3462" s="59">
        <v>-21.799830597460055</v>
      </c>
      <c r="D3462" s="59">
        <v>-49.929283572293976</v>
      </c>
    </row>
    <row r="3463" spans="1:4" x14ac:dyDescent="0.3">
      <c r="A3463" s="58">
        <v>3517109</v>
      </c>
      <c r="B3463" s="58" t="s">
        <v>4357</v>
      </c>
      <c r="C3463" s="59">
        <v>-21.379777805706556</v>
      </c>
      <c r="D3463" s="59">
        <v>-50.208416728114045</v>
      </c>
    </row>
    <row r="3464" spans="1:4" x14ac:dyDescent="0.3">
      <c r="A3464" s="58">
        <v>3517208</v>
      </c>
      <c r="B3464" s="58" t="s">
        <v>4358</v>
      </c>
      <c r="C3464" s="59">
        <v>-21.622142999353002</v>
      </c>
      <c r="D3464" s="59">
        <v>-49.798761690961769</v>
      </c>
    </row>
    <row r="3465" spans="1:4" x14ac:dyDescent="0.3">
      <c r="A3465" s="58">
        <v>3517307</v>
      </c>
      <c r="B3465" s="58" t="s">
        <v>4359</v>
      </c>
      <c r="C3465" s="59">
        <v>-21.910920658920002</v>
      </c>
      <c r="D3465" s="59">
        <v>-49.897177750237852</v>
      </c>
    </row>
    <row r="3466" spans="1:4" x14ac:dyDescent="0.3">
      <c r="A3466" s="58">
        <v>3517406</v>
      </c>
      <c r="B3466" s="58" t="s">
        <v>4360</v>
      </c>
      <c r="C3466" s="59">
        <v>-20.320144335000005</v>
      </c>
      <c r="D3466" s="59">
        <v>-48.314470490025975</v>
      </c>
    </row>
    <row r="3467" spans="1:4" x14ac:dyDescent="0.3">
      <c r="A3467" s="58">
        <v>3517505</v>
      </c>
      <c r="B3467" s="58" t="s">
        <v>4361</v>
      </c>
      <c r="C3467" s="59">
        <v>-20.796448624865253</v>
      </c>
      <c r="D3467" s="59">
        <v>-49.219145857724484</v>
      </c>
    </row>
    <row r="3468" spans="1:4" x14ac:dyDescent="0.3">
      <c r="A3468" s="58">
        <v>3517604</v>
      </c>
      <c r="B3468" s="58" t="s">
        <v>4362</v>
      </c>
      <c r="C3468" s="59">
        <v>-24.182526500000005</v>
      </c>
      <c r="D3468" s="59">
        <v>-48.527681321849471</v>
      </c>
    </row>
    <row r="3469" spans="1:4" x14ac:dyDescent="0.3">
      <c r="A3469" s="58">
        <v>3517703</v>
      </c>
      <c r="B3469" s="58" t="s">
        <v>4363</v>
      </c>
      <c r="C3469" s="59">
        <v>-20.4275570617021</v>
      </c>
      <c r="D3469" s="59">
        <v>-47.824592950174626</v>
      </c>
    </row>
    <row r="3470" spans="1:4" x14ac:dyDescent="0.3">
      <c r="A3470" s="58">
        <v>3517802</v>
      </c>
      <c r="B3470" s="58" t="s">
        <v>4364</v>
      </c>
      <c r="C3470" s="59">
        <v>-21.032881387582503</v>
      </c>
      <c r="D3470" s="59">
        <v>-51.209106344995398</v>
      </c>
    </row>
    <row r="3471" spans="1:4" x14ac:dyDescent="0.3">
      <c r="A3471" s="58">
        <v>3517901</v>
      </c>
      <c r="B3471" s="58" t="s">
        <v>4365</v>
      </c>
      <c r="C3471" s="59">
        <v>-20.498809212893551</v>
      </c>
      <c r="D3471" s="59">
        <v>-48.944502595049869</v>
      </c>
    </row>
    <row r="3472" spans="1:4" x14ac:dyDescent="0.3">
      <c r="A3472" s="58">
        <v>3518008</v>
      </c>
      <c r="B3472" s="58" t="s">
        <v>4366</v>
      </c>
      <c r="C3472" s="59">
        <v>-20.075705571849799</v>
      </c>
      <c r="D3472" s="59">
        <v>-50.341533881692783</v>
      </c>
    </row>
    <row r="3473" spans="1:4" x14ac:dyDescent="0.3">
      <c r="A3473" s="58">
        <v>3518107</v>
      </c>
      <c r="B3473" s="58" t="s">
        <v>4367</v>
      </c>
      <c r="C3473" s="59">
        <v>-21.895146201472752</v>
      </c>
      <c r="D3473" s="59">
        <v>-49.594821847378277</v>
      </c>
    </row>
    <row r="3474" spans="1:4" x14ac:dyDescent="0.3">
      <c r="A3474" s="58">
        <v>3518206</v>
      </c>
      <c r="B3474" s="58" t="s">
        <v>4368</v>
      </c>
      <c r="C3474" s="59">
        <v>-21.253446495000002</v>
      </c>
      <c r="D3474" s="59">
        <v>-50.642639048250544</v>
      </c>
    </row>
    <row r="3475" spans="1:4" x14ac:dyDescent="0.3">
      <c r="A3475" s="58">
        <v>3518305</v>
      </c>
      <c r="B3475" s="58" t="s">
        <v>4369</v>
      </c>
      <c r="C3475" s="59">
        <v>-23.415233019833007</v>
      </c>
      <c r="D3475" s="59">
        <v>-46.041053464758157</v>
      </c>
    </row>
    <row r="3476" spans="1:4" x14ac:dyDescent="0.3">
      <c r="A3476" s="58">
        <v>3518404</v>
      </c>
      <c r="B3476" s="58" t="s">
        <v>4370</v>
      </c>
      <c r="C3476" s="59">
        <v>-22.817425089331753</v>
      </c>
      <c r="D3476" s="59">
        <v>-45.191600128420163</v>
      </c>
    </row>
    <row r="3477" spans="1:4" x14ac:dyDescent="0.3">
      <c r="A3477" s="58">
        <v>3518503</v>
      </c>
      <c r="B3477" s="58" t="s">
        <v>4371</v>
      </c>
      <c r="C3477" s="59">
        <v>-23.373140191766353</v>
      </c>
      <c r="D3477" s="59">
        <v>-48.184538175309712</v>
      </c>
    </row>
    <row r="3478" spans="1:4" x14ac:dyDescent="0.3">
      <c r="A3478" s="58">
        <v>3518602</v>
      </c>
      <c r="B3478" s="58" t="s">
        <v>4372</v>
      </c>
      <c r="C3478" s="59">
        <v>-21.357996000000007</v>
      </c>
      <c r="D3478" s="59">
        <v>-48.234056727223212</v>
      </c>
    </row>
    <row r="3479" spans="1:4" x14ac:dyDescent="0.3">
      <c r="A3479" s="58">
        <v>3518701</v>
      </c>
      <c r="B3479" s="58" t="s">
        <v>4373</v>
      </c>
      <c r="C3479" s="59">
        <v>-23.995149000000001</v>
      </c>
      <c r="D3479" s="59">
        <v>-46.249034279441624</v>
      </c>
    </row>
    <row r="3480" spans="1:4" x14ac:dyDescent="0.3">
      <c r="A3480" s="58">
        <v>3518800</v>
      </c>
      <c r="B3480" s="58" t="s">
        <v>4374</v>
      </c>
      <c r="C3480" s="59">
        <v>-23.468506000000001</v>
      </c>
      <c r="D3480" s="59">
        <v>-46.531084085661085</v>
      </c>
    </row>
    <row r="3481" spans="1:4" x14ac:dyDescent="0.3">
      <c r="A3481" s="58">
        <v>3518859</v>
      </c>
      <c r="B3481" s="58" t="s">
        <v>4375</v>
      </c>
      <c r="C3481" s="59">
        <v>-21.491894653589799</v>
      </c>
      <c r="D3481" s="59">
        <v>-48.037729357498954</v>
      </c>
    </row>
    <row r="3482" spans="1:4" x14ac:dyDescent="0.3">
      <c r="A3482" s="58">
        <v>3518909</v>
      </c>
      <c r="B3482" s="58" t="s">
        <v>4376</v>
      </c>
      <c r="C3482" s="59">
        <v>-20.650168687255054</v>
      </c>
      <c r="D3482" s="59">
        <v>-50.661459504143636</v>
      </c>
    </row>
    <row r="3483" spans="1:4" x14ac:dyDescent="0.3">
      <c r="A3483" s="58">
        <v>3519006</v>
      </c>
      <c r="B3483" s="58" t="s">
        <v>4377</v>
      </c>
      <c r="C3483" s="59">
        <v>-22.003747180667801</v>
      </c>
      <c r="D3483" s="59">
        <v>-50.385521598082825</v>
      </c>
    </row>
    <row r="3484" spans="1:4" x14ac:dyDescent="0.3">
      <c r="A3484" s="58">
        <v>3519055</v>
      </c>
      <c r="B3484" s="58" t="s">
        <v>4378</v>
      </c>
      <c r="C3484" s="59">
        <v>-22.641749624212682</v>
      </c>
      <c r="D3484" s="59">
        <v>-47.059286906241311</v>
      </c>
    </row>
    <row r="3485" spans="1:4" x14ac:dyDescent="0.3">
      <c r="A3485" s="58">
        <v>3519071</v>
      </c>
      <c r="B3485" s="58" t="s">
        <v>4379</v>
      </c>
      <c r="C3485" s="59">
        <v>-22.858395000000005</v>
      </c>
      <c r="D3485" s="59">
        <v>-47.221096609757517</v>
      </c>
    </row>
    <row r="3486" spans="1:4" x14ac:dyDescent="0.3">
      <c r="A3486" s="58">
        <v>3519105</v>
      </c>
      <c r="B3486" s="58" t="s">
        <v>4380</v>
      </c>
      <c r="C3486" s="59">
        <v>-21.891977602699701</v>
      </c>
      <c r="D3486" s="59">
        <v>-49.016929918912609</v>
      </c>
    </row>
    <row r="3487" spans="1:4" x14ac:dyDescent="0.3">
      <c r="A3487" s="58">
        <v>3519204</v>
      </c>
      <c r="B3487" s="58" t="s">
        <v>4381</v>
      </c>
      <c r="C3487" s="59">
        <v>-21.855061086860808</v>
      </c>
      <c r="D3487" s="59">
        <v>-50.689199932370684</v>
      </c>
    </row>
    <row r="3488" spans="1:4" x14ac:dyDescent="0.3">
      <c r="A3488" s="58">
        <v>3519253</v>
      </c>
      <c r="B3488" s="58" t="s">
        <v>4382</v>
      </c>
      <c r="C3488" s="59">
        <v>-22.871892279592803</v>
      </c>
      <c r="D3488" s="59">
        <v>-49.156179151707128</v>
      </c>
    </row>
    <row r="3489" spans="1:4" x14ac:dyDescent="0.3">
      <c r="A3489" s="58">
        <v>3519303</v>
      </c>
      <c r="B3489" s="58" t="s">
        <v>4383</v>
      </c>
      <c r="C3489" s="59">
        <v>-21.955602000000003</v>
      </c>
      <c r="D3489" s="59">
        <v>-48.002388208652455</v>
      </c>
    </row>
    <row r="3490" spans="1:4" x14ac:dyDescent="0.3">
      <c r="A3490" s="58">
        <v>3519402</v>
      </c>
      <c r="B3490" s="58" t="s">
        <v>4384</v>
      </c>
      <c r="C3490" s="59">
        <v>-21.080537499366105</v>
      </c>
      <c r="D3490" s="59">
        <v>-49.238861531251032</v>
      </c>
    </row>
    <row r="3491" spans="1:4" x14ac:dyDescent="0.3">
      <c r="A3491" s="58">
        <v>3519501</v>
      </c>
      <c r="B3491" s="58" t="s">
        <v>4385</v>
      </c>
      <c r="C3491" s="59">
        <v>-22.81454295970865</v>
      </c>
      <c r="D3491" s="59">
        <v>-50.079125394570042</v>
      </c>
    </row>
    <row r="3492" spans="1:4" x14ac:dyDescent="0.3">
      <c r="A3492" s="58">
        <v>3519600</v>
      </c>
      <c r="B3492" s="58" t="s">
        <v>4386</v>
      </c>
      <c r="C3492" s="59">
        <v>-21.757082984349758</v>
      </c>
      <c r="D3492" s="59">
        <v>-48.827694693000119</v>
      </c>
    </row>
    <row r="3493" spans="1:4" x14ac:dyDescent="0.3">
      <c r="A3493" s="58">
        <v>3519709</v>
      </c>
      <c r="B3493" s="58" t="s">
        <v>4387</v>
      </c>
      <c r="C3493" s="59">
        <v>-23.652632500000003</v>
      </c>
      <c r="D3493" s="59">
        <v>-47.220491187489856</v>
      </c>
    </row>
    <row r="3494" spans="1:4" x14ac:dyDescent="0.3">
      <c r="A3494" s="58">
        <v>3519808</v>
      </c>
      <c r="B3494" s="58" t="s">
        <v>4388</v>
      </c>
      <c r="C3494" s="59">
        <v>-20.343505121059604</v>
      </c>
      <c r="D3494" s="59">
        <v>-49.196120191474236</v>
      </c>
    </row>
    <row r="3495" spans="1:4" x14ac:dyDescent="0.3">
      <c r="A3495" s="58">
        <v>3519907</v>
      </c>
      <c r="B3495" s="58" t="s">
        <v>4389</v>
      </c>
      <c r="C3495" s="59">
        <v>-22.663101471325305</v>
      </c>
      <c r="D3495" s="59">
        <v>-51.0774138909334</v>
      </c>
    </row>
    <row r="3496" spans="1:4" x14ac:dyDescent="0.3">
      <c r="A3496" s="58">
        <v>3520004</v>
      </c>
      <c r="B3496" s="58" t="s">
        <v>4390</v>
      </c>
      <c r="C3496" s="59">
        <v>-22.511149000000003</v>
      </c>
      <c r="D3496" s="59">
        <v>-48.557066101387115</v>
      </c>
    </row>
    <row r="3497" spans="1:4" x14ac:dyDescent="0.3">
      <c r="A3497" s="58">
        <v>3520103</v>
      </c>
      <c r="B3497" s="58" t="s">
        <v>4391</v>
      </c>
      <c r="C3497" s="59">
        <v>-20.039612535000003</v>
      </c>
      <c r="D3497" s="59">
        <v>-47.751066571312961</v>
      </c>
    </row>
    <row r="3498" spans="1:4" x14ac:dyDescent="0.3">
      <c r="A3498" s="58">
        <v>3520202</v>
      </c>
      <c r="B3498" s="58" t="s">
        <v>4392</v>
      </c>
      <c r="C3498" s="59">
        <v>-23.204843000000007</v>
      </c>
      <c r="D3498" s="59">
        <v>-46.156314423937715</v>
      </c>
    </row>
    <row r="3499" spans="1:4" x14ac:dyDescent="0.3">
      <c r="A3499" s="58">
        <v>3520301</v>
      </c>
      <c r="B3499" s="58" t="s">
        <v>4393</v>
      </c>
      <c r="C3499" s="59">
        <v>-24.706954196425801</v>
      </c>
      <c r="D3499" s="59">
        <v>-47.553137408817555</v>
      </c>
    </row>
    <row r="3500" spans="1:4" x14ac:dyDescent="0.3">
      <c r="A3500" s="58">
        <v>3520400</v>
      </c>
      <c r="B3500" s="58" t="s">
        <v>4394</v>
      </c>
      <c r="C3500" s="59">
        <v>-23.788652500000001</v>
      </c>
      <c r="D3500" s="59">
        <v>-45.354056666940934</v>
      </c>
    </row>
    <row r="3501" spans="1:4" x14ac:dyDescent="0.3">
      <c r="A3501" s="58">
        <v>3520426</v>
      </c>
      <c r="B3501" s="58" t="s">
        <v>4395</v>
      </c>
      <c r="C3501" s="59">
        <v>-24.739239940397805</v>
      </c>
      <c r="D3501" s="59">
        <v>-47.554316965929928</v>
      </c>
    </row>
    <row r="3502" spans="1:4" x14ac:dyDescent="0.3">
      <c r="A3502" s="58">
        <v>3520442</v>
      </c>
      <c r="B3502" s="58" t="s">
        <v>4396</v>
      </c>
      <c r="C3502" s="59">
        <v>-20.429372500000003</v>
      </c>
      <c r="D3502" s="59">
        <v>-51.344890657634998</v>
      </c>
    </row>
    <row r="3503" spans="1:4" x14ac:dyDescent="0.3">
      <c r="A3503" s="58">
        <v>3520509</v>
      </c>
      <c r="B3503" s="58" t="s">
        <v>4397</v>
      </c>
      <c r="C3503" s="59">
        <v>-23.081646000000003</v>
      </c>
      <c r="D3503" s="59">
        <v>-47.212308940251397</v>
      </c>
    </row>
    <row r="3504" spans="1:4" x14ac:dyDescent="0.3">
      <c r="A3504" s="58">
        <v>3520608</v>
      </c>
      <c r="B3504" s="58" t="s">
        <v>4398</v>
      </c>
      <c r="C3504" s="59">
        <v>-22.172093448680307</v>
      </c>
      <c r="D3504" s="59">
        <v>-51.251758513420206</v>
      </c>
    </row>
    <row r="3505" spans="1:4" x14ac:dyDescent="0.3">
      <c r="A3505" s="58">
        <v>3520707</v>
      </c>
      <c r="B3505" s="58" t="s">
        <v>4399</v>
      </c>
      <c r="C3505" s="59">
        <v>-19.977542999393453</v>
      </c>
      <c r="D3505" s="59">
        <v>-50.288981041994035</v>
      </c>
    </row>
    <row r="3506" spans="1:4" x14ac:dyDescent="0.3">
      <c r="A3506" s="58">
        <v>3520806</v>
      </c>
      <c r="B3506" s="58" t="s">
        <v>4400</v>
      </c>
      <c r="C3506" s="59">
        <v>-21.769911990320651</v>
      </c>
      <c r="D3506" s="59">
        <v>-50.964374893995235</v>
      </c>
    </row>
    <row r="3507" spans="1:4" x14ac:dyDescent="0.3">
      <c r="A3507" s="58">
        <v>3520905</v>
      </c>
      <c r="B3507" s="58" t="s">
        <v>4401</v>
      </c>
      <c r="C3507" s="59">
        <v>-23.052912999319503</v>
      </c>
      <c r="D3507" s="59">
        <v>-49.626806978311677</v>
      </c>
    </row>
    <row r="3508" spans="1:4" x14ac:dyDescent="0.3">
      <c r="A3508" s="58">
        <v>3521002</v>
      </c>
      <c r="B3508" s="58" t="s">
        <v>4402</v>
      </c>
      <c r="C3508" s="59">
        <v>-23.350277390297954</v>
      </c>
      <c r="D3508" s="59">
        <v>-47.689893893544628</v>
      </c>
    </row>
    <row r="3509" spans="1:4" x14ac:dyDescent="0.3">
      <c r="A3509" s="58">
        <v>3521101</v>
      </c>
      <c r="B3509" s="58" t="s">
        <v>4403</v>
      </c>
      <c r="C3509" s="59">
        <v>-22.437299502194854</v>
      </c>
      <c r="D3509" s="59">
        <v>-47.719095971109105</v>
      </c>
    </row>
    <row r="3510" spans="1:4" x14ac:dyDescent="0.3">
      <c r="A3510" s="58">
        <v>3521150</v>
      </c>
      <c r="B3510" s="58" t="s">
        <v>4404</v>
      </c>
      <c r="C3510" s="59">
        <v>-20.661645528879003</v>
      </c>
      <c r="D3510" s="59">
        <v>-49.388142381684411</v>
      </c>
    </row>
    <row r="3511" spans="1:4" x14ac:dyDescent="0.3">
      <c r="A3511" s="58">
        <v>3521200</v>
      </c>
      <c r="B3511" s="58" t="s">
        <v>4405</v>
      </c>
      <c r="C3511" s="59">
        <v>-24.584460178276952</v>
      </c>
      <c r="D3511" s="59">
        <v>-48.589600714087638</v>
      </c>
    </row>
    <row r="3512" spans="1:4" x14ac:dyDescent="0.3">
      <c r="A3512" s="58">
        <v>3521309</v>
      </c>
      <c r="B3512" s="58" t="s">
        <v>4406</v>
      </c>
      <c r="C3512" s="59">
        <v>-20.441482601041951</v>
      </c>
      <c r="D3512" s="59">
        <v>-48.017385038510419</v>
      </c>
    </row>
    <row r="3513" spans="1:4" x14ac:dyDescent="0.3">
      <c r="A3513" s="58">
        <v>3521408</v>
      </c>
      <c r="B3513" s="58" t="s">
        <v>4407</v>
      </c>
      <c r="C3513" s="59">
        <v>-22.583036934282401</v>
      </c>
      <c r="D3513" s="59">
        <v>-47.522246634171658</v>
      </c>
    </row>
    <row r="3514" spans="1:4" x14ac:dyDescent="0.3">
      <c r="A3514" s="58">
        <v>3521507</v>
      </c>
      <c r="B3514" s="58" t="s">
        <v>4408</v>
      </c>
      <c r="C3514" s="59">
        <v>-21.276437176419002</v>
      </c>
      <c r="D3514" s="59">
        <v>-49.408151782226433</v>
      </c>
    </row>
    <row r="3515" spans="1:4" x14ac:dyDescent="0.3">
      <c r="A3515" s="58">
        <v>3521606</v>
      </c>
      <c r="B3515" s="58" t="s">
        <v>4409</v>
      </c>
      <c r="C3515" s="59">
        <v>-21.567476235299303</v>
      </c>
      <c r="D3515" s="59">
        <v>-51.350172730815665</v>
      </c>
    </row>
    <row r="3516" spans="1:4" x14ac:dyDescent="0.3">
      <c r="A3516" s="58">
        <v>3521705</v>
      </c>
      <c r="B3516" s="58" t="s">
        <v>4410</v>
      </c>
      <c r="C3516" s="59">
        <v>-23.859811470068852</v>
      </c>
      <c r="D3516" s="59">
        <v>-49.137133285852528</v>
      </c>
    </row>
    <row r="3517" spans="1:4" x14ac:dyDescent="0.3">
      <c r="A3517" s="58">
        <v>3521804</v>
      </c>
      <c r="B3517" s="58" t="s">
        <v>4411</v>
      </c>
      <c r="C3517" s="59">
        <v>-23.419055385000007</v>
      </c>
      <c r="D3517" s="59">
        <v>-49.081032248485364</v>
      </c>
    </row>
    <row r="3518" spans="1:4" x14ac:dyDescent="0.3">
      <c r="A3518" s="58">
        <v>3521903</v>
      </c>
      <c r="B3518" s="58" t="s">
        <v>4412</v>
      </c>
      <c r="C3518" s="59">
        <v>-21.315707058707854</v>
      </c>
      <c r="D3518" s="59">
        <v>-49.054311079798545</v>
      </c>
    </row>
    <row r="3519" spans="1:4" x14ac:dyDescent="0.3">
      <c r="A3519" s="58">
        <v>3522000</v>
      </c>
      <c r="B3519" s="58" t="s">
        <v>4413</v>
      </c>
      <c r="C3519" s="59">
        <v>-21.984672420775752</v>
      </c>
      <c r="D3519" s="59">
        <v>-48.805021736265651</v>
      </c>
    </row>
    <row r="3520" spans="1:4" x14ac:dyDescent="0.3">
      <c r="A3520" s="58">
        <v>3522109</v>
      </c>
      <c r="B3520" s="58" t="s">
        <v>4414</v>
      </c>
      <c r="C3520" s="59">
        <v>-24.186120666832753</v>
      </c>
      <c r="D3520" s="59">
        <v>-46.790991482878688</v>
      </c>
    </row>
    <row r="3521" spans="1:4" x14ac:dyDescent="0.3">
      <c r="A3521" s="58">
        <v>3522158</v>
      </c>
      <c r="B3521" s="58" t="s">
        <v>4415</v>
      </c>
      <c r="C3521" s="59">
        <v>-24.642594234803955</v>
      </c>
      <c r="D3521" s="59">
        <v>-48.842855681530537</v>
      </c>
    </row>
    <row r="3522" spans="1:4" x14ac:dyDescent="0.3">
      <c r="A3522" s="58">
        <v>3522208</v>
      </c>
      <c r="B3522" s="58" t="s">
        <v>4416</v>
      </c>
      <c r="C3522" s="59">
        <v>-23.715357000000004</v>
      </c>
      <c r="D3522" s="59">
        <v>-46.85055196685208</v>
      </c>
    </row>
    <row r="3523" spans="1:4" x14ac:dyDescent="0.3">
      <c r="A3523" s="58">
        <v>3522307</v>
      </c>
      <c r="B3523" s="58" t="s">
        <v>4417</v>
      </c>
      <c r="C3523" s="59">
        <v>-23.587872500000007</v>
      </c>
      <c r="D3523" s="59">
        <v>-48.046142895454686</v>
      </c>
    </row>
    <row r="3524" spans="1:4" x14ac:dyDescent="0.3">
      <c r="A3524" s="58">
        <v>3522406</v>
      </c>
      <c r="B3524" s="58" t="s">
        <v>3545</v>
      </c>
      <c r="C3524" s="59">
        <v>-23.983437999298651</v>
      </c>
      <c r="D3524" s="59">
        <v>-48.877389159065352</v>
      </c>
    </row>
    <row r="3525" spans="1:4" x14ac:dyDescent="0.3">
      <c r="A3525" s="58">
        <v>3522505</v>
      </c>
      <c r="B3525" s="58" t="s">
        <v>4418</v>
      </c>
      <c r="C3525" s="59">
        <v>-23.546934000000004</v>
      </c>
      <c r="D3525" s="59">
        <v>-46.933372863488053</v>
      </c>
    </row>
    <row r="3526" spans="1:4" x14ac:dyDescent="0.3">
      <c r="A3526" s="58">
        <v>3522604</v>
      </c>
      <c r="B3526" s="58" t="s">
        <v>4419</v>
      </c>
      <c r="C3526" s="59">
        <v>-22.436005499333753</v>
      </c>
      <c r="D3526" s="59">
        <v>-46.821248011133704</v>
      </c>
    </row>
    <row r="3527" spans="1:4" x14ac:dyDescent="0.3">
      <c r="A3527" s="58">
        <v>3522653</v>
      </c>
      <c r="B3527" s="58" t="s">
        <v>4420</v>
      </c>
      <c r="C3527" s="59">
        <v>-24.571553499285802</v>
      </c>
      <c r="D3527" s="59">
        <v>-49.172165655280821</v>
      </c>
    </row>
    <row r="3528" spans="1:4" x14ac:dyDescent="0.3">
      <c r="A3528" s="58">
        <v>3522703</v>
      </c>
      <c r="B3528" s="58" t="s">
        <v>4421</v>
      </c>
      <c r="C3528" s="59">
        <v>-21.594703994353655</v>
      </c>
      <c r="D3528" s="59">
        <v>-48.813391985538438</v>
      </c>
    </row>
    <row r="3529" spans="1:4" x14ac:dyDescent="0.3">
      <c r="A3529" s="58">
        <v>3522802</v>
      </c>
      <c r="B3529" s="58" t="s">
        <v>2331</v>
      </c>
      <c r="C3529" s="59">
        <v>-23.703499943163258</v>
      </c>
      <c r="D3529" s="59">
        <v>-49.484396312080925</v>
      </c>
    </row>
    <row r="3530" spans="1:4" x14ac:dyDescent="0.3">
      <c r="A3530" s="58">
        <v>3522901</v>
      </c>
      <c r="B3530" s="58" t="s">
        <v>4422</v>
      </c>
      <c r="C3530" s="59">
        <v>-22.232127625043706</v>
      </c>
      <c r="D3530" s="59">
        <v>-48.718874159535133</v>
      </c>
    </row>
    <row r="3531" spans="1:4" x14ac:dyDescent="0.3">
      <c r="A3531" s="58">
        <v>3523008</v>
      </c>
      <c r="B3531" s="58" t="s">
        <v>4423</v>
      </c>
      <c r="C3531" s="59">
        <v>-20.639825775573904</v>
      </c>
      <c r="D3531" s="59">
        <v>-51.509969369509719</v>
      </c>
    </row>
    <row r="3532" spans="1:4" x14ac:dyDescent="0.3">
      <c r="A3532" s="58">
        <v>3523107</v>
      </c>
      <c r="B3532" s="58" t="s">
        <v>4424</v>
      </c>
      <c r="C3532" s="59">
        <v>-23.476897500000007</v>
      </c>
      <c r="D3532" s="59">
        <v>-46.351603140965388</v>
      </c>
    </row>
    <row r="3533" spans="1:4" x14ac:dyDescent="0.3">
      <c r="A3533" s="58">
        <v>3523206</v>
      </c>
      <c r="B3533" s="58" t="s">
        <v>4425</v>
      </c>
      <c r="C3533" s="59">
        <v>-24.112137960000002</v>
      </c>
      <c r="D3533" s="59">
        <v>-49.336119713929449</v>
      </c>
    </row>
    <row r="3534" spans="1:4" x14ac:dyDescent="0.3">
      <c r="A3534" s="58">
        <v>3523305</v>
      </c>
      <c r="B3534" s="58" t="s">
        <v>4426</v>
      </c>
      <c r="C3534" s="59">
        <v>-24.292005633897006</v>
      </c>
      <c r="D3534" s="59">
        <v>-47.175726056555447</v>
      </c>
    </row>
    <row r="3535" spans="1:4" x14ac:dyDescent="0.3">
      <c r="A3535" s="58">
        <v>3523404</v>
      </c>
      <c r="B3535" s="58" t="s">
        <v>4427</v>
      </c>
      <c r="C3535" s="59">
        <v>-23.004852999320605</v>
      </c>
      <c r="D3535" s="59">
        <v>-46.837557852941181</v>
      </c>
    </row>
    <row r="3536" spans="1:4" x14ac:dyDescent="0.3">
      <c r="A3536" s="58">
        <v>3523503</v>
      </c>
      <c r="B3536" s="58" t="s">
        <v>4428</v>
      </c>
      <c r="C3536" s="59">
        <v>-23.104273401677357</v>
      </c>
      <c r="D3536" s="59">
        <v>-48.6133802692841</v>
      </c>
    </row>
    <row r="3537" spans="1:4" x14ac:dyDescent="0.3">
      <c r="A3537" s="58">
        <v>3523602</v>
      </c>
      <c r="B3537" s="58" t="s">
        <v>4429</v>
      </c>
      <c r="C3537" s="59">
        <v>-22.253967973805057</v>
      </c>
      <c r="D3537" s="59">
        <v>-47.819884866607318</v>
      </c>
    </row>
    <row r="3538" spans="1:4" x14ac:dyDescent="0.3">
      <c r="A3538" s="58">
        <v>3523701</v>
      </c>
      <c r="B3538" s="58" t="s">
        <v>4430</v>
      </c>
      <c r="C3538" s="59">
        <v>-20.642426529747404</v>
      </c>
      <c r="D3538" s="59">
        <v>-47.219952884855068</v>
      </c>
    </row>
    <row r="3539" spans="1:4" x14ac:dyDescent="0.3">
      <c r="A3539" s="58">
        <v>3523800</v>
      </c>
      <c r="B3539" s="58" t="s">
        <v>4431</v>
      </c>
      <c r="C3539" s="59">
        <v>-21.734901819147655</v>
      </c>
      <c r="D3539" s="59">
        <v>-46.973418654180172</v>
      </c>
    </row>
    <row r="3540" spans="1:4" x14ac:dyDescent="0.3">
      <c r="A3540" s="58">
        <v>3523909</v>
      </c>
      <c r="B3540" s="58" t="s">
        <v>4432</v>
      </c>
      <c r="C3540" s="59">
        <v>-23.265442500000002</v>
      </c>
      <c r="D3540" s="59">
        <v>-47.299749835960981</v>
      </c>
    </row>
    <row r="3541" spans="1:4" x14ac:dyDescent="0.3">
      <c r="A3541" s="58">
        <v>3524006</v>
      </c>
      <c r="B3541" s="58" t="s">
        <v>4433</v>
      </c>
      <c r="C3541" s="59">
        <v>-23.153409626186349</v>
      </c>
      <c r="D3541" s="59">
        <v>-47.055701152091729</v>
      </c>
    </row>
    <row r="3542" spans="1:4" x14ac:dyDescent="0.3">
      <c r="A3542" s="58">
        <v>3524105</v>
      </c>
      <c r="B3542" s="58" t="s">
        <v>4434</v>
      </c>
      <c r="C3542" s="59">
        <v>-20.336287965870802</v>
      </c>
      <c r="D3542" s="59">
        <v>-47.780415655388985</v>
      </c>
    </row>
    <row r="3543" spans="1:4" x14ac:dyDescent="0.3">
      <c r="A3543" s="58">
        <v>3524204</v>
      </c>
      <c r="B3543" s="58" t="s">
        <v>2977</v>
      </c>
      <c r="C3543" s="59">
        <v>-20.687224499375752</v>
      </c>
      <c r="D3543" s="59">
        <v>-48.413444920628585</v>
      </c>
    </row>
    <row r="3544" spans="1:4" x14ac:dyDescent="0.3">
      <c r="A3544" s="58">
        <v>3524303</v>
      </c>
      <c r="B3544" s="58" t="s">
        <v>4435</v>
      </c>
      <c r="C3544" s="59">
        <v>-21.254471499361856</v>
      </c>
      <c r="D3544" s="59">
        <v>-48.32034975125751</v>
      </c>
    </row>
    <row r="3545" spans="1:4" x14ac:dyDescent="0.3">
      <c r="A3545" s="58">
        <v>3524402</v>
      </c>
      <c r="B3545" s="58" t="s">
        <v>4436</v>
      </c>
      <c r="C3545" s="59">
        <v>-23.304880499313754</v>
      </c>
      <c r="D3545" s="59">
        <v>-45.969593204409357</v>
      </c>
    </row>
    <row r="3546" spans="1:4" x14ac:dyDescent="0.3">
      <c r="A3546" s="58">
        <v>3524501</v>
      </c>
      <c r="B3546" s="58" t="s">
        <v>4437</v>
      </c>
      <c r="C3546" s="59">
        <v>-20.884085133117853</v>
      </c>
      <c r="D3546" s="59">
        <v>-49.573344611531674</v>
      </c>
    </row>
    <row r="3547" spans="1:4" x14ac:dyDescent="0.3">
      <c r="A3547" s="58">
        <v>3524600</v>
      </c>
      <c r="B3547" s="58" t="s">
        <v>4438</v>
      </c>
      <c r="C3547" s="59">
        <v>-24.698150280957801</v>
      </c>
      <c r="D3547" s="59">
        <v>-48.004704511540098</v>
      </c>
    </row>
    <row r="3548" spans="1:4" x14ac:dyDescent="0.3">
      <c r="A3548" s="58">
        <v>3524709</v>
      </c>
      <c r="B3548" s="58" t="s">
        <v>4439</v>
      </c>
      <c r="C3548" s="59">
        <v>-22.706781958197556</v>
      </c>
      <c r="D3548" s="59">
        <v>-46.98234346628788</v>
      </c>
    </row>
    <row r="3549" spans="1:4" x14ac:dyDescent="0.3">
      <c r="A3549" s="58">
        <v>3524808</v>
      </c>
      <c r="B3549" s="58" t="s">
        <v>4440</v>
      </c>
      <c r="C3549" s="59">
        <v>-20.267853047500004</v>
      </c>
      <c r="D3549" s="59">
        <v>-50.550356199042753</v>
      </c>
    </row>
    <row r="3550" spans="1:4" x14ac:dyDescent="0.3">
      <c r="A3550" s="58">
        <v>3524907</v>
      </c>
      <c r="B3550" s="58" t="s">
        <v>4441</v>
      </c>
      <c r="C3550" s="59">
        <v>-23.256576866836607</v>
      </c>
      <c r="D3550" s="59">
        <v>-45.69365512457987</v>
      </c>
    </row>
    <row r="3551" spans="1:4" x14ac:dyDescent="0.3">
      <c r="A3551" s="58">
        <v>3525003</v>
      </c>
      <c r="B3551" s="58" t="s">
        <v>4442</v>
      </c>
      <c r="C3551" s="59">
        <v>-23.529939000000002</v>
      </c>
      <c r="D3551" s="59">
        <v>-46.905221141741073</v>
      </c>
    </row>
    <row r="3552" spans="1:4" x14ac:dyDescent="0.3">
      <c r="A3552" s="58">
        <v>3525102</v>
      </c>
      <c r="B3552" s="58" t="s">
        <v>4443</v>
      </c>
      <c r="C3552" s="59">
        <v>-21.022457000000003</v>
      </c>
      <c r="D3552" s="59">
        <v>-47.765352928523406</v>
      </c>
    </row>
    <row r="3553" spans="1:4" x14ac:dyDescent="0.3">
      <c r="A3553" s="58">
        <v>3525201</v>
      </c>
      <c r="B3553" s="58" t="s">
        <v>4444</v>
      </c>
      <c r="C3553" s="59">
        <v>-23.103062500000004</v>
      </c>
      <c r="D3553" s="59">
        <v>-46.738270935405829</v>
      </c>
    </row>
    <row r="3554" spans="1:4" x14ac:dyDescent="0.3">
      <c r="A3554" s="58">
        <v>3525300</v>
      </c>
      <c r="B3554" s="58" t="s">
        <v>4445</v>
      </c>
      <c r="C3554" s="59">
        <v>-22.295790990000008</v>
      </c>
      <c r="D3554" s="59">
        <v>-48.558141387833111</v>
      </c>
    </row>
    <row r="3555" spans="1:4" x14ac:dyDescent="0.3">
      <c r="A3555" s="58">
        <v>3525409</v>
      </c>
      <c r="B3555" s="58" t="s">
        <v>4446</v>
      </c>
      <c r="C3555" s="59">
        <v>-20.312041589292903</v>
      </c>
      <c r="D3555" s="59">
        <v>-47.588743916570039</v>
      </c>
    </row>
    <row r="3556" spans="1:4" x14ac:dyDescent="0.3">
      <c r="A3556" s="58">
        <v>3525508</v>
      </c>
      <c r="B3556" s="58" t="s">
        <v>4447</v>
      </c>
      <c r="C3556" s="59">
        <v>-22.930678218205603</v>
      </c>
      <c r="D3556" s="59">
        <v>-46.273416610136671</v>
      </c>
    </row>
    <row r="3557" spans="1:4" x14ac:dyDescent="0.3">
      <c r="A3557" s="58">
        <v>3525607</v>
      </c>
      <c r="B3557" s="58" t="s">
        <v>4448</v>
      </c>
      <c r="C3557" s="59">
        <v>-22.251046055078699</v>
      </c>
      <c r="D3557" s="59">
        <v>-50.768535308413988</v>
      </c>
    </row>
    <row r="3558" spans="1:4" x14ac:dyDescent="0.3">
      <c r="A3558" s="58">
        <v>3525706</v>
      </c>
      <c r="B3558" s="58" t="s">
        <v>4449</v>
      </c>
      <c r="C3558" s="59">
        <v>-21.053719035000004</v>
      </c>
      <c r="D3558" s="59">
        <v>-49.686282716033325</v>
      </c>
    </row>
    <row r="3559" spans="1:4" x14ac:dyDescent="0.3">
      <c r="A3559" s="58">
        <v>3525805</v>
      </c>
      <c r="B3559" s="58" t="s">
        <v>4450</v>
      </c>
      <c r="C3559" s="59">
        <v>-22.013168999343701</v>
      </c>
      <c r="D3559" s="59">
        <v>-49.790794283774673</v>
      </c>
    </row>
    <row r="3560" spans="1:4" x14ac:dyDescent="0.3">
      <c r="A3560" s="58">
        <v>3525854</v>
      </c>
      <c r="B3560" s="58" t="s">
        <v>4451</v>
      </c>
      <c r="C3560" s="59">
        <v>-23.0825599993188</v>
      </c>
      <c r="D3560" s="59">
        <v>-47.798173511904771</v>
      </c>
    </row>
    <row r="3561" spans="1:4" x14ac:dyDescent="0.3">
      <c r="A3561" s="58">
        <v>3525904</v>
      </c>
      <c r="B3561" s="58" t="s">
        <v>4452</v>
      </c>
      <c r="C3561" s="59">
        <v>-23.187668000000006</v>
      </c>
      <c r="D3561" s="59">
        <v>-46.885273967996739</v>
      </c>
    </row>
    <row r="3562" spans="1:4" x14ac:dyDescent="0.3">
      <c r="A3562" s="58">
        <v>3526001</v>
      </c>
      <c r="B3562" s="58" t="s">
        <v>4453</v>
      </c>
      <c r="C3562" s="59">
        <v>-21.511275749680955</v>
      </c>
      <c r="D3562" s="59">
        <v>-51.434011950548992</v>
      </c>
    </row>
    <row r="3563" spans="1:4" x14ac:dyDescent="0.3">
      <c r="A3563" s="58">
        <v>3526100</v>
      </c>
      <c r="B3563" s="58" t="s">
        <v>4454</v>
      </c>
      <c r="C3563" s="59">
        <v>-24.320703078972656</v>
      </c>
      <c r="D3563" s="59">
        <v>-47.635341967662214</v>
      </c>
    </row>
    <row r="3564" spans="1:4" x14ac:dyDescent="0.3">
      <c r="A3564" s="58">
        <v>3526209</v>
      </c>
      <c r="B3564" s="58" t="s">
        <v>4455</v>
      </c>
      <c r="C3564" s="59">
        <v>-23.935689201507817</v>
      </c>
      <c r="D3564" s="59">
        <v>-47.081594072291821</v>
      </c>
    </row>
    <row r="3565" spans="1:4" x14ac:dyDescent="0.3">
      <c r="A3565" s="58">
        <v>3526308</v>
      </c>
      <c r="B3565" s="58" t="s">
        <v>4456</v>
      </c>
      <c r="C3565" s="59">
        <v>-23.086921351486403</v>
      </c>
      <c r="D3565" s="59">
        <v>-45.190810820432951</v>
      </c>
    </row>
    <row r="3566" spans="1:4" x14ac:dyDescent="0.3">
      <c r="A3566" s="58">
        <v>3526407</v>
      </c>
      <c r="B3566" s="58" t="s">
        <v>4457</v>
      </c>
      <c r="C3566" s="59">
        <v>-23.054011606537156</v>
      </c>
      <c r="D3566" s="59">
        <v>-47.833780710266304</v>
      </c>
    </row>
    <row r="3567" spans="1:4" x14ac:dyDescent="0.3">
      <c r="A3567" s="58">
        <v>3526506</v>
      </c>
      <c r="B3567" s="58" t="s">
        <v>4458</v>
      </c>
      <c r="C3567" s="59">
        <v>-21.164856565473503</v>
      </c>
      <c r="D3567" s="59">
        <v>-51.040501657068525</v>
      </c>
    </row>
    <row r="3568" spans="1:4" x14ac:dyDescent="0.3">
      <c r="A3568" s="58">
        <v>3526605</v>
      </c>
      <c r="B3568" s="58" t="s">
        <v>4459</v>
      </c>
      <c r="C3568" s="59">
        <v>-22.570096474152958</v>
      </c>
      <c r="D3568" s="59">
        <v>-44.893110279387081</v>
      </c>
    </row>
    <row r="3569" spans="1:4" x14ac:dyDescent="0.3">
      <c r="A3569" s="58">
        <v>3526704</v>
      </c>
      <c r="B3569" s="58" t="s">
        <v>4460</v>
      </c>
      <c r="C3569" s="59">
        <v>-22.185436005000003</v>
      </c>
      <c r="D3569" s="59">
        <v>-47.388707969614835</v>
      </c>
    </row>
    <row r="3570" spans="1:4" x14ac:dyDescent="0.3">
      <c r="A3570" s="58">
        <v>3526803</v>
      </c>
      <c r="B3570" s="58" t="s">
        <v>4461</v>
      </c>
      <c r="C3570" s="59">
        <v>-22.597507000000004</v>
      </c>
      <c r="D3570" s="59">
        <v>-48.798681972457324</v>
      </c>
    </row>
    <row r="3571" spans="1:4" x14ac:dyDescent="0.3">
      <c r="A3571" s="58">
        <v>3526902</v>
      </c>
      <c r="B3571" s="58" t="s">
        <v>4462</v>
      </c>
      <c r="C3571" s="59">
        <v>-22.562194000000005</v>
      </c>
      <c r="D3571" s="59">
        <v>-47.401939523310205</v>
      </c>
    </row>
    <row r="3572" spans="1:4" x14ac:dyDescent="0.3">
      <c r="A3572" s="58">
        <v>3527009</v>
      </c>
      <c r="B3572" s="58" t="s">
        <v>4463</v>
      </c>
      <c r="C3572" s="59">
        <v>-22.520488192169154</v>
      </c>
      <c r="D3572" s="59">
        <v>-46.661483616308736</v>
      </c>
    </row>
    <row r="3573" spans="1:4" x14ac:dyDescent="0.3">
      <c r="A3573" s="58">
        <v>3527108</v>
      </c>
      <c r="B3573" s="58" t="s">
        <v>4464</v>
      </c>
      <c r="C3573" s="59">
        <v>-21.6723465</v>
      </c>
      <c r="D3573" s="59">
        <v>-49.751423386685467</v>
      </c>
    </row>
    <row r="3574" spans="1:4" x14ac:dyDescent="0.3">
      <c r="A3574" s="58">
        <v>3527207</v>
      </c>
      <c r="B3574" s="58" t="s">
        <v>4465</v>
      </c>
      <c r="C3574" s="59">
        <v>-22.731693032629604</v>
      </c>
      <c r="D3574" s="59">
        <v>-45.124248144163182</v>
      </c>
    </row>
    <row r="3575" spans="1:4" x14ac:dyDescent="0.3">
      <c r="A3575" s="58">
        <v>3527256</v>
      </c>
      <c r="B3575" s="58" t="s">
        <v>4466</v>
      </c>
      <c r="C3575" s="59">
        <v>-20.965390538303705</v>
      </c>
      <c r="D3575" s="59">
        <v>-50.22666009599601</v>
      </c>
    </row>
    <row r="3576" spans="1:4" x14ac:dyDescent="0.3">
      <c r="A3576" s="58">
        <v>3527306</v>
      </c>
      <c r="B3576" s="58" t="s">
        <v>4467</v>
      </c>
      <c r="C3576" s="59">
        <v>-23.086778500000005</v>
      </c>
      <c r="D3576" s="59">
        <v>-46.946440218048735</v>
      </c>
    </row>
    <row r="3577" spans="1:4" x14ac:dyDescent="0.3">
      <c r="A3577" s="58">
        <v>3527405</v>
      </c>
      <c r="B3577" s="58" t="s">
        <v>4468</v>
      </c>
      <c r="C3577" s="59">
        <v>-21.723415646037903</v>
      </c>
      <c r="D3577" s="59">
        <v>-51.018349142240865</v>
      </c>
    </row>
    <row r="3578" spans="1:4" x14ac:dyDescent="0.3">
      <c r="A3578" s="58">
        <v>3527504</v>
      </c>
      <c r="B3578" s="58" t="s">
        <v>4469</v>
      </c>
      <c r="C3578" s="59">
        <v>-22.431639999333854</v>
      </c>
      <c r="D3578" s="59">
        <v>-49.523179124461372</v>
      </c>
    </row>
    <row r="3579" spans="1:4" x14ac:dyDescent="0.3">
      <c r="A3579" s="58">
        <v>3527603</v>
      </c>
      <c r="B3579" s="58" t="s">
        <v>4470</v>
      </c>
      <c r="C3579" s="59">
        <v>-21.551706525237204</v>
      </c>
      <c r="D3579" s="59">
        <v>-47.700279944847594</v>
      </c>
    </row>
    <row r="3580" spans="1:4" x14ac:dyDescent="0.3">
      <c r="A3580" s="58">
        <v>3527702</v>
      </c>
      <c r="B3580" s="58" t="s">
        <v>4471</v>
      </c>
      <c r="C3580" s="59">
        <v>-21.673602964563049</v>
      </c>
      <c r="D3580" s="59">
        <v>-50.327639489638479</v>
      </c>
    </row>
    <row r="3581" spans="1:4" x14ac:dyDescent="0.3">
      <c r="A3581" s="58">
        <v>3527801</v>
      </c>
      <c r="B3581" s="58" t="s">
        <v>4472</v>
      </c>
      <c r="C3581" s="59">
        <v>-22.413815392232703</v>
      </c>
      <c r="D3581" s="59">
        <v>-49.820324699943825</v>
      </c>
    </row>
    <row r="3582" spans="1:4" x14ac:dyDescent="0.3">
      <c r="A3582" s="58">
        <v>3527900</v>
      </c>
      <c r="B3582" s="58" t="s">
        <v>4473</v>
      </c>
      <c r="C3582" s="59">
        <v>-22.343444287208154</v>
      </c>
      <c r="D3582" s="59">
        <v>-50.38932711588177</v>
      </c>
    </row>
    <row r="3583" spans="1:4" x14ac:dyDescent="0.3">
      <c r="A3583" s="58">
        <v>3528007</v>
      </c>
      <c r="B3583" s="58" t="s">
        <v>4474</v>
      </c>
      <c r="C3583" s="59">
        <v>-22.505549628843855</v>
      </c>
      <c r="D3583" s="59">
        <v>-48.71140538696806</v>
      </c>
    </row>
    <row r="3584" spans="1:4" x14ac:dyDescent="0.3">
      <c r="A3584" s="58">
        <v>3528106</v>
      </c>
      <c r="B3584" s="58" t="s">
        <v>4475</v>
      </c>
      <c r="C3584" s="59">
        <v>-20.801313539563303</v>
      </c>
      <c r="D3584" s="59">
        <v>-49.963497820342063</v>
      </c>
    </row>
    <row r="3585" spans="1:4" x14ac:dyDescent="0.3">
      <c r="A3585" s="58">
        <v>3528205</v>
      </c>
      <c r="B3585" s="58" t="s">
        <v>4476</v>
      </c>
      <c r="C3585" s="59">
        <v>-20.149997984692504</v>
      </c>
      <c r="D3585" s="59">
        <v>-50.197628484223976</v>
      </c>
    </row>
    <row r="3586" spans="1:4" x14ac:dyDescent="0.3">
      <c r="A3586" s="58">
        <v>3528304</v>
      </c>
      <c r="B3586" s="58" t="s">
        <v>4477</v>
      </c>
      <c r="C3586" s="59">
        <v>-20.643481311055101</v>
      </c>
      <c r="D3586" s="59">
        <v>-50.227537047108889</v>
      </c>
    </row>
    <row r="3587" spans="1:4" x14ac:dyDescent="0.3">
      <c r="A3587" s="58">
        <v>3528403</v>
      </c>
      <c r="B3587" s="58" t="s">
        <v>4478</v>
      </c>
      <c r="C3587" s="59">
        <v>-23.547457999999907</v>
      </c>
      <c r="D3587" s="59">
        <v>-47.184482626249711</v>
      </c>
    </row>
    <row r="3588" spans="1:4" x14ac:dyDescent="0.3">
      <c r="A3588" s="58">
        <v>3528502</v>
      </c>
      <c r="B3588" s="58" t="s">
        <v>4479</v>
      </c>
      <c r="C3588" s="59">
        <v>-23.322459382970386</v>
      </c>
      <c r="D3588" s="59">
        <v>-46.590195873141873</v>
      </c>
    </row>
    <row r="3589" spans="1:4" x14ac:dyDescent="0.3">
      <c r="A3589" s="58">
        <v>3528601</v>
      </c>
      <c r="B3589" s="58" t="s">
        <v>4480</v>
      </c>
      <c r="C3589" s="59">
        <v>-23.003346089863552</v>
      </c>
      <c r="D3589" s="59">
        <v>-49.318113120583106</v>
      </c>
    </row>
    <row r="3590" spans="1:4" x14ac:dyDescent="0.3">
      <c r="A3590" s="58">
        <v>3528700</v>
      </c>
      <c r="B3590" s="58" t="s">
        <v>4481</v>
      </c>
      <c r="C3590" s="59">
        <v>-22.110331499341353</v>
      </c>
      <c r="D3590" s="59">
        <v>-51.968467484711482</v>
      </c>
    </row>
    <row r="3591" spans="1:4" x14ac:dyDescent="0.3">
      <c r="A3591" s="58">
        <v>3528809</v>
      </c>
      <c r="B3591" s="58" t="s">
        <v>4482</v>
      </c>
      <c r="C3591" s="59">
        <v>-22.61041533676195</v>
      </c>
      <c r="D3591" s="59">
        <v>-50.668968249501823</v>
      </c>
    </row>
    <row r="3592" spans="1:4" x14ac:dyDescent="0.3">
      <c r="A3592" s="58">
        <v>3528858</v>
      </c>
      <c r="B3592" s="58" t="s">
        <v>4483</v>
      </c>
      <c r="C3592" s="59">
        <v>-21.258761925566304</v>
      </c>
      <c r="D3592" s="59">
        <v>-49.140000810266159</v>
      </c>
    </row>
    <row r="3593" spans="1:4" x14ac:dyDescent="0.3">
      <c r="A3593" s="58">
        <v>3528908</v>
      </c>
      <c r="B3593" s="58" t="s">
        <v>4484</v>
      </c>
      <c r="C3593" s="59">
        <v>-21.794493366467254</v>
      </c>
      <c r="D3593" s="59">
        <v>-51.182897555050317</v>
      </c>
    </row>
    <row r="3594" spans="1:4" x14ac:dyDescent="0.3">
      <c r="A3594" s="58">
        <v>3529005</v>
      </c>
      <c r="B3594" s="58" t="s">
        <v>4485</v>
      </c>
      <c r="C3594" s="59">
        <v>-22.214933000000002</v>
      </c>
      <c r="D3594" s="59">
        <v>-49.951645643103269</v>
      </c>
    </row>
    <row r="3595" spans="1:4" x14ac:dyDescent="0.3">
      <c r="A3595" s="58">
        <v>3529104</v>
      </c>
      <c r="B3595" s="58" t="s">
        <v>4486</v>
      </c>
      <c r="C3595" s="59">
        <v>-20.439398912525252</v>
      </c>
      <c r="D3595" s="59">
        <v>-50.825677294830072</v>
      </c>
    </row>
    <row r="3596" spans="1:4" x14ac:dyDescent="0.3">
      <c r="A3596" s="58">
        <v>3529203</v>
      </c>
      <c r="B3596" s="58" t="s">
        <v>4487</v>
      </c>
      <c r="C3596" s="59">
        <v>-22.147832475000008</v>
      </c>
      <c r="D3596" s="59">
        <v>-51.170768057488502</v>
      </c>
    </row>
    <row r="3597" spans="1:4" x14ac:dyDescent="0.3">
      <c r="A3597" s="58">
        <v>3529302</v>
      </c>
      <c r="B3597" s="58" t="s">
        <v>4488</v>
      </c>
      <c r="C3597" s="59">
        <v>-21.602994506272555</v>
      </c>
      <c r="D3597" s="59">
        <v>-48.367747699366184</v>
      </c>
    </row>
    <row r="3598" spans="1:4" x14ac:dyDescent="0.3">
      <c r="A3598" s="58">
        <v>3529401</v>
      </c>
      <c r="B3598" s="58" t="s">
        <v>4489</v>
      </c>
      <c r="C3598" s="59">
        <v>-23.669334500000001</v>
      </c>
      <c r="D3598" s="59">
        <v>-46.458262012164653</v>
      </c>
    </row>
    <row r="3599" spans="1:4" x14ac:dyDescent="0.3">
      <c r="A3599" s="58">
        <v>3529500</v>
      </c>
      <c r="B3599" s="58" t="s">
        <v>4490</v>
      </c>
      <c r="C3599" s="59">
        <v>-21.180156172304553</v>
      </c>
      <c r="D3599" s="59">
        <v>-49.582018998867298</v>
      </c>
    </row>
    <row r="3600" spans="1:4" x14ac:dyDescent="0.3">
      <c r="A3600" s="58">
        <v>3529609</v>
      </c>
      <c r="B3600" s="58" t="s">
        <v>4491</v>
      </c>
      <c r="C3600" s="59">
        <v>-20.354109903167451</v>
      </c>
      <c r="D3600" s="59">
        <v>-50.181831839905065</v>
      </c>
    </row>
    <row r="3601" spans="1:4" x14ac:dyDescent="0.3">
      <c r="A3601" s="58">
        <v>3529658</v>
      </c>
      <c r="B3601" s="58" t="s">
        <v>4492</v>
      </c>
      <c r="C3601" s="59">
        <v>-19.9670371030093</v>
      </c>
      <c r="D3601" s="59">
        <v>-50.622080265368048</v>
      </c>
    </row>
    <row r="3602" spans="1:4" x14ac:dyDescent="0.3">
      <c r="A3602" s="58">
        <v>3529708</v>
      </c>
      <c r="B3602" s="58" t="s">
        <v>4493</v>
      </c>
      <c r="C3602" s="59">
        <v>-20.177129232579301</v>
      </c>
      <c r="D3602" s="59">
        <v>-48.029334182714521</v>
      </c>
    </row>
    <row r="3603" spans="1:4" x14ac:dyDescent="0.3">
      <c r="A3603" s="58">
        <v>3529807</v>
      </c>
      <c r="B3603" s="58" t="s">
        <v>4494</v>
      </c>
      <c r="C3603" s="59">
        <v>-22.411696800770851</v>
      </c>
      <c r="D3603" s="59">
        <v>-48.451802309283096</v>
      </c>
    </row>
    <row r="3604" spans="1:4" x14ac:dyDescent="0.3">
      <c r="A3604" s="58">
        <v>3529906</v>
      </c>
      <c r="B3604" s="58" t="s">
        <v>4495</v>
      </c>
      <c r="C3604" s="59">
        <v>-24.283929465376051</v>
      </c>
      <c r="D3604" s="59">
        <v>-47.45710399910886</v>
      </c>
    </row>
    <row r="3605" spans="1:4" x14ac:dyDescent="0.3">
      <c r="A3605" s="58">
        <v>3530003</v>
      </c>
      <c r="B3605" s="58" t="s">
        <v>4496</v>
      </c>
      <c r="C3605" s="59">
        <v>-19.980516052412604</v>
      </c>
      <c r="D3605" s="59">
        <v>-50.13842719642804</v>
      </c>
    </row>
    <row r="3606" spans="1:4" x14ac:dyDescent="0.3">
      <c r="A3606" s="58">
        <v>3530102</v>
      </c>
      <c r="B3606" s="58" t="s">
        <v>4497</v>
      </c>
      <c r="C3606" s="59">
        <v>-21.132086985000004</v>
      </c>
      <c r="D3606" s="59">
        <v>-51.105640391753681</v>
      </c>
    </row>
    <row r="3607" spans="1:4" x14ac:dyDescent="0.3">
      <c r="A3607" s="58">
        <v>3530201</v>
      </c>
      <c r="B3607" s="58" t="s">
        <v>4498</v>
      </c>
      <c r="C3607" s="59">
        <v>-22.290558594472301</v>
      </c>
      <c r="D3607" s="59">
        <v>-51.905794305934975</v>
      </c>
    </row>
    <row r="3608" spans="1:4" x14ac:dyDescent="0.3">
      <c r="A3608" s="58">
        <v>3530300</v>
      </c>
      <c r="B3608" s="58" t="s">
        <v>4499</v>
      </c>
      <c r="C3608" s="59">
        <v>-20.817004500000003</v>
      </c>
      <c r="D3608" s="59">
        <v>-49.512139217927263</v>
      </c>
    </row>
    <row r="3609" spans="1:4" x14ac:dyDescent="0.3">
      <c r="A3609" s="58">
        <v>3530409</v>
      </c>
      <c r="B3609" s="58" t="s">
        <v>4500</v>
      </c>
      <c r="C3609" s="59">
        <v>-20.616857219804</v>
      </c>
      <c r="D3609" s="59">
        <v>-49.465519842508506</v>
      </c>
    </row>
    <row r="3610" spans="1:4" x14ac:dyDescent="0.3">
      <c r="A3610" s="58">
        <v>3530508</v>
      </c>
      <c r="B3610" s="58" t="s">
        <v>4501</v>
      </c>
      <c r="C3610" s="59">
        <v>-21.468990510000001</v>
      </c>
      <c r="D3610" s="59">
        <v>-47.007170978736696</v>
      </c>
    </row>
    <row r="3611" spans="1:4" x14ac:dyDescent="0.3">
      <c r="A3611" s="58">
        <v>3530607</v>
      </c>
      <c r="B3611" s="58" t="s">
        <v>4502</v>
      </c>
      <c r="C3611" s="59">
        <v>-23.522706500000002</v>
      </c>
      <c r="D3611" s="59">
        <v>-46.196760084326563</v>
      </c>
    </row>
    <row r="3612" spans="1:4" x14ac:dyDescent="0.3">
      <c r="A3612" s="58">
        <v>3530706</v>
      </c>
      <c r="B3612" s="58" t="s">
        <v>4503</v>
      </c>
      <c r="C3612" s="59">
        <v>-22.365720189511567</v>
      </c>
      <c r="D3612" s="59">
        <v>-46.944474088149072</v>
      </c>
    </row>
    <row r="3613" spans="1:4" x14ac:dyDescent="0.3">
      <c r="A3613" s="58">
        <v>3530805</v>
      </c>
      <c r="B3613" s="58" t="s">
        <v>4504</v>
      </c>
      <c r="C3613" s="59">
        <v>-22.432695500000008</v>
      </c>
      <c r="D3613" s="59">
        <v>-46.956367126578954</v>
      </c>
    </row>
    <row r="3614" spans="1:4" x14ac:dyDescent="0.3">
      <c r="A3614" s="58">
        <v>3530904</v>
      </c>
      <c r="B3614" s="58" t="s">
        <v>4505</v>
      </c>
      <c r="C3614" s="59">
        <v>-22.926827883407753</v>
      </c>
      <c r="D3614" s="59">
        <v>-47.567524004838418</v>
      </c>
    </row>
    <row r="3615" spans="1:4" x14ac:dyDescent="0.3">
      <c r="A3615" s="58">
        <v>3531001</v>
      </c>
      <c r="B3615" s="58" t="s">
        <v>4506</v>
      </c>
      <c r="C3615" s="59">
        <v>-20.850325703772853</v>
      </c>
      <c r="D3615" s="59">
        <v>-50.096306131545759</v>
      </c>
    </row>
    <row r="3616" spans="1:4" x14ac:dyDescent="0.3">
      <c r="A3616" s="58">
        <v>3531100</v>
      </c>
      <c r="B3616" s="58" t="s">
        <v>4507</v>
      </c>
      <c r="C3616" s="59">
        <v>-24.094116144999902</v>
      </c>
      <c r="D3616" s="59">
        <v>-46.619992725371041</v>
      </c>
    </row>
    <row r="3617" spans="1:4" x14ac:dyDescent="0.3">
      <c r="A3617" s="58">
        <v>3531209</v>
      </c>
      <c r="B3617" s="58" t="s">
        <v>4508</v>
      </c>
      <c r="C3617" s="59">
        <v>-22.68112865985935</v>
      </c>
      <c r="D3617" s="59">
        <v>-46.681194300508714</v>
      </c>
    </row>
    <row r="3618" spans="1:4" x14ac:dyDescent="0.3">
      <c r="A3618" s="58">
        <v>3531308</v>
      </c>
      <c r="B3618" s="58" t="s">
        <v>4509</v>
      </c>
      <c r="C3618" s="59">
        <v>-21.263863995000005</v>
      </c>
      <c r="D3618" s="59">
        <v>-48.496651259965986</v>
      </c>
    </row>
    <row r="3619" spans="1:4" x14ac:dyDescent="0.3">
      <c r="A3619" s="58">
        <v>3531407</v>
      </c>
      <c r="B3619" s="58" t="s">
        <v>4510</v>
      </c>
      <c r="C3619" s="59">
        <v>-20.772140137594654</v>
      </c>
      <c r="D3619" s="59">
        <v>-49.71411616142862</v>
      </c>
    </row>
    <row r="3620" spans="1:4" x14ac:dyDescent="0.3">
      <c r="A3620" s="58">
        <v>3531506</v>
      </c>
      <c r="B3620" s="58" t="s">
        <v>4511</v>
      </c>
      <c r="C3620" s="59">
        <v>-20.903841225890652</v>
      </c>
      <c r="D3620" s="59">
        <v>-48.642971283280971</v>
      </c>
    </row>
    <row r="3621" spans="1:4" x14ac:dyDescent="0.3">
      <c r="A3621" s="58">
        <v>3531605</v>
      </c>
      <c r="B3621" s="58" t="s">
        <v>4512</v>
      </c>
      <c r="C3621" s="59">
        <v>-21.298959449262554</v>
      </c>
      <c r="D3621" s="59">
        <v>-51.565493248709366</v>
      </c>
    </row>
    <row r="3622" spans="1:4" x14ac:dyDescent="0.3">
      <c r="A3622" s="58">
        <v>3531704</v>
      </c>
      <c r="B3622" s="58" t="s">
        <v>4513</v>
      </c>
      <c r="C3622" s="59">
        <v>-22.955010579151153</v>
      </c>
      <c r="D3622" s="59">
        <v>-45.84815198496505</v>
      </c>
    </row>
    <row r="3623" spans="1:4" x14ac:dyDescent="0.3">
      <c r="A3623" s="58">
        <v>3531803</v>
      </c>
      <c r="B3623" s="58" t="s">
        <v>4514</v>
      </c>
      <c r="C3623" s="59">
        <v>-22.945521999321958</v>
      </c>
      <c r="D3623" s="59">
        <v>-47.313269248336269</v>
      </c>
    </row>
    <row r="3624" spans="1:4" x14ac:dyDescent="0.3">
      <c r="A3624" s="58">
        <v>3531902</v>
      </c>
      <c r="B3624" s="58" t="s">
        <v>4515</v>
      </c>
      <c r="C3624" s="59">
        <v>-20.7326629993746</v>
      </c>
      <c r="D3624" s="59">
        <v>-48.057593825321732</v>
      </c>
    </row>
    <row r="3625" spans="1:4" x14ac:dyDescent="0.3">
      <c r="A3625" s="58">
        <v>3532009</v>
      </c>
      <c r="B3625" s="58" t="s">
        <v>4516</v>
      </c>
      <c r="C3625" s="59">
        <v>-22.881030932694454</v>
      </c>
      <c r="D3625" s="59">
        <v>-46.79134439458381</v>
      </c>
    </row>
    <row r="3626" spans="1:4" x14ac:dyDescent="0.3">
      <c r="A3626" s="58">
        <v>3532058</v>
      </c>
      <c r="B3626" s="58" t="s">
        <v>4517</v>
      </c>
      <c r="C3626" s="59">
        <v>-21.507609441189903</v>
      </c>
      <c r="D3626" s="59">
        <v>-48.150661254394855</v>
      </c>
    </row>
    <row r="3627" spans="1:4" x14ac:dyDescent="0.3">
      <c r="A3627" s="58">
        <v>3532108</v>
      </c>
      <c r="B3627" s="58" t="s">
        <v>4518</v>
      </c>
      <c r="C3627" s="59">
        <v>-20.994298089260052</v>
      </c>
      <c r="D3627" s="59">
        <v>-51.277138185509848</v>
      </c>
    </row>
    <row r="3628" spans="1:4" x14ac:dyDescent="0.3">
      <c r="A3628" s="58">
        <v>3532157</v>
      </c>
      <c r="B3628" s="58" t="s">
        <v>4519</v>
      </c>
      <c r="C3628" s="59">
        <v>-22.620117582520201</v>
      </c>
      <c r="D3628" s="59">
        <v>-51.238587497594786</v>
      </c>
    </row>
    <row r="3629" spans="1:4" x14ac:dyDescent="0.3">
      <c r="A3629" s="58">
        <v>3532207</v>
      </c>
      <c r="B3629" s="58" t="s">
        <v>4520</v>
      </c>
      <c r="C3629" s="59">
        <v>-22.404283199904853</v>
      </c>
      <c r="D3629" s="59">
        <v>-51.524239850810247</v>
      </c>
    </row>
    <row r="3630" spans="1:4" x14ac:dyDescent="0.3">
      <c r="A3630" s="58">
        <v>3532306</v>
      </c>
      <c r="B3630" s="58" t="s">
        <v>4521</v>
      </c>
      <c r="C3630" s="59">
        <v>-23.375786983358754</v>
      </c>
      <c r="D3630" s="59">
        <v>-45.446400470724441</v>
      </c>
    </row>
    <row r="3631" spans="1:4" x14ac:dyDescent="0.3">
      <c r="A3631" s="58">
        <v>3532405</v>
      </c>
      <c r="B3631" s="58" t="s">
        <v>4522</v>
      </c>
      <c r="C3631" s="59">
        <v>-23.178695811004506</v>
      </c>
      <c r="D3631" s="59">
        <v>-46.402590214989615</v>
      </c>
    </row>
    <row r="3632" spans="1:4" x14ac:dyDescent="0.3">
      <c r="A3632" s="58">
        <v>3532504</v>
      </c>
      <c r="B3632" s="58" t="s">
        <v>4523</v>
      </c>
      <c r="C3632" s="59">
        <v>-20.843916155827404</v>
      </c>
      <c r="D3632" s="59">
        <v>-49.630474851340189</v>
      </c>
    </row>
    <row r="3633" spans="1:4" x14ac:dyDescent="0.3">
      <c r="A3633" s="58">
        <v>3532603</v>
      </c>
      <c r="B3633" s="58" t="s">
        <v>4524</v>
      </c>
      <c r="C3633" s="59">
        <v>-20.694823499375559</v>
      </c>
      <c r="D3633" s="59">
        <v>-50.040274495542853</v>
      </c>
    </row>
    <row r="3634" spans="1:4" x14ac:dyDescent="0.3">
      <c r="A3634" s="58">
        <v>3532702</v>
      </c>
      <c r="B3634" s="58" t="s">
        <v>4525</v>
      </c>
      <c r="C3634" s="59">
        <v>-20.91390242761695</v>
      </c>
      <c r="D3634" s="59">
        <v>-49.780898651089437</v>
      </c>
    </row>
    <row r="3635" spans="1:4" x14ac:dyDescent="0.3">
      <c r="A3635" s="58">
        <v>3532801</v>
      </c>
      <c r="B3635" s="58" t="s">
        <v>4526</v>
      </c>
      <c r="C3635" s="59">
        <v>-21.013734717199803</v>
      </c>
      <c r="D3635" s="59">
        <v>-49.507138347943247</v>
      </c>
    </row>
    <row r="3636" spans="1:4" x14ac:dyDescent="0.3">
      <c r="A3636" s="58">
        <v>3532827</v>
      </c>
      <c r="B3636" s="58" t="s">
        <v>4527</v>
      </c>
      <c r="C3636" s="59">
        <v>-24.123210417911206</v>
      </c>
      <c r="D3636" s="59">
        <v>-48.905738479049141</v>
      </c>
    </row>
    <row r="3637" spans="1:4" x14ac:dyDescent="0.3">
      <c r="A3637" s="58">
        <v>3532843</v>
      </c>
      <c r="B3637" s="58" t="s">
        <v>4528</v>
      </c>
      <c r="C3637" s="59">
        <v>-20.386895026048851</v>
      </c>
      <c r="D3637" s="59">
        <v>-50.948052438527355</v>
      </c>
    </row>
    <row r="3638" spans="1:4" x14ac:dyDescent="0.3">
      <c r="A3638" s="58">
        <v>3532868</v>
      </c>
      <c r="B3638" s="58" t="s">
        <v>4529</v>
      </c>
      <c r="C3638" s="59">
        <v>-20.765654620104801</v>
      </c>
      <c r="D3638" s="59">
        <v>-50.343906176177668</v>
      </c>
    </row>
    <row r="3639" spans="1:4" x14ac:dyDescent="0.3">
      <c r="A3639" s="58">
        <v>3532900</v>
      </c>
      <c r="B3639" s="58" t="s">
        <v>4530</v>
      </c>
      <c r="C3639" s="59">
        <v>-21.778922883855454</v>
      </c>
      <c r="D3639" s="59">
        <v>-48.562140427676248</v>
      </c>
    </row>
    <row r="3640" spans="1:4" x14ac:dyDescent="0.3">
      <c r="A3640" s="58">
        <v>3533007</v>
      </c>
      <c r="B3640" s="58" t="s">
        <v>4531</v>
      </c>
      <c r="C3640" s="59">
        <v>-20.533153999379554</v>
      </c>
      <c r="D3640" s="59">
        <v>-49.32009287611158</v>
      </c>
    </row>
    <row r="3641" spans="1:4" x14ac:dyDescent="0.3">
      <c r="A3641" s="58">
        <v>3533106</v>
      </c>
      <c r="B3641" s="58" t="s">
        <v>4532</v>
      </c>
      <c r="C3641" s="59">
        <v>-21.329937141170053</v>
      </c>
      <c r="D3641" s="59">
        <v>-51.649832890356862</v>
      </c>
    </row>
    <row r="3642" spans="1:4" x14ac:dyDescent="0.3">
      <c r="A3642" s="58">
        <v>3533205</v>
      </c>
      <c r="B3642" s="58" t="s">
        <v>4533</v>
      </c>
      <c r="C3642" s="59">
        <v>-21.104542001455556</v>
      </c>
      <c r="D3642" s="59">
        <v>-51.490446528051578</v>
      </c>
    </row>
    <row r="3643" spans="1:4" x14ac:dyDescent="0.3">
      <c r="A3643" s="58">
        <v>3533254</v>
      </c>
      <c r="B3643" s="58" t="s">
        <v>4534</v>
      </c>
      <c r="C3643" s="59">
        <v>-20.990358196418253</v>
      </c>
      <c r="D3643" s="59">
        <v>-48.917063709695732</v>
      </c>
    </row>
    <row r="3644" spans="1:4" x14ac:dyDescent="0.3">
      <c r="A3644" s="58">
        <v>3533304</v>
      </c>
      <c r="B3644" s="58" t="s">
        <v>4535</v>
      </c>
      <c r="C3644" s="59">
        <v>-20.856610999371551</v>
      </c>
      <c r="D3644" s="59">
        <v>-50.265827372287376</v>
      </c>
    </row>
    <row r="3645" spans="1:4" x14ac:dyDescent="0.3">
      <c r="A3645" s="58">
        <v>3533403</v>
      </c>
      <c r="B3645" s="58" t="s">
        <v>4536</v>
      </c>
      <c r="C3645" s="59">
        <v>-22.782794660913055</v>
      </c>
      <c r="D3645" s="59">
        <v>-47.293634614404752</v>
      </c>
    </row>
    <row r="3646" spans="1:4" x14ac:dyDescent="0.3">
      <c r="A3646" s="58">
        <v>3533502</v>
      </c>
      <c r="B3646" s="58" t="s">
        <v>3050</v>
      </c>
      <c r="C3646" s="59">
        <v>-21.468474989356704</v>
      </c>
      <c r="D3646" s="59">
        <v>-49.22174953367697</v>
      </c>
    </row>
    <row r="3647" spans="1:4" x14ac:dyDescent="0.3">
      <c r="A3647" s="58">
        <v>3533601</v>
      </c>
      <c r="B3647" s="58" t="s">
        <v>4537</v>
      </c>
      <c r="C3647" s="59">
        <v>-20.73399973477115</v>
      </c>
      <c r="D3647" s="59">
        <v>-47.749105463903184</v>
      </c>
    </row>
    <row r="3648" spans="1:4" x14ac:dyDescent="0.3">
      <c r="A3648" s="58">
        <v>3533700</v>
      </c>
      <c r="B3648" s="58" t="s">
        <v>4538</v>
      </c>
      <c r="C3648" s="59">
        <v>-22.438860447948951</v>
      </c>
      <c r="D3648" s="59">
        <v>-49.927372830360518</v>
      </c>
    </row>
    <row r="3649" spans="1:4" x14ac:dyDescent="0.3">
      <c r="A3649" s="58">
        <v>3533809</v>
      </c>
      <c r="B3649" s="58" t="s">
        <v>4539</v>
      </c>
      <c r="C3649" s="59">
        <v>-22.944584777489698</v>
      </c>
      <c r="D3649" s="59">
        <v>-49.340950752602339</v>
      </c>
    </row>
    <row r="3650" spans="1:4" x14ac:dyDescent="0.3">
      <c r="A3650" s="58">
        <v>3533908</v>
      </c>
      <c r="B3650" s="58" t="s">
        <v>4540</v>
      </c>
      <c r="C3650" s="59">
        <v>-20.737283985000001</v>
      </c>
      <c r="D3650" s="59">
        <v>-48.913491725769418</v>
      </c>
    </row>
    <row r="3651" spans="1:4" x14ac:dyDescent="0.3">
      <c r="A3651" s="58">
        <v>3534005</v>
      </c>
      <c r="B3651" s="58" t="s">
        <v>4541</v>
      </c>
      <c r="C3651" s="59">
        <v>-20.612722120149304</v>
      </c>
      <c r="D3651" s="59">
        <v>-49.299214794262355</v>
      </c>
    </row>
    <row r="3652" spans="1:4" x14ac:dyDescent="0.3">
      <c r="A3652" s="58">
        <v>3534104</v>
      </c>
      <c r="B3652" s="58" t="s">
        <v>4542</v>
      </c>
      <c r="C3652" s="59">
        <v>-22.148599411827053</v>
      </c>
      <c r="D3652" s="59">
        <v>-50.093585463660212</v>
      </c>
    </row>
    <row r="3653" spans="1:4" x14ac:dyDescent="0.3">
      <c r="A3653" s="58">
        <v>3534203</v>
      </c>
      <c r="B3653" s="58" t="s">
        <v>4543</v>
      </c>
      <c r="C3653" s="59">
        <v>-20.180196743036753</v>
      </c>
      <c r="D3653" s="59">
        <v>-49.351818480998617</v>
      </c>
    </row>
    <row r="3654" spans="1:4" x14ac:dyDescent="0.3">
      <c r="A3654" s="58">
        <v>3534302</v>
      </c>
      <c r="B3654" s="58" t="s">
        <v>4544</v>
      </c>
      <c r="C3654" s="59">
        <v>-20.720421495000004</v>
      </c>
      <c r="D3654" s="59">
        <v>-47.886383822127812</v>
      </c>
    </row>
    <row r="3655" spans="1:4" x14ac:dyDescent="0.3">
      <c r="A3655" s="58">
        <v>3534401</v>
      </c>
      <c r="B3655" s="58" t="s">
        <v>4545</v>
      </c>
      <c r="C3655" s="59">
        <v>-23.533612000000005</v>
      </c>
      <c r="D3655" s="59">
        <v>-46.788810144271423</v>
      </c>
    </row>
    <row r="3656" spans="1:4" x14ac:dyDescent="0.3">
      <c r="A3656" s="58">
        <v>3534500</v>
      </c>
      <c r="B3656" s="58" t="s">
        <v>4546</v>
      </c>
      <c r="C3656" s="59">
        <v>-22.317882054899901</v>
      </c>
      <c r="D3656" s="59">
        <v>-50.28412616584793</v>
      </c>
    </row>
    <row r="3657" spans="1:4" x14ac:dyDescent="0.3">
      <c r="A3657" s="58">
        <v>3534609</v>
      </c>
      <c r="B3657" s="58" t="s">
        <v>4547</v>
      </c>
      <c r="C3657" s="59">
        <v>-21.797083500000003</v>
      </c>
      <c r="D3657" s="59">
        <v>-50.873139110263445</v>
      </c>
    </row>
    <row r="3658" spans="1:4" x14ac:dyDescent="0.3">
      <c r="A3658" s="58">
        <v>3534708</v>
      </c>
      <c r="B3658" s="58" t="s">
        <v>4548</v>
      </c>
      <c r="C3658" s="59">
        <v>-22.977267500000004</v>
      </c>
      <c r="D3658" s="59">
        <v>-49.86857983593697</v>
      </c>
    </row>
    <row r="3659" spans="1:4" x14ac:dyDescent="0.3">
      <c r="A3659" s="58">
        <v>3534757</v>
      </c>
      <c r="B3659" s="58" t="s">
        <v>4549</v>
      </c>
      <c r="C3659" s="59">
        <v>-19.9955921069967</v>
      </c>
      <c r="D3659" s="59">
        <v>-50.377584652198053</v>
      </c>
    </row>
    <row r="3660" spans="1:4" x14ac:dyDescent="0.3">
      <c r="A3660" s="58">
        <v>3534807</v>
      </c>
      <c r="B3660" s="58" t="s">
        <v>4550</v>
      </c>
      <c r="C3660" s="59">
        <v>-21.491165917105501</v>
      </c>
      <c r="D3660" s="59">
        <v>-51.699320721678831</v>
      </c>
    </row>
    <row r="3661" spans="1:4" x14ac:dyDescent="0.3">
      <c r="A3661" s="58">
        <v>3534906</v>
      </c>
      <c r="B3661" s="58" t="s">
        <v>4551</v>
      </c>
      <c r="C3661" s="59">
        <v>-21.560078499354503</v>
      </c>
      <c r="D3661" s="59">
        <v>-51.265201519932354</v>
      </c>
    </row>
    <row r="3662" spans="1:4" x14ac:dyDescent="0.3">
      <c r="A3662" s="58">
        <v>3535002</v>
      </c>
      <c r="B3662" s="58" t="s">
        <v>2675</v>
      </c>
      <c r="C3662" s="59">
        <v>-20.390587470269804</v>
      </c>
      <c r="D3662" s="59">
        <v>-49.433782399918428</v>
      </c>
    </row>
    <row r="3663" spans="1:4" x14ac:dyDescent="0.3">
      <c r="A3663" s="58">
        <v>3535101</v>
      </c>
      <c r="B3663" s="58" t="s">
        <v>4552</v>
      </c>
      <c r="C3663" s="59">
        <v>-21.082470691401152</v>
      </c>
      <c r="D3663" s="59">
        <v>-48.801284626537182</v>
      </c>
    </row>
    <row r="3664" spans="1:4" x14ac:dyDescent="0.3">
      <c r="A3664" s="58">
        <v>3535200</v>
      </c>
      <c r="B3664" s="58" t="s">
        <v>4553</v>
      </c>
      <c r="C3664" s="59">
        <v>-20.416217324696401</v>
      </c>
      <c r="D3664" s="59">
        <v>-50.765987804946747</v>
      </c>
    </row>
    <row r="3665" spans="1:4" x14ac:dyDescent="0.3">
      <c r="A3665" s="58">
        <v>3535309</v>
      </c>
      <c r="B3665" s="58" t="s">
        <v>4554</v>
      </c>
      <c r="C3665" s="59">
        <v>-22.785592000000008</v>
      </c>
      <c r="D3665" s="59">
        <v>-50.218790987722301</v>
      </c>
    </row>
    <row r="3666" spans="1:4" x14ac:dyDescent="0.3">
      <c r="A3666" s="58">
        <v>3535408</v>
      </c>
      <c r="B3666" s="58" t="s">
        <v>4555</v>
      </c>
      <c r="C3666" s="59">
        <v>-21.360183557941006</v>
      </c>
      <c r="D3666" s="59">
        <v>-51.856574161537743</v>
      </c>
    </row>
    <row r="3667" spans="1:4" x14ac:dyDescent="0.3">
      <c r="A3667" s="58">
        <v>3535507</v>
      </c>
      <c r="B3667" s="58" t="s">
        <v>4556</v>
      </c>
      <c r="C3667" s="59">
        <v>-22.417711020000006</v>
      </c>
      <c r="D3667" s="59">
        <v>-50.575028530478257</v>
      </c>
    </row>
    <row r="3668" spans="1:4" x14ac:dyDescent="0.3">
      <c r="A3668" s="58">
        <v>3535606</v>
      </c>
      <c r="B3668" s="58" t="s">
        <v>4557</v>
      </c>
      <c r="C3668" s="59">
        <v>-23.386261565928553</v>
      </c>
      <c r="D3668" s="59">
        <v>-45.662864060550085</v>
      </c>
    </row>
    <row r="3669" spans="1:4" x14ac:dyDescent="0.3">
      <c r="A3669" s="58">
        <v>3535705</v>
      </c>
      <c r="B3669" s="58" t="s">
        <v>4558</v>
      </c>
      <c r="C3669" s="59">
        <v>-21.0157929993515</v>
      </c>
      <c r="D3669" s="59">
        <v>-48.772528912749827</v>
      </c>
    </row>
    <row r="3670" spans="1:4" x14ac:dyDescent="0.3">
      <c r="A3670" s="58">
        <v>3535804</v>
      </c>
      <c r="B3670" s="58" t="s">
        <v>4559</v>
      </c>
      <c r="C3670" s="59">
        <v>-23.386927999311954</v>
      </c>
      <c r="D3670" s="59">
        <v>-48.723676984127096</v>
      </c>
    </row>
    <row r="3671" spans="1:4" x14ac:dyDescent="0.3">
      <c r="A3671" s="58">
        <v>3535903</v>
      </c>
      <c r="B3671" s="58" t="s">
        <v>4560</v>
      </c>
      <c r="C3671" s="59">
        <v>-20.099805952458805</v>
      </c>
      <c r="D3671" s="59">
        <v>-50.586718917995455</v>
      </c>
    </row>
    <row r="3672" spans="1:4" x14ac:dyDescent="0.3">
      <c r="A3672" s="58">
        <v>3536000</v>
      </c>
      <c r="B3672" s="58" t="s">
        <v>4561</v>
      </c>
      <c r="C3672" s="59">
        <v>-21.779839143789101</v>
      </c>
      <c r="D3672" s="59">
        <v>-50.793843843062461</v>
      </c>
    </row>
    <row r="3673" spans="1:4" x14ac:dyDescent="0.3">
      <c r="A3673" s="58">
        <v>3536109</v>
      </c>
      <c r="B3673" s="58" t="s">
        <v>4562</v>
      </c>
      <c r="C3673" s="59">
        <v>-23.080318323936503</v>
      </c>
      <c r="D3673" s="59">
        <v>-48.372876683655541</v>
      </c>
    </row>
    <row r="3674" spans="1:4" x14ac:dyDescent="0.3">
      <c r="A3674" s="58">
        <v>3536208</v>
      </c>
      <c r="B3674" s="58" t="s">
        <v>4563</v>
      </c>
      <c r="C3674" s="59">
        <v>-24.712546630958105</v>
      </c>
      <c r="D3674" s="59">
        <v>-47.879997602894392</v>
      </c>
    </row>
    <row r="3675" spans="1:4" x14ac:dyDescent="0.3">
      <c r="A3675" s="58">
        <v>3536257</v>
      </c>
      <c r="B3675" s="58" t="s">
        <v>4564</v>
      </c>
      <c r="C3675" s="59">
        <v>-20.302191175418304</v>
      </c>
      <c r="D3675" s="59">
        <v>-50.012617830836952</v>
      </c>
    </row>
    <row r="3676" spans="1:4" x14ac:dyDescent="0.3">
      <c r="A3676" s="58">
        <v>3536307</v>
      </c>
      <c r="B3676" s="58" t="s">
        <v>4565</v>
      </c>
      <c r="C3676" s="59">
        <v>-20.641153402307655</v>
      </c>
      <c r="D3676" s="59">
        <v>-47.283060090300175</v>
      </c>
    </row>
    <row r="3677" spans="1:4" x14ac:dyDescent="0.3">
      <c r="A3677" s="58">
        <v>3536406</v>
      </c>
      <c r="B3677" s="58" t="s">
        <v>4566</v>
      </c>
      <c r="C3677" s="59">
        <v>-21.309275557982609</v>
      </c>
      <c r="D3677" s="59">
        <v>-51.847139950941155</v>
      </c>
    </row>
    <row r="3678" spans="1:4" x14ac:dyDescent="0.3">
      <c r="A3678" s="58">
        <v>3536505</v>
      </c>
      <c r="B3678" s="58" t="s">
        <v>4567</v>
      </c>
      <c r="C3678" s="59">
        <v>-22.759921699999953</v>
      </c>
      <c r="D3678" s="59">
        <v>-47.154385800969493</v>
      </c>
    </row>
    <row r="3679" spans="1:4" x14ac:dyDescent="0.3">
      <c r="A3679" s="58">
        <v>3536570</v>
      </c>
      <c r="B3679" s="58" t="s">
        <v>4568</v>
      </c>
      <c r="C3679" s="59">
        <v>-22.57430074801</v>
      </c>
      <c r="D3679" s="59">
        <v>-49.399038346137544</v>
      </c>
    </row>
    <row r="3680" spans="1:4" x14ac:dyDescent="0.3">
      <c r="A3680" s="58">
        <v>3536604</v>
      </c>
      <c r="B3680" s="58" t="s">
        <v>4569</v>
      </c>
      <c r="C3680" s="59">
        <v>-20.029300027799255</v>
      </c>
      <c r="D3680" s="59">
        <v>-49.399551886382483</v>
      </c>
    </row>
    <row r="3681" spans="1:4" x14ac:dyDescent="0.3">
      <c r="A3681" s="58">
        <v>3536703</v>
      </c>
      <c r="B3681" s="58" t="s">
        <v>4570</v>
      </c>
      <c r="C3681" s="59">
        <v>-22.355491500000007</v>
      </c>
      <c r="D3681" s="59">
        <v>-48.77968096362126</v>
      </c>
    </row>
    <row r="3682" spans="1:4" x14ac:dyDescent="0.3">
      <c r="A3682" s="58">
        <v>3536802</v>
      </c>
      <c r="B3682" s="58" t="s">
        <v>4571</v>
      </c>
      <c r="C3682" s="59">
        <v>-22.791384351859904</v>
      </c>
      <c r="D3682" s="59">
        <v>-46.442030947329137</v>
      </c>
    </row>
    <row r="3683" spans="1:4" x14ac:dyDescent="0.3">
      <c r="A3683" s="58">
        <v>3536901</v>
      </c>
      <c r="B3683" s="58" t="s">
        <v>4572</v>
      </c>
      <c r="C3683" s="59">
        <v>-20.247646667245352</v>
      </c>
      <c r="D3683" s="59">
        <v>-50.112390282897117</v>
      </c>
    </row>
    <row r="3684" spans="1:4" x14ac:dyDescent="0.3">
      <c r="A3684" s="58">
        <v>3537008</v>
      </c>
      <c r="B3684" s="58" t="s">
        <v>4573</v>
      </c>
      <c r="C3684" s="59">
        <v>-20.256870999386454</v>
      </c>
      <c r="D3684" s="59">
        <v>-47.481794969120699</v>
      </c>
    </row>
    <row r="3685" spans="1:4" x14ac:dyDescent="0.3">
      <c r="A3685" s="58">
        <v>3537107</v>
      </c>
      <c r="B3685" s="58" t="s">
        <v>4574</v>
      </c>
      <c r="C3685" s="59">
        <v>-22.743771000000002</v>
      </c>
      <c r="D3685" s="59">
        <v>-46.897802090290753</v>
      </c>
    </row>
    <row r="3686" spans="1:4" x14ac:dyDescent="0.3">
      <c r="A3686" s="58">
        <v>3537156</v>
      </c>
      <c r="B3686" s="58" t="s">
        <v>4575</v>
      </c>
      <c r="C3686" s="59">
        <v>-22.811215213632</v>
      </c>
      <c r="D3686" s="59">
        <v>-50.792165655456955</v>
      </c>
    </row>
    <row r="3687" spans="1:4" x14ac:dyDescent="0.3">
      <c r="A3687" s="58">
        <v>3537206</v>
      </c>
      <c r="B3687" s="58" t="s">
        <v>4576</v>
      </c>
      <c r="C3687" s="59">
        <v>-24.272800673545394</v>
      </c>
      <c r="D3687" s="59">
        <v>-47.229076349741732</v>
      </c>
    </row>
    <row r="3688" spans="1:4" x14ac:dyDescent="0.3">
      <c r="A3688" s="58">
        <v>3537305</v>
      </c>
      <c r="B3688" s="58" t="s">
        <v>4577</v>
      </c>
      <c r="C3688" s="59">
        <v>-21.418383015</v>
      </c>
      <c r="D3688" s="59">
        <v>-50.07303627502921</v>
      </c>
    </row>
    <row r="3689" spans="1:4" x14ac:dyDescent="0.3">
      <c r="A3689" s="58">
        <v>3537404</v>
      </c>
      <c r="B3689" s="58" t="s">
        <v>4578</v>
      </c>
      <c r="C3689" s="59">
        <v>-20.636668999377008</v>
      </c>
      <c r="D3689" s="59">
        <v>-51.106661019946934</v>
      </c>
    </row>
    <row r="3690" spans="1:4" x14ac:dyDescent="0.3">
      <c r="A3690" s="58">
        <v>3537503</v>
      </c>
      <c r="B3690" s="58" t="s">
        <v>4579</v>
      </c>
      <c r="C3690" s="59">
        <v>-23.072852335940709</v>
      </c>
      <c r="D3690" s="59">
        <v>-47.967866772984912</v>
      </c>
    </row>
    <row r="3691" spans="1:4" x14ac:dyDescent="0.3">
      <c r="A3691" s="58">
        <v>3537602</v>
      </c>
      <c r="B3691" s="58" t="s">
        <v>4580</v>
      </c>
      <c r="C3691" s="59">
        <v>-24.319508883999905</v>
      </c>
      <c r="D3691" s="59">
        <v>-46.997301864512337</v>
      </c>
    </row>
    <row r="3692" spans="1:4" x14ac:dyDescent="0.3">
      <c r="A3692" s="58">
        <v>3537701</v>
      </c>
      <c r="B3692" s="58" t="s">
        <v>4581</v>
      </c>
      <c r="C3692" s="59">
        <v>-21.5953916792139</v>
      </c>
      <c r="D3692" s="59">
        <v>-50.599425717222353</v>
      </c>
    </row>
    <row r="3693" spans="1:4" x14ac:dyDescent="0.3">
      <c r="A3693" s="58">
        <v>3537800</v>
      </c>
      <c r="B3693" s="58" t="s">
        <v>4582</v>
      </c>
      <c r="C3693" s="59">
        <v>-23.714202222999905</v>
      </c>
      <c r="D3693" s="59">
        <v>-47.418015150930991</v>
      </c>
    </row>
    <row r="3694" spans="1:4" x14ac:dyDescent="0.3">
      <c r="A3694" s="58">
        <v>3537909</v>
      </c>
      <c r="B3694" s="58" t="s">
        <v>4583</v>
      </c>
      <c r="C3694" s="59">
        <v>-23.814612000000004</v>
      </c>
      <c r="D3694" s="59">
        <v>-47.71550771583852</v>
      </c>
    </row>
    <row r="3695" spans="1:4" x14ac:dyDescent="0.3">
      <c r="A3695" s="58">
        <v>3538006</v>
      </c>
      <c r="B3695" s="58" t="s">
        <v>4584</v>
      </c>
      <c r="C3695" s="59">
        <v>-22.926668725898853</v>
      </c>
      <c r="D3695" s="59">
        <v>-45.46204884623041</v>
      </c>
    </row>
    <row r="3696" spans="1:4" x14ac:dyDescent="0.3">
      <c r="A3696" s="58">
        <v>3538105</v>
      </c>
      <c r="B3696" s="58" t="s">
        <v>4585</v>
      </c>
      <c r="C3696" s="59">
        <v>-21.18598848855255</v>
      </c>
      <c r="D3696" s="59">
        <v>-48.90563753529365</v>
      </c>
    </row>
    <row r="3697" spans="1:4" x14ac:dyDescent="0.3">
      <c r="A3697" s="58">
        <v>3538204</v>
      </c>
      <c r="B3697" s="58" t="s">
        <v>4586</v>
      </c>
      <c r="C3697" s="59">
        <v>-22.780796068516207</v>
      </c>
      <c r="D3697" s="59">
        <v>-46.590577318931651</v>
      </c>
    </row>
    <row r="3698" spans="1:4" x14ac:dyDescent="0.3">
      <c r="A3698" s="58">
        <v>3538303</v>
      </c>
      <c r="B3698" s="58" t="s">
        <v>4587</v>
      </c>
      <c r="C3698" s="59">
        <v>-21.884989698814802</v>
      </c>
      <c r="D3698" s="59">
        <v>-51.731626903764202</v>
      </c>
    </row>
    <row r="3699" spans="1:4" x14ac:dyDescent="0.3">
      <c r="A3699" s="58">
        <v>3538501</v>
      </c>
      <c r="B3699" s="58" t="s">
        <v>4588</v>
      </c>
      <c r="C3699" s="59">
        <v>-22.611166885180054</v>
      </c>
      <c r="D3699" s="59">
        <v>-45.183569424497712</v>
      </c>
    </row>
    <row r="3700" spans="1:4" x14ac:dyDescent="0.3">
      <c r="A3700" s="58">
        <v>3538600</v>
      </c>
      <c r="B3700" s="58" t="s">
        <v>4589</v>
      </c>
      <c r="C3700" s="59">
        <v>-23.050499000000006</v>
      </c>
      <c r="D3700" s="59">
        <v>-46.358755200469574</v>
      </c>
    </row>
    <row r="3701" spans="1:4" x14ac:dyDescent="0.3">
      <c r="A3701" s="58">
        <v>3538709</v>
      </c>
      <c r="B3701" s="58" t="s">
        <v>4590</v>
      </c>
      <c r="C3701" s="59">
        <v>-22.723722000000002</v>
      </c>
      <c r="D3701" s="59">
        <v>-47.646846236158197</v>
      </c>
    </row>
    <row r="3702" spans="1:4" x14ac:dyDescent="0.3">
      <c r="A3702" s="58">
        <v>3538808</v>
      </c>
      <c r="B3702" s="58" t="s">
        <v>4591</v>
      </c>
      <c r="C3702" s="59">
        <v>-23.192991495000008</v>
      </c>
      <c r="D3702" s="59">
        <v>-49.383974489660609</v>
      </c>
    </row>
    <row r="3703" spans="1:4" x14ac:dyDescent="0.3">
      <c r="A3703" s="58">
        <v>3538907</v>
      </c>
      <c r="B3703" s="58" t="s">
        <v>4592</v>
      </c>
      <c r="C3703" s="59">
        <v>-21.993447000000003</v>
      </c>
      <c r="D3703" s="59">
        <v>-49.456642433369588</v>
      </c>
    </row>
    <row r="3704" spans="1:4" x14ac:dyDescent="0.3">
      <c r="A3704" s="58">
        <v>3539004</v>
      </c>
      <c r="B3704" s="58" t="s">
        <v>4593</v>
      </c>
      <c r="C3704" s="59">
        <v>-21.099631662599752</v>
      </c>
      <c r="D3704" s="59">
        <v>-48.669841932561816</v>
      </c>
    </row>
    <row r="3705" spans="1:4" x14ac:dyDescent="0.3">
      <c r="A3705" s="58">
        <v>3539103</v>
      </c>
      <c r="B3705" s="58" t="s">
        <v>4594</v>
      </c>
      <c r="C3705" s="59">
        <v>-23.397523307901903</v>
      </c>
      <c r="D3705" s="59">
        <v>-47.000967568744898</v>
      </c>
    </row>
    <row r="3706" spans="1:4" x14ac:dyDescent="0.3">
      <c r="A3706" s="58">
        <v>3539202</v>
      </c>
      <c r="B3706" s="58" t="s">
        <v>4595</v>
      </c>
      <c r="C3706" s="59">
        <v>-22.276675485000002</v>
      </c>
      <c r="D3706" s="59">
        <v>-51.499584290089487</v>
      </c>
    </row>
    <row r="3707" spans="1:4" x14ac:dyDescent="0.3">
      <c r="A3707" s="58">
        <v>3539301</v>
      </c>
      <c r="B3707" s="58" t="s">
        <v>4596</v>
      </c>
      <c r="C3707" s="59">
        <v>-21.994049295000003</v>
      </c>
      <c r="D3707" s="59">
        <v>-47.425172881653872</v>
      </c>
    </row>
    <row r="3708" spans="1:4" x14ac:dyDescent="0.3">
      <c r="A3708" s="58">
        <v>3539400</v>
      </c>
      <c r="B3708" s="58" t="s">
        <v>4597</v>
      </c>
      <c r="C3708" s="59">
        <v>-22.412065944821105</v>
      </c>
      <c r="D3708" s="59">
        <v>-49.137252216790841</v>
      </c>
    </row>
    <row r="3709" spans="1:4" x14ac:dyDescent="0.3">
      <c r="A3709" s="58">
        <v>3539509</v>
      </c>
      <c r="B3709" s="58" t="s">
        <v>4598</v>
      </c>
      <c r="C3709" s="59">
        <v>-21.010999499367802</v>
      </c>
      <c r="D3709" s="59">
        <v>-48.222265751502015</v>
      </c>
    </row>
    <row r="3710" spans="1:4" x14ac:dyDescent="0.3">
      <c r="A3710" s="58">
        <v>3539608</v>
      </c>
      <c r="B3710" s="58" t="s">
        <v>3075</v>
      </c>
      <c r="C3710" s="59">
        <v>-21.032328202496551</v>
      </c>
      <c r="D3710" s="59">
        <v>-49.925719799208963</v>
      </c>
    </row>
    <row r="3711" spans="1:4" x14ac:dyDescent="0.3">
      <c r="A3711" s="58">
        <v>3539707</v>
      </c>
      <c r="B3711" s="58" t="s">
        <v>4599</v>
      </c>
      <c r="C3711" s="59">
        <v>-22.633457258333753</v>
      </c>
      <c r="D3711" s="59">
        <v>-50.208934535832</v>
      </c>
    </row>
    <row r="3712" spans="1:4" x14ac:dyDescent="0.3">
      <c r="A3712" s="58">
        <v>3539806</v>
      </c>
      <c r="B3712" s="58" t="s">
        <v>4600</v>
      </c>
      <c r="C3712" s="59">
        <v>-23.528626567661505</v>
      </c>
      <c r="D3712" s="59">
        <v>-46.346220388658651</v>
      </c>
    </row>
    <row r="3713" spans="1:4" x14ac:dyDescent="0.3">
      <c r="A3713" s="58">
        <v>3539905</v>
      </c>
      <c r="B3713" s="58" t="s">
        <v>4601</v>
      </c>
      <c r="C3713" s="59">
        <v>-20.785857750580252</v>
      </c>
      <c r="D3713" s="59">
        <v>-49.813894906677447</v>
      </c>
    </row>
    <row r="3714" spans="1:4" x14ac:dyDescent="0.3">
      <c r="A3714" s="58">
        <v>3540002</v>
      </c>
      <c r="B3714" s="58" t="s">
        <v>4602</v>
      </c>
      <c r="C3714" s="59">
        <v>-22.106145654078301</v>
      </c>
      <c r="D3714" s="59">
        <v>-50.176028054852985</v>
      </c>
    </row>
    <row r="3715" spans="1:4" x14ac:dyDescent="0.3">
      <c r="A3715" s="58">
        <v>3540101</v>
      </c>
      <c r="B3715" s="58" t="s">
        <v>4603</v>
      </c>
      <c r="C3715" s="59">
        <v>-21.7361764725485</v>
      </c>
      <c r="D3715" s="59">
        <v>-49.360870074892581</v>
      </c>
    </row>
    <row r="3716" spans="1:4" x14ac:dyDescent="0.3">
      <c r="A3716" s="58">
        <v>3540200</v>
      </c>
      <c r="B3716" s="58" t="s">
        <v>4604</v>
      </c>
      <c r="C3716" s="59">
        <v>-21.02571</v>
      </c>
      <c r="D3716" s="59">
        <v>-48.037837302541938</v>
      </c>
    </row>
    <row r="3717" spans="1:4" x14ac:dyDescent="0.3">
      <c r="A3717" s="58">
        <v>3540259</v>
      </c>
      <c r="B3717" s="58" t="s">
        <v>4605</v>
      </c>
      <c r="C3717" s="59">
        <v>-20.440833842943853</v>
      </c>
      <c r="D3717" s="59">
        <v>-50.524602015676024</v>
      </c>
    </row>
    <row r="3718" spans="1:4" x14ac:dyDescent="0.3">
      <c r="A3718" s="58">
        <v>3540309</v>
      </c>
      <c r="B3718" s="58" t="s">
        <v>4606</v>
      </c>
      <c r="C3718" s="59">
        <v>-20.182363106209657</v>
      </c>
      <c r="D3718" s="59">
        <v>-49.703552355833949</v>
      </c>
    </row>
    <row r="3719" spans="1:4" x14ac:dyDescent="0.3">
      <c r="A3719" s="58">
        <v>3540408</v>
      </c>
      <c r="B3719" s="58" t="s">
        <v>4607</v>
      </c>
      <c r="C3719" s="59">
        <v>-19.944333130697753</v>
      </c>
      <c r="D3719" s="59">
        <v>-50.536853115436664</v>
      </c>
    </row>
    <row r="3720" spans="1:4" x14ac:dyDescent="0.3">
      <c r="A3720" s="58">
        <v>3540507</v>
      </c>
      <c r="B3720" s="58" t="s">
        <v>4608</v>
      </c>
      <c r="C3720" s="59">
        <v>-23.175387499316702</v>
      </c>
      <c r="D3720" s="59">
        <v>-48.126767435800161</v>
      </c>
    </row>
    <row r="3721" spans="1:4" x14ac:dyDescent="0.3">
      <c r="A3721" s="58">
        <v>3540606</v>
      </c>
      <c r="B3721" s="58" t="s">
        <v>4609</v>
      </c>
      <c r="C3721" s="59">
        <v>-23.214412267999901</v>
      </c>
      <c r="D3721" s="59">
        <v>-47.524596573065608</v>
      </c>
    </row>
    <row r="3722" spans="1:4" x14ac:dyDescent="0.3">
      <c r="A3722" s="58">
        <v>3540705</v>
      </c>
      <c r="B3722" s="58" t="s">
        <v>4610</v>
      </c>
      <c r="C3722" s="59">
        <v>-21.858362505000006</v>
      </c>
      <c r="D3722" s="59">
        <v>-47.48140964335802</v>
      </c>
    </row>
    <row r="3723" spans="1:4" x14ac:dyDescent="0.3">
      <c r="A3723" s="58">
        <v>3540754</v>
      </c>
      <c r="B3723" s="58" t="s">
        <v>4611</v>
      </c>
      <c r="C3723" s="59">
        <v>-22.840620206318604</v>
      </c>
      <c r="D3723" s="59">
        <v>-45.255974312882017</v>
      </c>
    </row>
    <row r="3724" spans="1:4" x14ac:dyDescent="0.3">
      <c r="A3724" s="58">
        <v>3540804</v>
      </c>
      <c r="B3724" s="58" t="s">
        <v>4612</v>
      </c>
      <c r="C3724" s="59">
        <v>-21.045094721092756</v>
      </c>
      <c r="D3724" s="59">
        <v>-49.378183199902708</v>
      </c>
    </row>
    <row r="3725" spans="1:4" x14ac:dyDescent="0.3">
      <c r="A3725" s="58">
        <v>3540853</v>
      </c>
      <c r="B3725" s="58" t="s">
        <v>4613</v>
      </c>
      <c r="C3725" s="59">
        <v>-21.851927620730056</v>
      </c>
      <c r="D3725" s="59">
        <v>-51.087077210506941</v>
      </c>
    </row>
    <row r="3726" spans="1:4" x14ac:dyDescent="0.3">
      <c r="A3726" s="58">
        <v>3540903</v>
      </c>
      <c r="B3726" s="58" t="s">
        <v>4614</v>
      </c>
      <c r="C3726" s="59">
        <v>-21.358049011278002</v>
      </c>
      <c r="D3726" s="59">
        <v>-48.065583022045409</v>
      </c>
    </row>
    <row r="3727" spans="1:4" x14ac:dyDescent="0.3">
      <c r="A3727" s="58">
        <v>3541000</v>
      </c>
      <c r="B3727" s="58" t="s">
        <v>4615</v>
      </c>
      <c r="C3727" s="59">
        <v>-24.003021500000003</v>
      </c>
      <c r="D3727" s="59">
        <v>-46.412049583612436</v>
      </c>
    </row>
    <row r="3728" spans="1:4" x14ac:dyDescent="0.3">
      <c r="A3728" s="58">
        <v>3541059</v>
      </c>
      <c r="B3728" s="58" t="s">
        <v>4616</v>
      </c>
      <c r="C3728" s="59">
        <v>-22.811467984467601</v>
      </c>
      <c r="D3728" s="59">
        <v>-48.66468557751746</v>
      </c>
    </row>
    <row r="3729" spans="1:4" x14ac:dyDescent="0.3">
      <c r="A3729" s="58">
        <v>3541109</v>
      </c>
      <c r="B3729" s="58" t="s">
        <v>4617</v>
      </c>
      <c r="C3729" s="59">
        <v>-22.103674319237403</v>
      </c>
      <c r="D3729" s="59">
        <v>-49.439149287236681</v>
      </c>
    </row>
    <row r="3730" spans="1:4" x14ac:dyDescent="0.3">
      <c r="A3730" s="58">
        <v>3541208</v>
      </c>
      <c r="B3730" s="58" t="s">
        <v>3781</v>
      </c>
      <c r="C3730" s="59">
        <v>-22.008990778755852</v>
      </c>
      <c r="D3730" s="59">
        <v>-51.557570191824034</v>
      </c>
    </row>
    <row r="3731" spans="1:4" x14ac:dyDescent="0.3">
      <c r="A3731" s="58">
        <v>3541307</v>
      </c>
      <c r="B3731" s="58" t="s">
        <v>4618</v>
      </c>
      <c r="C3731" s="59">
        <v>-21.768781995000001</v>
      </c>
      <c r="D3731" s="59">
        <v>-52.115275826996601</v>
      </c>
    </row>
    <row r="3732" spans="1:4" x14ac:dyDescent="0.3">
      <c r="A3732" s="58">
        <v>3541406</v>
      </c>
      <c r="B3732" s="58" t="s">
        <v>4619</v>
      </c>
      <c r="C3732" s="59">
        <v>-22.122743500000002</v>
      </c>
      <c r="D3732" s="59">
        <v>-51.386765581912492</v>
      </c>
    </row>
    <row r="3733" spans="1:4" x14ac:dyDescent="0.3">
      <c r="A3733" s="58">
        <v>3541505</v>
      </c>
      <c r="B3733" s="58" t="s">
        <v>4620</v>
      </c>
      <c r="C3733" s="59">
        <v>-21.875939505000005</v>
      </c>
      <c r="D3733" s="59">
        <v>-51.840258805056799</v>
      </c>
    </row>
    <row r="3734" spans="1:4" x14ac:dyDescent="0.3">
      <c r="A3734" s="58">
        <v>3541604</v>
      </c>
      <c r="B3734" s="58" t="s">
        <v>4621</v>
      </c>
      <c r="C3734" s="59">
        <v>-21.538867499355003</v>
      </c>
      <c r="D3734" s="59">
        <v>-49.857735234791051</v>
      </c>
    </row>
    <row r="3735" spans="1:4" x14ac:dyDescent="0.3">
      <c r="A3735" s="58">
        <v>3541653</v>
      </c>
      <c r="B3735" s="58" t="s">
        <v>4622</v>
      </c>
      <c r="C3735" s="59">
        <v>-23.301574999313853</v>
      </c>
      <c r="D3735" s="59">
        <v>-48.052685336085517</v>
      </c>
    </row>
    <row r="3736" spans="1:4" x14ac:dyDescent="0.3">
      <c r="A3736" s="58">
        <v>3541703</v>
      </c>
      <c r="B3736" s="58" t="s">
        <v>4623</v>
      </c>
      <c r="C3736" s="59">
        <v>-22.249404798371657</v>
      </c>
      <c r="D3736" s="59">
        <v>-50.697947389350155</v>
      </c>
    </row>
    <row r="3737" spans="1:4" x14ac:dyDescent="0.3">
      <c r="A3737" s="58">
        <v>3541802</v>
      </c>
      <c r="B3737" s="58" t="s">
        <v>4624</v>
      </c>
      <c r="C3737" s="59">
        <v>-21.799094433957357</v>
      </c>
      <c r="D3737" s="59">
        <v>-50.240928456105337</v>
      </c>
    </row>
    <row r="3738" spans="1:4" x14ac:dyDescent="0.3">
      <c r="A3738" s="58">
        <v>3541901</v>
      </c>
      <c r="B3738" s="58" t="s">
        <v>4625</v>
      </c>
      <c r="C3738" s="59">
        <v>-22.541844499331255</v>
      </c>
      <c r="D3738" s="59">
        <v>-44.778477310059543</v>
      </c>
    </row>
    <row r="3739" spans="1:4" x14ac:dyDescent="0.3">
      <c r="A3739" s="58">
        <v>3542008</v>
      </c>
      <c r="B3739" s="58" t="s">
        <v>4626</v>
      </c>
      <c r="C3739" s="59">
        <v>-22.071919826416956</v>
      </c>
      <c r="D3739" s="59">
        <v>-50.311595242929911</v>
      </c>
    </row>
    <row r="3740" spans="1:4" x14ac:dyDescent="0.3">
      <c r="A3740" s="58">
        <v>3542107</v>
      </c>
      <c r="B3740" s="58" t="s">
        <v>4627</v>
      </c>
      <c r="C3740" s="59">
        <v>-23.011556353887332</v>
      </c>
      <c r="D3740" s="59">
        <v>-47.531160680903128</v>
      </c>
    </row>
    <row r="3741" spans="1:4" x14ac:dyDescent="0.3">
      <c r="A3741" s="58">
        <v>3542206</v>
      </c>
      <c r="B3741" s="58" t="s">
        <v>4628</v>
      </c>
      <c r="C3741" s="59">
        <v>-22.228451010000004</v>
      </c>
      <c r="D3741" s="59">
        <v>-50.890211685938034</v>
      </c>
    </row>
    <row r="3742" spans="1:4" x14ac:dyDescent="0.3">
      <c r="A3742" s="58">
        <v>3542305</v>
      </c>
      <c r="B3742" s="58" t="s">
        <v>4629</v>
      </c>
      <c r="C3742" s="59">
        <v>-23.272655499310559</v>
      </c>
      <c r="D3742" s="59">
        <v>-45.536495610738875</v>
      </c>
    </row>
    <row r="3743" spans="1:4" x14ac:dyDescent="0.3">
      <c r="A3743" s="58">
        <v>3542404</v>
      </c>
      <c r="B3743" s="58" t="s">
        <v>4630</v>
      </c>
      <c r="C3743" s="59">
        <v>-22.220234092901951</v>
      </c>
      <c r="D3743" s="59">
        <v>-51.303148976682117</v>
      </c>
    </row>
    <row r="3744" spans="1:4" x14ac:dyDescent="0.3">
      <c r="A3744" s="58">
        <v>3542503</v>
      </c>
      <c r="B3744" s="58" t="s">
        <v>4631</v>
      </c>
      <c r="C3744" s="59">
        <v>-21.886760938559505</v>
      </c>
      <c r="D3744" s="59">
        <v>-49.229797671051791</v>
      </c>
    </row>
    <row r="3745" spans="1:4" x14ac:dyDescent="0.3">
      <c r="A3745" s="58">
        <v>3542602</v>
      </c>
      <c r="B3745" s="58" t="s">
        <v>4632</v>
      </c>
      <c r="C3745" s="59">
        <v>-24.494251427999906</v>
      </c>
      <c r="D3745" s="59">
        <v>-47.841054751674982</v>
      </c>
    </row>
    <row r="3746" spans="1:4" x14ac:dyDescent="0.3">
      <c r="A3746" s="58">
        <v>3542701</v>
      </c>
      <c r="B3746" s="58" t="s">
        <v>4633</v>
      </c>
      <c r="C3746" s="59">
        <v>-20.603802826270904</v>
      </c>
      <c r="D3746" s="59">
        <v>-47.483090237451677</v>
      </c>
    </row>
    <row r="3747" spans="1:4" x14ac:dyDescent="0.3">
      <c r="A3747" s="58">
        <v>3542800</v>
      </c>
      <c r="B3747" s="58" t="s">
        <v>4634</v>
      </c>
      <c r="C3747" s="59">
        <v>-24.657489499283951</v>
      </c>
      <c r="D3747" s="59">
        <v>-49.008301994760842</v>
      </c>
    </row>
    <row r="3748" spans="1:4" x14ac:dyDescent="0.3">
      <c r="A3748" s="58">
        <v>3542909</v>
      </c>
      <c r="B3748" s="58" t="s">
        <v>4635</v>
      </c>
      <c r="C3748" s="59">
        <v>-22.064934664020004</v>
      </c>
      <c r="D3748" s="59">
        <v>-48.177705754140838</v>
      </c>
    </row>
    <row r="3749" spans="1:4" x14ac:dyDescent="0.3">
      <c r="A3749" s="58">
        <v>3543006</v>
      </c>
      <c r="B3749" s="58" t="s">
        <v>4636</v>
      </c>
      <c r="C3749" s="59">
        <v>-24.220268457556852</v>
      </c>
      <c r="D3749" s="59">
        <v>-48.765477481482321</v>
      </c>
    </row>
    <row r="3750" spans="1:4" x14ac:dyDescent="0.3">
      <c r="A3750" s="58">
        <v>3543105</v>
      </c>
      <c r="B3750" s="58" t="s">
        <v>4637</v>
      </c>
      <c r="C3750" s="59">
        <v>-20.460660174376002</v>
      </c>
      <c r="D3750" s="59">
        <v>-47.590705092533476</v>
      </c>
    </row>
    <row r="3751" spans="1:4" x14ac:dyDescent="0.3">
      <c r="A3751" s="58">
        <v>3543204</v>
      </c>
      <c r="B3751" s="58" t="s">
        <v>4638</v>
      </c>
      <c r="C3751" s="59">
        <v>-22.785734799678352</v>
      </c>
      <c r="D3751" s="59">
        <v>-49.934167814712218</v>
      </c>
    </row>
    <row r="3752" spans="1:4" x14ac:dyDescent="0.3">
      <c r="A3752" s="58">
        <v>3543238</v>
      </c>
      <c r="B3752" s="58" t="s">
        <v>4639</v>
      </c>
      <c r="C3752" s="59">
        <v>-21.838500039749253</v>
      </c>
      <c r="D3752" s="59">
        <v>-51.600634517170683</v>
      </c>
    </row>
    <row r="3753" spans="1:4" x14ac:dyDescent="0.3">
      <c r="A3753" s="58">
        <v>3543253</v>
      </c>
      <c r="B3753" s="58" t="s">
        <v>4640</v>
      </c>
      <c r="C3753" s="59">
        <v>-24.101200310693006</v>
      </c>
      <c r="D3753" s="59">
        <v>-48.367071155950498</v>
      </c>
    </row>
    <row r="3754" spans="1:4" x14ac:dyDescent="0.3">
      <c r="A3754" s="58">
        <v>3543303</v>
      </c>
      <c r="B3754" s="58" t="s">
        <v>4641</v>
      </c>
      <c r="C3754" s="59">
        <v>-23.707423000000006</v>
      </c>
      <c r="D3754" s="59">
        <v>-46.415344374918476</v>
      </c>
    </row>
    <row r="3755" spans="1:4" x14ac:dyDescent="0.3">
      <c r="A3755" s="58">
        <v>3543402</v>
      </c>
      <c r="B3755" s="58" t="s">
        <v>4642</v>
      </c>
      <c r="C3755" s="59">
        <v>-21.184834500000004</v>
      </c>
      <c r="D3755" s="59">
        <v>-47.805475915541528</v>
      </c>
    </row>
    <row r="3756" spans="1:4" x14ac:dyDescent="0.3">
      <c r="A3756" s="58">
        <v>3543501</v>
      </c>
      <c r="B3756" s="58" t="s">
        <v>4643</v>
      </c>
      <c r="C3756" s="59">
        <v>-23.831335006579906</v>
      </c>
      <c r="D3756" s="59">
        <v>-49.436696718913453</v>
      </c>
    </row>
    <row r="3757" spans="1:4" x14ac:dyDescent="0.3">
      <c r="A3757" s="58">
        <v>3543600</v>
      </c>
      <c r="B3757" s="58" t="s">
        <v>4644</v>
      </c>
      <c r="C3757" s="59">
        <v>-20.082932499390804</v>
      </c>
      <c r="D3757" s="59">
        <v>-47.429198899108492</v>
      </c>
    </row>
    <row r="3758" spans="1:4" x14ac:dyDescent="0.3">
      <c r="A3758" s="58">
        <v>3543709</v>
      </c>
      <c r="B3758" s="58" t="s">
        <v>4645</v>
      </c>
      <c r="C3758" s="59">
        <v>-21.589189499357602</v>
      </c>
      <c r="D3758" s="59">
        <v>-48.072330066710776</v>
      </c>
    </row>
    <row r="3759" spans="1:4" x14ac:dyDescent="0.3">
      <c r="A3759" s="58">
        <v>3543808</v>
      </c>
      <c r="B3759" s="58" t="s">
        <v>4646</v>
      </c>
      <c r="C3759" s="59">
        <v>-21.727890999350453</v>
      </c>
      <c r="D3759" s="59">
        <v>-50.724838321651255</v>
      </c>
    </row>
    <row r="3760" spans="1:4" x14ac:dyDescent="0.3">
      <c r="A3760" s="58">
        <v>3543907</v>
      </c>
      <c r="B3760" s="58" t="s">
        <v>4142</v>
      </c>
      <c r="C3760" s="59">
        <v>-22.412511500000004</v>
      </c>
      <c r="D3760" s="59">
        <v>-47.563533238434395</v>
      </c>
    </row>
    <row r="3761" spans="1:4" x14ac:dyDescent="0.3">
      <c r="A3761" s="58">
        <v>3544004</v>
      </c>
      <c r="B3761" s="58" t="s">
        <v>4647</v>
      </c>
      <c r="C3761" s="59">
        <v>-22.842860722499907</v>
      </c>
      <c r="D3761" s="59">
        <v>-47.60448488616057</v>
      </c>
    </row>
    <row r="3762" spans="1:4" x14ac:dyDescent="0.3">
      <c r="A3762" s="58">
        <v>3544103</v>
      </c>
      <c r="B3762" s="58" t="s">
        <v>4648</v>
      </c>
      <c r="C3762" s="59">
        <v>-23.744515000000003</v>
      </c>
      <c r="D3762" s="59">
        <v>-46.393692673973653</v>
      </c>
    </row>
    <row r="3763" spans="1:4" x14ac:dyDescent="0.3">
      <c r="A3763" s="58">
        <v>3544202</v>
      </c>
      <c r="B3763" s="58" t="s">
        <v>4649</v>
      </c>
      <c r="C3763" s="59">
        <v>-19.977734337965408</v>
      </c>
      <c r="D3763" s="59">
        <v>-49.681159102896977</v>
      </c>
    </row>
    <row r="3764" spans="1:4" x14ac:dyDescent="0.3">
      <c r="A3764" s="58">
        <v>3544251</v>
      </c>
      <c r="B3764" s="58" t="s">
        <v>4650</v>
      </c>
      <c r="C3764" s="59">
        <v>-22.5811754993051</v>
      </c>
      <c r="D3764" s="59">
        <v>-53.058654479408091</v>
      </c>
    </row>
    <row r="3765" spans="1:4" x14ac:dyDescent="0.3">
      <c r="A3765" s="58">
        <v>3544301</v>
      </c>
      <c r="B3765" s="58" t="s">
        <v>4651</v>
      </c>
      <c r="C3765" s="59">
        <v>-22.896818547492405</v>
      </c>
      <c r="D3765" s="59">
        <v>-45.3093777870655</v>
      </c>
    </row>
    <row r="3766" spans="1:4" x14ac:dyDescent="0.3">
      <c r="A3766" s="58">
        <v>3544400</v>
      </c>
      <c r="B3766" s="58" t="s">
        <v>4652</v>
      </c>
      <c r="C3766" s="59">
        <v>-21.300523989459602</v>
      </c>
      <c r="D3766" s="59">
        <v>-50.726907999479359</v>
      </c>
    </row>
    <row r="3767" spans="1:4" x14ac:dyDescent="0.3">
      <c r="A3767" s="58">
        <v>3544509</v>
      </c>
      <c r="B3767" s="58" t="s">
        <v>4653</v>
      </c>
      <c r="C3767" s="59">
        <v>-20.171774500000001</v>
      </c>
      <c r="D3767" s="59">
        <v>-50.997484555034724</v>
      </c>
    </row>
    <row r="3768" spans="1:4" x14ac:dyDescent="0.3">
      <c r="A3768" s="58">
        <v>3544608</v>
      </c>
      <c r="B3768" s="58" t="s">
        <v>4654</v>
      </c>
      <c r="C3768" s="59">
        <v>-21.460213833726002</v>
      </c>
      <c r="D3768" s="59">
        <v>-49.580818560208577</v>
      </c>
    </row>
    <row r="3769" spans="1:4" x14ac:dyDescent="0.3">
      <c r="A3769" s="58">
        <v>3544707</v>
      </c>
      <c r="B3769" s="58" t="s">
        <v>4655</v>
      </c>
      <c r="C3769" s="59">
        <v>-21.881138670638304</v>
      </c>
      <c r="D3769" s="59">
        <v>-50.957154711178084</v>
      </c>
    </row>
    <row r="3770" spans="1:4" x14ac:dyDescent="0.3">
      <c r="A3770" s="58">
        <v>3544806</v>
      </c>
      <c r="B3770" s="58" t="s">
        <v>4656</v>
      </c>
      <c r="C3770" s="59">
        <v>-21.344453376843301</v>
      </c>
      <c r="D3770" s="59">
        <v>-49.498768668620059</v>
      </c>
    </row>
    <row r="3771" spans="1:4" x14ac:dyDescent="0.3">
      <c r="A3771" s="58">
        <v>3544905</v>
      </c>
      <c r="B3771" s="58" t="s">
        <v>4657</v>
      </c>
      <c r="C3771" s="59">
        <v>-20.777882151973504</v>
      </c>
      <c r="D3771" s="59">
        <v>-47.842349339924858</v>
      </c>
    </row>
    <row r="3772" spans="1:4" x14ac:dyDescent="0.3">
      <c r="A3772" s="58">
        <v>3545001</v>
      </c>
      <c r="B3772" s="58" t="s">
        <v>4658</v>
      </c>
      <c r="C3772" s="59">
        <v>-23.5317929883978</v>
      </c>
      <c r="D3772" s="59">
        <v>-45.84717692961798</v>
      </c>
    </row>
    <row r="3773" spans="1:4" x14ac:dyDescent="0.3">
      <c r="A3773" s="58">
        <v>3545100</v>
      </c>
      <c r="B3773" s="58" t="s">
        <v>4659</v>
      </c>
      <c r="C3773" s="59">
        <v>-21.625362732839552</v>
      </c>
      <c r="D3773" s="59">
        <v>-50.860672004289604</v>
      </c>
    </row>
    <row r="3774" spans="1:4" x14ac:dyDescent="0.3">
      <c r="A3774" s="58">
        <v>3545159</v>
      </c>
      <c r="B3774" s="58" t="s">
        <v>4660</v>
      </c>
      <c r="C3774" s="59">
        <v>-22.843367497823351</v>
      </c>
      <c r="D3774" s="59">
        <v>-47.678288388797604</v>
      </c>
    </row>
    <row r="3775" spans="1:4" x14ac:dyDescent="0.3">
      <c r="A3775" s="58">
        <v>3545209</v>
      </c>
      <c r="B3775" s="58" t="s">
        <v>4661</v>
      </c>
      <c r="C3775" s="59">
        <v>-23.204073805797098</v>
      </c>
      <c r="D3775" s="59">
        <v>-47.292415629078661</v>
      </c>
    </row>
    <row r="3776" spans="1:4" x14ac:dyDescent="0.3">
      <c r="A3776" s="58">
        <v>3545308</v>
      </c>
      <c r="B3776" s="58" t="s">
        <v>4662</v>
      </c>
      <c r="C3776" s="59">
        <v>-23.649132224999903</v>
      </c>
      <c r="D3776" s="59">
        <v>-47.574680120208107</v>
      </c>
    </row>
    <row r="3777" spans="1:4" x14ac:dyDescent="0.3">
      <c r="A3777" s="58">
        <v>3545407</v>
      </c>
      <c r="B3777" s="58" t="s">
        <v>4663</v>
      </c>
      <c r="C3777" s="59">
        <v>-22.890507254193899</v>
      </c>
      <c r="D3777" s="59">
        <v>-49.981077758995298</v>
      </c>
    </row>
    <row r="3778" spans="1:4" x14ac:dyDescent="0.3">
      <c r="A3778" s="58">
        <v>3545506</v>
      </c>
      <c r="B3778" s="58" t="s">
        <v>4664</v>
      </c>
      <c r="C3778" s="59">
        <v>-22.458541739996353</v>
      </c>
      <c r="D3778" s="59">
        <v>-51.759951736099495</v>
      </c>
    </row>
    <row r="3779" spans="1:4" x14ac:dyDescent="0.3">
      <c r="A3779" s="58">
        <v>3545605</v>
      </c>
      <c r="B3779" s="58" t="s">
        <v>4665</v>
      </c>
      <c r="C3779" s="59">
        <v>-21.243270000000003</v>
      </c>
      <c r="D3779" s="59">
        <v>-48.805948418612523</v>
      </c>
    </row>
    <row r="3780" spans="1:4" x14ac:dyDescent="0.3">
      <c r="A3780" s="58">
        <v>3545704</v>
      </c>
      <c r="B3780" s="58" t="s">
        <v>4666</v>
      </c>
      <c r="C3780" s="59">
        <v>-20.030702621951704</v>
      </c>
      <c r="D3780" s="59">
        <v>-50.730564370839311</v>
      </c>
    </row>
    <row r="3781" spans="1:4" x14ac:dyDescent="0.3">
      <c r="A3781" s="58">
        <v>3545803</v>
      </c>
      <c r="B3781" s="58" t="s">
        <v>4667</v>
      </c>
      <c r="C3781" s="59">
        <v>-22.755393500000004</v>
      </c>
      <c r="D3781" s="59">
        <v>-47.413954766230283</v>
      </c>
    </row>
    <row r="3782" spans="1:4" x14ac:dyDescent="0.3">
      <c r="A3782" s="58">
        <v>3546009</v>
      </c>
      <c r="B3782" s="58" t="s">
        <v>4668</v>
      </c>
      <c r="C3782" s="59">
        <v>-23.395758034871651</v>
      </c>
      <c r="D3782" s="59">
        <v>-45.887648287112221</v>
      </c>
    </row>
    <row r="3783" spans="1:4" x14ac:dyDescent="0.3">
      <c r="A3783" s="58">
        <v>3546108</v>
      </c>
      <c r="B3783" s="58" t="s">
        <v>4669</v>
      </c>
      <c r="C3783" s="59">
        <v>-20.091391935902251</v>
      </c>
      <c r="D3783" s="59">
        <v>-50.930221154463588</v>
      </c>
    </row>
    <row r="3784" spans="1:4" x14ac:dyDescent="0.3">
      <c r="A3784" s="58">
        <v>3546207</v>
      </c>
      <c r="B3784" s="58" t="s">
        <v>4670</v>
      </c>
      <c r="C3784" s="59">
        <v>-22.127681965070703</v>
      </c>
      <c r="D3784" s="59">
        <v>-47.457163694997277</v>
      </c>
    </row>
    <row r="3785" spans="1:4" x14ac:dyDescent="0.3">
      <c r="A3785" s="58">
        <v>3546256</v>
      </c>
      <c r="B3785" s="58" t="s">
        <v>4671</v>
      </c>
      <c r="C3785" s="59">
        <v>-21.2911683770477</v>
      </c>
      <c r="D3785" s="59">
        <v>-47.43378056152681</v>
      </c>
    </row>
    <row r="3786" spans="1:4" x14ac:dyDescent="0.3">
      <c r="A3786" s="58">
        <v>3546306</v>
      </c>
      <c r="B3786" s="58" t="s">
        <v>4672</v>
      </c>
      <c r="C3786" s="59">
        <v>-21.827568000000007</v>
      </c>
      <c r="D3786" s="59">
        <v>-47.249414421875009</v>
      </c>
    </row>
    <row r="3787" spans="1:4" x14ac:dyDescent="0.3">
      <c r="A3787" s="58">
        <v>3546405</v>
      </c>
      <c r="B3787" s="58" t="s">
        <v>4673</v>
      </c>
      <c r="C3787" s="59">
        <v>-22.9057225</v>
      </c>
      <c r="D3787" s="59">
        <v>-49.624608869300936</v>
      </c>
    </row>
    <row r="3788" spans="1:4" x14ac:dyDescent="0.3">
      <c r="A3788" s="58">
        <v>3546504</v>
      </c>
      <c r="B3788" s="58" t="s">
        <v>4674</v>
      </c>
      <c r="C3788" s="59">
        <v>-21.462921503002956</v>
      </c>
      <c r="D3788" s="59">
        <v>-48.393649928861812</v>
      </c>
    </row>
    <row r="3789" spans="1:4" x14ac:dyDescent="0.3">
      <c r="A3789" s="58">
        <v>3546603</v>
      </c>
      <c r="B3789" s="58" t="s">
        <v>4675</v>
      </c>
      <c r="C3789" s="59">
        <v>-20.211693165000003</v>
      </c>
      <c r="D3789" s="59">
        <v>-50.92677742384334</v>
      </c>
    </row>
    <row r="3790" spans="1:4" x14ac:dyDescent="0.3">
      <c r="A3790" s="58">
        <v>3546702</v>
      </c>
      <c r="B3790" s="58" t="s">
        <v>4676</v>
      </c>
      <c r="C3790" s="59">
        <v>-22.455326956296258</v>
      </c>
      <c r="D3790" s="59">
        <v>-47.530708716203748</v>
      </c>
    </row>
    <row r="3791" spans="1:4" x14ac:dyDescent="0.3">
      <c r="A3791" s="58">
        <v>3546801</v>
      </c>
      <c r="B3791" s="58" t="s">
        <v>4677</v>
      </c>
      <c r="C3791" s="59">
        <v>-23.31808850000002</v>
      </c>
      <c r="D3791" s="59">
        <v>-46.227012841821789</v>
      </c>
    </row>
    <row r="3792" spans="1:4" x14ac:dyDescent="0.3">
      <c r="A3792" s="58">
        <v>3546900</v>
      </c>
      <c r="B3792" s="58" t="s">
        <v>4678</v>
      </c>
      <c r="C3792" s="59">
        <v>-21.686567851077204</v>
      </c>
      <c r="D3792" s="59">
        <v>-48.085336013100189</v>
      </c>
    </row>
    <row r="3793" spans="1:4" x14ac:dyDescent="0.3">
      <c r="A3793" s="58">
        <v>3547007</v>
      </c>
      <c r="B3793" s="58" t="s">
        <v>4679</v>
      </c>
      <c r="C3793" s="59">
        <v>-22.569410257822707</v>
      </c>
      <c r="D3793" s="59">
        <v>-48.159014141546734</v>
      </c>
    </row>
    <row r="3794" spans="1:4" x14ac:dyDescent="0.3">
      <c r="A3794" s="58">
        <v>3547106</v>
      </c>
      <c r="B3794" s="58" t="s">
        <v>4680</v>
      </c>
      <c r="C3794" s="59">
        <v>-21.346910745592201</v>
      </c>
      <c r="D3794" s="59">
        <v>-51.758974242144937</v>
      </c>
    </row>
    <row r="3795" spans="1:4" x14ac:dyDescent="0.3">
      <c r="A3795" s="58">
        <v>3547205</v>
      </c>
      <c r="B3795" s="58" t="s">
        <v>4681</v>
      </c>
      <c r="C3795" s="59">
        <v>-20.252602255670553</v>
      </c>
      <c r="D3795" s="59">
        <v>-50.798403844625568</v>
      </c>
    </row>
    <row r="3796" spans="1:4" x14ac:dyDescent="0.3">
      <c r="A3796" s="58">
        <v>3547304</v>
      </c>
      <c r="B3796" s="58" t="s">
        <v>4682</v>
      </c>
      <c r="C3796" s="59">
        <v>-23.449453000000005</v>
      </c>
      <c r="D3796" s="59">
        <v>-46.922092505649722</v>
      </c>
    </row>
    <row r="3797" spans="1:4" x14ac:dyDescent="0.3">
      <c r="A3797" s="58">
        <v>3547403</v>
      </c>
      <c r="B3797" s="58" t="s">
        <v>4683</v>
      </c>
      <c r="C3797" s="59">
        <v>-20.141801473440854</v>
      </c>
      <c r="D3797" s="59">
        <v>-50.830947388177513</v>
      </c>
    </row>
    <row r="3798" spans="1:4" x14ac:dyDescent="0.3">
      <c r="A3798" s="58">
        <v>3547502</v>
      </c>
      <c r="B3798" s="58" t="s">
        <v>4684</v>
      </c>
      <c r="C3798" s="59">
        <v>-21.707144010000004</v>
      </c>
      <c r="D3798" s="59">
        <v>-47.478980851786389</v>
      </c>
    </row>
    <row r="3799" spans="1:4" x14ac:dyDescent="0.3">
      <c r="A3799" s="58">
        <v>3547601</v>
      </c>
      <c r="B3799" s="58" t="s">
        <v>4685</v>
      </c>
      <c r="C3799" s="59">
        <v>-21.485272500000004</v>
      </c>
      <c r="D3799" s="59">
        <v>-47.36726892829423</v>
      </c>
    </row>
    <row r="3800" spans="1:4" x14ac:dyDescent="0.3">
      <c r="A3800" s="58">
        <v>3547650</v>
      </c>
      <c r="B3800" s="58" t="s">
        <v>4686</v>
      </c>
      <c r="C3800" s="59">
        <v>-20.243845188018554</v>
      </c>
      <c r="D3800" s="59">
        <v>-50.688461881161054</v>
      </c>
    </row>
    <row r="3801" spans="1:4" x14ac:dyDescent="0.3">
      <c r="A3801" s="58">
        <v>3547700</v>
      </c>
      <c r="B3801" s="58" t="s">
        <v>4687</v>
      </c>
      <c r="C3801" s="59">
        <v>-21.973021020000004</v>
      </c>
      <c r="D3801" s="59">
        <v>-51.649892211767877</v>
      </c>
    </row>
    <row r="3802" spans="1:4" x14ac:dyDescent="0.3">
      <c r="A3802" s="58">
        <v>3547809</v>
      </c>
      <c r="B3802" s="58" t="s">
        <v>2405</v>
      </c>
      <c r="C3802" s="59">
        <v>-23.657510000000002</v>
      </c>
      <c r="D3802" s="59">
        <v>-46.530874257629542</v>
      </c>
    </row>
    <row r="3803" spans="1:4" x14ac:dyDescent="0.3">
      <c r="A3803" s="58">
        <v>3547908</v>
      </c>
      <c r="B3803" s="58" t="s">
        <v>4688</v>
      </c>
      <c r="C3803" s="59">
        <v>-21.089964029079102</v>
      </c>
      <c r="D3803" s="59">
        <v>-47.155930969991516</v>
      </c>
    </row>
    <row r="3804" spans="1:4" x14ac:dyDescent="0.3">
      <c r="A3804" s="58">
        <v>3548005</v>
      </c>
      <c r="B3804" s="58" t="s">
        <v>4689</v>
      </c>
      <c r="C3804" s="59">
        <v>-22.604796852294054</v>
      </c>
      <c r="D3804" s="59">
        <v>-46.915909900122074</v>
      </c>
    </row>
    <row r="3805" spans="1:4" x14ac:dyDescent="0.3">
      <c r="A3805" s="58">
        <v>3548054</v>
      </c>
      <c r="B3805" s="58" t="s">
        <v>4690</v>
      </c>
      <c r="C3805" s="59">
        <v>-20.932496842544253</v>
      </c>
      <c r="D3805" s="59">
        <v>-50.496735052327885</v>
      </c>
    </row>
    <row r="3806" spans="1:4" x14ac:dyDescent="0.3">
      <c r="A3806" s="58">
        <v>3548104</v>
      </c>
      <c r="B3806" s="58" t="s">
        <v>4691</v>
      </c>
      <c r="C3806" s="59">
        <v>-22.118523499931857</v>
      </c>
      <c r="D3806" s="59">
        <v>-46.682306631830471</v>
      </c>
    </row>
    <row r="3807" spans="1:4" x14ac:dyDescent="0.3">
      <c r="A3807" s="58">
        <v>3548203</v>
      </c>
      <c r="B3807" s="58" t="s">
        <v>4692</v>
      </c>
      <c r="C3807" s="59">
        <v>-22.831193402258851</v>
      </c>
      <c r="D3807" s="59">
        <v>-45.679278863261565</v>
      </c>
    </row>
    <row r="3808" spans="1:4" x14ac:dyDescent="0.3">
      <c r="A3808" s="58">
        <v>3548302</v>
      </c>
      <c r="B3808" s="58" t="s">
        <v>4693</v>
      </c>
      <c r="C3808" s="59">
        <v>-21.846805051206054</v>
      </c>
      <c r="D3808" s="59">
        <v>-51.390920981413316</v>
      </c>
    </row>
    <row r="3809" spans="1:4" x14ac:dyDescent="0.3">
      <c r="A3809" s="58">
        <v>3548401</v>
      </c>
      <c r="B3809" s="58" t="s">
        <v>4694</v>
      </c>
      <c r="C3809" s="59">
        <v>-21.639311663835056</v>
      </c>
      <c r="D3809" s="59">
        <v>-50.504692473553753</v>
      </c>
    </row>
    <row r="3810" spans="1:4" x14ac:dyDescent="0.3">
      <c r="A3810" s="58">
        <v>3548500</v>
      </c>
      <c r="B3810" s="58" t="s">
        <v>4695</v>
      </c>
      <c r="C3810" s="59">
        <v>-23.933737500000003</v>
      </c>
      <c r="D3810" s="59">
        <v>-46.331370849190684</v>
      </c>
    </row>
    <row r="3811" spans="1:4" x14ac:dyDescent="0.3">
      <c r="A3811" s="58">
        <v>3548609</v>
      </c>
      <c r="B3811" s="58" t="s">
        <v>4696</v>
      </c>
      <c r="C3811" s="59">
        <v>-22.685286953319157</v>
      </c>
      <c r="D3811" s="59">
        <v>-45.737138986892376</v>
      </c>
    </row>
    <row r="3812" spans="1:4" x14ac:dyDescent="0.3">
      <c r="A3812" s="58">
        <v>3548708</v>
      </c>
      <c r="B3812" s="58" t="s">
        <v>4697</v>
      </c>
      <c r="C3812" s="59">
        <v>-23.710304500000007</v>
      </c>
      <c r="D3812" s="59">
        <v>-46.550257247678331</v>
      </c>
    </row>
    <row r="3813" spans="1:4" x14ac:dyDescent="0.3">
      <c r="A3813" s="58">
        <v>3548807</v>
      </c>
      <c r="B3813" s="58" t="s">
        <v>4698</v>
      </c>
      <c r="C3813" s="59">
        <v>-23.614705000000004</v>
      </c>
      <c r="D3813" s="59">
        <v>-46.571514608630615</v>
      </c>
    </row>
    <row r="3814" spans="1:4" x14ac:dyDescent="0.3">
      <c r="A3814" s="58">
        <v>3548906</v>
      </c>
      <c r="B3814" s="58" t="s">
        <v>4699</v>
      </c>
      <c r="C3814" s="59">
        <v>-22.015998500000002</v>
      </c>
      <c r="D3814" s="59">
        <v>-47.889237684691636</v>
      </c>
    </row>
    <row r="3815" spans="1:4" x14ac:dyDescent="0.3">
      <c r="A3815" s="58">
        <v>3549003</v>
      </c>
      <c r="B3815" s="58" t="s">
        <v>2409</v>
      </c>
      <c r="C3815" s="59">
        <v>-20.358413817609105</v>
      </c>
      <c r="D3815" s="59">
        <v>-50.700097157287885</v>
      </c>
    </row>
    <row r="3816" spans="1:4" x14ac:dyDescent="0.3">
      <c r="A3816" s="58">
        <v>3549102</v>
      </c>
      <c r="B3816" s="58" t="s">
        <v>4700</v>
      </c>
      <c r="C3816" s="59">
        <v>-21.972011000000006</v>
      </c>
      <c r="D3816" s="59">
        <v>-46.79635078179556</v>
      </c>
    </row>
    <row r="3817" spans="1:4" x14ac:dyDescent="0.3">
      <c r="A3817" s="58">
        <v>3549201</v>
      </c>
      <c r="B3817" s="58" t="s">
        <v>4701</v>
      </c>
      <c r="C3817" s="59">
        <v>-20.3887717266302</v>
      </c>
      <c r="D3817" s="59">
        <v>-50.380721907748104</v>
      </c>
    </row>
    <row r="3818" spans="1:4" x14ac:dyDescent="0.3">
      <c r="A3818" s="58">
        <v>3549250</v>
      </c>
      <c r="B3818" s="58" t="s">
        <v>4702</v>
      </c>
      <c r="C3818" s="59">
        <v>-20.512615492076005</v>
      </c>
      <c r="D3818" s="59">
        <v>-50.351597516901712</v>
      </c>
    </row>
    <row r="3819" spans="1:4" x14ac:dyDescent="0.3">
      <c r="A3819" s="58">
        <v>3549300</v>
      </c>
      <c r="B3819" s="58" t="s">
        <v>4703</v>
      </c>
      <c r="C3819" s="59">
        <v>-21.268363999361551</v>
      </c>
      <c r="D3819" s="59">
        <v>-51.666665161173604</v>
      </c>
    </row>
    <row r="3820" spans="1:4" x14ac:dyDescent="0.3">
      <c r="A3820" s="58">
        <v>3549409</v>
      </c>
      <c r="B3820" s="58" t="s">
        <v>4704</v>
      </c>
      <c r="C3820" s="59">
        <v>-20.583165555000004</v>
      </c>
      <c r="D3820" s="59">
        <v>-47.863268070713261</v>
      </c>
    </row>
    <row r="3821" spans="1:4" x14ac:dyDescent="0.3">
      <c r="A3821" s="58">
        <v>3549508</v>
      </c>
      <c r="B3821" s="58" t="s">
        <v>4705</v>
      </c>
      <c r="C3821" s="59">
        <v>-20.594419531098705</v>
      </c>
      <c r="D3821" s="59">
        <v>-47.640989501499746</v>
      </c>
    </row>
    <row r="3822" spans="1:4" x14ac:dyDescent="0.3">
      <c r="A3822" s="58">
        <v>3549607</v>
      </c>
      <c r="B3822" s="58" t="s">
        <v>4706</v>
      </c>
      <c r="C3822" s="59">
        <v>-22.646489896629703</v>
      </c>
      <c r="D3822" s="59">
        <v>-44.578340961319348</v>
      </c>
    </row>
    <row r="3823" spans="1:4" x14ac:dyDescent="0.3">
      <c r="A3823" s="58">
        <v>3549706</v>
      </c>
      <c r="B3823" s="58" t="s">
        <v>4707</v>
      </c>
      <c r="C3823" s="59">
        <v>-21.596102500000004</v>
      </c>
      <c r="D3823" s="59">
        <v>-46.888265889528491</v>
      </c>
    </row>
    <row r="3824" spans="1:4" x14ac:dyDescent="0.3">
      <c r="A3824" s="58">
        <v>3549805</v>
      </c>
      <c r="B3824" s="58" t="s">
        <v>4708</v>
      </c>
      <c r="C3824" s="59">
        <v>-20.812636500000004</v>
      </c>
      <c r="D3824" s="59">
        <v>-49.381347685025794</v>
      </c>
    </row>
    <row r="3825" spans="1:4" x14ac:dyDescent="0.3">
      <c r="A3825" s="58">
        <v>3549904</v>
      </c>
      <c r="B3825" s="58" t="s">
        <v>4709</v>
      </c>
      <c r="C3825" s="59">
        <v>-23.184061500000002</v>
      </c>
      <c r="D3825" s="59">
        <v>-45.884175401459665</v>
      </c>
    </row>
    <row r="3826" spans="1:4" x14ac:dyDescent="0.3">
      <c r="A3826" s="58">
        <v>3549953</v>
      </c>
      <c r="B3826" s="58" t="s">
        <v>4710</v>
      </c>
      <c r="C3826" s="59">
        <v>-23.849085716050105</v>
      </c>
      <c r="D3826" s="59">
        <v>-46.941749717393989</v>
      </c>
    </row>
    <row r="3827" spans="1:4" x14ac:dyDescent="0.3">
      <c r="A3827" s="58">
        <v>3550001</v>
      </c>
      <c r="B3827" s="58" t="s">
        <v>4711</v>
      </c>
      <c r="C3827" s="59">
        <v>-23.221871510221003</v>
      </c>
      <c r="D3827" s="59">
        <v>-45.309544504809459</v>
      </c>
    </row>
    <row r="3828" spans="1:4" x14ac:dyDescent="0.3">
      <c r="A3828" s="58">
        <v>3550100</v>
      </c>
      <c r="B3828" s="58" t="s">
        <v>4712</v>
      </c>
      <c r="C3828" s="59">
        <v>-22.736459985000007</v>
      </c>
      <c r="D3828" s="59">
        <v>-48.568763281267941</v>
      </c>
    </row>
    <row r="3829" spans="1:4" x14ac:dyDescent="0.3">
      <c r="A3829" s="58">
        <v>3550209</v>
      </c>
      <c r="B3829" s="58" t="s">
        <v>4713</v>
      </c>
      <c r="C3829" s="59">
        <v>-23.879490000000004</v>
      </c>
      <c r="D3829" s="59">
        <v>-47.99558914635093</v>
      </c>
    </row>
    <row r="3830" spans="1:4" x14ac:dyDescent="0.3">
      <c r="A3830" s="58">
        <v>3550308</v>
      </c>
      <c r="B3830" s="58" t="s">
        <v>4714</v>
      </c>
      <c r="C3830" s="59">
        <v>-23.567386500000001</v>
      </c>
      <c r="D3830" s="59">
        <v>-46.570383182112749</v>
      </c>
    </row>
    <row r="3831" spans="1:4" x14ac:dyDescent="0.3">
      <c r="A3831" s="58">
        <v>3550407</v>
      </c>
      <c r="B3831" s="58" t="s">
        <v>2219</v>
      </c>
      <c r="C3831" s="59">
        <v>-22.548888000000002</v>
      </c>
      <c r="D3831" s="59">
        <v>-47.914032997113132</v>
      </c>
    </row>
    <row r="3832" spans="1:4" x14ac:dyDescent="0.3">
      <c r="A3832" s="58">
        <v>3550506</v>
      </c>
      <c r="B3832" s="58" t="s">
        <v>4715</v>
      </c>
      <c r="C3832" s="59">
        <v>-22.751256429245135</v>
      </c>
      <c r="D3832" s="59">
        <v>-49.741476162902714</v>
      </c>
    </row>
    <row r="3833" spans="1:4" x14ac:dyDescent="0.3">
      <c r="A3833" s="58">
        <v>3550605</v>
      </c>
      <c r="B3833" s="58" t="s">
        <v>4716</v>
      </c>
      <c r="C3833" s="59">
        <v>-23.530359000000004</v>
      </c>
      <c r="D3833" s="59">
        <v>-47.135423012747943</v>
      </c>
    </row>
    <row r="3834" spans="1:4" x14ac:dyDescent="0.3">
      <c r="A3834" s="58">
        <v>3550704</v>
      </c>
      <c r="B3834" s="58" t="s">
        <v>2702</v>
      </c>
      <c r="C3834" s="59">
        <v>-23.806687652148753</v>
      </c>
      <c r="D3834" s="59">
        <v>-45.402680140543957</v>
      </c>
    </row>
    <row r="3835" spans="1:4" x14ac:dyDescent="0.3">
      <c r="A3835" s="58">
        <v>3550803</v>
      </c>
      <c r="B3835" s="58" t="s">
        <v>4717</v>
      </c>
      <c r="C3835" s="59">
        <v>-21.708420791919607</v>
      </c>
      <c r="D3835" s="59">
        <v>-46.824127625791355</v>
      </c>
    </row>
    <row r="3836" spans="1:4" x14ac:dyDescent="0.3">
      <c r="A3836" s="58">
        <v>3550902</v>
      </c>
      <c r="B3836" s="58" t="s">
        <v>4718</v>
      </c>
      <c r="C3836" s="59">
        <v>-21.479723372164006</v>
      </c>
      <c r="D3836" s="59">
        <v>-47.553352539983386</v>
      </c>
    </row>
    <row r="3837" spans="1:4" x14ac:dyDescent="0.3">
      <c r="A3837" s="58">
        <v>3551009</v>
      </c>
      <c r="B3837" s="58" t="s">
        <v>2222</v>
      </c>
      <c r="C3837" s="59">
        <v>-23.967373000000006</v>
      </c>
      <c r="D3837" s="59">
        <v>-46.384490817317726</v>
      </c>
    </row>
    <row r="3838" spans="1:4" x14ac:dyDescent="0.3">
      <c r="A3838" s="58">
        <v>3551108</v>
      </c>
      <c r="B3838" s="58" t="s">
        <v>4719</v>
      </c>
      <c r="C3838" s="59">
        <v>-23.641506570768303</v>
      </c>
      <c r="D3838" s="59">
        <v>-47.827195985044703</v>
      </c>
    </row>
    <row r="3839" spans="1:4" x14ac:dyDescent="0.3">
      <c r="A3839" s="58">
        <v>3551207</v>
      </c>
      <c r="B3839" s="58" t="s">
        <v>4720</v>
      </c>
      <c r="C3839" s="59">
        <v>-23.274495925844203</v>
      </c>
      <c r="D3839" s="59">
        <v>-49.483128634266443</v>
      </c>
    </row>
    <row r="3840" spans="1:4" x14ac:dyDescent="0.3">
      <c r="A3840" s="58">
        <v>3551306</v>
      </c>
      <c r="B3840" s="58" t="s">
        <v>4721</v>
      </c>
      <c r="C3840" s="59">
        <v>-20.656880499376502</v>
      </c>
      <c r="D3840" s="59">
        <v>-49.920922497139259</v>
      </c>
    </row>
    <row r="3841" spans="1:4" x14ac:dyDescent="0.3">
      <c r="A3841" s="58">
        <v>3551405</v>
      </c>
      <c r="B3841" s="58" t="s">
        <v>4722</v>
      </c>
      <c r="C3841" s="59">
        <v>-21.310287665662354</v>
      </c>
      <c r="D3841" s="59">
        <v>-47.563249920263999</v>
      </c>
    </row>
    <row r="3842" spans="1:4" x14ac:dyDescent="0.3">
      <c r="A3842" s="58">
        <v>3551504</v>
      </c>
      <c r="B3842" s="58" t="s">
        <v>4723</v>
      </c>
      <c r="C3842" s="59">
        <v>-21.209477985000007</v>
      </c>
      <c r="D3842" s="59">
        <v>-47.597762096344553</v>
      </c>
    </row>
    <row r="3843" spans="1:4" x14ac:dyDescent="0.3">
      <c r="A3843" s="58">
        <v>3551603</v>
      </c>
      <c r="B3843" s="58" t="s">
        <v>4724</v>
      </c>
      <c r="C3843" s="59">
        <v>-22.612693521859551</v>
      </c>
      <c r="D3843" s="59">
        <v>-46.701791380712173</v>
      </c>
    </row>
    <row r="3844" spans="1:4" x14ac:dyDescent="0.3">
      <c r="A3844" s="58">
        <v>3551702</v>
      </c>
      <c r="B3844" s="58" t="s">
        <v>2433</v>
      </c>
      <c r="C3844" s="59">
        <v>-21.137021505000003</v>
      </c>
      <c r="D3844" s="59">
        <v>-47.991148431000028</v>
      </c>
    </row>
    <row r="3845" spans="1:4" x14ac:dyDescent="0.3">
      <c r="A3845" s="58">
        <v>3551801</v>
      </c>
      <c r="B3845" s="58" t="s">
        <v>4725</v>
      </c>
      <c r="C3845" s="59">
        <v>-24.388603782187904</v>
      </c>
      <c r="D3845" s="59">
        <v>-47.927216963472212</v>
      </c>
    </row>
    <row r="3846" spans="1:4" x14ac:dyDescent="0.3">
      <c r="A3846" s="58">
        <v>3551900</v>
      </c>
      <c r="B3846" s="58" t="s">
        <v>4726</v>
      </c>
      <c r="C3846" s="59">
        <v>-20.809385787763201</v>
      </c>
      <c r="D3846" s="59">
        <v>-48.801533979431397</v>
      </c>
    </row>
    <row r="3847" spans="1:4" x14ac:dyDescent="0.3">
      <c r="A3847" s="58">
        <v>3552007</v>
      </c>
      <c r="B3847" s="58" t="s">
        <v>4727</v>
      </c>
      <c r="C3847" s="59">
        <v>-22.66142434635125</v>
      </c>
      <c r="D3847" s="59">
        <v>-44.848996103159266</v>
      </c>
    </row>
    <row r="3848" spans="1:4" x14ac:dyDescent="0.3">
      <c r="A3848" s="58">
        <v>3552106</v>
      </c>
      <c r="B3848" s="58" t="s">
        <v>4728</v>
      </c>
      <c r="C3848" s="59">
        <v>-22.592029951899505</v>
      </c>
      <c r="D3848" s="59">
        <v>-46.529211591760863</v>
      </c>
    </row>
    <row r="3849" spans="1:4" x14ac:dyDescent="0.3">
      <c r="A3849" s="58">
        <v>3552205</v>
      </c>
      <c r="B3849" s="58" t="s">
        <v>4729</v>
      </c>
      <c r="C3849" s="59">
        <v>-23.499323</v>
      </c>
      <c r="D3849" s="59">
        <v>-47.457853253204043</v>
      </c>
    </row>
    <row r="3850" spans="1:4" x14ac:dyDescent="0.3">
      <c r="A3850" s="58">
        <v>3552304</v>
      </c>
      <c r="B3850" s="58" t="s">
        <v>4730</v>
      </c>
      <c r="C3850" s="59">
        <v>-20.692943499375605</v>
      </c>
      <c r="D3850" s="59">
        <v>-50.920526559032098</v>
      </c>
    </row>
    <row r="3851" spans="1:4" x14ac:dyDescent="0.3">
      <c r="A3851" s="58">
        <v>3552403</v>
      </c>
      <c r="B3851" s="58" t="s">
        <v>4731</v>
      </c>
      <c r="C3851" s="59">
        <v>-22.822145000000003</v>
      </c>
      <c r="D3851" s="59">
        <v>-47.265802732090094</v>
      </c>
    </row>
    <row r="3852" spans="1:4" x14ac:dyDescent="0.3">
      <c r="A3852" s="58">
        <v>3552502</v>
      </c>
      <c r="B3852" s="58" t="s">
        <v>4732</v>
      </c>
      <c r="C3852" s="59">
        <v>-23.536827500000005</v>
      </c>
      <c r="D3852" s="59">
        <v>-46.307810467288199</v>
      </c>
    </row>
    <row r="3853" spans="1:4" x14ac:dyDescent="0.3">
      <c r="A3853" s="58">
        <v>3552551</v>
      </c>
      <c r="B3853" s="58" t="s">
        <v>4733</v>
      </c>
      <c r="C3853" s="59">
        <v>-20.503344266962252</v>
      </c>
      <c r="D3853" s="59">
        <v>-51.028222586512868</v>
      </c>
    </row>
    <row r="3854" spans="1:4" x14ac:dyDescent="0.3">
      <c r="A3854" s="58">
        <v>3552601</v>
      </c>
      <c r="B3854" s="58" t="s">
        <v>4734</v>
      </c>
      <c r="C3854" s="59">
        <v>-20.957600676059251</v>
      </c>
      <c r="D3854" s="59">
        <v>-49.032621409186611</v>
      </c>
    </row>
    <row r="3855" spans="1:4" x14ac:dyDescent="0.3">
      <c r="A3855" s="58">
        <v>3552700</v>
      </c>
      <c r="B3855" s="58" t="s">
        <v>1165</v>
      </c>
      <c r="C3855" s="59">
        <v>-21.732514500000008</v>
      </c>
      <c r="D3855" s="59">
        <v>-48.68678761401565</v>
      </c>
    </row>
    <row r="3856" spans="1:4" x14ac:dyDescent="0.3">
      <c r="A3856" s="58">
        <v>3552809</v>
      </c>
      <c r="B3856" s="58" t="s">
        <v>4735</v>
      </c>
      <c r="C3856" s="59">
        <v>-23.623328500000003</v>
      </c>
      <c r="D3856" s="59">
        <v>-46.785780034210205</v>
      </c>
    </row>
    <row r="3857" spans="1:4" x14ac:dyDescent="0.3">
      <c r="A3857" s="58">
        <v>3552908</v>
      </c>
      <c r="B3857" s="58" t="s">
        <v>4736</v>
      </c>
      <c r="C3857" s="59">
        <v>-22.388266261606002</v>
      </c>
      <c r="D3857" s="59">
        <v>-51.284773424105047</v>
      </c>
    </row>
    <row r="3858" spans="1:4" x14ac:dyDescent="0.3">
      <c r="A3858" s="58">
        <v>3553005</v>
      </c>
      <c r="B3858" s="58" t="s">
        <v>4737</v>
      </c>
      <c r="C3858" s="59">
        <v>-23.449814118588002</v>
      </c>
      <c r="D3858" s="59">
        <v>-49.405771115567497</v>
      </c>
    </row>
    <row r="3859" spans="1:4" x14ac:dyDescent="0.3">
      <c r="A3859" s="58">
        <v>3553104</v>
      </c>
      <c r="B3859" s="58" t="s">
        <v>4738</v>
      </c>
      <c r="C3859" s="59">
        <v>-21.146736273607853</v>
      </c>
      <c r="D3859" s="59">
        <v>-48.511955222080744</v>
      </c>
    </row>
    <row r="3860" spans="1:4" x14ac:dyDescent="0.3">
      <c r="A3860" s="58">
        <v>3553203</v>
      </c>
      <c r="B3860" s="58" t="s">
        <v>4739</v>
      </c>
      <c r="C3860" s="59">
        <v>-21.129556288279101</v>
      </c>
      <c r="D3860" s="59">
        <v>-48.453935342282819</v>
      </c>
    </row>
    <row r="3861" spans="1:4" x14ac:dyDescent="0.3">
      <c r="A3861" s="58">
        <v>3553302</v>
      </c>
      <c r="B3861" s="58" t="s">
        <v>4740</v>
      </c>
      <c r="C3861" s="59">
        <v>-21.703033000000005</v>
      </c>
      <c r="D3861" s="59">
        <v>-47.271615513066408</v>
      </c>
    </row>
    <row r="3862" spans="1:4" x14ac:dyDescent="0.3">
      <c r="A3862" s="58">
        <v>3553401</v>
      </c>
      <c r="B3862" s="58" t="s">
        <v>4741</v>
      </c>
      <c r="C3862" s="59">
        <v>-20.625112136135055</v>
      </c>
      <c r="D3862" s="59">
        <v>-49.648820199371762</v>
      </c>
    </row>
    <row r="3863" spans="1:4" x14ac:dyDescent="0.3">
      <c r="A3863" s="58">
        <v>3553500</v>
      </c>
      <c r="B3863" s="58" t="s">
        <v>3955</v>
      </c>
      <c r="C3863" s="59">
        <v>-23.973148266790606</v>
      </c>
      <c r="D3863" s="59">
        <v>-47.505288235203587</v>
      </c>
    </row>
    <row r="3864" spans="1:4" x14ac:dyDescent="0.3">
      <c r="A3864" s="58">
        <v>3553609</v>
      </c>
      <c r="B3864" s="58" t="s">
        <v>4742</v>
      </c>
      <c r="C3864" s="59">
        <v>-21.47188540230535</v>
      </c>
      <c r="D3864" s="59">
        <v>-46.745515210683564</v>
      </c>
    </row>
    <row r="3865" spans="1:4" x14ac:dyDescent="0.3">
      <c r="A3865" s="58">
        <v>3553658</v>
      </c>
      <c r="B3865" s="58" t="s">
        <v>4743</v>
      </c>
      <c r="C3865" s="59">
        <v>-21.072608500000001</v>
      </c>
      <c r="D3865" s="59">
        <v>-48.408654918410541</v>
      </c>
    </row>
    <row r="3866" spans="1:4" x14ac:dyDescent="0.3">
      <c r="A3866" s="58">
        <v>3553708</v>
      </c>
      <c r="B3866" s="58" t="s">
        <v>4744</v>
      </c>
      <c r="C3866" s="59">
        <v>-21.410008000000005</v>
      </c>
      <c r="D3866" s="59">
        <v>-48.506742182853621</v>
      </c>
    </row>
    <row r="3867" spans="1:4" x14ac:dyDescent="0.3">
      <c r="A3867" s="58">
        <v>3553807</v>
      </c>
      <c r="B3867" s="58" t="s">
        <v>4745</v>
      </c>
      <c r="C3867" s="59">
        <v>-23.5320605077168</v>
      </c>
      <c r="D3867" s="59">
        <v>-49.244088538389882</v>
      </c>
    </row>
    <row r="3868" spans="1:4" x14ac:dyDescent="0.3">
      <c r="A3868" s="58">
        <v>3553856</v>
      </c>
      <c r="B3868" s="58" t="s">
        <v>4746</v>
      </c>
      <c r="C3868" s="59">
        <v>-23.919257149652857</v>
      </c>
      <c r="D3868" s="59">
        <v>-48.697328636961991</v>
      </c>
    </row>
    <row r="3869" spans="1:4" x14ac:dyDescent="0.3">
      <c r="A3869" s="58">
        <v>3553906</v>
      </c>
      <c r="B3869" s="58" t="s">
        <v>4747</v>
      </c>
      <c r="C3869" s="59">
        <v>-22.301668295471856</v>
      </c>
      <c r="D3869" s="59">
        <v>-51.559572575554753</v>
      </c>
    </row>
    <row r="3870" spans="1:4" x14ac:dyDescent="0.3">
      <c r="A3870" s="58">
        <v>3553955</v>
      </c>
      <c r="B3870" s="58" t="s">
        <v>4748</v>
      </c>
      <c r="C3870" s="59">
        <v>-22.744771194284205</v>
      </c>
      <c r="D3870" s="59">
        <v>-50.576565135086703</v>
      </c>
    </row>
    <row r="3871" spans="1:4" x14ac:dyDescent="0.3">
      <c r="A3871" s="58">
        <v>3554003</v>
      </c>
      <c r="B3871" s="58" t="s">
        <v>4749</v>
      </c>
      <c r="C3871" s="59">
        <v>-23.348576500000004</v>
      </c>
      <c r="D3871" s="59">
        <v>-47.849464033660901</v>
      </c>
    </row>
    <row r="3872" spans="1:4" x14ac:dyDescent="0.3">
      <c r="A3872" s="58">
        <v>3554102</v>
      </c>
      <c r="B3872" s="58" t="s">
        <v>4750</v>
      </c>
      <c r="C3872" s="59">
        <v>-23.026555500000004</v>
      </c>
      <c r="D3872" s="59">
        <v>-45.556608696687441</v>
      </c>
    </row>
    <row r="3873" spans="1:4" x14ac:dyDescent="0.3">
      <c r="A3873" s="58">
        <v>3554201</v>
      </c>
      <c r="B3873" s="58" t="s">
        <v>4751</v>
      </c>
      <c r="C3873" s="59">
        <v>-23.340591746250151</v>
      </c>
      <c r="D3873" s="59">
        <v>-49.377441961138608</v>
      </c>
    </row>
    <row r="3874" spans="1:4" x14ac:dyDescent="0.3">
      <c r="A3874" s="58">
        <v>3554300</v>
      </c>
      <c r="B3874" s="58" t="s">
        <v>3146</v>
      </c>
      <c r="C3874" s="59">
        <v>-22.531007000000002</v>
      </c>
      <c r="D3874" s="59">
        <v>-52.171194822163727</v>
      </c>
    </row>
    <row r="3875" spans="1:4" x14ac:dyDescent="0.3">
      <c r="A3875" s="58">
        <v>3554409</v>
      </c>
      <c r="B3875" s="58" t="s">
        <v>4752</v>
      </c>
      <c r="C3875" s="59">
        <v>-20.787841656654852</v>
      </c>
      <c r="D3875" s="59">
        <v>-48.341536137232502</v>
      </c>
    </row>
    <row r="3876" spans="1:4" x14ac:dyDescent="0.3">
      <c r="A3876" s="58">
        <v>3554508</v>
      </c>
      <c r="B3876" s="58" t="s">
        <v>4753</v>
      </c>
      <c r="C3876" s="59">
        <v>-23.097889485000003</v>
      </c>
      <c r="D3876" s="59">
        <v>-47.711472527996328</v>
      </c>
    </row>
    <row r="3877" spans="1:4" x14ac:dyDescent="0.3">
      <c r="A3877" s="58">
        <v>3554607</v>
      </c>
      <c r="B3877" s="58" t="s">
        <v>4754</v>
      </c>
      <c r="C3877" s="59">
        <v>-23.202363382960307</v>
      </c>
      <c r="D3877" s="59">
        <v>-49.603542894931422</v>
      </c>
    </row>
    <row r="3878" spans="1:4" x14ac:dyDescent="0.3">
      <c r="A3878" s="58">
        <v>3554656</v>
      </c>
      <c r="B3878" s="58" t="s">
        <v>4755</v>
      </c>
      <c r="C3878" s="59">
        <v>-23.243769527262103</v>
      </c>
      <c r="D3878" s="59">
        <v>-48.198238839887324</v>
      </c>
    </row>
    <row r="3879" spans="1:4" x14ac:dyDescent="0.3">
      <c r="A3879" s="58">
        <v>3554706</v>
      </c>
      <c r="B3879" s="58" t="s">
        <v>4756</v>
      </c>
      <c r="C3879" s="59">
        <v>-22.427493614698104</v>
      </c>
      <c r="D3879" s="59">
        <v>-48.172157585145634</v>
      </c>
    </row>
    <row r="3880" spans="1:4" x14ac:dyDescent="0.3">
      <c r="A3880" s="58">
        <v>3554755</v>
      </c>
      <c r="B3880" s="58" t="s">
        <v>4757</v>
      </c>
      <c r="C3880" s="59">
        <v>-22.038073647059949</v>
      </c>
      <c r="D3880" s="59">
        <v>-48.340183393753499</v>
      </c>
    </row>
    <row r="3881" spans="1:4" x14ac:dyDescent="0.3">
      <c r="A3881" s="58">
        <v>3554805</v>
      </c>
      <c r="B3881" s="58" t="s">
        <v>4758</v>
      </c>
      <c r="C3881" s="59">
        <v>-22.960415205393254</v>
      </c>
      <c r="D3881" s="59">
        <v>-45.550746882346836</v>
      </c>
    </row>
    <row r="3882" spans="1:4" x14ac:dyDescent="0.3">
      <c r="A3882" s="58">
        <v>3554904</v>
      </c>
      <c r="B3882" s="58" t="s">
        <v>4759</v>
      </c>
      <c r="C3882" s="59">
        <v>-20.228012803363956</v>
      </c>
      <c r="D3882" s="59">
        <v>-50.884882785455289</v>
      </c>
    </row>
    <row r="3883" spans="1:4" x14ac:dyDescent="0.3">
      <c r="A3883" s="58">
        <v>3554953</v>
      </c>
      <c r="B3883" s="58" t="s">
        <v>4760</v>
      </c>
      <c r="C3883" s="59">
        <v>-22.814756155163252</v>
      </c>
      <c r="D3883" s="59">
        <v>-46.697023859532528</v>
      </c>
    </row>
    <row r="3884" spans="1:4" x14ac:dyDescent="0.3">
      <c r="A3884" s="58">
        <v>3555000</v>
      </c>
      <c r="B3884" s="58" t="s">
        <v>4761</v>
      </c>
      <c r="C3884" s="59">
        <v>-21.934821510000003</v>
      </c>
      <c r="D3884" s="59">
        <v>-50.514006421722954</v>
      </c>
    </row>
    <row r="3885" spans="1:4" x14ac:dyDescent="0.3">
      <c r="A3885" s="58">
        <v>3555109</v>
      </c>
      <c r="B3885" s="58" t="s">
        <v>4762</v>
      </c>
      <c r="C3885" s="59">
        <v>-21.386395317688653</v>
      </c>
      <c r="D3885" s="59">
        <v>-51.576720575971144</v>
      </c>
    </row>
    <row r="3886" spans="1:4" x14ac:dyDescent="0.3">
      <c r="A3886" s="58">
        <v>3555208</v>
      </c>
      <c r="B3886" s="58" t="s">
        <v>4763</v>
      </c>
      <c r="C3886" s="59">
        <v>-20.950235089182453</v>
      </c>
      <c r="D3886" s="59">
        <v>-50.10944175051926</v>
      </c>
    </row>
    <row r="3887" spans="1:4" x14ac:dyDescent="0.3">
      <c r="A3887" s="58">
        <v>3555307</v>
      </c>
      <c r="B3887" s="58" t="s">
        <v>3972</v>
      </c>
      <c r="C3887" s="59">
        <v>-20.051268617318417</v>
      </c>
      <c r="D3887" s="59">
        <v>-50.477729431479297</v>
      </c>
    </row>
    <row r="3888" spans="1:4" x14ac:dyDescent="0.3">
      <c r="A3888" s="58">
        <v>3555356</v>
      </c>
      <c r="B3888" s="58" t="s">
        <v>4764</v>
      </c>
      <c r="C3888" s="59">
        <v>-21.162470999800203</v>
      </c>
      <c r="D3888" s="59">
        <v>-49.719672394223984</v>
      </c>
    </row>
    <row r="3889" spans="1:4" x14ac:dyDescent="0.3">
      <c r="A3889" s="58">
        <v>3555406</v>
      </c>
      <c r="B3889" s="58" t="s">
        <v>4765</v>
      </c>
      <c r="C3889" s="59">
        <v>-23.435964980516907</v>
      </c>
      <c r="D3889" s="59">
        <v>-45.072091475479915</v>
      </c>
    </row>
    <row r="3890" spans="1:4" x14ac:dyDescent="0.3">
      <c r="A3890" s="58">
        <v>3555505</v>
      </c>
      <c r="B3890" s="58" t="s">
        <v>4766</v>
      </c>
      <c r="C3890" s="59">
        <v>-22.523835450207056</v>
      </c>
      <c r="D3890" s="59">
        <v>-49.663271665553467</v>
      </c>
    </row>
    <row r="3891" spans="1:4" x14ac:dyDescent="0.3">
      <c r="A3891" s="58">
        <v>3555604</v>
      </c>
      <c r="B3891" s="58" t="s">
        <v>4767</v>
      </c>
      <c r="C3891" s="59">
        <v>-20.953346399265751</v>
      </c>
      <c r="D3891" s="59">
        <v>-49.177669534978428</v>
      </c>
    </row>
    <row r="3892" spans="1:4" x14ac:dyDescent="0.3">
      <c r="A3892" s="58">
        <v>3555703</v>
      </c>
      <c r="B3892" s="58" t="s">
        <v>4768</v>
      </c>
      <c r="C3892" s="59">
        <v>-20.887768999370802</v>
      </c>
      <c r="D3892" s="59">
        <v>-49.897393579108623</v>
      </c>
    </row>
    <row r="3893" spans="1:4" x14ac:dyDescent="0.3">
      <c r="A3893" s="58">
        <v>3555802</v>
      </c>
      <c r="B3893" s="58" t="s">
        <v>4769</v>
      </c>
      <c r="C3893" s="59">
        <v>-20.246264096670103</v>
      </c>
      <c r="D3893" s="59">
        <v>-50.641800154077856</v>
      </c>
    </row>
    <row r="3894" spans="1:4" x14ac:dyDescent="0.3">
      <c r="A3894" s="58">
        <v>3555901</v>
      </c>
      <c r="B3894" s="58" t="s">
        <v>4770</v>
      </c>
      <c r="C3894" s="59">
        <v>-21.786313652437702</v>
      </c>
      <c r="D3894" s="59">
        <v>-49.283201601357113</v>
      </c>
    </row>
    <row r="3895" spans="1:4" x14ac:dyDescent="0.3">
      <c r="A3895" s="58">
        <v>3556008</v>
      </c>
      <c r="B3895" s="58" t="s">
        <v>4771</v>
      </c>
      <c r="C3895" s="59">
        <v>-21.200418812734753</v>
      </c>
      <c r="D3895" s="59">
        <v>-49.290729849446706</v>
      </c>
    </row>
    <row r="3896" spans="1:4" x14ac:dyDescent="0.3">
      <c r="A3896" s="58">
        <v>3556107</v>
      </c>
      <c r="B3896" s="58" t="s">
        <v>4772</v>
      </c>
      <c r="C3896" s="59">
        <v>-20.423370291877653</v>
      </c>
      <c r="D3896" s="59">
        <v>-50.085868281705338</v>
      </c>
    </row>
    <row r="3897" spans="1:4" x14ac:dyDescent="0.3">
      <c r="A3897" s="58">
        <v>3556206</v>
      </c>
      <c r="B3897" s="58" t="s">
        <v>4773</v>
      </c>
      <c r="C3897" s="59">
        <v>-22.971244000000002</v>
      </c>
      <c r="D3897" s="59">
        <v>-46.996630027555213</v>
      </c>
    </row>
    <row r="3898" spans="1:4" x14ac:dyDescent="0.3">
      <c r="A3898" s="58">
        <v>3556305</v>
      </c>
      <c r="B3898" s="58" t="s">
        <v>4774</v>
      </c>
      <c r="C3898" s="59">
        <v>-21.225575282859502</v>
      </c>
      <c r="D3898" s="59">
        <v>-50.869308119039758</v>
      </c>
    </row>
    <row r="3899" spans="1:4" x14ac:dyDescent="0.3">
      <c r="A3899" s="58">
        <v>3556354</v>
      </c>
      <c r="B3899" s="58" t="s">
        <v>4775</v>
      </c>
      <c r="C3899" s="59">
        <v>-22.884880423820402</v>
      </c>
      <c r="D3899" s="59">
        <v>-46.411600233135466</v>
      </c>
    </row>
    <row r="3900" spans="1:4" x14ac:dyDescent="0.3">
      <c r="A3900" s="58">
        <v>3556404</v>
      </c>
      <c r="B3900" s="58" t="s">
        <v>4776</v>
      </c>
      <c r="C3900" s="59">
        <v>-21.835866000000003</v>
      </c>
      <c r="D3900" s="59">
        <v>-46.895608914752174</v>
      </c>
    </row>
    <row r="3901" spans="1:4" x14ac:dyDescent="0.3">
      <c r="A3901" s="58">
        <v>3556453</v>
      </c>
      <c r="B3901" s="58" t="s">
        <v>4777</v>
      </c>
      <c r="C3901" s="59">
        <v>-23.615302500000002</v>
      </c>
      <c r="D3901" s="59">
        <v>-47.019647784074024</v>
      </c>
    </row>
    <row r="3902" spans="1:4" x14ac:dyDescent="0.3">
      <c r="A3902" s="58">
        <v>3556503</v>
      </c>
      <c r="B3902" s="58" t="s">
        <v>4778</v>
      </c>
      <c r="C3902" s="59">
        <v>-23.214466500000004</v>
      </c>
      <c r="D3902" s="59">
        <v>-46.829890223917758</v>
      </c>
    </row>
    <row r="3903" spans="1:4" x14ac:dyDescent="0.3">
      <c r="A3903" s="58">
        <v>3556602</v>
      </c>
      <c r="B3903" s="58" t="s">
        <v>2244</v>
      </c>
      <c r="C3903" s="59">
        <v>-22.224748314841602</v>
      </c>
      <c r="D3903" s="59">
        <v>-49.821781654576142</v>
      </c>
    </row>
    <row r="3904" spans="1:4" x14ac:dyDescent="0.3">
      <c r="A3904" s="58">
        <v>3556701</v>
      </c>
      <c r="B3904" s="58" t="s">
        <v>4779</v>
      </c>
      <c r="C3904" s="59">
        <v>-23.030538324140796</v>
      </c>
      <c r="D3904" s="59">
        <v>-46.976476309079708</v>
      </c>
    </row>
    <row r="3905" spans="1:4" x14ac:dyDescent="0.3">
      <c r="A3905" s="58">
        <v>3556800</v>
      </c>
      <c r="B3905" s="58" t="s">
        <v>4780</v>
      </c>
      <c r="C3905" s="59">
        <v>-20.872314000000003</v>
      </c>
      <c r="D3905" s="59">
        <v>-48.296662879599765</v>
      </c>
    </row>
    <row r="3906" spans="1:4" x14ac:dyDescent="0.3">
      <c r="A3906" s="58">
        <v>3556909</v>
      </c>
      <c r="B3906" s="58" t="s">
        <v>4781</v>
      </c>
      <c r="C3906" s="59">
        <v>-21.167154084720458</v>
      </c>
      <c r="D3906" s="59">
        <v>-48.630171357210997</v>
      </c>
    </row>
    <row r="3907" spans="1:4" x14ac:dyDescent="0.3">
      <c r="A3907" s="58">
        <v>3556958</v>
      </c>
      <c r="B3907" s="58" t="s">
        <v>4782</v>
      </c>
      <c r="C3907" s="59">
        <v>-20.198738574456105</v>
      </c>
      <c r="D3907" s="59">
        <v>-50.480806970236308</v>
      </c>
    </row>
    <row r="3908" spans="1:4" x14ac:dyDescent="0.3">
      <c r="A3908" s="58">
        <v>3557006</v>
      </c>
      <c r="B3908" s="58" t="s">
        <v>4783</v>
      </c>
      <c r="C3908" s="59">
        <v>-23.5418712059999</v>
      </c>
      <c r="D3908" s="59">
        <v>-47.449738057982707</v>
      </c>
    </row>
    <row r="3909" spans="1:4" x14ac:dyDescent="0.3">
      <c r="A3909" s="58">
        <v>3557105</v>
      </c>
      <c r="B3909" s="58" t="s">
        <v>4784</v>
      </c>
      <c r="C3909" s="59">
        <v>-20.419470000000004</v>
      </c>
      <c r="D3909" s="59">
        <v>-49.974672015206657</v>
      </c>
    </row>
    <row r="3910" spans="1:4" x14ac:dyDescent="0.3">
      <c r="A3910" s="58">
        <v>3557154</v>
      </c>
      <c r="B3910" s="58" t="s">
        <v>4785</v>
      </c>
      <c r="C3910" s="59">
        <v>-21.050110434971803</v>
      </c>
      <c r="D3910" s="59">
        <v>-50.055739518479413</v>
      </c>
    </row>
    <row r="3911" spans="1:4" x14ac:dyDescent="0.3">
      <c r="A3911" s="58">
        <v>3557204</v>
      </c>
      <c r="B3911" s="58" t="s">
        <v>4786</v>
      </c>
      <c r="C3911" s="59">
        <v>-23.032005631921155</v>
      </c>
      <c r="D3911" s="59">
        <v>-49.713936148676602</v>
      </c>
    </row>
    <row r="3912" spans="1:4" x14ac:dyDescent="0.3">
      <c r="A3912" s="58">
        <v>3557303</v>
      </c>
      <c r="B3912" s="58" t="s">
        <v>4787</v>
      </c>
      <c r="C3912" s="59">
        <v>-22.274588913126454</v>
      </c>
      <c r="D3912" s="59">
        <v>-46.953602690417867</v>
      </c>
    </row>
    <row r="3913" spans="1:4" x14ac:dyDescent="0.3">
      <c r="A3913" s="58">
        <v>4100103</v>
      </c>
      <c r="B3913" s="58" t="s">
        <v>4788</v>
      </c>
      <c r="C3913" s="59">
        <v>-23.300494037122949</v>
      </c>
      <c r="D3913" s="59">
        <v>-50.312526582882036</v>
      </c>
    </row>
    <row r="3914" spans="1:4" x14ac:dyDescent="0.3">
      <c r="A3914" s="58">
        <v>4100202</v>
      </c>
      <c r="B3914" s="58" t="s">
        <v>4789</v>
      </c>
      <c r="C3914" s="59">
        <v>-24.661689705452858</v>
      </c>
      <c r="D3914" s="59">
        <v>-48.991754538425361</v>
      </c>
    </row>
    <row r="3915" spans="1:4" x14ac:dyDescent="0.3">
      <c r="A3915" s="58">
        <v>4100301</v>
      </c>
      <c r="B3915" s="58" t="s">
        <v>4790</v>
      </c>
      <c r="C3915" s="59">
        <v>-25.99061809059565</v>
      </c>
      <c r="D3915" s="59">
        <v>-49.338701884593107</v>
      </c>
    </row>
    <row r="3916" spans="1:4" x14ac:dyDescent="0.3">
      <c r="A3916" s="58">
        <v>4100400</v>
      </c>
      <c r="B3916" s="58" t="s">
        <v>4791</v>
      </c>
      <c r="C3916" s="59">
        <v>-25.313377602276301</v>
      </c>
      <c r="D3916" s="59">
        <v>-49.300319818403935</v>
      </c>
    </row>
    <row r="3917" spans="1:4" x14ac:dyDescent="0.3">
      <c r="A3917" s="58">
        <v>4100459</v>
      </c>
      <c r="B3917" s="58" t="s">
        <v>4792</v>
      </c>
      <c r="C3917" s="59">
        <v>-24.801000163495658</v>
      </c>
      <c r="D3917" s="59">
        <v>-52.709807446691556</v>
      </c>
    </row>
    <row r="3918" spans="1:4" x14ac:dyDescent="0.3">
      <c r="A3918" s="58">
        <v>4100509</v>
      </c>
      <c r="B3918" s="58" t="s">
        <v>4793</v>
      </c>
      <c r="C3918" s="59">
        <v>-23.870881405750701</v>
      </c>
      <c r="D3918" s="59">
        <v>-53.891973855911409</v>
      </c>
    </row>
    <row r="3919" spans="1:4" x14ac:dyDescent="0.3">
      <c r="A3919" s="58">
        <v>4100608</v>
      </c>
      <c r="B3919" s="58" t="s">
        <v>4794</v>
      </c>
      <c r="C3919" s="59">
        <v>-23.127120830648103</v>
      </c>
      <c r="D3919" s="59">
        <v>-52.321682444054545</v>
      </c>
    </row>
    <row r="3920" spans="1:4" x14ac:dyDescent="0.3">
      <c r="A3920" s="58">
        <v>4100707</v>
      </c>
      <c r="B3920" s="58" t="s">
        <v>4795</v>
      </c>
      <c r="C3920" s="59">
        <v>-24.019012556417305</v>
      </c>
      <c r="D3920" s="59">
        <v>-53.441249078868367</v>
      </c>
    </row>
    <row r="3921" spans="1:4" x14ac:dyDescent="0.3">
      <c r="A3921" s="58">
        <v>4100806</v>
      </c>
      <c r="B3921" s="58" t="s">
        <v>4796</v>
      </c>
      <c r="C3921" s="59">
        <v>-22.780378767394755</v>
      </c>
      <c r="D3921" s="59">
        <v>-51.229216330635523</v>
      </c>
    </row>
    <row r="3922" spans="1:4" x14ac:dyDescent="0.3">
      <c r="A3922" s="58">
        <v>4100905</v>
      </c>
      <c r="B3922" s="58" t="s">
        <v>4797</v>
      </c>
      <c r="C3922" s="59">
        <v>-23.097370288158952</v>
      </c>
      <c r="D3922" s="59">
        <v>-52.786787350645746</v>
      </c>
    </row>
    <row r="3923" spans="1:4" x14ac:dyDescent="0.3">
      <c r="A3923" s="58">
        <v>4101002</v>
      </c>
      <c r="B3923" s="58" t="s">
        <v>4798</v>
      </c>
      <c r="C3923" s="59">
        <v>-25.917068465282551</v>
      </c>
      <c r="D3923" s="59">
        <v>-53.473256744724573</v>
      </c>
    </row>
    <row r="3924" spans="1:4" x14ac:dyDescent="0.3">
      <c r="A3924" s="58">
        <v>4101051</v>
      </c>
      <c r="B3924" s="58" t="s">
        <v>4799</v>
      </c>
      <c r="C3924" s="59">
        <v>-24.647582458618604</v>
      </c>
      <c r="D3924" s="59">
        <v>-53.133319828671077</v>
      </c>
    </row>
    <row r="3925" spans="1:4" x14ac:dyDescent="0.3">
      <c r="A3925" s="58">
        <v>4101101</v>
      </c>
      <c r="B3925" s="58" t="s">
        <v>4800</v>
      </c>
      <c r="C3925" s="59">
        <v>-23.05175165465425</v>
      </c>
      <c r="D3925" s="59">
        <v>-50.22640759871522</v>
      </c>
    </row>
    <row r="3926" spans="1:4" x14ac:dyDescent="0.3">
      <c r="A3926" s="58">
        <v>4101150</v>
      </c>
      <c r="B3926" s="58" t="s">
        <v>4801</v>
      </c>
      <c r="C3926" s="59">
        <v>-23.192903865025155</v>
      </c>
      <c r="D3926" s="59">
        <v>-51.917364679843153</v>
      </c>
    </row>
    <row r="3927" spans="1:4" x14ac:dyDescent="0.3">
      <c r="A3927" s="58">
        <v>4101200</v>
      </c>
      <c r="B3927" s="58" t="s">
        <v>4802</v>
      </c>
      <c r="C3927" s="59">
        <v>-25.430166132323858</v>
      </c>
      <c r="D3927" s="59">
        <v>-48.712900061747753</v>
      </c>
    </row>
    <row r="3928" spans="1:4" x14ac:dyDescent="0.3">
      <c r="A3928" s="58">
        <v>4101309</v>
      </c>
      <c r="B3928" s="58" t="s">
        <v>4803</v>
      </c>
      <c r="C3928" s="59">
        <v>-25.986705780028554</v>
      </c>
      <c r="D3928" s="59">
        <v>-50.197947244003267</v>
      </c>
    </row>
    <row r="3929" spans="1:4" x14ac:dyDescent="0.3">
      <c r="A3929" s="58">
        <v>4101408</v>
      </c>
      <c r="B3929" s="58" t="s">
        <v>4804</v>
      </c>
      <c r="C3929" s="59">
        <v>-23.551592985000003</v>
      </c>
      <c r="D3929" s="59">
        <v>-51.459985142359201</v>
      </c>
    </row>
    <row r="3930" spans="1:4" x14ac:dyDescent="0.3">
      <c r="A3930" s="58">
        <v>4101507</v>
      </c>
      <c r="B3930" s="58" t="s">
        <v>4805</v>
      </c>
      <c r="C3930" s="59">
        <v>-23.413516531991753</v>
      </c>
      <c r="D3930" s="59">
        <v>-51.438279734667724</v>
      </c>
    </row>
    <row r="3931" spans="1:4" x14ac:dyDescent="0.3">
      <c r="A3931" s="58">
        <v>4101606</v>
      </c>
      <c r="B3931" s="58" t="s">
        <v>4806</v>
      </c>
      <c r="C3931" s="59">
        <v>-24.146569165205751</v>
      </c>
      <c r="D3931" s="59">
        <v>-49.824828501727218</v>
      </c>
    </row>
    <row r="3932" spans="1:4" x14ac:dyDescent="0.3">
      <c r="A3932" s="58">
        <v>4101655</v>
      </c>
      <c r="B3932" s="58" t="s">
        <v>3214</v>
      </c>
      <c r="C3932" s="59">
        <v>-24.308702386411372</v>
      </c>
      <c r="D3932" s="59">
        <v>-51.791317564277769</v>
      </c>
    </row>
    <row r="3933" spans="1:4" x14ac:dyDescent="0.3">
      <c r="A3933" s="58">
        <v>4101705</v>
      </c>
      <c r="B3933" s="58" t="s">
        <v>2259</v>
      </c>
      <c r="C3933" s="59">
        <v>-23.928200950581353</v>
      </c>
      <c r="D3933" s="59">
        <v>-52.499618103137351</v>
      </c>
    </row>
    <row r="3934" spans="1:4" x14ac:dyDescent="0.3">
      <c r="A3934" s="58">
        <v>4101804</v>
      </c>
      <c r="B3934" s="58" t="s">
        <v>4807</v>
      </c>
      <c r="C3934" s="59">
        <v>-25.591645000000003</v>
      </c>
      <c r="D3934" s="59">
        <v>-49.401939696708688</v>
      </c>
    </row>
    <row r="3935" spans="1:4" x14ac:dyDescent="0.3">
      <c r="A3935" s="58">
        <v>4101853</v>
      </c>
      <c r="B3935" s="58" t="s">
        <v>4808</v>
      </c>
      <c r="C3935" s="59">
        <v>-24.383288744790242</v>
      </c>
      <c r="D3935" s="59">
        <v>-51.587917838876699</v>
      </c>
    </row>
    <row r="3936" spans="1:4" x14ac:dyDescent="0.3">
      <c r="A3936" s="58">
        <v>4101903</v>
      </c>
      <c r="B3936" s="58" t="s">
        <v>4809</v>
      </c>
      <c r="C3936" s="59">
        <v>-23.372717905059954</v>
      </c>
      <c r="D3936" s="59">
        <v>-50.841623486314198</v>
      </c>
    </row>
    <row r="3937" spans="1:4" x14ac:dyDescent="0.3">
      <c r="A3937" s="58">
        <v>4102000</v>
      </c>
      <c r="B3937" s="58" t="s">
        <v>4810</v>
      </c>
      <c r="C3937" s="59">
        <v>-24.40853008491575</v>
      </c>
      <c r="D3937" s="59">
        <v>-53.521236927439183</v>
      </c>
    </row>
    <row r="3938" spans="1:4" x14ac:dyDescent="0.3">
      <c r="A3938" s="58">
        <v>4102109</v>
      </c>
      <c r="B3938" s="58" t="s">
        <v>4811</v>
      </c>
      <c r="C3938" s="59">
        <v>-23.236711965000001</v>
      </c>
      <c r="D3938" s="59">
        <v>-51.669679262536683</v>
      </c>
    </row>
    <row r="3939" spans="1:4" x14ac:dyDescent="0.3">
      <c r="A3939" s="58">
        <v>4102208</v>
      </c>
      <c r="B3939" s="58" t="s">
        <v>2618</v>
      </c>
      <c r="C3939" s="59">
        <v>-23.151587095539053</v>
      </c>
      <c r="D3939" s="59">
        <v>-52.055701136466915</v>
      </c>
    </row>
    <row r="3940" spans="1:4" x14ac:dyDescent="0.3">
      <c r="A3940" s="58">
        <v>4102307</v>
      </c>
      <c r="B3940" s="58" t="s">
        <v>4812</v>
      </c>
      <c r="C3940" s="59">
        <v>-25.578497807453505</v>
      </c>
      <c r="D3940" s="59">
        <v>-49.631755990406766</v>
      </c>
    </row>
    <row r="3941" spans="1:4" x14ac:dyDescent="0.3">
      <c r="A3941" s="58">
        <v>4102406</v>
      </c>
      <c r="B3941" s="58" t="s">
        <v>4813</v>
      </c>
      <c r="C3941" s="59">
        <v>-23.092480500000008</v>
      </c>
      <c r="D3941" s="59">
        <v>-50.371873022932391</v>
      </c>
    </row>
    <row r="3942" spans="1:4" x14ac:dyDescent="0.3">
      <c r="A3942" s="58">
        <v>4102505</v>
      </c>
      <c r="B3942" s="58" t="s">
        <v>4814</v>
      </c>
      <c r="C3942" s="59">
        <v>-24.027715465295309</v>
      </c>
      <c r="D3942" s="59">
        <v>-52.007116685428585</v>
      </c>
    </row>
    <row r="3943" spans="1:4" x14ac:dyDescent="0.3">
      <c r="A3943" s="58">
        <v>4102604</v>
      </c>
      <c r="B3943" s="58" t="s">
        <v>4815</v>
      </c>
      <c r="C3943" s="59">
        <v>-26.252602844209104</v>
      </c>
      <c r="D3943" s="59">
        <v>-53.635000265256842</v>
      </c>
    </row>
    <row r="3944" spans="1:4" x14ac:dyDescent="0.3">
      <c r="A3944" s="58">
        <v>4102703</v>
      </c>
      <c r="B3944" s="58" t="s">
        <v>4816</v>
      </c>
      <c r="C3944" s="59">
        <v>-23.120592728097556</v>
      </c>
      <c r="D3944" s="59">
        <v>-50.187736761633872</v>
      </c>
    </row>
    <row r="3945" spans="1:4" x14ac:dyDescent="0.3">
      <c r="A3945" s="58">
        <v>4102752</v>
      </c>
      <c r="B3945" s="58" t="s">
        <v>4817</v>
      </c>
      <c r="C3945" s="59">
        <v>-25.879493322250802</v>
      </c>
      <c r="D3945" s="59">
        <v>-53.666042628489571</v>
      </c>
    </row>
    <row r="3946" spans="1:4" x14ac:dyDescent="0.3">
      <c r="A3946" s="58">
        <v>4102802</v>
      </c>
      <c r="B3946" s="58" t="s">
        <v>4818</v>
      </c>
      <c r="C3946" s="59">
        <v>-22.99208753123327</v>
      </c>
      <c r="D3946" s="59">
        <v>-51.194145032894674</v>
      </c>
    </row>
    <row r="3947" spans="1:4" x14ac:dyDescent="0.3">
      <c r="A3947" s="58">
        <v>4102901</v>
      </c>
      <c r="B3947" s="58" t="s">
        <v>4819</v>
      </c>
      <c r="C3947" s="59">
        <v>-26.160794475840653</v>
      </c>
      <c r="D3947" s="59">
        <v>-51.556525257464891</v>
      </c>
    </row>
    <row r="3948" spans="1:4" x14ac:dyDescent="0.3">
      <c r="A3948" s="58">
        <v>4103008</v>
      </c>
      <c r="B3948" s="58" t="s">
        <v>3248</v>
      </c>
      <c r="C3948" s="59">
        <v>-24.239493159246155</v>
      </c>
      <c r="D3948" s="59">
        <v>-52.792777459296104</v>
      </c>
    </row>
    <row r="3949" spans="1:4" x14ac:dyDescent="0.3">
      <c r="A3949" s="58">
        <v>4103024</v>
      </c>
      <c r="B3949" s="58" t="s">
        <v>4820</v>
      </c>
      <c r="C3949" s="59">
        <v>-25.63587315939666</v>
      </c>
      <c r="D3949" s="59">
        <v>-53.217160074941582</v>
      </c>
    </row>
    <row r="3950" spans="1:4" x14ac:dyDescent="0.3">
      <c r="A3950" s="58">
        <v>4103040</v>
      </c>
      <c r="B3950" s="58" t="s">
        <v>4821</v>
      </c>
      <c r="C3950" s="59">
        <v>-24.87851758615275</v>
      </c>
      <c r="D3950" s="59">
        <v>-51.539373837031476</v>
      </c>
    </row>
    <row r="3951" spans="1:4" x14ac:dyDescent="0.3">
      <c r="A3951" s="58">
        <v>4103057</v>
      </c>
      <c r="B3951" s="58" t="s">
        <v>4822</v>
      </c>
      <c r="C3951" s="59">
        <v>-25.430404944323804</v>
      </c>
      <c r="D3951" s="59">
        <v>-53.411736489036954</v>
      </c>
    </row>
    <row r="3952" spans="1:4" x14ac:dyDescent="0.3">
      <c r="A3952" s="58">
        <v>4103107</v>
      </c>
      <c r="B3952" s="58" t="s">
        <v>4823</v>
      </c>
      <c r="C3952" s="59">
        <v>-25.214901583690253</v>
      </c>
      <c r="D3952" s="59">
        <v>-49.1057874827993</v>
      </c>
    </row>
    <row r="3953" spans="1:4" x14ac:dyDescent="0.3">
      <c r="A3953" s="58">
        <v>4103156</v>
      </c>
      <c r="B3953" s="58" t="s">
        <v>4824</v>
      </c>
      <c r="C3953" s="59">
        <v>-26.192874969265105</v>
      </c>
      <c r="D3953" s="59">
        <v>-53.599599969470184</v>
      </c>
    </row>
    <row r="3954" spans="1:4" x14ac:dyDescent="0.3">
      <c r="A3954" s="58">
        <v>4103206</v>
      </c>
      <c r="B3954" s="58" t="s">
        <v>2274</v>
      </c>
      <c r="C3954" s="59">
        <v>-23.707437018029953</v>
      </c>
      <c r="D3954" s="59">
        <v>-51.76446544467742</v>
      </c>
    </row>
    <row r="3955" spans="1:4" x14ac:dyDescent="0.3">
      <c r="A3955" s="58">
        <v>4103222</v>
      </c>
      <c r="B3955" s="58" t="s">
        <v>4825</v>
      </c>
      <c r="C3955" s="59">
        <v>-26.074537140289152</v>
      </c>
      <c r="D3955" s="59">
        <v>-52.831976272065781</v>
      </c>
    </row>
    <row r="3956" spans="1:4" x14ac:dyDescent="0.3">
      <c r="A3956" s="58">
        <v>4103305</v>
      </c>
      <c r="B3956" s="58" t="s">
        <v>4826</v>
      </c>
      <c r="C3956" s="59">
        <v>-23.937854194705906</v>
      </c>
      <c r="D3956" s="59">
        <v>-51.584409096929114</v>
      </c>
    </row>
    <row r="3957" spans="1:4" x14ac:dyDescent="0.3">
      <c r="A3957" s="58">
        <v>4103354</v>
      </c>
      <c r="B3957" s="58" t="s">
        <v>4827</v>
      </c>
      <c r="C3957" s="59">
        <v>-24.814894632632505</v>
      </c>
      <c r="D3957" s="59">
        <v>-53.121073664967206</v>
      </c>
    </row>
    <row r="3958" spans="1:4" x14ac:dyDescent="0.3">
      <c r="A3958" s="58">
        <v>4103370</v>
      </c>
      <c r="B3958" s="58" t="s">
        <v>4828</v>
      </c>
      <c r="C3958" s="59">
        <v>-24.193846281177404</v>
      </c>
      <c r="D3958" s="59">
        <v>-53.52404181355665</v>
      </c>
    </row>
    <row r="3959" spans="1:4" x14ac:dyDescent="0.3">
      <c r="A3959" s="58">
        <v>4103404</v>
      </c>
      <c r="B3959" s="58" t="s">
        <v>4829</v>
      </c>
      <c r="C3959" s="59">
        <v>-22.788235240971005</v>
      </c>
      <c r="D3959" s="59">
        <v>-51.715005508507623</v>
      </c>
    </row>
    <row r="3960" spans="1:4" x14ac:dyDescent="0.3">
      <c r="A3960" s="58">
        <v>4103453</v>
      </c>
      <c r="B3960" s="58" t="s">
        <v>4262</v>
      </c>
      <c r="C3960" s="59">
        <v>-24.615666976134257</v>
      </c>
      <c r="D3960" s="59">
        <v>-53.324916478430218</v>
      </c>
    </row>
    <row r="3961" spans="1:4" x14ac:dyDescent="0.3">
      <c r="A3961" s="58">
        <v>4103479</v>
      </c>
      <c r="B3961" s="58" t="s">
        <v>4830</v>
      </c>
      <c r="C3961" s="59">
        <v>-23.904704471239601</v>
      </c>
      <c r="D3961" s="59">
        <v>-53.511064854167167</v>
      </c>
    </row>
    <row r="3962" spans="1:4" x14ac:dyDescent="0.3">
      <c r="A3962" s="58">
        <v>4103503</v>
      </c>
      <c r="B3962" s="58" t="s">
        <v>4831</v>
      </c>
      <c r="C3962" s="59">
        <v>-23.66614388377041</v>
      </c>
      <c r="D3962" s="59">
        <v>-51.358085553085303</v>
      </c>
    </row>
    <row r="3963" spans="1:4" x14ac:dyDescent="0.3">
      <c r="A3963" s="58">
        <v>4103602</v>
      </c>
      <c r="B3963" s="58" t="s">
        <v>4832</v>
      </c>
      <c r="C3963" s="59">
        <v>-23.041266480000001</v>
      </c>
      <c r="D3963" s="59">
        <v>-50.077570722553546</v>
      </c>
    </row>
    <row r="3964" spans="1:4" x14ac:dyDescent="0.3">
      <c r="A3964" s="58">
        <v>4103701</v>
      </c>
      <c r="B3964" s="58" t="s">
        <v>4833</v>
      </c>
      <c r="C3964" s="59">
        <v>-23.281632000000009</v>
      </c>
      <c r="D3964" s="59">
        <v>-51.277728442331366</v>
      </c>
    </row>
    <row r="3965" spans="1:4" x14ac:dyDescent="0.3">
      <c r="A3965" s="58">
        <v>4103800</v>
      </c>
      <c r="B3965" s="58" t="s">
        <v>4834</v>
      </c>
      <c r="C3965" s="59">
        <v>-23.600611880211407</v>
      </c>
      <c r="D3965" s="59">
        <v>-51.581630613372091</v>
      </c>
    </row>
    <row r="3966" spans="1:4" x14ac:dyDescent="0.3">
      <c r="A3966" s="58">
        <v>4103909</v>
      </c>
      <c r="B3966" s="58" t="s">
        <v>4835</v>
      </c>
      <c r="C3966" s="59">
        <v>-24.594956582033454</v>
      </c>
      <c r="D3966" s="59">
        <v>-52.813564154600869</v>
      </c>
    </row>
    <row r="3967" spans="1:4" x14ac:dyDescent="0.3">
      <c r="A3967" s="58">
        <v>4103958</v>
      </c>
      <c r="B3967" s="58" t="s">
        <v>4836</v>
      </c>
      <c r="C3967" s="59">
        <v>-25.102578469803056</v>
      </c>
      <c r="D3967" s="59">
        <v>-51.814786532091588</v>
      </c>
    </row>
    <row r="3968" spans="1:4" x14ac:dyDescent="0.3">
      <c r="A3968" s="58">
        <v>4104006</v>
      </c>
      <c r="B3968" s="58" t="s">
        <v>4837</v>
      </c>
      <c r="C3968" s="59">
        <v>-25.303247505000009</v>
      </c>
      <c r="D3968" s="59">
        <v>-49.053465872357187</v>
      </c>
    </row>
    <row r="3969" spans="1:4" x14ac:dyDescent="0.3">
      <c r="A3969" s="58">
        <v>4104055</v>
      </c>
      <c r="B3969" s="58" t="s">
        <v>4838</v>
      </c>
      <c r="C3969" s="59">
        <v>-25.039634482789673</v>
      </c>
      <c r="D3969" s="59">
        <v>-52.996869603650239</v>
      </c>
    </row>
    <row r="3970" spans="1:4" x14ac:dyDescent="0.3">
      <c r="A3970" s="58">
        <v>4104105</v>
      </c>
      <c r="B3970" s="58" t="s">
        <v>4839</v>
      </c>
      <c r="C3970" s="59">
        <v>-25.981005657724257</v>
      </c>
      <c r="D3970" s="59">
        <v>-49.690376940235645</v>
      </c>
    </row>
    <row r="3971" spans="1:4" x14ac:dyDescent="0.3">
      <c r="A3971" s="58">
        <v>4104204</v>
      </c>
      <c r="B3971" s="58" t="s">
        <v>4840</v>
      </c>
      <c r="C3971" s="59">
        <v>-25.459490500000001</v>
      </c>
      <c r="D3971" s="59">
        <v>-49.528841450335605</v>
      </c>
    </row>
    <row r="3972" spans="1:4" x14ac:dyDescent="0.3">
      <c r="A3972" s="58">
        <v>4104253</v>
      </c>
      <c r="B3972" s="58" t="s">
        <v>4841</v>
      </c>
      <c r="C3972" s="59">
        <v>-25.367956500000005</v>
      </c>
      <c r="D3972" s="59">
        <v>-49.427664967989536</v>
      </c>
    </row>
    <row r="3973" spans="1:4" x14ac:dyDescent="0.3">
      <c r="A3973" s="58">
        <v>4104303</v>
      </c>
      <c r="B3973" s="58" t="s">
        <v>4842</v>
      </c>
      <c r="C3973" s="59">
        <v>-24.041223196719816</v>
      </c>
      <c r="D3973" s="59">
        <v>-52.381115085564687</v>
      </c>
    </row>
    <row r="3974" spans="1:4" x14ac:dyDescent="0.3">
      <c r="A3974" s="58">
        <v>4104402</v>
      </c>
      <c r="B3974" s="58" t="s">
        <v>4843</v>
      </c>
      <c r="C3974" s="59">
        <v>-24.564669119896056</v>
      </c>
      <c r="D3974" s="59">
        <v>-51.332580508390542</v>
      </c>
    </row>
    <row r="3975" spans="1:4" x14ac:dyDescent="0.3">
      <c r="A3975" s="58">
        <v>4104428</v>
      </c>
      <c r="B3975" s="58" t="s">
        <v>4844</v>
      </c>
      <c r="C3975" s="59">
        <v>-25.56793184584361</v>
      </c>
      <c r="D3975" s="59">
        <v>-52.055446404783247</v>
      </c>
    </row>
    <row r="3976" spans="1:4" x14ac:dyDescent="0.3">
      <c r="A3976" s="58">
        <v>4104451</v>
      </c>
      <c r="B3976" s="58" t="s">
        <v>3297</v>
      </c>
      <c r="C3976" s="59">
        <v>-25.374317386040754</v>
      </c>
      <c r="D3976" s="59">
        <v>-52.126687634942286</v>
      </c>
    </row>
    <row r="3977" spans="1:4" x14ac:dyDescent="0.3">
      <c r="A3977" s="58">
        <v>4104501</v>
      </c>
      <c r="B3977" s="58" t="s">
        <v>1218</v>
      </c>
      <c r="C3977" s="59">
        <v>-25.682977417434003</v>
      </c>
      <c r="D3977" s="59">
        <v>-53.800178695011496</v>
      </c>
    </row>
    <row r="3978" spans="1:4" x14ac:dyDescent="0.3">
      <c r="A3978" s="58">
        <v>4104600</v>
      </c>
      <c r="B3978" s="58" t="s">
        <v>4845</v>
      </c>
      <c r="C3978" s="59">
        <v>-25.479468484517351</v>
      </c>
      <c r="D3978" s="59">
        <v>-53.617211010761949</v>
      </c>
    </row>
    <row r="3979" spans="1:4" x14ac:dyDescent="0.3">
      <c r="A3979" s="58">
        <v>4104659</v>
      </c>
      <c r="B3979" s="58" t="s">
        <v>4846</v>
      </c>
      <c r="C3979" s="59">
        <v>-24.950872979957005</v>
      </c>
      <c r="D3979" s="59">
        <v>-50.113091511504123</v>
      </c>
    </row>
    <row r="3980" spans="1:4" x14ac:dyDescent="0.3">
      <c r="A3980" s="58">
        <v>4104709</v>
      </c>
      <c r="B3980" s="58" t="s">
        <v>4847</v>
      </c>
      <c r="C3980" s="59">
        <v>-23.427723925035156</v>
      </c>
      <c r="D3980" s="59">
        <v>-49.718723529886226</v>
      </c>
    </row>
    <row r="3981" spans="1:4" x14ac:dyDescent="0.3">
      <c r="A3981" s="58">
        <v>4104808</v>
      </c>
      <c r="B3981" s="58" t="s">
        <v>1946</v>
      </c>
      <c r="C3981" s="59">
        <v>-24.953797500000007</v>
      </c>
      <c r="D3981" s="59">
        <v>-53.459722181985647</v>
      </c>
    </row>
    <row r="3982" spans="1:4" x14ac:dyDescent="0.3">
      <c r="A3982" s="58">
        <v>4104907</v>
      </c>
      <c r="B3982" s="58" t="s">
        <v>4848</v>
      </c>
      <c r="C3982" s="59">
        <v>-24.795417500000003</v>
      </c>
      <c r="D3982" s="59">
        <v>-50.002811127761092</v>
      </c>
    </row>
    <row r="3983" spans="1:4" x14ac:dyDescent="0.3">
      <c r="A3983" s="58">
        <v>4105003</v>
      </c>
      <c r="B3983" s="58" t="s">
        <v>4849</v>
      </c>
      <c r="C3983" s="59">
        <v>-25.196493249460755</v>
      </c>
      <c r="D3983" s="59">
        <v>-53.153706366849548</v>
      </c>
    </row>
    <row r="3984" spans="1:4" x14ac:dyDescent="0.3">
      <c r="A3984" s="58">
        <v>4105102</v>
      </c>
      <c r="B3984" s="58" t="s">
        <v>4850</v>
      </c>
      <c r="C3984" s="59">
        <v>-22.814982350949354</v>
      </c>
      <c r="D3984" s="59">
        <v>-51.593529560015064</v>
      </c>
    </row>
    <row r="3985" spans="1:4" x14ac:dyDescent="0.3">
      <c r="A3985" s="58">
        <v>4105201</v>
      </c>
      <c r="B3985" s="58" t="s">
        <v>4851</v>
      </c>
      <c r="C3985" s="59">
        <v>-24.818947302785951</v>
      </c>
      <c r="D3985" s="59">
        <v>-49.260316825906436</v>
      </c>
    </row>
    <row r="3986" spans="1:4" x14ac:dyDescent="0.3">
      <c r="A3986" s="58">
        <v>4105300</v>
      </c>
      <c r="B3986" s="58" t="s">
        <v>4852</v>
      </c>
      <c r="C3986" s="59">
        <v>-25.149761209312409</v>
      </c>
      <c r="D3986" s="59">
        <v>-53.857269383067369</v>
      </c>
    </row>
    <row r="3987" spans="1:4" x14ac:dyDescent="0.3">
      <c r="A3987" s="58">
        <v>4105409</v>
      </c>
      <c r="B3987" s="58" t="s">
        <v>4853</v>
      </c>
      <c r="C3987" s="59">
        <v>-25.854683848765855</v>
      </c>
      <c r="D3987" s="59">
        <v>-52.533960207499199</v>
      </c>
    </row>
    <row r="3988" spans="1:4" x14ac:dyDescent="0.3">
      <c r="A3988" s="58">
        <v>4105508</v>
      </c>
      <c r="B3988" s="58" t="s">
        <v>4854</v>
      </c>
      <c r="C3988" s="59">
        <v>-23.653813152827507</v>
      </c>
      <c r="D3988" s="59">
        <v>-52.609150890556116</v>
      </c>
    </row>
    <row r="3989" spans="1:4" x14ac:dyDescent="0.3">
      <c r="A3989" s="58">
        <v>4105607</v>
      </c>
      <c r="B3989" s="58" t="s">
        <v>4855</v>
      </c>
      <c r="C3989" s="59">
        <v>-23.374197386554503</v>
      </c>
      <c r="D3989" s="59">
        <v>-52.940525149060996</v>
      </c>
    </row>
    <row r="3990" spans="1:4" x14ac:dyDescent="0.3">
      <c r="A3990" s="58">
        <v>4105706</v>
      </c>
      <c r="B3990" s="58" t="s">
        <v>4856</v>
      </c>
      <c r="C3990" s="59">
        <v>-26.405205293361451</v>
      </c>
      <c r="D3990" s="59">
        <v>-52.352986201218016</v>
      </c>
    </row>
    <row r="3991" spans="1:4" x14ac:dyDescent="0.3">
      <c r="A3991" s="58">
        <v>4105805</v>
      </c>
      <c r="B3991" s="58" t="s">
        <v>4857</v>
      </c>
      <c r="C3991" s="59">
        <v>-25.294340294536052</v>
      </c>
      <c r="D3991" s="59">
        <v>-49.227437977272707</v>
      </c>
    </row>
    <row r="3992" spans="1:4" x14ac:dyDescent="0.3">
      <c r="A3992" s="58">
        <v>4105904</v>
      </c>
      <c r="B3992" s="58" t="s">
        <v>4858</v>
      </c>
      <c r="C3992" s="59">
        <v>-22.837897530000003</v>
      </c>
      <c r="D3992" s="59">
        <v>-51.97441621213833</v>
      </c>
    </row>
    <row r="3993" spans="1:4" x14ac:dyDescent="0.3">
      <c r="A3993" s="58">
        <v>4106001</v>
      </c>
      <c r="B3993" s="58" t="s">
        <v>4859</v>
      </c>
      <c r="C3993" s="59">
        <v>-23.546902102216556</v>
      </c>
      <c r="D3993" s="59">
        <v>-50.554428047044702</v>
      </c>
    </row>
    <row r="3994" spans="1:4" x14ac:dyDescent="0.3">
      <c r="A3994" s="58">
        <v>4106100</v>
      </c>
      <c r="B3994" s="58" t="s">
        <v>4860</v>
      </c>
      <c r="C3994" s="59">
        <v>-23.621561714248656</v>
      </c>
      <c r="D3994" s="59">
        <v>-50.171773002410305</v>
      </c>
    </row>
    <row r="3995" spans="1:4" x14ac:dyDescent="0.3">
      <c r="A3995" s="58">
        <v>4106209</v>
      </c>
      <c r="B3995" s="58" t="s">
        <v>4861</v>
      </c>
      <c r="C3995" s="59">
        <v>-25.680766309590052</v>
      </c>
      <c r="D3995" s="59">
        <v>-49.531611869695631</v>
      </c>
    </row>
    <row r="3996" spans="1:4" x14ac:dyDescent="0.3">
      <c r="A3996" s="58">
        <v>4106308</v>
      </c>
      <c r="B3996" s="58" t="s">
        <v>4862</v>
      </c>
      <c r="C3996" s="59">
        <v>-24.799649515973158</v>
      </c>
      <c r="D3996" s="59">
        <v>-53.296527776996783</v>
      </c>
    </row>
    <row r="3997" spans="1:4" x14ac:dyDescent="0.3">
      <c r="A3997" s="58">
        <v>4106407</v>
      </c>
      <c r="B3997" s="58" t="s">
        <v>4863</v>
      </c>
      <c r="C3997" s="59">
        <v>-23.183257500000003</v>
      </c>
      <c r="D3997" s="59">
        <v>-50.651484478336506</v>
      </c>
    </row>
    <row r="3998" spans="1:4" x14ac:dyDescent="0.3">
      <c r="A3998" s="58">
        <v>4106456</v>
      </c>
      <c r="B3998" s="58" t="s">
        <v>4864</v>
      </c>
      <c r="C3998" s="59">
        <v>-26.226547768445606</v>
      </c>
      <c r="D3998" s="59">
        <v>-52.034538676173483</v>
      </c>
    </row>
    <row r="3999" spans="1:4" x14ac:dyDescent="0.3">
      <c r="A3999" s="58">
        <v>4106506</v>
      </c>
      <c r="B3999" s="58" t="s">
        <v>4865</v>
      </c>
      <c r="C3999" s="59">
        <v>-25.9781534980571</v>
      </c>
      <c r="D3999" s="59">
        <v>-52.567086635375972</v>
      </c>
    </row>
    <row r="4000" spans="1:4" x14ac:dyDescent="0.3">
      <c r="A4000" s="58">
        <v>4106555</v>
      </c>
      <c r="B4000" s="58" t="s">
        <v>4866</v>
      </c>
      <c r="C4000" s="59">
        <v>-24.097412385248955</v>
      </c>
      <c r="D4000" s="59">
        <v>-52.124185300379843</v>
      </c>
    </row>
    <row r="4001" spans="1:4" x14ac:dyDescent="0.3">
      <c r="A4001" s="58">
        <v>4106571</v>
      </c>
      <c r="B4001" s="58" t="s">
        <v>4867</v>
      </c>
      <c r="C4001" s="59">
        <v>-25.616569270286501</v>
      </c>
      <c r="D4001" s="59">
        <v>-53.126822663784182</v>
      </c>
    </row>
    <row r="4002" spans="1:4" x14ac:dyDescent="0.3">
      <c r="A4002" s="58">
        <v>4106605</v>
      </c>
      <c r="B4002" s="58" t="s">
        <v>4868</v>
      </c>
      <c r="C4002" s="59">
        <v>-23.776904860657055</v>
      </c>
      <c r="D4002" s="59">
        <v>-53.081821607622082</v>
      </c>
    </row>
    <row r="4003" spans="1:4" x14ac:dyDescent="0.3">
      <c r="A4003" s="58">
        <v>4106704</v>
      </c>
      <c r="B4003" s="58" t="s">
        <v>1093</v>
      </c>
      <c r="C4003" s="59">
        <v>-22.965175419540302</v>
      </c>
      <c r="D4003" s="59">
        <v>-52.163977669531022</v>
      </c>
    </row>
    <row r="4004" spans="1:4" x14ac:dyDescent="0.3">
      <c r="A4004" s="58">
        <v>4106803</v>
      </c>
      <c r="B4004" s="58" t="s">
        <v>4869</v>
      </c>
      <c r="C4004" s="59">
        <v>-26.017268878208306</v>
      </c>
      <c r="D4004" s="59">
        <v>-51.347709524611837</v>
      </c>
    </row>
    <row r="4005" spans="1:4" x14ac:dyDescent="0.3">
      <c r="A4005" s="58">
        <v>4106852</v>
      </c>
      <c r="B4005" s="58" t="s">
        <v>4870</v>
      </c>
      <c r="C4005" s="59">
        <v>-23.993327601892847</v>
      </c>
      <c r="D4005" s="59">
        <v>-51.444246648968594</v>
      </c>
    </row>
    <row r="4006" spans="1:4" x14ac:dyDescent="0.3">
      <c r="A4006" s="58">
        <v>4106902</v>
      </c>
      <c r="B4006" s="58" t="s">
        <v>4871</v>
      </c>
      <c r="C4006" s="59">
        <v>-25.432956000000004</v>
      </c>
      <c r="D4006" s="59">
        <v>-49.27184788507742</v>
      </c>
    </row>
    <row r="4007" spans="1:4" x14ac:dyDescent="0.3">
      <c r="A4007" s="58">
        <v>4107009</v>
      </c>
      <c r="B4007" s="58" t="s">
        <v>4872</v>
      </c>
      <c r="C4007" s="59">
        <v>-24.03582558928775</v>
      </c>
      <c r="D4007" s="59">
        <v>-50.459405524487686</v>
      </c>
    </row>
    <row r="4008" spans="1:4" x14ac:dyDescent="0.3">
      <c r="A4008" s="58">
        <v>4107108</v>
      </c>
      <c r="B4008" s="58" t="s">
        <v>4873</v>
      </c>
      <c r="C4008" s="59">
        <v>-22.657206150202203</v>
      </c>
      <c r="D4008" s="59">
        <v>-52.864111238707871</v>
      </c>
    </row>
    <row r="4009" spans="1:4" x14ac:dyDescent="0.3">
      <c r="A4009" s="58">
        <v>4107124</v>
      </c>
      <c r="B4009" s="58" t="s">
        <v>4874</v>
      </c>
      <c r="C4009" s="59">
        <v>-25.035191928310155</v>
      </c>
      <c r="D4009" s="59">
        <v>-52.688190761331775</v>
      </c>
    </row>
    <row r="4010" spans="1:4" x14ac:dyDescent="0.3">
      <c r="A4010" s="58">
        <v>4107157</v>
      </c>
      <c r="B4010" s="58" t="s">
        <v>4875</v>
      </c>
      <c r="C4010" s="59">
        <v>-24.942161855615904</v>
      </c>
      <c r="D4010" s="59">
        <v>-54.103626427688333</v>
      </c>
    </row>
    <row r="4011" spans="1:4" x14ac:dyDescent="0.3">
      <c r="A4011" s="58">
        <v>4107207</v>
      </c>
      <c r="B4011" s="58" t="s">
        <v>4876</v>
      </c>
      <c r="C4011" s="59">
        <v>-25.746010020000003</v>
      </c>
      <c r="D4011" s="59">
        <v>-53.054835992434846</v>
      </c>
    </row>
    <row r="4012" spans="1:4" x14ac:dyDescent="0.3">
      <c r="A4012" s="58">
        <v>4107256</v>
      </c>
      <c r="B4012" s="58" t="s">
        <v>4877</v>
      </c>
      <c r="C4012" s="59">
        <v>-23.381907216165654</v>
      </c>
      <c r="D4012" s="59">
        <v>-53.296448655229348</v>
      </c>
    </row>
    <row r="4013" spans="1:4" x14ac:dyDescent="0.3">
      <c r="A4013" s="58">
        <v>4107306</v>
      </c>
      <c r="B4013" s="58" t="s">
        <v>4878</v>
      </c>
      <c r="C4013" s="59">
        <v>-23.555901326984401</v>
      </c>
      <c r="D4013" s="59">
        <v>-52.222721497069408</v>
      </c>
    </row>
    <row r="4014" spans="1:4" x14ac:dyDescent="0.3">
      <c r="A4014" s="58">
        <v>4107405</v>
      </c>
      <c r="B4014" s="58" t="s">
        <v>4879</v>
      </c>
      <c r="C4014" s="59">
        <v>-25.940755982709252</v>
      </c>
      <c r="D4014" s="59">
        <v>-53.166185268212956</v>
      </c>
    </row>
    <row r="4015" spans="1:4" x14ac:dyDescent="0.3">
      <c r="A4015" s="58">
        <v>4107504</v>
      </c>
      <c r="B4015" s="58" t="s">
        <v>4880</v>
      </c>
      <c r="C4015" s="59">
        <v>-23.801144070370007</v>
      </c>
      <c r="D4015" s="59">
        <v>-52.260035154759123</v>
      </c>
    </row>
    <row r="4016" spans="1:4" x14ac:dyDescent="0.3">
      <c r="A4016" s="58">
        <v>4107520</v>
      </c>
      <c r="B4016" s="58" t="s">
        <v>4881</v>
      </c>
      <c r="C4016" s="59">
        <v>-23.724654764877304</v>
      </c>
      <c r="D4016" s="59">
        <v>-53.810495038993054</v>
      </c>
    </row>
    <row r="4017" spans="1:4" x14ac:dyDescent="0.3">
      <c r="A4017" s="58">
        <v>4107538</v>
      </c>
      <c r="B4017" s="58" t="s">
        <v>4882</v>
      </c>
      <c r="C4017" s="59">
        <v>-24.708142170197455</v>
      </c>
      <c r="D4017" s="59">
        <v>-54.244893671488413</v>
      </c>
    </row>
    <row r="4018" spans="1:4" x14ac:dyDescent="0.3">
      <c r="A4018" s="58">
        <v>4107546</v>
      </c>
      <c r="B4018" s="58" t="s">
        <v>4883</v>
      </c>
      <c r="C4018" s="59">
        <v>-25.426670061699301</v>
      </c>
      <c r="D4018" s="59">
        <v>-52.838213498690209</v>
      </c>
    </row>
    <row r="4019" spans="1:4" x14ac:dyDescent="0.3">
      <c r="A4019" s="58">
        <v>4107553</v>
      </c>
      <c r="B4019" s="58" t="s">
        <v>4884</v>
      </c>
      <c r="C4019" s="59">
        <v>-24.099094618679405</v>
      </c>
      <c r="D4019" s="59">
        <v>-52.626215180210252</v>
      </c>
    </row>
    <row r="4020" spans="1:4" x14ac:dyDescent="0.3">
      <c r="A4020" s="58">
        <v>4107603</v>
      </c>
      <c r="B4020" s="58" t="s">
        <v>4885</v>
      </c>
      <c r="C4020" s="59">
        <v>-24.003927072227057</v>
      </c>
      <c r="D4020" s="59">
        <v>-51.320105931783907</v>
      </c>
    </row>
    <row r="4021" spans="1:4" x14ac:dyDescent="0.3">
      <c r="A4021" s="58">
        <v>4107652</v>
      </c>
      <c r="B4021" s="58" t="s">
        <v>4886</v>
      </c>
      <c r="C4021" s="59">
        <v>-25.6414002186938</v>
      </c>
      <c r="D4021" s="59">
        <v>-49.323293194711908</v>
      </c>
    </row>
    <row r="4022" spans="1:4" x14ac:dyDescent="0.3">
      <c r="A4022" s="58">
        <v>4107702</v>
      </c>
      <c r="B4022" s="58" t="s">
        <v>4887</v>
      </c>
      <c r="C4022" s="59">
        <v>-23.920694706580253</v>
      </c>
      <c r="D4022" s="59">
        <v>-51.984464486960192</v>
      </c>
    </row>
    <row r="4023" spans="1:4" x14ac:dyDescent="0.3">
      <c r="A4023" s="58">
        <v>4107736</v>
      </c>
      <c r="B4023" s="58" t="s">
        <v>4888</v>
      </c>
      <c r="C4023" s="59">
        <v>-25.412242297954155</v>
      </c>
      <c r="D4023" s="59">
        <v>-50.547414254410945</v>
      </c>
    </row>
    <row r="4024" spans="1:4" x14ac:dyDescent="0.3">
      <c r="A4024" s="58">
        <v>4107751</v>
      </c>
      <c r="B4024" s="58" t="s">
        <v>4889</v>
      </c>
      <c r="C4024" s="59">
        <v>-23.843410761938202</v>
      </c>
      <c r="D4024" s="59">
        <v>-50.409201091171113</v>
      </c>
    </row>
    <row r="4025" spans="1:4" x14ac:dyDescent="0.3">
      <c r="A4025" s="58">
        <v>4107801</v>
      </c>
      <c r="B4025" s="58" t="s">
        <v>4890</v>
      </c>
      <c r="C4025" s="59">
        <v>-23.319845663585543</v>
      </c>
      <c r="D4025" s="59">
        <v>-52.302984372981527</v>
      </c>
    </row>
    <row r="4026" spans="1:4" x14ac:dyDescent="0.3">
      <c r="A4026" s="58">
        <v>4107850</v>
      </c>
      <c r="B4026" s="58" t="s">
        <v>4891</v>
      </c>
      <c r="C4026" s="59">
        <v>-26.255298845927555</v>
      </c>
      <c r="D4026" s="59">
        <v>-53.308597681888507</v>
      </c>
    </row>
    <row r="4027" spans="1:4" x14ac:dyDescent="0.3">
      <c r="A4027" s="58">
        <v>4107900</v>
      </c>
      <c r="B4027" s="58" t="s">
        <v>2505</v>
      </c>
      <c r="C4027" s="59">
        <v>-23.610267139459154</v>
      </c>
      <c r="D4027" s="59">
        <v>-52.083084851525342</v>
      </c>
    </row>
    <row r="4028" spans="1:4" x14ac:dyDescent="0.3">
      <c r="A4028" s="58">
        <v>4108007</v>
      </c>
      <c r="B4028" s="58" t="s">
        <v>4892</v>
      </c>
      <c r="C4028" s="59">
        <v>-22.859104304429209</v>
      </c>
      <c r="D4028" s="59">
        <v>-51.383822651828176</v>
      </c>
    </row>
    <row r="4029" spans="1:4" x14ac:dyDescent="0.3">
      <c r="A4029" s="58">
        <v>4108106</v>
      </c>
      <c r="B4029" s="58" t="s">
        <v>4893</v>
      </c>
      <c r="C4029" s="59">
        <v>-23.087801909743703</v>
      </c>
      <c r="D4029" s="59">
        <v>-51.955828090972197</v>
      </c>
    </row>
    <row r="4030" spans="1:4" x14ac:dyDescent="0.3">
      <c r="A4030" s="58">
        <v>4108205</v>
      </c>
      <c r="B4030" s="58" t="s">
        <v>4894</v>
      </c>
      <c r="C4030" s="59">
        <v>-24.294197213727255</v>
      </c>
      <c r="D4030" s="59">
        <v>-53.316161010739521</v>
      </c>
    </row>
    <row r="4031" spans="1:4" x14ac:dyDescent="0.3">
      <c r="A4031" s="58">
        <v>4108304</v>
      </c>
      <c r="B4031" s="58" t="s">
        <v>4895</v>
      </c>
      <c r="C4031" s="59">
        <v>-25.542493279529253</v>
      </c>
      <c r="D4031" s="59">
        <v>-54.58710248860465</v>
      </c>
    </row>
    <row r="4032" spans="1:4" x14ac:dyDescent="0.3">
      <c r="A4032" s="58">
        <v>4108320</v>
      </c>
      <c r="B4032" s="58" t="s">
        <v>4896</v>
      </c>
      <c r="C4032" s="59">
        <v>-24.067575404387057</v>
      </c>
      <c r="D4032" s="59">
        <v>-53.844015967151329</v>
      </c>
    </row>
    <row r="4033" spans="1:4" x14ac:dyDescent="0.3">
      <c r="A4033" s="58">
        <v>4108403</v>
      </c>
      <c r="B4033" s="58" t="s">
        <v>4897</v>
      </c>
      <c r="C4033" s="59">
        <v>-26.078450000000004</v>
      </c>
      <c r="D4033" s="59">
        <v>-53.056135721489404</v>
      </c>
    </row>
    <row r="4034" spans="1:4" x14ac:dyDescent="0.3">
      <c r="A4034" s="58">
        <v>4108452</v>
      </c>
      <c r="B4034" s="58" t="s">
        <v>4898</v>
      </c>
      <c r="C4034" s="59">
        <v>-25.733439620259606</v>
      </c>
      <c r="D4034" s="59">
        <v>-52.125627531831078</v>
      </c>
    </row>
    <row r="4035" spans="1:4" x14ac:dyDescent="0.3">
      <c r="A4035" s="58">
        <v>4108502</v>
      </c>
      <c r="B4035" s="58" t="s">
        <v>4899</v>
      </c>
      <c r="C4035" s="59">
        <v>-26.4258025265901</v>
      </c>
      <c r="D4035" s="59">
        <v>-51.316858923239472</v>
      </c>
    </row>
    <row r="4036" spans="1:4" x14ac:dyDescent="0.3">
      <c r="A4036" s="58">
        <v>4108551</v>
      </c>
      <c r="B4036" s="58" t="s">
        <v>4900</v>
      </c>
      <c r="C4036" s="59">
        <v>-24.192859448596302</v>
      </c>
      <c r="D4036" s="59">
        <v>-51.924368216321668</v>
      </c>
    </row>
    <row r="4037" spans="1:4" x14ac:dyDescent="0.3">
      <c r="A4037" s="58">
        <v>4108601</v>
      </c>
      <c r="B4037" s="58" t="s">
        <v>4901</v>
      </c>
      <c r="C4037" s="59">
        <v>-24.189188393861755</v>
      </c>
      <c r="D4037" s="59">
        <v>-53.027318913300697</v>
      </c>
    </row>
    <row r="4038" spans="1:4" x14ac:dyDescent="0.3">
      <c r="A4038" s="58">
        <v>4108650</v>
      </c>
      <c r="B4038" s="58" t="s">
        <v>4902</v>
      </c>
      <c r="C4038" s="59">
        <v>-25.201540311103148</v>
      </c>
      <c r="D4038" s="59">
        <v>-52.005587966165173</v>
      </c>
    </row>
    <row r="4039" spans="1:4" x14ac:dyDescent="0.3">
      <c r="A4039" s="58">
        <v>4108700</v>
      </c>
      <c r="B4039" s="58" t="s">
        <v>4903</v>
      </c>
      <c r="C4039" s="59">
        <v>-24.146194012214103</v>
      </c>
      <c r="D4039" s="59">
        <v>-51.508742399126163</v>
      </c>
    </row>
    <row r="4040" spans="1:4" x14ac:dyDescent="0.3">
      <c r="A4040" s="58">
        <v>4108809</v>
      </c>
      <c r="B4040" s="58" t="s">
        <v>4360</v>
      </c>
      <c r="C4040" s="59">
        <v>-24.085275480000007</v>
      </c>
      <c r="D4040" s="59">
        <v>-54.246757720389333</v>
      </c>
    </row>
    <row r="4041" spans="1:4" x14ac:dyDescent="0.3">
      <c r="A4041" s="58">
        <v>4108908</v>
      </c>
      <c r="B4041" s="58" t="s">
        <v>4904</v>
      </c>
      <c r="C4041" s="59">
        <v>-22.938243947703253</v>
      </c>
      <c r="D4041" s="59">
        <v>-52.691039616351212</v>
      </c>
    </row>
    <row r="4042" spans="1:4" x14ac:dyDescent="0.3">
      <c r="A4042" s="58">
        <v>4108957</v>
      </c>
      <c r="B4042" s="58" t="s">
        <v>4905</v>
      </c>
      <c r="C4042" s="59">
        <v>-25.189909453630253</v>
      </c>
      <c r="D4042" s="59">
        <v>-50.809875900667691</v>
      </c>
    </row>
    <row r="4043" spans="1:4" x14ac:dyDescent="0.3">
      <c r="A4043" s="58">
        <v>4109005</v>
      </c>
      <c r="B4043" s="58" t="s">
        <v>4906</v>
      </c>
      <c r="C4043" s="59">
        <v>-23.516640242441902</v>
      </c>
      <c r="D4043" s="59">
        <v>-50.042613743996441</v>
      </c>
    </row>
    <row r="4044" spans="1:4" x14ac:dyDescent="0.3">
      <c r="A4044" s="58">
        <v>4109104</v>
      </c>
      <c r="B4044" s="58" t="s">
        <v>4907</v>
      </c>
      <c r="C4044" s="59">
        <v>-23.342984345103702</v>
      </c>
      <c r="D4044" s="59">
        <v>-52.778243782883948</v>
      </c>
    </row>
    <row r="4045" spans="1:4" x14ac:dyDescent="0.3">
      <c r="A4045" s="58">
        <v>4109203</v>
      </c>
      <c r="B4045" s="58" t="s">
        <v>4365</v>
      </c>
      <c r="C4045" s="59">
        <v>-22.974429267290304</v>
      </c>
      <c r="D4045" s="59">
        <v>-51.650385370856121</v>
      </c>
    </row>
    <row r="4046" spans="1:4" x14ac:dyDescent="0.3">
      <c r="A4046" s="58">
        <v>4109302</v>
      </c>
      <c r="B4046" s="58" t="s">
        <v>4908</v>
      </c>
      <c r="C4046" s="59">
        <v>-25.098649916570103</v>
      </c>
      <c r="D4046" s="59">
        <v>-52.869632439612481</v>
      </c>
    </row>
    <row r="4047" spans="1:4" x14ac:dyDescent="0.3">
      <c r="A4047" s="58">
        <v>4109401</v>
      </c>
      <c r="B4047" s="58" t="s">
        <v>4909</v>
      </c>
      <c r="C4047" s="59">
        <v>-25.393591980000004</v>
      </c>
      <c r="D4047" s="59">
        <v>-51.463431077674635</v>
      </c>
    </row>
    <row r="4048" spans="1:4" x14ac:dyDescent="0.3">
      <c r="A4048" s="58">
        <v>4109500</v>
      </c>
      <c r="B4048" s="58" t="s">
        <v>4910</v>
      </c>
      <c r="C4048" s="59">
        <v>-25.300437474393206</v>
      </c>
      <c r="D4048" s="59">
        <v>-48.326048932616438</v>
      </c>
    </row>
    <row r="4049" spans="1:4" x14ac:dyDescent="0.3">
      <c r="A4049" s="58">
        <v>4109609</v>
      </c>
      <c r="B4049" s="58" t="s">
        <v>4911</v>
      </c>
      <c r="C4049" s="59">
        <v>-25.874241975</v>
      </c>
      <c r="D4049" s="59">
        <v>-48.575725960442405</v>
      </c>
    </row>
    <row r="4050" spans="1:4" x14ac:dyDescent="0.3">
      <c r="A4050" s="58">
        <v>4109658</v>
      </c>
      <c r="B4050" s="58" t="s">
        <v>4912</v>
      </c>
      <c r="C4050" s="59">
        <v>-26.142966207004402</v>
      </c>
      <c r="D4050" s="59">
        <v>-52.383029056190175</v>
      </c>
    </row>
    <row r="4051" spans="1:4" x14ac:dyDescent="0.3">
      <c r="A4051" s="58">
        <v>4109708</v>
      </c>
      <c r="B4051" s="58" t="s">
        <v>4913</v>
      </c>
      <c r="C4051" s="59">
        <v>-23.849821485000003</v>
      </c>
      <c r="D4051" s="59">
        <v>-50.190666273554932</v>
      </c>
    </row>
    <row r="4052" spans="1:4" x14ac:dyDescent="0.3">
      <c r="A4052" s="58">
        <v>4109757</v>
      </c>
      <c r="B4052" s="58" t="s">
        <v>4914</v>
      </c>
      <c r="C4052" s="59">
        <v>-25.112867071159602</v>
      </c>
      <c r="D4052" s="59">
        <v>-53.023121693367109</v>
      </c>
    </row>
    <row r="4053" spans="1:4" x14ac:dyDescent="0.3">
      <c r="A4053" s="58">
        <v>4109807</v>
      </c>
      <c r="B4053" s="58" t="s">
        <v>4915</v>
      </c>
      <c r="C4053" s="59">
        <v>-23.269331475000005</v>
      </c>
      <c r="D4053" s="59">
        <v>-51.05803367397008</v>
      </c>
    </row>
    <row r="4054" spans="1:4" x14ac:dyDescent="0.3">
      <c r="A4054" s="58">
        <v>4109906</v>
      </c>
      <c r="B4054" s="58" t="s">
        <v>4916</v>
      </c>
      <c r="C4054" s="59">
        <v>-23.396711428005251</v>
      </c>
      <c r="D4054" s="59">
        <v>-53.625570162295865</v>
      </c>
    </row>
    <row r="4055" spans="1:4" x14ac:dyDescent="0.3">
      <c r="A4055" s="58">
        <v>4110003</v>
      </c>
      <c r="B4055" s="58" t="s">
        <v>4917</v>
      </c>
      <c r="C4055" s="59">
        <v>-23.194780608668651</v>
      </c>
      <c r="D4055" s="59">
        <v>-51.824774204626287</v>
      </c>
    </row>
    <row r="4056" spans="1:4" x14ac:dyDescent="0.3">
      <c r="A4056" s="58">
        <v>4110052</v>
      </c>
      <c r="B4056" s="58" t="s">
        <v>1982</v>
      </c>
      <c r="C4056" s="59">
        <v>-24.711261844441758</v>
      </c>
      <c r="D4056" s="59">
        <v>-53.08600507537831</v>
      </c>
    </row>
    <row r="4057" spans="1:4" x14ac:dyDescent="0.3">
      <c r="A4057" s="58">
        <v>4110078</v>
      </c>
      <c r="B4057" s="58" t="s">
        <v>4918</v>
      </c>
      <c r="C4057" s="59">
        <v>-24.442797083724354</v>
      </c>
      <c r="D4057" s="59">
        <v>-50.749308993549839</v>
      </c>
    </row>
    <row r="4058" spans="1:4" x14ac:dyDescent="0.3">
      <c r="A4058" s="58">
        <v>4110102</v>
      </c>
      <c r="B4058" s="58" t="s">
        <v>4919</v>
      </c>
      <c r="C4058" s="59">
        <v>-25.230613038222053</v>
      </c>
      <c r="D4058" s="59">
        <v>-50.597472966531306</v>
      </c>
    </row>
    <row r="4059" spans="1:4" x14ac:dyDescent="0.3">
      <c r="A4059" s="58">
        <v>4110201</v>
      </c>
      <c r="B4059" s="58" t="s">
        <v>4920</v>
      </c>
      <c r="C4059" s="59">
        <v>-25.572162686987056</v>
      </c>
      <c r="D4059" s="59">
        <v>-51.074945298712223</v>
      </c>
    </row>
    <row r="4060" spans="1:4" x14ac:dyDescent="0.3">
      <c r="A4060" s="58">
        <v>4110300</v>
      </c>
      <c r="B4060" s="58" t="s">
        <v>2518</v>
      </c>
      <c r="C4060" s="59">
        <v>-22.749116125109552</v>
      </c>
      <c r="D4060" s="59">
        <v>-52.202343750334627</v>
      </c>
    </row>
    <row r="4061" spans="1:4" x14ac:dyDescent="0.3">
      <c r="A4061" s="58">
        <v>4110409</v>
      </c>
      <c r="B4061" s="58" t="s">
        <v>3515</v>
      </c>
      <c r="C4061" s="59">
        <v>-23.479710501169901</v>
      </c>
      <c r="D4061" s="59">
        <v>-52.701056908157618</v>
      </c>
    </row>
    <row r="4062" spans="1:4" x14ac:dyDescent="0.3">
      <c r="A4062" s="58">
        <v>4110508</v>
      </c>
      <c r="B4062" s="58" t="s">
        <v>4921</v>
      </c>
      <c r="C4062" s="59">
        <v>-25.013022828232153</v>
      </c>
      <c r="D4062" s="59">
        <v>-50.581240134390612</v>
      </c>
    </row>
    <row r="4063" spans="1:4" x14ac:dyDescent="0.3">
      <c r="A4063" s="58">
        <v>4110607</v>
      </c>
      <c r="B4063" s="58" t="s">
        <v>4922</v>
      </c>
      <c r="C4063" s="59">
        <v>-24.002580498538002</v>
      </c>
      <c r="D4063" s="59">
        <v>-53.718099171440251</v>
      </c>
    </row>
    <row r="4064" spans="1:4" x14ac:dyDescent="0.3">
      <c r="A4064" s="58">
        <v>4110656</v>
      </c>
      <c r="B4064" s="58" t="s">
        <v>4923</v>
      </c>
      <c r="C4064" s="59">
        <v>-24.429030415295657</v>
      </c>
      <c r="D4064" s="59">
        <v>-53.358110555242966</v>
      </c>
    </row>
    <row r="4065" spans="1:4" x14ac:dyDescent="0.3">
      <c r="A4065" s="58">
        <v>4110706</v>
      </c>
      <c r="B4065" s="58" t="s">
        <v>4924</v>
      </c>
      <c r="C4065" s="59">
        <v>-25.473736298927303</v>
      </c>
      <c r="D4065" s="59">
        <v>-50.658048122773799</v>
      </c>
    </row>
    <row r="4066" spans="1:4" x14ac:dyDescent="0.3">
      <c r="A4066" s="58">
        <v>4110805</v>
      </c>
      <c r="B4066" s="58" t="s">
        <v>4925</v>
      </c>
      <c r="C4066" s="59">
        <v>-24.421141559377155</v>
      </c>
      <c r="D4066" s="59">
        <v>-52.101576622284021</v>
      </c>
    </row>
    <row r="4067" spans="1:4" x14ac:dyDescent="0.3">
      <c r="A4067" s="58">
        <v>4110904</v>
      </c>
      <c r="B4067" s="58" t="s">
        <v>4926</v>
      </c>
      <c r="C4067" s="59">
        <v>-22.614782675701957</v>
      </c>
      <c r="D4067" s="59">
        <v>-51.969340448861708</v>
      </c>
    </row>
    <row r="4068" spans="1:4" x14ac:dyDescent="0.3">
      <c r="A4068" s="58">
        <v>4110953</v>
      </c>
      <c r="B4068" s="58" t="s">
        <v>4927</v>
      </c>
      <c r="C4068" s="59">
        <v>-25.138480650961927</v>
      </c>
      <c r="D4068" s="59">
        <v>-54.305000742336134</v>
      </c>
    </row>
    <row r="4069" spans="1:4" x14ac:dyDescent="0.3">
      <c r="A4069" s="58">
        <v>4111001</v>
      </c>
      <c r="B4069" s="58" t="s">
        <v>4928</v>
      </c>
      <c r="C4069" s="59">
        <v>-23.014768508875104</v>
      </c>
      <c r="D4069" s="59">
        <v>-50.409090466832275</v>
      </c>
    </row>
    <row r="4070" spans="1:4" x14ac:dyDescent="0.3">
      <c r="A4070" s="58">
        <v>4111100</v>
      </c>
      <c r="B4070" s="58" t="s">
        <v>2525</v>
      </c>
      <c r="C4070" s="59">
        <v>-23.6600985811132</v>
      </c>
      <c r="D4070" s="59">
        <v>-51.990004314256758</v>
      </c>
    </row>
    <row r="4071" spans="1:4" x14ac:dyDescent="0.3">
      <c r="A4071" s="58">
        <v>4111209</v>
      </c>
      <c r="B4071" s="58" t="s">
        <v>4929</v>
      </c>
      <c r="C4071" s="59">
        <v>-25.970878051642956</v>
      </c>
      <c r="D4071" s="59">
        <v>-52.813929604511159</v>
      </c>
    </row>
    <row r="4072" spans="1:4" x14ac:dyDescent="0.3">
      <c r="A4072" s="58">
        <v>4111258</v>
      </c>
      <c r="B4072" s="58" t="s">
        <v>4930</v>
      </c>
      <c r="C4072" s="59">
        <v>-25.214469525000002</v>
      </c>
      <c r="D4072" s="59">
        <v>-49.342864343673838</v>
      </c>
    </row>
    <row r="4073" spans="1:4" x14ac:dyDescent="0.3">
      <c r="A4073" s="58">
        <v>4111308</v>
      </c>
      <c r="B4073" s="58" t="s">
        <v>4931</v>
      </c>
      <c r="C4073" s="59">
        <v>-22.726876927741454</v>
      </c>
      <c r="D4073" s="59">
        <v>-52.885024810501704</v>
      </c>
    </row>
    <row r="4074" spans="1:4" x14ac:dyDescent="0.3">
      <c r="A4074" s="58">
        <v>4111407</v>
      </c>
      <c r="B4074" s="58" t="s">
        <v>4932</v>
      </c>
      <c r="C4074" s="59">
        <v>-25.008262582518004</v>
      </c>
      <c r="D4074" s="59">
        <v>-50.861425704126624</v>
      </c>
    </row>
    <row r="4075" spans="1:4" x14ac:dyDescent="0.3">
      <c r="A4075" s="58">
        <v>4111506</v>
      </c>
      <c r="B4075" s="58" t="s">
        <v>4933</v>
      </c>
      <c r="C4075" s="59">
        <v>-24.241948020000006</v>
      </c>
      <c r="D4075" s="59">
        <v>-51.674552046811712</v>
      </c>
    </row>
    <row r="4076" spans="1:4" x14ac:dyDescent="0.3">
      <c r="A4076" s="58">
        <v>4111555</v>
      </c>
      <c r="B4076" s="58" t="s">
        <v>4934</v>
      </c>
      <c r="C4076" s="59">
        <v>-23.409588873951304</v>
      </c>
      <c r="D4076" s="59">
        <v>-53.373879405788827</v>
      </c>
    </row>
    <row r="4077" spans="1:4" x14ac:dyDescent="0.3">
      <c r="A4077" s="58">
        <v>4111605</v>
      </c>
      <c r="B4077" s="58" t="s">
        <v>4935</v>
      </c>
      <c r="C4077" s="59">
        <v>-23.618274411252155</v>
      </c>
      <c r="D4077" s="59">
        <v>-52.21766927904185</v>
      </c>
    </row>
    <row r="4078" spans="1:4" x14ac:dyDescent="0.3">
      <c r="A4078" s="58">
        <v>4111704</v>
      </c>
      <c r="B4078" s="58" t="s">
        <v>4936</v>
      </c>
      <c r="C4078" s="59">
        <v>-23.73574060116778</v>
      </c>
      <c r="D4078" s="59">
        <v>-50.073452549861493</v>
      </c>
    </row>
    <row r="4079" spans="1:4" x14ac:dyDescent="0.3">
      <c r="A4079" s="58">
        <v>4111803</v>
      </c>
      <c r="B4079" s="58" t="s">
        <v>4937</v>
      </c>
      <c r="C4079" s="59">
        <v>-23.160116475000006</v>
      </c>
      <c r="D4079" s="59">
        <v>-49.978572534325586</v>
      </c>
    </row>
    <row r="4080" spans="1:4" x14ac:dyDescent="0.3">
      <c r="A4080" s="58">
        <v>4111902</v>
      </c>
      <c r="B4080" s="58" t="s">
        <v>4938</v>
      </c>
      <c r="C4080" s="59">
        <v>-23.117782756585903</v>
      </c>
      <c r="D4080" s="59">
        <v>-51.540616845357079</v>
      </c>
    </row>
    <row r="4081" spans="1:4" x14ac:dyDescent="0.3">
      <c r="A4081" s="58">
        <v>4112009</v>
      </c>
      <c r="B4081" s="58" t="s">
        <v>4939</v>
      </c>
      <c r="C4081" s="59">
        <v>-24.253056500000003</v>
      </c>
      <c r="D4081" s="59">
        <v>-49.712186301960799</v>
      </c>
    </row>
    <row r="4082" spans="1:4" x14ac:dyDescent="0.3">
      <c r="A4082" s="58">
        <v>4112108</v>
      </c>
      <c r="B4082" s="58" t="s">
        <v>4940</v>
      </c>
      <c r="C4082" s="59">
        <v>-23.601178916091104</v>
      </c>
      <c r="D4082" s="59">
        <v>-51.643395362198405</v>
      </c>
    </row>
    <row r="4083" spans="1:4" x14ac:dyDescent="0.3">
      <c r="A4083" s="58">
        <v>4112207</v>
      </c>
      <c r="B4083" s="58" t="s">
        <v>4941</v>
      </c>
      <c r="C4083" s="59">
        <v>-24.141449941791059</v>
      </c>
      <c r="D4083" s="59">
        <v>-52.782551780045978</v>
      </c>
    </row>
    <row r="4084" spans="1:4" x14ac:dyDescent="0.3">
      <c r="A4084" s="58">
        <v>4112306</v>
      </c>
      <c r="B4084" s="58" t="s">
        <v>4942</v>
      </c>
      <c r="C4084" s="59">
        <v>-23.807480526804355</v>
      </c>
      <c r="D4084" s="59">
        <v>-50.138595119417772</v>
      </c>
    </row>
    <row r="4085" spans="1:4" x14ac:dyDescent="0.3">
      <c r="A4085" s="58">
        <v>4112405</v>
      </c>
      <c r="B4085" s="58" t="s">
        <v>1141</v>
      </c>
      <c r="C4085" s="59">
        <v>-23.468587772557804</v>
      </c>
      <c r="D4085" s="59">
        <v>-52.55662767154643</v>
      </c>
    </row>
    <row r="4086" spans="1:4" x14ac:dyDescent="0.3">
      <c r="A4086" s="58">
        <v>4112504</v>
      </c>
      <c r="B4086" s="58" t="s">
        <v>4943</v>
      </c>
      <c r="C4086" s="59">
        <v>-24.181137445563206</v>
      </c>
      <c r="D4086" s="59">
        <v>-51.694335008394653</v>
      </c>
    </row>
    <row r="4087" spans="1:4" x14ac:dyDescent="0.3">
      <c r="A4087" s="58">
        <v>4112603</v>
      </c>
      <c r="B4087" s="58" t="s">
        <v>4944</v>
      </c>
      <c r="C4087" s="59">
        <v>-22.552631600182405</v>
      </c>
      <c r="D4087" s="59">
        <v>-52.03814096409085</v>
      </c>
    </row>
    <row r="4088" spans="1:4" x14ac:dyDescent="0.3">
      <c r="A4088" s="58">
        <v>4112702</v>
      </c>
      <c r="B4088" s="58" t="s">
        <v>4945</v>
      </c>
      <c r="C4088" s="59">
        <v>-23.257265121514951</v>
      </c>
      <c r="D4088" s="59">
        <v>-50.974054845133807</v>
      </c>
    </row>
    <row r="4089" spans="1:4" x14ac:dyDescent="0.3">
      <c r="A4089" s="58">
        <v>4112751</v>
      </c>
      <c r="B4089" s="58" t="s">
        <v>4946</v>
      </c>
      <c r="C4089" s="59">
        <v>-24.377248909727204</v>
      </c>
      <c r="D4089" s="59">
        <v>-53.388114880019081</v>
      </c>
    </row>
    <row r="4090" spans="1:4" x14ac:dyDescent="0.3">
      <c r="A4090" s="58">
        <v>4112801</v>
      </c>
      <c r="B4090" s="58" t="s">
        <v>4947</v>
      </c>
      <c r="C4090" s="59">
        <v>-23.500488524425705</v>
      </c>
      <c r="D4090" s="59">
        <v>-49.924456812840518</v>
      </c>
    </row>
    <row r="4091" spans="1:4" x14ac:dyDescent="0.3">
      <c r="A4091" s="58">
        <v>4112900</v>
      </c>
      <c r="B4091" s="58" t="s">
        <v>4948</v>
      </c>
      <c r="C4091" s="59">
        <v>-23.437909451052008</v>
      </c>
      <c r="D4091" s="59">
        <v>-50.249353565228432</v>
      </c>
    </row>
    <row r="4092" spans="1:4" x14ac:dyDescent="0.3">
      <c r="A4092" s="58">
        <v>4112959</v>
      </c>
      <c r="B4092" s="58" t="s">
        <v>4949</v>
      </c>
      <c r="C4092" s="59">
        <v>-24.416390649441205</v>
      </c>
      <c r="D4092" s="59">
        <v>-52.844486498262718</v>
      </c>
    </row>
    <row r="4093" spans="1:4" x14ac:dyDescent="0.3">
      <c r="A4093" s="58">
        <v>4113007</v>
      </c>
      <c r="B4093" s="58" t="s">
        <v>2990</v>
      </c>
      <c r="C4093" s="59">
        <v>-23.616326708786552</v>
      </c>
      <c r="D4093" s="59">
        <v>-52.473040804711189</v>
      </c>
    </row>
    <row r="4094" spans="1:4" x14ac:dyDescent="0.3">
      <c r="A4094" s="58">
        <v>4113106</v>
      </c>
      <c r="B4094" s="58" t="s">
        <v>4950</v>
      </c>
      <c r="C4094" s="59">
        <v>-23.823438879388153</v>
      </c>
      <c r="D4094" s="59">
        <v>-51.665141926704891</v>
      </c>
    </row>
    <row r="4095" spans="1:4" x14ac:dyDescent="0.3">
      <c r="A4095" s="58">
        <v>4113205</v>
      </c>
      <c r="B4095" s="58" t="s">
        <v>4951</v>
      </c>
      <c r="C4095" s="59">
        <v>-25.765102485000007</v>
      </c>
      <c r="D4095" s="59">
        <v>-49.718595808425114</v>
      </c>
    </row>
    <row r="4096" spans="1:4" x14ac:dyDescent="0.3">
      <c r="A4096" s="58">
        <v>4113254</v>
      </c>
      <c r="B4096" s="58" t="s">
        <v>3598</v>
      </c>
      <c r="C4096" s="59">
        <v>-24.888301583969156</v>
      </c>
      <c r="D4096" s="59">
        <v>-52.471666179083471</v>
      </c>
    </row>
    <row r="4097" spans="1:4" x14ac:dyDescent="0.3">
      <c r="A4097" s="58">
        <v>4113304</v>
      </c>
      <c r="B4097" s="58" t="s">
        <v>4952</v>
      </c>
      <c r="C4097" s="59">
        <v>-25.401681510166856</v>
      </c>
      <c r="D4097" s="59">
        <v>-52.408847423263715</v>
      </c>
    </row>
    <row r="4098" spans="1:4" x14ac:dyDescent="0.3">
      <c r="A4098" s="58">
        <v>4113403</v>
      </c>
      <c r="B4098" s="58" t="s">
        <v>4953</v>
      </c>
      <c r="C4098" s="59">
        <v>-23.07992249369175</v>
      </c>
      <c r="D4098" s="59">
        <v>-50.755124972907971</v>
      </c>
    </row>
    <row r="4099" spans="1:4" x14ac:dyDescent="0.3">
      <c r="A4099" s="58">
        <v>4113429</v>
      </c>
      <c r="B4099" s="58" t="s">
        <v>4954</v>
      </c>
      <c r="C4099" s="59">
        <v>-24.106766413317406</v>
      </c>
      <c r="D4099" s="59">
        <v>-51.6541506163069</v>
      </c>
    </row>
    <row r="4100" spans="1:4" x14ac:dyDescent="0.3">
      <c r="A4100" s="58">
        <v>4113452</v>
      </c>
      <c r="B4100" s="58" t="s">
        <v>4955</v>
      </c>
      <c r="C4100" s="59">
        <v>-25.255985125961708</v>
      </c>
      <c r="D4100" s="59">
        <v>-53.577125936279288</v>
      </c>
    </row>
    <row r="4101" spans="1:4" x14ac:dyDescent="0.3">
      <c r="A4101" s="58">
        <v>4113502</v>
      </c>
      <c r="B4101" s="58" t="s">
        <v>4956</v>
      </c>
      <c r="C4101" s="59">
        <v>-22.930228621853352</v>
      </c>
      <c r="D4101" s="59">
        <v>-53.134468959780065</v>
      </c>
    </row>
    <row r="4102" spans="1:4" x14ac:dyDescent="0.3">
      <c r="A4102" s="58">
        <v>4113601</v>
      </c>
      <c r="B4102" s="58" t="s">
        <v>4957</v>
      </c>
      <c r="C4102" s="59">
        <v>-23.004158076889052</v>
      </c>
      <c r="D4102" s="59">
        <v>-51.953749214227095</v>
      </c>
    </row>
    <row r="4103" spans="1:4" x14ac:dyDescent="0.3">
      <c r="A4103" s="58">
        <v>4113700</v>
      </c>
      <c r="B4103" s="58" t="s">
        <v>4958</v>
      </c>
      <c r="C4103" s="59">
        <v>-23.312156000000005</v>
      </c>
      <c r="D4103" s="59">
        <v>-51.162773423878093</v>
      </c>
    </row>
    <row r="4104" spans="1:4" x14ac:dyDescent="0.3">
      <c r="A4104" s="58">
        <v>4113734</v>
      </c>
      <c r="B4104" s="58" t="s">
        <v>4959</v>
      </c>
      <c r="C4104" s="59">
        <v>-24.280081412670153</v>
      </c>
      <c r="D4104" s="59">
        <v>-52.281905618338669</v>
      </c>
    </row>
    <row r="4105" spans="1:4" x14ac:dyDescent="0.3">
      <c r="A4105" s="58">
        <v>4113759</v>
      </c>
      <c r="B4105" s="58" t="s">
        <v>4960</v>
      </c>
      <c r="C4105" s="59">
        <v>-24.078046360676954</v>
      </c>
      <c r="D4105" s="59">
        <v>-51.744548386764926</v>
      </c>
    </row>
    <row r="4106" spans="1:4" x14ac:dyDescent="0.3">
      <c r="A4106" s="58">
        <v>4113809</v>
      </c>
      <c r="B4106" s="58" t="s">
        <v>4961</v>
      </c>
      <c r="C4106" s="59">
        <v>-22.751994522972605</v>
      </c>
      <c r="D4106" s="59">
        <v>-51.65687284023997</v>
      </c>
    </row>
    <row r="4107" spans="1:4" x14ac:dyDescent="0.3">
      <c r="A4107" s="58">
        <v>4113908</v>
      </c>
      <c r="B4107" s="58" t="s">
        <v>4962</v>
      </c>
      <c r="C4107" s="59">
        <v>-25.873788084527551</v>
      </c>
      <c r="D4107" s="59">
        <v>-50.827568622138358</v>
      </c>
    </row>
    <row r="4108" spans="1:4" x14ac:dyDescent="0.3">
      <c r="A4108" s="58">
        <v>4114005</v>
      </c>
      <c r="B4108" s="58" t="s">
        <v>4963</v>
      </c>
      <c r="C4108" s="59">
        <v>-24.321813080739556</v>
      </c>
      <c r="D4108" s="59">
        <v>-52.529094157547725</v>
      </c>
    </row>
    <row r="4109" spans="1:4" x14ac:dyDescent="0.3">
      <c r="A4109" s="58">
        <v>4114104</v>
      </c>
      <c r="B4109" s="58" t="s">
        <v>4964</v>
      </c>
      <c r="C4109" s="59">
        <v>-23.342789141822404</v>
      </c>
      <c r="D4109" s="59">
        <v>-52.094253060602576</v>
      </c>
    </row>
    <row r="4110" spans="1:4" x14ac:dyDescent="0.3">
      <c r="A4110" s="58">
        <v>4114203</v>
      </c>
      <c r="B4110" s="58" t="s">
        <v>4965</v>
      </c>
      <c r="C4110" s="59">
        <v>-23.517452000000006</v>
      </c>
      <c r="D4110" s="59">
        <v>-51.681252088428586</v>
      </c>
    </row>
    <row r="4111" spans="1:4" x14ac:dyDescent="0.3">
      <c r="A4111" s="58">
        <v>4114302</v>
      </c>
      <c r="B4111" s="58" t="s">
        <v>4966</v>
      </c>
      <c r="C4111" s="59">
        <v>-25.759620613093606</v>
      </c>
      <c r="D4111" s="59">
        <v>-49.322782597026368</v>
      </c>
    </row>
    <row r="4112" spans="1:4" x14ac:dyDescent="0.3">
      <c r="A4112" s="58">
        <v>4114351</v>
      </c>
      <c r="B4112" s="58" t="s">
        <v>4967</v>
      </c>
      <c r="C4112" s="59">
        <v>-26.143776872546404</v>
      </c>
      <c r="D4112" s="59">
        <v>-53.312582963054204</v>
      </c>
    </row>
    <row r="4113" spans="1:4" x14ac:dyDescent="0.3">
      <c r="A4113" s="58">
        <v>4114401</v>
      </c>
      <c r="B4113" s="58" t="s">
        <v>4968</v>
      </c>
      <c r="C4113" s="59">
        <v>-25.942981341552006</v>
      </c>
      <c r="D4113" s="59">
        <v>-52.17632582938969</v>
      </c>
    </row>
    <row r="4114" spans="1:4" x14ac:dyDescent="0.3">
      <c r="A4114" s="58">
        <v>4114500</v>
      </c>
      <c r="B4114" s="58" t="s">
        <v>4969</v>
      </c>
      <c r="C4114" s="59">
        <v>-24.521730877406853</v>
      </c>
      <c r="D4114" s="59">
        <v>-51.669078595070687</v>
      </c>
    </row>
    <row r="4115" spans="1:4" x14ac:dyDescent="0.3">
      <c r="A4115" s="58">
        <v>4114609</v>
      </c>
      <c r="B4115" s="58" t="s">
        <v>4970</v>
      </c>
      <c r="C4115" s="59">
        <v>-24.559254495000001</v>
      </c>
      <c r="D4115" s="59">
        <v>-54.060007816453101</v>
      </c>
    </row>
    <row r="4116" spans="1:4" x14ac:dyDescent="0.3">
      <c r="A4116" s="58">
        <v>4114708</v>
      </c>
      <c r="B4116" s="58" t="s">
        <v>4971</v>
      </c>
      <c r="C4116" s="59">
        <v>-23.617609656120607</v>
      </c>
      <c r="D4116" s="59">
        <v>-53.204819271189564</v>
      </c>
    </row>
    <row r="4117" spans="1:4" x14ac:dyDescent="0.3">
      <c r="A4117" s="58">
        <v>4114807</v>
      </c>
      <c r="B4117" s="58" t="s">
        <v>4972</v>
      </c>
      <c r="C4117" s="59">
        <v>-23.484758535000001</v>
      </c>
      <c r="D4117" s="59">
        <v>-51.798056913910365</v>
      </c>
    </row>
    <row r="4118" spans="1:4" x14ac:dyDescent="0.3">
      <c r="A4118" s="58">
        <v>4114906</v>
      </c>
      <c r="B4118" s="58" t="s">
        <v>4973</v>
      </c>
      <c r="C4118" s="59">
        <v>-23.745779092540349</v>
      </c>
      <c r="D4118" s="59">
        <v>-51.309290525713706</v>
      </c>
    </row>
    <row r="4119" spans="1:4" x14ac:dyDescent="0.3">
      <c r="A4119" s="58">
        <v>4115002</v>
      </c>
      <c r="B4119" s="58" t="s">
        <v>4974</v>
      </c>
      <c r="C4119" s="59">
        <v>-22.731825245130555</v>
      </c>
      <c r="D4119" s="59">
        <v>-53.037185884233423</v>
      </c>
    </row>
    <row r="4120" spans="1:4" x14ac:dyDescent="0.3">
      <c r="A4120" s="58">
        <v>4115101</v>
      </c>
      <c r="B4120" s="58" t="s">
        <v>4975</v>
      </c>
      <c r="C4120" s="59">
        <v>-24.003732629773708</v>
      </c>
      <c r="D4120" s="59">
        <v>-53.151525818894918</v>
      </c>
    </row>
    <row r="4121" spans="1:4" x14ac:dyDescent="0.3">
      <c r="A4121" s="58">
        <v>4115200</v>
      </c>
      <c r="B4121" s="58" t="s">
        <v>4976</v>
      </c>
      <c r="C4121" s="59">
        <v>-23.422280000000004</v>
      </c>
      <c r="D4121" s="59">
        <v>-51.939881870252066</v>
      </c>
    </row>
    <row r="4122" spans="1:4" x14ac:dyDescent="0.3">
      <c r="A4122" s="58">
        <v>4115309</v>
      </c>
      <c r="B4122" s="58" t="s">
        <v>4977</v>
      </c>
      <c r="C4122" s="59">
        <v>-26.355842742716799</v>
      </c>
      <c r="D4122" s="59">
        <v>-52.557748002064109</v>
      </c>
    </row>
    <row r="4123" spans="1:4" x14ac:dyDescent="0.3">
      <c r="A4123" s="58">
        <v>4115358</v>
      </c>
      <c r="B4123" s="58" t="s">
        <v>4978</v>
      </c>
      <c r="C4123" s="59">
        <v>-24.417208839252606</v>
      </c>
      <c r="D4123" s="59">
        <v>-53.833477782987799</v>
      </c>
    </row>
    <row r="4124" spans="1:4" x14ac:dyDescent="0.3">
      <c r="A4124" s="58">
        <v>4115408</v>
      </c>
      <c r="B4124" s="58" t="s">
        <v>4979</v>
      </c>
      <c r="C4124" s="59">
        <v>-26.148697192993247</v>
      </c>
      <c r="D4124" s="59">
        <v>-53.026183978257073</v>
      </c>
    </row>
    <row r="4125" spans="1:4" x14ac:dyDescent="0.3">
      <c r="A4125" s="58">
        <v>4115457</v>
      </c>
      <c r="B4125" s="58" t="s">
        <v>4980</v>
      </c>
      <c r="C4125" s="59">
        <v>-25.112212361330155</v>
      </c>
      <c r="D4125" s="59">
        <v>-52.256982952773477</v>
      </c>
    </row>
    <row r="4126" spans="1:4" x14ac:dyDescent="0.3">
      <c r="A4126" s="58">
        <v>4115507</v>
      </c>
      <c r="B4126" s="58" t="s">
        <v>4981</v>
      </c>
      <c r="C4126" s="59">
        <v>-23.706369037096753</v>
      </c>
      <c r="D4126" s="59">
        <v>-51.641080366465609</v>
      </c>
    </row>
    <row r="4127" spans="1:4" x14ac:dyDescent="0.3">
      <c r="A4127" s="58">
        <v>4115606</v>
      </c>
      <c r="B4127" s="58" t="s">
        <v>4982</v>
      </c>
      <c r="C4127" s="59">
        <v>-25.237921012853906</v>
      </c>
      <c r="D4127" s="59">
        <v>-53.974387341659238</v>
      </c>
    </row>
    <row r="4128" spans="1:4" x14ac:dyDescent="0.3">
      <c r="A4128" s="58">
        <v>4115705</v>
      </c>
      <c r="B4128" s="58" t="s">
        <v>4983</v>
      </c>
      <c r="C4128" s="59">
        <v>-25.816409702905155</v>
      </c>
      <c r="D4128" s="59">
        <v>-48.533771187765311</v>
      </c>
    </row>
    <row r="4129" spans="1:4" x14ac:dyDescent="0.3">
      <c r="A4129" s="58">
        <v>4115739</v>
      </c>
      <c r="B4129" s="58" t="s">
        <v>4984</v>
      </c>
      <c r="C4129" s="59">
        <v>-24.707317187882101</v>
      </c>
      <c r="D4129" s="59">
        <v>-52.146258579848968</v>
      </c>
    </row>
    <row r="4130" spans="1:4" x14ac:dyDescent="0.3">
      <c r="A4130" s="58">
        <v>4115754</v>
      </c>
      <c r="B4130" s="58" t="s">
        <v>4985</v>
      </c>
      <c r="C4130" s="59">
        <v>-23.901296443115502</v>
      </c>
      <c r="D4130" s="59">
        <v>-51.2264634713856</v>
      </c>
    </row>
    <row r="4131" spans="1:4" x14ac:dyDescent="0.3">
      <c r="A4131" s="58">
        <v>4115804</v>
      </c>
      <c r="B4131" s="58" t="s">
        <v>4986</v>
      </c>
      <c r="C4131" s="59">
        <v>-25.292497500000007</v>
      </c>
      <c r="D4131" s="59">
        <v>-54.091782126922148</v>
      </c>
    </row>
    <row r="4132" spans="1:4" x14ac:dyDescent="0.3">
      <c r="A4132" s="58">
        <v>4115853</v>
      </c>
      <c r="B4132" s="58" t="s">
        <v>4987</v>
      </c>
      <c r="C4132" s="59">
        <v>-24.448889764601152</v>
      </c>
      <c r="D4132" s="59">
        <v>-54.164435717167706</v>
      </c>
    </row>
    <row r="4133" spans="1:4" x14ac:dyDescent="0.3">
      <c r="A4133" s="58">
        <v>4115903</v>
      </c>
      <c r="B4133" s="58" t="s">
        <v>1585</v>
      </c>
      <c r="C4133" s="59">
        <v>-23.257407541838653</v>
      </c>
      <c r="D4133" s="59">
        <v>-52.776934928322397</v>
      </c>
    </row>
    <row r="4134" spans="1:4" x14ac:dyDescent="0.3">
      <c r="A4134" s="58">
        <v>4116000</v>
      </c>
      <c r="B4134" s="58" t="s">
        <v>4988</v>
      </c>
      <c r="C4134" s="59">
        <v>-22.966092576124403</v>
      </c>
      <c r="D4134" s="59">
        <v>-51.485707249076853</v>
      </c>
    </row>
    <row r="4135" spans="1:4" x14ac:dyDescent="0.3">
      <c r="A4135" s="58">
        <v>4116059</v>
      </c>
      <c r="B4135" s="58" t="s">
        <v>4989</v>
      </c>
      <c r="C4135" s="59">
        <v>-25.091159668056807</v>
      </c>
      <c r="D4135" s="59">
        <v>-54.24317532582635</v>
      </c>
    </row>
    <row r="4136" spans="1:4" x14ac:dyDescent="0.3">
      <c r="A4136" s="58">
        <v>4116109</v>
      </c>
      <c r="B4136" s="58" t="s">
        <v>4990</v>
      </c>
      <c r="C4136" s="59">
        <v>-24.044758236935404</v>
      </c>
      <c r="D4136" s="59">
        <v>-53.013446569663394</v>
      </c>
    </row>
    <row r="4137" spans="1:4" x14ac:dyDescent="0.3">
      <c r="A4137" s="58">
        <v>4116208</v>
      </c>
      <c r="B4137" s="58" t="s">
        <v>4991</v>
      </c>
      <c r="C4137" s="59">
        <v>-25.478481683382903</v>
      </c>
      <c r="D4137" s="59">
        <v>-48.831539196263897</v>
      </c>
    </row>
    <row r="4138" spans="1:4" x14ac:dyDescent="0.3">
      <c r="A4138" s="58">
        <v>4116307</v>
      </c>
      <c r="B4138" s="58" t="s">
        <v>4992</v>
      </c>
      <c r="C4138" s="59">
        <v>-23.145692803078003</v>
      </c>
      <c r="D4138" s="59">
        <v>-51.775757907573038</v>
      </c>
    </row>
    <row r="4139" spans="1:4" x14ac:dyDescent="0.3">
      <c r="A4139" s="58">
        <v>4116406</v>
      </c>
      <c r="B4139" s="58" t="s">
        <v>4993</v>
      </c>
      <c r="C4139" s="59">
        <v>-22.910562509297801</v>
      </c>
      <c r="D4139" s="59">
        <v>-51.795147524012222</v>
      </c>
    </row>
    <row r="4140" spans="1:4" x14ac:dyDescent="0.3">
      <c r="A4140" s="58">
        <v>4116505</v>
      </c>
      <c r="B4140" s="58" t="s">
        <v>4994</v>
      </c>
      <c r="C4140" s="59">
        <v>-23.177455529838902</v>
      </c>
      <c r="D4140" s="59">
        <v>-52.601922727339108</v>
      </c>
    </row>
    <row r="4141" spans="1:4" x14ac:dyDescent="0.3">
      <c r="A4141" s="58">
        <v>4116604</v>
      </c>
      <c r="B4141" s="58" t="s">
        <v>4995</v>
      </c>
      <c r="C4141" s="59">
        <v>-23.332686667454251</v>
      </c>
      <c r="D4141" s="59">
        <v>-50.714442846577569</v>
      </c>
    </row>
    <row r="4142" spans="1:4" x14ac:dyDescent="0.3">
      <c r="A4142" s="58">
        <v>4116703</v>
      </c>
      <c r="B4142" s="58" t="s">
        <v>4996</v>
      </c>
      <c r="C4142" s="59">
        <v>-24.528485328995853</v>
      </c>
      <c r="D4142" s="59">
        <v>-53.257525539617816</v>
      </c>
    </row>
    <row r="4143" spans="1:4" x14ac:dyDescent="0.3">
      <c r="A4143" s="58">
        <v>4116802</v>
      </c>
      <c r="B4143" s="58" t="s">
        <v>4997</v>
      </c>
      <c r="C4143" s="59">
        <v>-24.670778844996551</v>
      </c>
      <c r="D4143" s="59">
        <v>-52.570992160533045</v>
      </c>
    </row>
    <row r="4144" spans="1:4" x14ac:dyDescent="0.3">
      <c r="A4144" s="58">
        <v>4116901</v>
      </c>
      <c r="B4144" s="58" t="s">
        <v>4998</v>
      </c>
      <c r="C4144" s="59">
        <v>-23.184251392150205</v>
      </c>
      <c r="D4144" s="59">
        <v>-52.204866363350703</v>
      </c>
    </row>
    <row r="4145" spans="1:4" x14ac:dyDescent="0.3">
      <c r="A4145" s="58">
        <v>4116950</v>
      </c>
      <c r="B4145" s="58" t="s">
        <v>4999</v>
      </c>
      <c r="C4145" s="59">
        <v>-25.898779208335451</v>
      </c>
      <c r="D4145" s="59">
        <v>-53.26420731859924</v>
      </c>
    </row>
    <row r="4146" spans="1:4" x14ac:dyDescent="0.3">
      <c r="A4146" s="58">
        <v>4117008</v>
      </c>
      <c r="B4146" s="58" t="s">
        <v>3044</v>
      </c>
      <c r="C4146" s="59">
        <v>-23.432358570896504</v>
      </c>
      <c r="D4146" s="59">
        <v>-50.562314217556711</v>
      </c>
    </row>
    <row r="4147" spans="1:4" x14ac:dyDescent="0.3">
      <c r="A4147" s="58">
        <v>4117057</v>
      </c>
      <c r="B4147" s="58" t="s">
        <v>5000</v>
      </c>
      <c r="C4147" s="59">
        <v>-25.306745916558405</v>
      </c>
      <c r="D4147" s="59">
        <v>-52.539370451468905</v>
      </c>
    </row>
    <row r="4148" spans="1:4" x14ac:dyDescent="0.3">
      <c r="A4148" s="58">
        <v>4117107</v>
      </c>
      <c r="B4148" s="58" t="s">
        <v>5001</v>
      </c>
      <c r="C4148" s="59">
        <v>-22.763868604835658</v>
      </c>
      <c r="D4148" s="59">
        <v>-52.986312629876629</v>
      </c>
    </row>
    <row r="4149" spans="1:4" x14ac:dyDescent="0.3">
      <c r="A4149" s="58">
        <v>4117206</v>
      </c>
      <c r="B4149" s="58" t="s">
        <v>5002</v>
      </c>
      <c r="C4149" s="59">
        <v>-23.471100979101454</v>
      </c>
      <c r="D4149" s="59">
        <v>-53.091232951021887</v>
      </c>
    </row>
    <row r="4150" spans="1:4" x14ac:dyDescent="0.3">
      <c r="A4150" s="58">
        <v>4117214</v>
      </c>
      <c r="B4150" s="58" t="s">
        <v>5003</v>
      </c>
      <c r="C4150" s="59">
        <v>-23.585423854873106</v>
      </c>
      <c r="D4150" s="59">
        <v>-50.764147121966943</v>
      </c>
    </row>
    <row r="4151" spans="1:4" x14ac:dyDescent="0.3">
      <c r="A4151" s="58">
        <v>4117222</v>
      </c>
      <c r="B4151" s="58" t="s">
        <v>5004</v>
      </c>
      <c r="C4151" s="59">
        <v>-24.464764533313652</v>
      </c>
      <c r="D4151" s="59">
        <v>-53.955116084308017</v>
      </c>
    </row>
    <row r="4152" spans="1:4" x14ac:dyDescent="0.3">
      <c r="A4152" s="58">
        <v>4117255</v>
      </c>
      <c r="B4152" s="58" t="s">
        <v>5005</v>
      </c>
      <c r="C4152" s="59">
        <v>-25.631877090963957</v>
      </c>
      <c r="D4152" s="59">
        <v>-53.347957246211401</v>
      </c>
    </row>
    <row r="4153" spans="1:4" x14ac:dyDescent="0.3">
      <c r="A4153" s="58">
        <v>4117271</v>
      </c>
      <c r="B4153" s="58" t="s">
        <v>5006</v>
      </c>
      <c r="C4153" s="59">
        <v>-24.438325211153504</v>
      </c>
      <c r="D4153" s="59">
        <v>-51.950396110352678</v>
      </c>
    </row>
    <row r="4154" spans="1:4" x14ac:dyDescent="0.3">
      <c r="A4154" s="58">
        <v>4117297</v>
      </c>
      <c r="B4154" s="58" t="s">
        <v>5007</v>
      </c>
      <c r="C4154" s="59">
        <v>-23.765313769288504</v>
      </c>
      <c r="D4154" s="59">
        <v>-51.506959427964709</v>
      </c>
    </row>
    <row r="4155" spans="1:4" x14ac:dyDescent="0.3">
      <c r="A4155" s="58">
        <v>4117305</v>
      </c>
      <c r="B4155" s="58" t="s">
        <v>5008</v>
      </c>
      <c r="C4155" s="59">
        <v>-24.212010668896351</v>
      </c>
      <c r="D4155" s="59">
        <v>-50.926929538143057</v>
      </c>
    </row>
    <row r="4156" spans="1:4" x14ac:dyDescent="0.3">
      <c r="A4156" s="58">
        <v>4117404</v>
      </c>
      <c r="B4156" s="58" t="s">
        <v>5009</v>
      </c>
      <c r="C4156" s="59">
        <v>-23.404568221604951</v>
      </c>
      <c r="D4156" s="59">
        <v>-52.195038727665775</v>
      </c>
    </row>
    <row r="4157" spans="1:4" x14ac:dyDescent="0.3">
      <c r="A4157" s="58">
        <v>4117453</v>
      </c>
      <c r="B4157" s="58" t="s">
        <v>5010</v>
      </c>
      <c r="C4157" s="59">
        <v>-24.770794289847604</v>
      </c>
      <c r="D4157" s="59">
        <v>-53.899538084154074</v>
      </c>
    </row>
    <row r="4158" spans="1:4" x14ac:dyDescent="0.3">
      <c r="A4158" s="58">
        <v>4117503</v>
      </c>
      <c r="B4158" s="58" t="s">
        <v>5011</v>
      </c>
      <c r="C4158" s="59">
        <v>-23.457698757494303</v>
      </c>
      <c r="D4158" s="59">
        <v>-52.052411831566481</v>
      </c>
    </row>
    <row r="4159" spans="1:4" x14ac:dyDescent="0.3">
      <c r="A4159" s="58">
        <v>4117602</v>
      </c>
      <c r="B4159" s="58" t="s">
        <v>982</v>
      </c>
      <c r="C4159" s="59">
        <v>-26.481472515000007</v>
      </c>
      <c r="D4159" s="59">
        <v>-51.988773887712775</v>
      </c>
    </row>
    <row r="4160" spans="1:4" x14ac:dyDescent="0.3">
      <c r="A4160" s="58">
        <v>4117701</v>
      </c>
      <c r="B4160" s="58" t="s">
        <v>5012</v>
      </c>
      <c r="C4160" s="59">
        <v>-25.418567901466353</v>
      </c>
      <c r="D4160" s="59">
        <v>-50.003246820978923</v>
      </c>
    </row>
    <row r="4161" spans="1:4" x14ac:dyDescent="0.3">
      <c r="A4161" s="58">
        <v>4117800</v>
      </c>
      <c r="B4161" s="58" t="s">
        <v>4554</v>
      </c>
      <c r="C4161" s="59">
        <v>-24.882243677340206</v>
      </c>
      <c r="D4161" s="59">
        <v>-52.212997226723772</v>
      </c>
    </row>
    <row r="4162" spans="1:4" x14ac:dyDescent="0.3">
      <c r="A4162" s="58">
        <v>4117909</v>
      </c>
      <c r="B4162" s="58" t="s">
        <v>5013</v>
      </c>
      <c r="C4162" s="59">
        <v>-24.279409485000009</v>
      </c>
      <c r="D4162" s="59">
        <v>-53.838771723892947</v>
      </c>
    </row>
    <row r="4163" spans="1:4" x14ac:dyDescent="0.3">
      <c r="A4163" s="58">
        <v>4118006</v>
      </c>
      <c r="B4163" s="58" t="s">
        <v>5014</v>
      </c>
      <c r="C4163" s="59">
        <v>-23.287161166511353</v>
      </c>
      <c r="D4163" s="59">
        <v>-52.603543138362845</v>
      </c>
    </row>
    <row r="4164" spans="1:4" x14ac:dyDescent="0.3">
      <c r="A4164" s="58">
        <v>4118105</v>
      </c>
      <c r="B4164" s="58" t="s">
        <v>5015</v>
      </c>
      <c r="C4164" s="59">
        <v>-22.926810052074604</v>
      </c>
      <c r="D4164" s="59">
        <v>-52.155988728928044</v>
      </c>
    </row>
    <row r="4165" spans="1:4" x14ac:dyDescent="0.3">
      <c r="A4165" s="58">
        <v>4118204</v>
      </c>
      <c r="B4165" s="58" t="s">
        <v>5016</v>
      </c>
      <c r="C4165" s="59">
        <v>-25.506841500000004</v>
      </c>
      <c r="D4165" s="59">
        <v>-48.52473283665671</v>
      </c>
    </row>
    <row r="4166" spans="1:4" x14ac:dyDescent="0.3">
      <c r="A4166" s="58">
        <v>4118303</v>
      </c>
      <c r="B4166" s="58" t="s">
        <v>5017</v>
      </c>
      <c r="C4166" s="59">
        <v>-22.655621575035799</v>
      </c>
      <c r="D4166" s="59">
        <v>-52.080723721779165</v>
      </c>
    </row>
    <row r="4167" spans="1:4" x14ac:dyDescent="0.3">
      <c r="A4167" s="58">
        <v>4118402</v>
      </c>
      <c r="B4167" s="58" t="s">
        <v>5018</v>
      </c>
      <c r="C4167" s="59">
        <v>-23.081879475000008</v>
      </c>
      <c r="D4167" s="59">
        <v>-52.462401669956037</v>
      </c>
    </row>
    <row r="4168" spans="1:4" x14ac:dyDescent="0.3">
      <c r="A4168" s="58">
        <v>4118451</v>
      </c>
      <c r="B4168" s="58" t="s">
        <v>5019</v>
      </c>
      <c r="C4168" s="59">
        <v>-24.625644014492504</v>
      </c>
      <c r="D4168" s="59">
        <v>-54.231395741042022</v>
      </c>
    </row>
    <row r="4169" spans="1:4" x14ac:dyDescent="0.3">
      <c r="A4169" s="58">
        <v>4118501</v>
      </c>
      <c r="B4169" s="58" t="s">
        <v>5020</v>
      </c>
      <c r="C4169" s="59">
        <v>-26.229958515000007</v>
      </c>
      <c r="D4169" s="59">
        <v>-52.677361997672257</v>
      </c>
    </row>
    <row r="4170" spans="1:4" x14ac:dyDescent="0.3">
      <c r="A4170" s="58">
        <v>4118600</v>
      </c>
      <c r="B4170" s="58" t="s">
        <v>5021</v>
      </c>
      <c r="C4170" s="59">
        <v>-26.220102159660357</v>
      </c>
      <c r="D4170" s="59">
        <v>-50.934736336254886</v>
      </c>
    </row>
    <row r="4171" spans="1:4" x14ac:dyDescent="0.3">
      <c r="A4171" s="58">
        <v>4118709</v>
      </c>
      <c r="B4171" s="58" t="s">
        <v>5022</v>
      </c>
      <c r="C4171" s="59">
        <v>-26.045607577710108</v>
      </c>
      <c r="D4171" s="59">
        <v>-50.833196453716603</v>
      </c>
    </row>
    <row r="4172" spans="1:4" x14ac:dyDescent="0.3">
      <c r="A4172" s="58">
        <v>4118808</v>
      </c>
      <c r="B4172" s="58" t="s">
        <v>5023</v>
      </c>
      <c r="C4172" s="59">
        <v>-23.914126429847656</v>
      </c>
      <c r="D4172" s="59">
        <v>-52.347896154567351</v>
      </c>
    </row>
    <row r="4173" spans="1:4" x14ac:dyDescent="0.3">
      <c r="A4173" s="58">
        <v>4118857</v>
      </c>
      <c r="B4173" s="58" t="s">
        <v>5024</v>
      </c>
      <c r="C4173" s="59">
        <v>-23.894561745271254</v>
      </c>
      <c r="D4173" s="59">
        <v>-53.411500203797424</v>
      </c>
    </row>
    <row r="4174" spans="1:4" x14ac:dyDescent="0.3">
      <c r="A4174" s="58">
        <v>4118907</v>
      </c>
      <c r="B4174" s="58" t="s">
        <v>5025</v>
      </c>
      <c r="C4174" s="59">
        <v>-23.797478768689405</v>
      </c>
      <c r="D4174" s="59">
        <v>-53.673252130490233</v>
      </c>
    </row>
    <row r="4175" spans="1:4" x14ac:dyDescent="0.3">
      <c r="A4175" s="58">
        <v>4119004</v>
      </c>
      <c r="B4175" s="58" t="s">
        <v>5026</v>
      </c>
      <c r="C4175" s="59">
        <v>-25.828265676702003</v>
      </c>
      <c r="D4175" s="59">
        <v>-53.740108472607957</v>
      </c>
    </row>
    <row r="4176" spans="1:4" x14ac:dyDescent="0.3">
      <c r="A4176" s="58">
        <v>4119103</v>
      </c>
      <c r="B4176" s="58" t="s">
        <v>5027</v>
      </c>
      <c r="C4176" s="59">
        <v>-26.096956376553507</v>
      </c>
      <c r="D4176" s="59">
        <v>-49.42824374219952</v>
      </c>
    </row>
    <row r="4177" spans="1:4" x14ac:dyDescent="0.3">
      <c r="A4177" s="58">
        <v>4119152</v>
      </c>
      <c r="B4177" s="58" t="s">
        <v>5028</v>
      </c>
      <c r="C4177" s="59">
        <v>-25.442197887905508</v>
      </c>
      <c r="D4177" s="59">
        <v>-49.199197419609881</v>
      </c>
    </row>
    <row r="4178" spans="1:4" x14ac:dyDescent="0.3">
      <c r="A4178" s="58">
        <v>4119202</v>
      </c>
      <c r="B4178" s="58" t="s">
        <v>5029</v>
      </c>
      <c r="C4178" s="59">
        <v>-23.787354728869907</v>
      </c>
      <c r="D4178" s="59">
        <v>-50.062603063525323</v>
      </c>
    </row>
    <row r="4179" spans="1:4" x14ac:dyDescent="0.3">
      <c r="A4179" s="58">
        <v>4119251</v>
      </c>
      <c r="B4179" s="58" t="s">
        <v>5030</v>
      </c>
      <c r="C4179" s="59">
        <v>-26.032728554686159</v>
      </c>
      <c r="D4179" s="59">
        <v>-53.483090442217012</v>
      </c>
    </row>
    <row r="4180" spans="1:4" x14ac:dyDescent="0.3">
      <c r="A4180" s="58">
        <v>4119301</v>
      </c>
      <c r="B4180" s="58" t="s">
        <v>2755</v>
      </c>
      <c r="C4180" s="59">
        <v>-25.696295010000004</v>
      </c>
      <c r="D4180" s="59">
        <v>-51.648270191501759</v>
      </c>
    </row>
    <row r="4181" spans="1:4" x14ac:dyDescent="0.3">
      <c r="A4181" s="58">
        <v>4119400</v>
      </c>
      <c r="B4181" s="58" t="s">
        <v>5031</v>
      </c>
      <c r="C4181" s="59">
        <v>-24.532357500000007</v>
      </c>
      <c r="D4181" s="59">
        <v>-49.941330993583435</v>
      </c>
    </row>
    <row r="4182" spans="1:4" x14ac:dyDescent="0.3">
      <c r="A4182" s="58">
        <v>4119509</v>
      </c>
      <c r="B4182" s="58" t="s">
        <v>5032</v>
      </c>
      <c r="C4182" s="59">
        <v>-25.446550356454203</v>
      </c>
      <c r="D4182" s="59">
        <v>-49.065305613923073</v>
      </c>
    </row>
    <row r="4183" spans="1:4" x14ac:dyDescent="0.3">
      <c r="A4183" s="58">
        <v>4119608</v>
      </c>
      <c r="B4183" s="58" t="s">
        <v>5033</v>
      </c>
      <c r="C4183" s="59">
        <v>-24.75274775341445</v>
      </c>
      <c r="D4183" s="59">
        <v>-51.763154008392775</v>
      </c>
    </row>
    <row r="4184" spans="1:4" x14ac:dyDescent="0.3">
      <c r="A4184" s="58">
        <v>4119657</v>
      </c>
      <c r="B4184" s="58" t="s">
        <v>4598</v>
      </c>
      <c r="C4184" s="59">
        <v>-23.230303846354655</v>
      </c>
      <c r="D4184" s="59">
        <v>-51.585768056943699</v>
      </c>
    </row>
    <row r="4185" spans="1:4" x14ac:dyDescent="0.3">
      <c r="A4185" s="58">
        <v>4119707</v>
      </c>
      <c r="B4185" s="58" t="s">
        <v>5034</v>
      </c>
      <c r="C4185" s="59">
        <v>-23.018810188283553</v>
      </c>
      <c r="D4185" s="59">
        <v>-52.917840702641357</v>
      </c>
    </row>
    <row r="4186" spans="1:4" x14ac:dyDescent="0.3">
      <c r="A4186" s="58">
        <v>4119806</v>
      </c>
      <c r="B4186" s="58" t="s">
        <v>3075</v>
      </c>
      <c r="C4186" s="59">
        <v>-25.712101497761552</v>
      </c>
      <c r="D4186" s="59">
        <v>-53.770857430337998</v>
      </c>
    </row>
    <row r="4187" spans="1:4" x14ac:dyDescent="0.3">
      <c r="A4187" s="58">
        <v>4119905</v>
      </c>
      <c r="B4187" s="58" t="s">
        <v>5035</v>
      </c>
      <c r="C4187" s="59">
        <v>-25.092547000000003</v>
      </c>
      <c r="D4187" s="59">
        <v>-50.161442059294181</v>
      </c>
    </row>
    <row r="4188" spans="1:4" x14ac:dyDescent="0.3">
      <c r="A4188" s="58">
        <v>4119954</v>
      </c>
      <c r="B4188" s="58" t="s">
        <v>5036</v>
      </c>
      <c r="C4188" s="59">
        <v>-25.594151014877749</v>
      </c>
      <c r="D4188" s="59">
        <v>-48.448327030190065</v>
      </c>
    </row>
    <row r="4189" spans="1:4" x14ac:dyDescent="0.3">
      <c r="A4189" s="58">
        <v>4120002</v>
      </c>
      <c r="B4189" s="58" t="s">
        <v>5037</v>
      </c>
      <c r="C4189" s="59">
        <v>-22.756209496832152</v>
      </c>
      <c r="D4189" s="59">
        <v>-51.377598992753718</v>
      </c>
    </row>
    <row r="4190" spans="1:4" x14ac:dyDescent="0.3">
      <c r="A4190" s="58">
        <v>4120101</v>
      </c>
      <c r="B4190" s="58" t="s">
        <v>5038</v>
      </c>
      <c r="C4190" s="59">
        <v>-25.541572712072554</v>
      </c>
      <c r="D4190" s="59">
        <v>-49.889720865040701</v>
      </c>
    </row>
    <row r="4191" spans="1:4" x14ac:dyDescent="0.3">
      <c r="A4191" s="58">
        <v>4120150</v>
      </c>
      <c r="B4191" s="58" t="s">
        <v>5039</v>
      </c>
      <c r="C4191" s="59">
        <v>-25.545185638386954</v>
      </c>
      <c r="D4191" s="59">
        <v>-52.404786762712583</v>
      </c>
    </row>
    <row r="4192" spans="1:4" x14ac:dyDescent="0.3">
      <c r="A4192" s="58">
        <v>4120200</v>
      </c>
      <c r="B4192" s="58" t="s">
        <v>5040</v>
      </c>
      <c r="C4192" s="59">
        <v>-22.778351558647902</v>
      </c>
      <c r="D4192" s="59">
        <v>-53.267968111505098</v>
      </c>
    </row>
    <row r="4193" spans="1:4" x14ac:dyDescent="0.3">
      <c r="A4193" s="58">
        <v>4120309</v>
      </c>
      <c r="B4193" s="58" t="s">
        <v>5041</v>
      </c>
      <c r="C4193" s="59">
        <v>-26.163475204193858</v>
      </c>
      <c r="D4193" s="59">
        <v>-51.236694736377324</v>
      </c>
    </row>
    <row r="4194" spans="1:4" x14ac:dyDescent="0.3">
      <c r="A4194" s="58">
        <v>4120333</v>
      </c>
      <c r="B4194" s="58" t="s">
        <v>5042</v>
      </c>
      <c r="C4194" s="59">
        <v>-23.033914030272253</v>
      </c>
      <c r="D4194" s="59">
        <v>-51.443226143437428</v>
      </c>
    </row>
    <row r="4195" spans="1:4" x14ac:dyDescent="0.3">
      <c r="A4195" s="58">
        <v>4120358</v>
      </c>
      <c r="B4195" s="58" t="s">
        <v>5043</v>
      </c>
      <c r="C4195" s="59">
        <v>-26.015664288729454</v>
      </c>
      <c r="D4195" s="59">
        <v>-53.742622639592987</v>
      </c>
    </row>
    <row r="4196" spans="1:4" x14ac:dyDescent="0.3">
      <c r="A4196" s="58">
        <v>4120408</v>
      </c>
      <c r="B4196" s="58" t="s">
        <v>5044</v>
      </c>
      <c r="C4196" s="59">
        <v>-23.281549604730802</v>
      </c>
      <c r="D4196" s="59">
        <v>-52.157726252669036</v>
      </c>
    </row>
    <row r="4197" spans="1:4" x14ac:dyDescent="0.3">
      <c r="A4197" s="58">
        <v>4120507</v>
      </c>
      <c r="B4197" s="58" t="s">
        <v>5045</v>
      </c>
      <c r="C4197" s="59">
        <v>-22.852533255087256</v>
      </c>
      <c r="D4197" s="59">
        <v>-51.027751996978729</v>
      </c>
    </row>
    <row r="4198" spans="1:4" x14ac:dyDescent="0.3">
      <c r="A4198" s="58">
        <v>4120606</v>
      </c>
      <c r="B4198" s="58" t="s">
        <v>5046</v>
      </c>
      <c r="C4198" s="59">
        <v>-25.216020500000006</v>
      </c>
      <c r="D4198" s="59">
        <v>-50.983575090629024</v>
      </c>
    </row>
    <row r="4199" spans="1:4" x14ac:dyDescent="0.3">
      <c r="A4199" s="58">
        <v>4120655</v>
      </c>
      <c r="B4199" s="58" t="s">
        <v>5047</v>
      </c>
      <c r="C4199" s="59">
        <v>-24.279020917758459</v>
      </c>
      <c r="D4199" s="59">
        <v>-53.075288584861205</v>
      </c>
    </row>
    <row r="4200" spans="1:4" x14ac:dyDescent="0.3">
      <c r="A4200" s="58">
        <v>4120705</v>
      </c>
      <c r="B4200" s="58" t="s">
        <v>5048</v>
      </c>
      <c r="C4200" s="59">
        <v>-23.564160920832656</v>
      </c>
      <c r="D4200" s="59">
        <v>-49.915264161470539</v>
      </c>
    </row>
    <row r="4201" spans="1:4" x14ac:dyDescent="0.3">
      <c r="A4201" s="58">
        <v>4120804</v>
      </c>
      <c r="B4201" s="58" t="s">
        <v>5049</v>
      </c>
      <c r="C4201" s="59">
        <v>-25.373744847233304</v>
      </c>
      <c r="D4201" s="59">
        <v>-49.08518883482747</v>
      </c>
    </row>
    <row r="4202" spans="1:4" x14ac:dyDescent="0.3">
      <c r="A4202" s="58">
        <v>4120853</v>
      </c>
      <c r="B4202" s="58" t="s">
        <v>5050</v>
      </c>
      <c r="C4202" s="59">
        <v>-24.573208584791757</v>
      </c>
      <c r="D4202" s="59">
        <v>-53.972699127463656</v>
      </c>
    </row>
    <row r="4203" spans="1:4" x14ac:dyDescent="0.3">
      <c r="A4203" s="58">
        <v>4120903</v>
      </c>
      <c r="B4203" s="58" t="s">
        <v>5051</v>
      </c>
      <c r="C4203" s="59">
        <v>-25.456780850829354</v>
      </c>
      <c r="D4203" s="59">
        <v>-52.909832402312759</v>
      </c>
    </row>
    <row r="4204" spans="1:4" x14ac:dyDescent="0.3">
      <c r="A4204" s="58">
        <v>4121000</v>
      </c>
      <c r="B4204" s="58" t="s">
        <v>5052</v>
      </c>
      <c r="C4204" s="59">
        <v>-23.086528579346204</v>
      </c>
      <c r="D4204" s="59">
        <v>-53.487040706035295</v>
      </c>
    </row>
    <row r="4205" spans="1:4" x14ac:dyDescent="0.3">
      <c r="A4205" s="58">
        <v>4121109</v>
      </c>
      <c r="B4205" s="58" t="s">
        <v>5053</v>
      </c>
      <c r="C4205" s="59">
        <v>-23.843888426231505</v>
      </c>
      <c r="D4205" s="59">
        <v>-52.135128763640118</v>
      </c>
    </row>
    <row r="4206" spans="1:4" x14ac:dyDescent="0.3">
      <c r="A4206" s="58">
        <v>4121208</v>
      </c>
      <c r="B4206" s="58" t="s">
        <v>5054</v>
      </c>
      <c r="C4206" s="59">
        <v>-25.868308349279253</v>
      </c>
      <c r="D4206" s="59">
        <v>-49.496682986919815</v>
      </c>
    </row>
    <row r="4207" spans="1:4" x14ac:dyDescent="0.3">
      <c r="A4207" s="58">
        <v>4121257</v>
      </c>
      <c r="B4207" s="58" t="s">
        <v>5055</v>
      </c>
      <c r="C4207" s="59">
        <v>-25.118986523609856</v>
      </c>
      <c r="D4207" s="59">
        <v>-54.027237031787656</v>
      </c>
    </row>
    <row r="4208" spans="1:4" x14ac:dyDescent="0.3">
      <c r="A4208" s="58">
        <v>4121307</v>
      </c>
      <c r="B4208" s="58" t="s">
        <v>5056</v>
      </c>
      <c r="C4208" s="59">
        <v>-23.075714921033505</v>
      </c>
      <c r="D4208" s="59">
        <v>-50.916392162972357</v>
      </c>
    </row>
    <row r="4209" spans="1:4" x14ac:dyDescent="0.3">
      <c r="A4209" s="58">
        <v>4121356</v>
      </c>
      <c r="B4209" s="58" t="s">
        <v>5057</v>
      </c>
      <c r="C4209" s="59">
        <v>-24.3090100123643</v>
      </c>
      <c r="D4209" s="59">
        <v>-52.951125839834454</v>
      </c>
    </row>
    <row r="4210" spans="1:4" x14ac:dyDescent="0.3">
      <c r="A4210" s="58">
        <v>4121406</v>
      </c>
      <c r="B4210" s="58" t="s">
        <v>5058</v>
      </c>
      <c r="C4210" s="59">
        <v>-25.762579950614004</v>
      </c>
      <c r="D4210" s="59">
        <v>-53.532574359025027</v>
      </c>
    </row>
    <row r="4211" spans="1:4" x14ac:dyDescent="0.3">
      <c r="A4211" s="58">
        <v>4121505</v>
      </c>
      <c r="B4211" s="58" t="s">
        <v>5059</v>
      </c>
      <c r="C4211" s="59">
        <v>-25.626392755765604</v>
      </c>
      <c r="D4211" s="59">
        <v>-50.681254433318294</v>
      </c>
    </row>
    <row r="4212" spans="1:4" x14ac:dyDescent="0.3">
      <c r="A4212" s="58">
        <v>4121604</v>
      </c>
      <c r="B4212" s="58" t="s">
        <v>5060</v>
      </c>
      <c r="C4212" s="59">
        <v>-26.156220929542904</v>
      </c>
      <c r="D4212" s="59">
        <v>-52.972162011698821</v>
      </c>
    </row>
    <row r="4213" spans="1:4" x14ac:dyDescent="0.3">
      <c r="A4213" s="58">
        <v>4121703</v>
      </c>
      <c r="B4213" s="58" t="s">
        <v>5061</v>
      </c>
      <c r="C4213" s="59">
        <v>-24.651648000000002</v>
      </c>
      <c r="D4213" s="59">
        <v>-50.850595805430629</v>
      </c>
    </row>
    <row r="4214" spans="1:4" x14ac:dyDescent="0.3">
      <c r="A4214" s="58">
        <v>4121752</v>
      </c>
      <c r="B4214" s="58" t="s">
        <v>5062</v>
      </c>
      <c r="C4214" s="59">
        <v>-25.830958036047402</v>
      </c>
      <c r="D4214" s="59">
        <v>-52.028762463141668</v>
      </c>
    </row>
    <row r="4215" spans="1:4" x14ac:dyDescent="0.3">
      <c r="A4215" s="58">
        <v>4121802</v>
      </c>
      <c r="B4215" s="58" t="s">
        <v>5063</v>
      </c>
      <c r="C4215" s="59">
        <v>-23.196285462185806</v>
      </c>
      <c r="D4215" s="59">
        <v>-49.756350519083767</v>
      </c>
    </row>
    <row r="4216" spans="1:4" x14ac:dyDescent="0.3">
      <c r="A4216" s="58">
        <v>4121901</v>
      </c>
      <c r="B4216" s="58" t="s">
        <v>5064</v>
      </c>
      <c r="C4216" s="59">
        <v>-23.408257502283501</v>
      </c>
      <c r="D4216" s="59">
        <v>-50.358060952460832</v>
      </c>
    </row>
    <row r="4217" spans="1:4" x14ac:dyDescent="0.3">
      <c r="A4217" s="58">
        <v>4122008</v>
      </c>
      <c r="B4217" s="58" t="s">
        <v>5065</v>
      </c>
      <c r="C4217" s="59">
        <v>-25.716113177497753</v>
      </c>
      <c r="D4217" s="59">
        <v>-50.787172981970578</v>
      </c>
    </row>
    <row r="4218" spans="1:4" x14ac:dyDescent="0.3">
      <c r="A4218" s="58">
        <v>4122107</v>
      </c>
      <c r="B4218" s="58" t="s">
        <v>5066</v>
      </c>
      <c r="C4218" s="59">
        <v>-23.762098280282604</v>
      </c>
      <c r="D4218" s="59">
        <v>-51.41536478783506</v>
      </c>
    </row>
    <row r="4219" spans="1:4" x14ac:dyDescent="0.3">
      <c r="A4219" s="58">
        <v>4122156</v>
      </c>
      <c r="B4219" s="58" t="s">
        <v>5067</v>
      </c>
      <c r="C4219" s="59">
        <v>-25.486908809207701</v>
      </c>
      <c r="D4219" s="59">
        <v>-52.526889782959351</v>
      </c>
    </row>
    <row r="4220" spans="1:4" x14ac:dyDescent="0.3">
      <c r="A4220" s="58">
        <v>4122172</v>
      </c>
      <c r="B4220" s="58" t="s">
        <v>5068</v>
      </c>
      <c r="C4220" s="59">
        <v>-24.320277601294158</v>
      </c>
      <c r="D4220" s="59">
        <v>-51.312065588264808</v>
      </c>
    </row>
    <row r="4221" spans="1:4" x14ac:dyDescent="0.3">
      <c r="A4221" s="58">
        <v>4122206</v>
      </c>
      <c r="B4221" s="58" t="s">
        <v>5069</v>
      </c>
      <c r="C4221" s="59">
        <v>-25.190165351554054</v>
      </c>
      <c r="D4221" s="59">
        <v>-49.316713882768347</v>
      </c>
    </row>
    <row r="4222" spans="1:4" x14ac:dyDescent="0.3">
      <c r="A4222" s="58">
        <v>4122305</v>
      </c>
      <c r="B4222" s="58" t="s">
        <v>5070</v>
      </c>
      <c r="C4222" s="59">
        <v>-26.100407970000006</v>
      </c>
      <c r="D4222" s="59">
        <v>-49.797685376838167</v>
      </c>
    </row>
    <row r="4223" spans="1:4" x14ac:dyDescent="0.3">
      <c r="A4223" s="58">
        <v>4122404</v>
      </c>
      <c r="B4223" s="58" t="s">
        <v>5071</v>
      </c>
      <c r="C4223" s="59">
        <v>-23.313592485000004</v>
      </c>
      <c r="D4223" s="59">
        <v>-51.362780356362556</v>
      </c>
    </row>
    <row r="4224" spans="1:4" x14ac:dyDescent="0.3">
      <c r="A4224" s="58">
        <v>4122503</v>
      </c>
      <c r="B4224" s="58" t="s">
        <v>5072</v>
      </c>
      <c r="C4224" s="59">
        <v>-24.595107187996707</v>
      </c>
      <c r="D4224" s="59">
        <v>-52.276052550373677</v>
      </c>
    </row>
    <row r="4225" spans="1:4" x14ac:dyDescent="0.3">
      <c r="A4225" s="58">
        <v>4122602</v>
      </c>
      <c r="B4225" s="58" t="s">
        <v>5073</v>
      </c>
      <c r="C4225" s="59">
        <v>-23.412659979378301</v>
      </c>
      <c r="D4225" s="59">
        <v>-52.762492311890462</v>
      </c>
    </row>
    <row r="4226" spans="1:4" x14ac:dyDescent="0.3">
      <c r="A4226" s="58">
        <v>4122651</v>
      </c>
      <c r="B4226" s="58" t="s">
        <v>5074</v>
      </c>
      <c r="C4226" s="59">
        <v>-24.253552555905554</v>
      </c>
      <c r="D4226" s="59">
        <v>-51.249944825147743</v>
      </c>
    </row>
    <row r="4227" spans="1:4" x14ac:dyDescent="0.3">
      <c r="A4227" s="58">
        <v>4122701</v>
      </c>
      <c r="B4227" s="58" t="s">
        <v>5075</v>
      </c>
      <c r="C4227" s="59">
        <v>-23.318395621647351</v>
      </c>
      <c r="D4227" s="59">
        <v>-51.556702021874599</v>
      </c>
    </row>
    <row r="4228" spans="1:4" x14ac:dyDescent="0.3">
      <c r="A4228" s="58">
        <v>4122800</v>
      </c>
      <c r="B4228" s="58" t="s">
        <v>5076</v>
      </c>
      <c r="C4228" s="59">
        <v>-26.170460518651954</v>
      </c>
      <c r="D4228" s="59">
        <v>-53.362115422592389</v>
      </c>
    </row>
    <row r="4229" spans="1:4" x14ac:dyDescent="0.3">
      <c r="A4229" s="58">
        <v>4122909</v>
      </c>
      <c r="B4229" s="58" t="s">
        <v>5077</v>
      </c>
      <c r="C4229" s="59">
        <v>-23.605756738224152</v>
      </c>
      <c r="D4229" s="59">
        <v>-49.630750093362032</v>
      </c>
    </row>
    <row r="4230" spans="1:4" x14ac:dyDescent="0.3">
      <c r="A4230" s="58">
        <v>4123006</v>
      </c>
      <c r="B4230" s="58" t="s">
        <v>5078</v>
      </c>
      <c r="C4230" s="59">
        <v>-25.776765242930601</v>
      </c>
      <c r="D4230" s="59">
        <v>-53.314935101821042</v>
      </c>
    </row>
    <row r="4231" spans="1:4" x14ac:dyDescent="0.3">
      <c r="A4231" s="58">
        <v>4123105</v>
      </c>
      <c r="B4231" s="58" t="s">
        <v>5079</v>
      </c>
      <c r="C4231" s="59">
        <v>-23.268157318920554</v>
      </c>
      <c r="D4231" s="59">
        <v>-50.423458770380378</v>
      </c>
    </row>
    <row r="4232" spans="1:4" x14ac:dyDescent="0.3">
      <c r="A4232" s="58">
        <v>4123204</v>
      </c>
      <c r="B4232" s="58" t="s">
        <v>5080</v>
      </c>
      <c r="C4232" s="59">
        <v>-23.512895712093705</v>
      </c>
      <c r="D4232" s="59">
        <v>-50.782865143090334</v>
      </c>
    </row>
    <row r="4233" spans="1:4" x14ac:dyDescent="0.3">
      <c r="A4233" s="58">
        <v>4123303</v>
      </c>
      <c r="B4233" s="58" t="s">
        <v>5081</v>
      </c>
      <c r="C4233" s="59">
        <v>-22.95858160780185</v>
      </c>
      <c r="D4233" s="59">
        <v>-53.297306420495744</v>
      </c>
    </row>
    <row r="4234" spans="1:4" x14ac:dyDescent="0.3">
      <c r="A4234" s="58">
        <v>4123402</v>
      </c>
      <c r="B4234" s="58" t="s">
        <v>5082</v>
      </c>
      <c r="C4234" s="59">
        <v>-23.036114758178751</v>
      </c>
      <c r="D4234" s="59">
        <v>-51.806302053183124</v>
      </c>
    </row>
    <row r="4235" spans="1:4" x14ac:dyDescent="0.3">
      <c r="A4235" s="58">
        <v>4123501</v>
      </c>
      <c r="B4235" s="58" t="s">
        <v>1628</v>
      </c>
      <c r="C4235" s="59">
        <v>-24.857095830636709</v>
      </c>
      <c r="D4235" s="59">
        <v>-54.336453152283511</v>
      </c>
    </row>
    <row r="4236" spans="1:4" x14ac:dyDescent="0.3">
      <c r="A4236" s="58">
        <v>4123600</v>
      </c>
      <c r="B4236" s="58" t="s">
        <v>1629</v>
      </c>
      <c r="C4236" s="59">
        <v>-22.638706530637155</v>
      </c>
      <c r="D4236" s="59">
        <v>-51.902768382784032</v>
      </c>
    </row>
    <row r="4237" spans="1:4" x14ac:dyDescent="0.3">
      <c r="A4237" s="58">
        <v>4123709</v>
      </c>
      <c r="B4237" s="58" t="s">
        <v>5083</v>
      </c>
      <c r="C4237" s="59">
        <v>-23.001088809404003</v>
      </c>
      <c r="D4237" s="59">
        <v>-53.195947509371372</v>
      </c>
    </row>
    <row r="4238" spans="1:4" x14ac:dyDescent="0.3">
      <c r="A4238" s="58">
        <v>4123808</v>
      </c>
      <c r="B4238" s="58" t="s">
        <v>5084</v>
      </c>
      <c r="C4238" s="59">
        <v>-25.814381218421456</v>
      </c>
      <c r="D4238" s="59">
        <v>-53.483617535808087</v>
      </c>
    </row>
    <row r="4239" spans="1:4" x14ac:dyDescent="0.3">
      <c r="A4239" s="58">
        <v>4123824</v>
      </c>
      <c r="B4239" s="58" t="s">
        <v>4678</v>
      </c>
      <c r="C4239" s="59">
        <v>-25.4113199197696</v>
      </c>
      <c r="D4239" s="59">
        <v>-53.57114367260349</v>
      </c>
    </row>
    <row r="4240" spans="1:4" x14ac:dyDescent="0.3">
      <c r="A4240" s="58">
        <v>4123857</v>
      </c>
      <c r="B4240" s="58" t="s">
        <v>5085</v>
      </c>
      <c r="C4240" s="59">
        <v>-24.934183996882854</v>
      </c>
      <c r="D4240" s="59">
        <v>-51.867709795083641</v>
      </c>
    </row>
    <row r="4241" spans="1:4" x14ac:dyDescent="0.3">
      <c r="A4241" s="58">
        <v>4123907</v>
      </c>
      <c r="B4241" s="58" t="s">
        <v>5086</v>
      </c>
      <c r="C4241" s="59">
        <v>-23.146427439307658</v>
      </c>
      <c r="D4241" s="59">
        <v>-50.521071351202608</v>
      </c>
    </row>
    <row r="4242" spans="1:4" x14ac:dyDescent="0.3">
      <c r="A4242" s="58">
        <v>4123956</v>
      </c>
      <c r="B4242" s="58" t="s">
        <v>5087</v>
      </c>
      <c r="C4242" s="59">
        <v>-23.105423938767554</v>
      </c>
      <c r="D4242" s="59">
        <v>-53.111272873042331</v>
      </c>
    </row>
    <row r="4243" spans="1:4" x14ac:dyDescent="0.3">
      <c r="A4243" s="58">
        <v>4124004</v>
      </c>
      <c r="B4243" s="58" t="s">
        <v>5088</v>
      </c>
      <c r="C4243" s="59">
        <v>-23.753132585709906</v>
      </c>
      <c r="D4243" s="59">
        <v>-49.633196631517258</v>
      </c>
    </row>
    <row r="4244" spans="1:4" x14ac:dyDescent="0.3">
      <c r="A4244" s="58">
        <v>4124020</v>
      </c>
      <c r="B4244" s="58" t="s">
        <v>5089</v>
      </c>
      <c r="C4244" s="59">
        <v>-25.058721900954001</v>
      </c>
      <c r="D4244" s="59">
        <v>-53.627235731051137</v>
      </c>
    </row>
    <row r="4245" spans="1:4" x14ac:dyDescent="0.3">
      <c r="A4245" s="58">
        <v>4124053</v>
      </c>
      <c r="B4245" s="58" t="s">
        <v>5090</v>
      </c>
      <c r="C4245" s="59">
        <v>-25.442160513416603</v>
      </c>
      <c r="D4245" s="59">
        <v>-54.399518731127174</v>
      </c>
    </row>
    <row r="4246" spans="1:4" x14ac:dyDescent="0.3">
      <c r="A4246" s="58">
        <v>4124103</v>
      </c>
      <c r="B4246" s="58" t="s">
        <v>5091</v>
      </c>
      <c r="C4246" s="59">
        <v>-23.297048833037703</v>
      </c>
      <c r="D4246" s="59">
        <v>-50.077345902743758</v>
      </c>
    </row>
    <row r="4247" spans="1:4" x14ac:dyDescent="0.3">
      <c r="A4247" s="58">
        <v>4124202</v>
      </c>
      <c r="B4247" s="58" t="s">
        <v>5092</v>
      </c>
      <c r="C4247" s="59">
        <v>-22.733974769158102</v>
      </c>
      <c r="D4247" s="59">
        <v>-52.344657843754284</v>
      </c>
    </row>
    <row r="4248" spans="1:4" x14ac:dyDescent="0.3">
      <c r="A4248" s="58">
        <v>4124301</v>
      </c>
      <c r="B4248" s="58" t="s">
        <v>5093</v>
      </c>
      <c r="C4248" s="59">
        <v>-23.494719436776858</v>
      </c>
      <c r="D4248" s="59">
        <v>-50.646828162970785</v>
      </c>
    </row>
    <row r="4249" spans="1:4" x14ac:dyDescent="0.3">
      <c r="A4249" s="58">
        <v>4124400</v>
      </c>
      <c r="B4249" s="58" t="s">
        <v>5094</v>
      </c>
      <c r="C4249" s="59">
        <v>-26.074975478558454</v>
      </c>
      <c r="D4249" s="59">
        <v>-53.723083433862911</v>
      </c>
    </row>
    <row r="4250" spans="1:4" x14ac:dyDescent="0.3">
      <c r="A4250" s="58">
        <v>4124509</v>
      </c>
      <c r="B4250" s="58" t="s">
        <v>5095</v>
      </c>
      <c r="C4250" s="59">
        <v>-22.700068575621351</v>
      </c>
      <c r="D4250" s="59">
        <v>-51.795299901409905</v>
      </c>
    </row>
    <row r="4251" spans="1:4" x14ac:dyDescent="0.3">
      <c r="A4251" s="58">
        <v>4124608</v>
      </c>
      <c r="B4251" s="58" t="s">
        <v>5096</v>
      </c>
      <c r="C4251" s="59">
        <v>-23.308847451359902</v>
      </c>
      <c r="D4251" s="59">
        <v>-52.477114589370288</v>
      </c>
    </row>
    <row r="4252" spans="1:4" x14ac:dyDescent="0.3">
      <c r="A4252" s="58">
        <v>4124707</v>
      </c>
      <c r="B4252" s="58" t="s">
        <v>5097</v>
      </c>
      <c r="C4252" s="59">
        <v>-23.723403403633004</v>
      </c>
      <c r="D4252" s="59">
        <v>-50.738480427019589</v>
      </c>
    </row>
    <row r="4253" spans="1:4" x14ac:dyDescent="0.3">
      <c r="A4253" s="58">
        <v>4124806</v>
      </c>
      <c r="B4253" s="58" t="s">
        <v>2583</v>
      </c>
      <c r="C4253" s="59">
        <v>-25.824662936144403</v>
      </c>
      <c r="D4253" s="59">
        <v>-52.729473218813382</v>
      </c>
    </row>
    <row r="4254" spans="1:4" x14ac:dyDescent="0.3">
      <c r="A4254" s="58">
        <v>4124905</v>
      </c>
      <c r="B4254" s="58" t="s">
        <v>5098</v>
      </c>
      <c r="C4254" s="59">
        <v>-22.854404325796253</v>
      </c>
      <c r="D4254" s="59">
        <v>-52.339751042586563</v>
      </c>
    </row>
    <row r="4255" spans="1:4" x14ac:dyDescent="0.3">
      <c r="A4255" s="58">
        <v>4125001</v>
      </c>
      <c r="B4255" s="58" t="s">
        <v>5099</v>
      </c>
      <c r="C4255" s="59">
        <v>-23.993089481488354</v>
      </c>
      <c r="D4255" s="59">
        <v>-51.820279205193827</v>
      </c>
    </row>
    <row r="4256" spans="1:4" x14ac:dyDescent="0.3">
      <c r="A4256" s="58">
        <v>4125100</v>
      </c>
      <c r="B4256" s="58" t="s">
        <v>5100</v>
      </c>
      <c r="C4256" s="59">
        <v>-25.691875063924652</v>
      </c>
      <c r="D4256" s="59">
        <v>-50.308064061912312</v>
      </c>
    </row>
    <row r="4257" spans="1:4" x14ac:dyDescent="0.3">
      <c r="A4257" s="58">
        <v>4125209</v>
      </c>
      <c r="B4257" s="58" t="s">
        <v>5101</v>
      </c>
      <c r="C4257" s="59">
        <v>-25.714948099592007</v>
      </c>
      <c r="D4257" s="59">
        <v>-52.920103166141139</v>
      </c>
    </row>
    <row r="4258" spans="1:4" x14ac:dyDescent="0.3">
      <c r="A4258" s="58">
        <v>4125308</v>
      </c>
      <c r="B4258" s="58" t="s">
        <v>5102</v>
      </c>
      <c r="C4258" s="59">
        <v>-23.435457861410356</v>
      </c>
      <c r="D4258" s="59">
        <v>-52.294341962433563</v>
      </c>
    </row>
    <row r="4259" spans="1:4" x14ac:dyDescent="0.3">
      <c r="A4259" s="58">
        <v>4125357</v>
      </c>
      <c r="B4259" s="58" t="s">
        <v>5103</v>
      </c>
      <c r="C4259" s="59">
        <v>-23.758247965256604</v>
      </c>
      <c r="D4259" s="59">
        <v>-53.88333056209725</v>
      </c>
    </row>
    <row r="4260" spans="1:4" x14ac:dyDescent="0.3">
      <c r="A4260" s="58">
        <v>4125407</v>
      </c>
      <c r="B4260" s="58" t="s">
        <v>5104</v>
      </c>
      <c r="C4260" s="59">
        <v>-23.915465975535032</v>
      </c>
      <c r="D4260" s="59">
        <v>-49.651152291082489</v>
      </c>
    </row>
    <row r="4261" spans="1:4" x14ac:dyDescent="0.3">
      <c r="A4261" s="58">
        <v>4125456</v>
      </c>
      <c r="B4261" s="58" t="s">
        <v>5105</v>
      </c>
      <c r="C4261" s="59">
        <v>-24.834081867369104</v>
      </c>
      <c r="D4261" s="59">
        <v>-54.05991827904564</v>
      </c>
    </row>
    <row r="4262" spans="1:4" x14ac:dyDescent="0.3">
      <c r="A4262" s="58">
        <v>4125506</v>
      </c>
      <c r="B4262" s="58" t="s">
        <v>5106</v>
      </c>
      <c r="C4262" s="59">
        <v>-25.537702000000007</v>
      </c>
      <c r="D4262" s="59">
        <v>-49.200082465667322</v>
      </c>
    </row>
    <row r="4263" spans="1:4" x14ac:dyDescent="0.3">
      <c r="A4263" s="58">
        <v>4125555</v>
      </c>
      <c r="B4263" s="58" t="s">
        <v>5107</v>
      </c>
      <c r="C4263" s="59">
        <v>-23.396130264214055</v>
      </c>
      <c r="D4263" s="59">
        <v>-52.647019562417093</v>
      </c>
    </row>
    <row r="4264" spans="1:4" x14ac:dyDescent="0.3">
      <c r="A4264" s="58">
        <v>4125605</v>
      </c>
      <c r="B4264" s="58" t="s">
        <v>5108</v>
      </c>
      <c r="C4264" s="59">
        <v>-25.869599505000004</v>
      </c>
      <c r="D4264" s="59">
        <v>-50.390624254704626</v>
      </c>
    </row>
    <row r="4265" spans="1:4" x14ac:dyDescent="0.3">
      <c r="A4265" s="58">
        <v>4125704</v>
      </c>
      <c r="B4265" s="58" t="s">
        <v>5109</v>
      </c>
      <c r="C4265" s="59">
        <v>-25.348894267258203</v>
      </c>
      <c r="D4265" s="59">
        <v>-54.242120554006966</v>
      </c>
    </row>
    <row r="4266" spans="1:4" x14ac:dyDescent="0.3">
      <c r="A4266" s="58">
        <v>4125753</v>
      </c>
      <c r="B4266" s="58" t="s">
        <v>5110</v>
      </c>
      <c r="C4266" s="59">
        <v>-24.930930924855204</v>
      </c>
      <c r="D4266" s="59">
        <v>-53.859861678682584</v>
      </c>
    </row>
    <row r="4267" spans="1:4" x14ac:dyDescent="0.3">
      <c r="A4267" s="58">
        <v>4125803</v>
      </c>
      <c r="B4267" s="58" t="s">
        <v>5111</v>
      </c>
      <c r="C4267" s="59">
        <v>-23.8678134422696</v>
      </c>
      <c r="D4267" s="59">
        <v>-51.856962758288809</v>
      </c>
    </row>
    <row r="4268" spans="1:4" x14ac:dyDescent="0.3">
      <c r="A4268" s="58">
        <v>4125902</v>
      </c>
      <c r="B4268" s="58" t="s">
        <v>5112</v>
      </c>
      <c r="C4268" s="59">
        <v>-22.825129449225205</v>
      </c>
      <c r="D4268" s="59">
        <v>-53.222937140462847</v>
      </c>
    </row>
    <row r="4269" spans="1:4" x14ac:dyDescent="0.3">
      <c r="A4269" s="58">
        <v>4126009</v>
      </c>
      <c r="B4269" s="58" t="s">
        <v>5113</v>
      </c>
      <c r="C4269" s="59">
        <v>-23.460645861013351</v>
      </c>
      <c r="D4269" s="59">
        <v>-50.762400977117217</v>
      </c>
    </row>
    <row r="4270" spans="1:4" x14ac:dyDescent="0.3">
      <c r="A4270" s="58">
        <v>4126108</v>
      </c>
      <c r="B4270" s="58" t="s">
        <v>2221</v>
      </c>
      <c r="C4270" s="59">
        <v>-23.53551136179345</v>
      </c>
      <c r="D4270" s="59">
        <v>-52.592483667563357</v>
      </c>
    </row>
    <row r="4271" spans="1:4" x14ac:dyDescent="0.3">
      <c r="A4271" s="58">
        <v>4126207</v>
      </c>
      <c r="B4271" s="58" t="s">
        <v>5114</v>
      </c>
      <c r="C4271" s="59">
        <v>-23.907287461003456</v>
      </c>
      <c r="D4271" s="59">
        <v>-50.579646631054004</v>
      </c>
    </row>
    <row r="4272" spans="1:4" x14ac:dyDescent="0.3">
      <c r="A4272" s="58">
        <v>4126256</v>
      </c>
      <c r="B4272" s="58" t="s">
        <v>5115</v>
      </c>
      <c r="C4272" s="59">
        <v>-23.443172010000005</v>
      </c>
      <c r="D4272" s="59">
        <v>-51.873682036247061</v>
      </c>
    </row>
    <row r="4273" spans="1:4" x14ac:dyDescent="0.3">
      <c r="A4273" s="58">
        <v>4126272</v>
      </c>
      <c r="B4273" s="58" t="s">
        <v>5116</v>
      </c>
      <c r="C4273" s="59">
        <v>-25.693661164641306</v>
      </c>
      <c r="D4273" s="59">
        <v>-52.614339373975767</v>
      </c>
    </row>
    <row r="4274" spans="1:4" x14ac:dyDescent="0.3">
      <c r="A4274" s="58">
        <v>4126306</v>
      </c>
      <c r="B4274" s="58" t="s">
        <v>5117</v>
      </c>
      <c r="C4274" s="59">
        <v>-24.116810219429652</v>
      </c>
      <c r="D4274" s="59">
        <v>-49.473019294596149</v>
      </c>
    </row>
    <row r="4275" spans="1:4" x14ac:dyDescent="0.3">
      <c r="A4275" s="58">
        <v>4126355</v>
      </c>
      <c r="B4275" s="58" t="s">
        <v>5118</v>
      </c>
      <c r="C4275" s="59">
        <v>-25.379884182782504</v>
      </c>
      <c r="D4275" s="59">
        <v>-54.058376583974777</v>
      </c>
    </row>
    <row r="4276" spans="1:4" x14ac:dyDescent="0.3">
      <c r="A4276" s="58">
        <v>4126405</v>
      </c>
      <c r="B4276" s="58" t="s">
        <v>5119</v>
      </c>
      <c r="C4276" s="59">
        <v>-23.036937034939303</v>
      </c>
      <c r="D4276" s="59">
        <v>-50.81710229964505</v>
      </c>
    </row>
    <row r="4277" spans="1:4" x14ac:dyDescent="0.3">
      <c r="A4277" s="58">
        <v>4126504</v>
      </c>
      <c r="B4277" s="58" t="s">
        <v>5120</v>
      </c>
      <c r="C4277" s="59">
        <v>-23.058481975559001</v>
      </c>
      <c r="D4277" s="59">
        <v>-51.042243533455533</v>
      </c>
    </row>
    <row r="4278" spans="1:4" x14ac:dyDescent="0.3">
      <c r="A4278" s="58">
        <v>4126603</v>
      </c>
      <c r="B4278" s="58" t="s">
        <v>5121</v>
      </c>
      <c r="C4278" s="59">
        <v>-23.687708382775103</v>
      </c>
      <c r="D4278" s="59">
        <v>-49.83149697076847</v>
      </c>
    </row>
    <row r="4279" spans="1:4" x14ac:dyDescent="0.3">
      <c r="A4279" s="58">
        <v>4126652</v>
      </c>
      <c r="B4279" s="58" t="s">
        <v>5122</v>
      </c>
      <c r="C4279" s="59">
        <v>-25.699632244522505</v>
      </c>
      <c r="D4279" s="59">
        <v>-52.7165965203627</v>
      </c>
    </row>
    <row r="4280" spans="1:4" x14ac:dyDescent="0.3">
      <c r="A4280" s="58">
        <v>4126678</v>
      </c>
      <c r="B4280" s="58" t="s">
        <v>5123</v>
      </c>
      <c r="C4280" s="59">
        <v>-23.715177191555256</v>
      </c>
      <c r="D4280" s="59">
        <v>-51.098560200451089</v>
      </c>
    </row>
    <row r="4281" spans="1:4" x14ac:dyDescent="0.3">
      <c r="A4281" s="58">
        <v>4126702</v>
      </c>
      <c r="B4281" s="58" t="s">
        <v>5124</v>
      </c>
      <c r="C4281" s="59">
        <v>-23.201820653094355</v>
      </c>
      <c r="D4281" s="59">
        <v>-52.500629291757434</v>
      </c>
    </row>
    <row r="4282" spans="1:4" x14ac:dyDescent="0.3">
      <c r="A4282" s="58">
        <v>4126801</v>
      </c>
      <c r="B4282" s="58" t="s">
        <v>5125</v>
      </c>
      <c r="C4282" s="59">
        <v>-23.732479190930302</v>
      </c>
      <c r="D4282" s="59">
        <v>-52.864113183990057</v>
      </c>
    </row>
    <row r="4283" spans="1:4" x14ac:dyDescent="0.3">
      <c r="A4283" s="58">
        <v>4126900</v>
      </c>
      <c r="B4283" s="58" t="s">
        <v>3954</v>
      </c>
      <c r="C4283" s="59">
        <v>-23.31710886505655</v>
      </c>
      <c r="D4283" s="59">
        <v>-53.07532530673447</v>
      </c>
    </row>
    <row r="4284" spans="1:4" x14ac:dyDescent="0.3">
      <c r="A4284" s="58">
        <v>4127007</v>
      </c>
      <c r="B4284" s="58" t="s">
        <v>5126</v>
      </c>
      <c r="C4284" s="59">
        <v>-25.380049207708858</v>
      </c>
      <c r="D4284" s="59">
        <v>-50.465646982418555</v>
      </c>
    </row>
    <row r="4285" spans="1:4" x14ac:dyDescent="0.3">
      <c r="A4285" s="58">
        <v>4127106</v>
      </c>
      <c r="B4285" s="58" t="s">
        <v>5127</v>
      </c>
      <c r="C4285" s="59">
        <v>-24.328685970000009</v>
      </c>
      <c r="D4285" s="59">
        <v>-50.623122723131168</v>
      </c>
    </row>
    <row r="4286" spans="1:4" x14ac:dyDescent="0.3">
      <c r="A4286" s="58">
        <v>4127205</v>
      </c>
      <c r="B4286" s="58" t="s">
        <v>5128</v>
      </c>
      <c r="C4286" s="59">
        <v>-23.766833266598354</v>
      </c>
      <c r="D4286" s="59">
        <v>-52.462142158890614</v>
      </c>
    </row>
    <row r="4287" spans="1:4" x14ac:dyDescent="0.3">
      <c r="A4287" s="58">
        <v>4127304</v>
      </c>
      <c r="B4287" s="58" t="s">
        <v>5129</v>
      </c>
      <c r="C4287" s="59">
        <v>-22.724364969334403</v>
      </c>
      <c r="D4287" s="59">
        <v>-52.624670573577866</v>
      </c>
    </row>
    <row r="4288" spans="1:4" x14ac:dyDescent="0.3">
      <c r="A4288" s="58">
        <v>4127403</v>
      </c>
      <c r="B4288" s="58" t="s">
        <v>4752</v>
      </c>
      <c r="C4288" s="59">
        <v>-24.167483526059954</v>
      </c>
      <c r="D4288" s="59">
        <v>-54.098513635967073</v>
      </c>
    </row>
    <row r="4289" spans="1:4" x14ac:dyDescent="0.3">
      <c r="A4289" s="58">
        <v>4127502</v>
      </c>
      <c r="B4289" s="58" t="s">
        <v>5130</v>
      </c>
      <c r="C4289" s="59">
        <v>-24.513288067849455</v>
      </c>
      <c r="D4289" s="59">
        <v>-50.411470122832469</v>
      </c>
    </row>
    <row r="4290" spans="1:4" x14ac:dyDescent="0.3">
      <c r="A4290" s="58">
        <v>4127601</v>
      </c>
      <c r="B4290" s="58" t="s">
        <v>5131</v>
      </c>
      <c r="C4290" s="59">
        <v>-25.920180480175254</v>
      </c>
      <c r="D4290" s="59">
        <v>-49.18224394127644</v>
      </c>
    </row>
    <row r="4291" spans="1:4" x14ac:dyDescent="0.3">
      <c r="A4291" s="58">
        <v>4127700</v>
      </c>
      <c r="B4291" s="58" t="s">
        <v>3965</v>
      </c>
      <c r="C4291" s="59">
        <v>-24.732077000000004</v>
      </c>
      <c r="D4291" s="59">
        <v>-53.741411491156775</v>
      </c>
    </row>
    <row r="4292" spans="1:4" x14ac:dyDescent="0.3">
      <c r="A4292" s="58">
        <v>4127809</v>
      </c>
      <c r="B4292" s="58" t="s">
        <v>5132</v>
      </c>
      <c r="C4292" s="59">
        <v>-23.779044856394204</v>
      </c>
      <c r="D4292" s="59">
        <v>-49.955151541079523</v>
      </c>
    </row>
    <row r="4293" spans="1:4" x14ac:dyDescent="0.3">
      <c r="A4293" s="58">
        <v>4127858</v>
      </c>
      <c r="B4293" s="58" t="s">
        <v>5133</v>
      </c>
      <c r="C4293" s="59">
        <v>-25.419408319478269</v>
      </c>
      <c r="D4293" s="59">
        <v>-53.187498800545953</v>
      </c>
    </row>
    <row r="4294" spans="1:4" x14ac:dyDescent="0.3">
      <c r="A4294" s="58">
        <v>4127882</v>
      </c>
      <c r="B4294" s="58" t="s">
        <v>5134</v>
      </c>
      <c r="C4294" s="59">
        <v>-24.972381190118707</v>
      </c>
      <c r="D4294" s="59">
        <v>-49.086058799365162</v>
      </c>
    </row>
    <row r="4295" spans="1:4" x14ac:dyDescent="0.3">
      <c r="A4295" s="58">
        <v>4127908</v>
      </c>
      <c r="B4295" s="58" t="s">
        <v>5135</v>
      </c>
      <c r="C4295" s="59">
        <v>-23.864030629283803</v>
      </c>
      <c r="D4295" s="59">
        <v>-52.874567846723586</v>
      </c>
    </row>
    <row r="4296" spans="1:4" x14ac:dyDescent="0.3">
      <c r="A4296" s="58">
        <v>4127957</v>
      </c>
      <c r="B4296" s="58" t="s">
        <v>5136</v>
      </c>
      <c r="C4296" s="59">
        <v>-24.579813408875406</v>
      </c>
      <c r="D4296" s="59">
        <v>-53.514495314830292</v>
      </c>
    </row>
    <row r="4297" spans="1:4" x14ac:dyDescent="0.3">
      <c r="A4297" s="58">
        <v>4127965</v>
      </c>
      <c r="B4297" s="58" t="s">
        <v>5137</v>
      </c>
      <c r="C4297" s="59">
        <v>-25.040126803101455</v>
      </c>
      <c r="D4297" s="59">
        <v>-51.532764327337063</v>
      </c>
    </row>
    <row r="4298" spans="1:4" x14ac:dyDescent="0.3">
      <c r="A4298" s="58">
        <v>4128005</v>
      </c>
      <c r="B4298" s="58" t="s">
        <v>5138</v>
      </c>
      <c r="C4298" s="59">
        <v>-24.54103488499215</v>
      </c>
      <c r="D4298" s="59">
        <v>-52.994506015845552</v>
      </c>
    </row>
    <row r="4299" spans="1:4" x14ac:dyDescent="0.3">
      <c r="A4299" s="58">
        <v>4128104</v>
      </c>
      <c r="B4299" s="58" t="s">
        <v>5139</v>
      </c>
      <c r="C4299" s="59">
        <v>-23.763950000000005</v>
      </c>
      <c r="D4299" s="59">
        <v>-53.308459804795611</v>
      </c>
    </row>
    <row r="4300" spans="1:4" x14ac:dyDescent="0.3">
      <c r="A4300" s="58">
        <v>4128203</v>
      </c>
      <c r="B4300" s="58" t="s">
        <v>5140</v>
      </c>
      <c r="C4300" s="59">
        <v>-26.228434500000006</v>
      </c>
      <c r="D4300" s="59">
        <v>-51.090609522986689</v>
      </c>
    </row>
    <row r="4301" spans="1:4" x14ac:dyDescent="0.3">
      <c r="A4301" s="58">
        <v>4128302</v>
      </c>
      <c r="B4301" s="58" t="s">
        <v>5141</v>
      </c>
      <c r="C4301" s="59">
        <v>-23.086048657245708</v>
      </c>
      <c r="D4301" s="59">
        <v>-52.160010824034757</v>
      </c>
    </row>
    <row r="4302" spans="1:4" x14ac:dyDescent="0.3">
      <c r="A4302" s="58">
        <v>4128401</v>
      </c>
      <c r="B4302" s="58" t="s">
        <v>5142</v>
      </c>
      <c r="C4302" s="59">
        <v>-23.200159102526307</v>
      </c>
      <c r="D4302" s="59">
        <v>-50.797365180228724</v>
      </c>
    </row>
    <row r="4303" spans="1:4" x14ac:dyDescent="0.3">
      <c r="A4303" s="58">
        <v>4128500</v>
      </c>
      <c r="B4303" s="58" t="s">
        <v>4006</v>
      </c>
      <c r="C4303" s="59">
        <v>-23.870422852849703</v>
      </c>
      <c r="D4303" s="59">
        <v>-49.802984782369968</v>
      </c>
    </row>
    <row r="4304" spans="1:4" x14ac:dyDescent="0.3">
      <c r="A4304" s="58">
        <v>4128534</v>
      </c>
      <c r="B4304" s="58" t="s">
        <v>5143</v>
      </c>
      <c r="C4304" s="59">
        <v>-24.244165855963853</v>
      </c>
      <c r="D4304" s="59">
        <v>-50.247617223728824</v>
      </c>
    </row>
    <row r="4305" spans="1:4" x14ac:dyDescent="0.3">
      <c r="A4305" s="58">
        <v>4128559</v>
      </c>
      <c r="B4305" s="58" t="s">
        <v>5144</v>
      </c>
      <c r="C4305" s="59">
        <v>-25.063170189010858</v>
      </c>
      <c r="D4305" s="59">
        <v>-53.88003007062543</v>
      </c>
    </row>
    <row r="4306" spans="1:4" x14ac:dyDescent="0.3">
      <c r="A4306" s="58">
        <v>4128609</v>
      </c>
      <c r="B4306" s="58" t="s">
        <v>5145</v>
      </c>
      <c r="C4306" s="59">
        <v>-25.880631603554757</v>
      </c>
      <c r="D4306" s="59">
        <v>-52.908593079831192</v>
      </c>
    </row>
    <row r="4307" spans="1:4" x14ac:dyDescent="0.3">
      <c r="A4307" s="58">
        <v>4128625</v>
      </c>
      <c r="B4307" s="58" t="s">
        <v>1062</v>
      </c>
      <c r="C4307" s="59">
        <v>-23.508130737928756</v>
      </c>
      <c r="D4307" s="59">
        <v>-53.732893150769186</v>
      </c>
    </row>
    <row r="4308" spans="1:4" x14ac:dyDescent="0.3">
      <c r="A4308" s="58">
        <v>4128633</v>
      </c>
      <c r="B4308" s="58" t="s">
        <v>5146</v>
      </c>
      <c r="C4308" s="59">
        <v>-24.567836452241604</v>
      </c>
      <c r="D4308" s="59">
        <v>-49.41977179892973</v>
      </c>
    </row>
    <row r="4309" spans="1:4" x14ac:dyDescent="0.3">
      <c r="A4309" s="58">
        <v>4128658</v>
      </c>
      <c r="B4309" s="58" t="s">
        <v>5147</v>
      </c>
      <c r="C4309" s="59">
        <v>-25.378765985125202</v>
      </c>
      <c r="D4309" s="59">
        <v>-52.202543304736942</v>
      </c>
    </row>
    <row r="4310" spans="1:4" x14ac:dyDescent="0.3">
      <c r="A4310" s="58">
        <v>4128708</v>
      </c>
      <c r="B4310" s="58" t="s">
        <v>5148</v>
      </c>
      <c r="C4310" s="59">
        <v>-26.264344287366853</v>
      </c>
      <c r="D4310" s="59">
        <v>-52.77708144580275</v>
      </c>
    </row>
    <row r="4311" spans="1:4" x14ac:dyDescent="0.3">
      <c r="A4311" s="58">
        <v>4128807</v>
      </c>
      <c r="B4311" s="58" t="s">
        <v>5149</v>
      </c>
      <c r="C4311" s="59">
        <v>-23.738394396138908</v>
      </c>
      <c r="D4311" s="59">
        <v>-53.486940694552572</v>
      </c>
    </row>
    <row r="4312" spans="1:4" x14ac:dyDescent="0.3">
      <c r="A4312" s="58">
        <v>4200051</v>
      </c>
      <c r="B4312" s="58" t="s">
        <v>5150</v>
      </c>
      <c r="C4312" s="59">
        <v>-27.608987123336306</v>
      </c>
      <c r="D4312" s="59">
        <v>-51.025272211036715</v>
      </c>
    </row>
    <row r="4313" spans="1:4" x14ac:dyDescent="0.3">
      <c r="A4313" s="58">
        <v>4200101</v>
      </c>
      <c r="B4313" s="58" t="s">
        <v>5151</v>
      </c>
      <c r="C4313" s="59">
        <v>-26.563031022444552</v>
      </c>
      <c r="D4313" s="59">
        <v>-52.336482383323649</v>
      </c>
    </row>
    <row r="4314" spans="1:4" x14ac:dyDescent="0.3">
      <c r="A4314" s="58">
        <v>4200200</v>
      </c>
      <c r="B4314" s="58" t="s">
        <v>5152</v>
      </c>
      <c r="C4314" s="59">
        <v>-27.400516587998506</v>
      </c>
      <c r="D4314" s="59">
        <v>-49.825653387728401</v>
      </c>
    </row>
    <row r="4315" spans="1:4" x14ac:dyDescent="0.3">
      <c r="A4315" s="58">
        <v>4200309</v>
      </c>
      <c r="B4315" s="58" t="s">
        <v>5153</v>
      </c>
      <c r="C4315" s="59">
        <v>-27.269716107145406</v>
      </c>
      <c r="D4315" s="59">
        <v>-49.718368890755443</v>
      </c>
    </row>
    <row r="4316" spans="1:4" x14ac:dyDescent="0.3">
      <c r="A4316" s="58">
        <v>4200408</v>
      </c>
      <c r="B4316" s="58" t="s">
        <v>5154</v>
      </c>
      <c r="C4316" s="59">
        <v>-27.004091658860105</v>
      </c>
      <c r="D4316" s="59">
        <v>-51.559096555294602</v>
      </c>
    </row>
    <row r="4317" spans="1:4" x14ac:dyDescent="0.3">
      <c r="A4317" s="58">
        <v>4200507</v>
      </c>
      <c r="B4317" s="58" t="s">
        <v>5155</v>
      </c>
      <c r="C4317" s="59">
        <v>-27.076212912475707</v>
      </c>
      <c r="D4317" s="59">
        <v>-52.987251005685472</v>
      </c>
    </row>
    <row r="4318" spans="1:4" x14ac:dyDescent="0.3">
      <c r="A4318" s="58">
        <v>4200556</v>
      </c>
      <c r="B4318" s="58" t="s">
        <v>5156</v>
      </c>
      <c r="C4318" s="59">
        <v>-26.880227543024503</v>
      </c>
      <c r="D4318" s="59">
        <v>-52.859419449350497</v>
      </c>
    </row>
    <row r="4319" spans="1:4" x14ac:dyDescent="0.3">
      <c r="A4319" s="58">
        <v>4200606</v>
      </c>
      <c r="B4319" s="58" t="s">
        <v>5157</v>
      </c>
      <c r="C4319" s="59">
        <v>-27.706597191749754</v>
      </c>
      <c r="D4319" s="59">
        <v>-48.840538402827818</v>
      </c>
    </row>
    <row r="4320" spans="1:4" x14ac:dyDescent="0.3">
      <c r="A4320" s="58">
        <v>4200705</v>
      </c>
      <c r="B4320" s="58" t="s">
        <v>5158</v>
      </c>
      <c r="C4320" s="59">
        <v>-27.705396332037356</v>
      </c>
      <c r="D4320" s="59">
        <v>-49.343812301152795</v>
      </c>
    </row>
    <row r="4321" spans="1:4" x14ac:dyDescent="0.3">
      <c r="A4321" s="58">
        <v>4200754</v>
      </c>
      <c r="B4321" s="58" t="s">
        <v>5159</v>
      </c>
      <c r="C4321" s="59">
        <v>-27.431137875328609</v>
      </c>
      <c r="D4321" s="59">
        <v>-51.911036854059169</v>
      </c>
    </row>
    <row r="4322" spans="1:4" x14ac:dyDescent="0.3">
      <c r="A4322" s="58">
        <v>4200804</v>
      </c>
      <c r="B4322" s="58" t="s">
        <v>4013</v>
      </c>
      <c r="C4322" s="59">
        <v>-26.535680860657209</v>
      </c>
      <c r="D4322" s="59">
        <v>-53.333270177229039</v>
      </c>
    </row>
    <row r="4323" spans="1:4" x14ac:dyDescent="0.3">
      <c r="A4323" s="58">
        <v>4200903</v>
      </c>
      <c r="B4323" s="58" t="s">
        <v>5160</v>
      </c>
      <c r="C4323" s="59">
        <v>-27.582257352064001</v>
      </c>
      <c r="D4323" s="59">
        <v>-48.983476064225357</v>
      </c>
    </row>
    <row r="4324" spans="1:4" x14ac:dyDescent="0.3">
      <c r="A4324" s="58">
        <v>4201000</v>
      </c>
      <c r="B4324" s="58" t="s">
        <v>5161</v>
      </c>
      <c r="C4324" s="59">
        <v>-27.683777290055357</v>
      </c>
      <c r="D4324" s="59">
        <v>-51.131193871263307</v>
      </c>
    </row>
    <row r="4325" spans="1:4" x14ac:dyDescent="0.3">
      <c r="A4325" s="58">
        <v>4201109</v>
      </c>
      <c r="B4325" s="58" t="s">
        <v>5162</v>
      </c>
      <c r="C4325" s="59">
        <v>-27.909886897333053</v>
      </c>
      <c r="D4325" s="59">
        <v>-49.13159936621949</v>
      </c>
    </row>
    <row r="4326" spans="1:4" x14ac:dyDescent="0.3">
      <c r="A4326" s="58">
        <v>4201208</v>
      </c>
      <c r="B4326" s="58" t="s">
        <v>3204</v>
      </c>
      <c r="C4326" s="59">
        <v>-27.51337105163136</v>
      </c>
      <c r="D4326" s="59">
        <v>-48.764960026755261</v>
      </c>
    </row>
    <row r="4327" spans="1:4" x14ac:dyDescent="0.3">
      <c r="A4327" s="58">
        <v>4201257</v>
      </c>
      <c r="B4327" s="58" t="s">
        <v>5163</v>
      </c>
      <c r="C4327" s="59">
        <v>-27.041812598124952</v>
      </c>
      <c r="D4327" s="59">
        <v>-49.391637628752818</v>
      </c>
    </row>
    <row r="4328" spans="1:4" x14ac:dyDescent="0.3">
      <c r="A4328" s="58">
        <v>4201273</v>
      </c>
      <c r="B4328" s="58" t="s">
        <v>5164</v>
      </c>
      <c r="C4328" s="59">
        <v>-27.15740369594285</v>
      </c>
      <c r="D4328" s="59">
        <v>-52.148599260698226</v>
      </c>
    </row>
    <row r="4329" spans="1:4" x14ac:dyDescent="0.3">
      <c r="A4329" s="58">
        <v>4201307</v>
      </c>
      <c r="B4329" s="58" t="s">
        <v>5165</v>
      </c>
      <c r="C4329" s="59">
        <v>-26.37595155407411</v>
      </c>
      <c r="D4329" s="59">
        <v>-48.692707411929412</v>
      </c>
    </row>
    <row r="4330" spans="1:4" x14ac:dyDescent="0.3">
      <c r="A4330" s="58">
        <v>4201406</v>
      </c>
      <c r="B4330" s="58" t="s">
        <v>5166</v>
      </c>
      <c r="C4330" s="59">
        <v>-28.935752014200506</v>
      </c>
      <c r="D4330" s="59">
        <v>-49.480966523633036</v>
      </c>
    </row>
    <row r="4331" spans="1:4" x14ac:dyDescent="0.3">
      <c r="A4331" s="58">
        <v>4201505</v>
      </c>
      <c r="B4331" s="58" t="s">
        <v>5167</v>
      </c>
      <c r="C4331" s="59">
        <v>-28.258705467916805</v>
      </c>
      <c r="D4331" s="59">
        <v>-49.012911084773961</v>
      </c>
    </row>
    <row r="4332" spans="1:4" x14ac:dyDescent="0.3">
      <c r="A4332" s="58">
        <v>4201604</v>
      </c>
      <c r="B4332" s="58" t="s">
        <v>5168</v>
      </c>
      <c r="C4332" s="59">
        <v>-26.932564856680955</v>
      </c>
      <c r="D4332" s="59">
        <v>-51.33412392388054</v>
      </c>
    </row>
    <row r="4333" spans="1:4" x14ac:dyDescent="0.3">
      <c r="A4333" s="58">
        <v>4201653</v>
      </c>
      <c r="B4333" s="58" t="s">
        <v>5169</v>
      </c>
      <c r="C4333" s="59">
        <v>-27.073533558157408</v>
      </c>
      <c r="D4333" s="59">
        <v>-52.457788841162561</v>
      </c>
    </row>
    <row r="4334" spans="1:4" x14ac:dyDescent="0.3">
      <c r="A4334" s="58">
        <v>4201703</v>
      </c>
      <c r="B4334" s="58" t="s">
        <v>5170</v>
      </c>
      <c r="C4334" s="59">
        <v>-26.954775842493952</v>
      </c>
      <c r="D4334" s="59">
        <v>-49.386363427806309</v>
      </c>
    </row>
    <row r="4335" spans="1:4" x14ac:dyDescent="0.3">
      <c r="A4335" s="58">
        <v>4201802</v>
      </c>
      <c r="B4335" s="58" t="s">
        <v>5171</v>
      </c>
      <c r="C4335" s="59">
        <v>-27.420536001840606</v>
      </c>
      <c r="D4335" s="59">
        <v>-49.779456674142395</v>
      </c>
    </row>
    <row r="4336" spans="1:4" x14ac:dyDescent="0.3">
      <c r="A4336" s="58">
        <v>4201901</v>
      </c>
      <c r="B4336" s="58" t="s">
        <v>1925</v>
      </c>
      <c r="C4336" s="59">
        <v>-27.299029494610355</v>
      </c>
      <c r="D4336" s="59">
        <v>-49.643627907481779</v>
      </c>
    </row>
    <row r="4337" spans="1:4" x14ac:dyDescent="0.3">
      <c r="A4337" s="58">
        <v>4201950</v>
      </c>
      <c r="B4337" s="58" t="s">
        <v>5172</v>
      </c>
      <c r="C4337" s="59">
        <v>-28.980402454759254</v>
      </c>
      <c r="D4337" s="59">
        <v>-49.405702799136975</v>
      </c>
    </row>
    <row r="4338" spans="1:4" x14ac:dyDescent="0.3">
      <c r="A4338" s="58">
        <v>4202008</v>
      </c>
      <c r="B4338" s="58" t="s">
        <v>5173</v>
      </c>
      <c r="C4338" s="59">
        <v>-26.991818605254608</v>
      </c>
      <c r="D4338" s="59">
        <v>-48.634617477026531</v>
      </c>
    </row>
    <row r="4339" spans="1:4" x14ac:dyDescent="0.3">
      <c r="A4339" s="58">
        <v>4202057</v>
      </c>
      <c r="B4339" s="58" t="s">
        <v>5174</v>
      </c>
      <c r="C4339" s="59">
        <v>-26.456429567117652</v>
      </c>
      <c r="D4339" s="59">
        <v>-48.606645876007384</v>
      </c>
    </row>
    <row r="4340" spans="1:4" x14ac:dyDescent="0.3">
      <c r="A4340" s="58">
        <v>4202073</v>
      </c>
      <c r="B4340" s="58" t="s">
        <v>5175</v>
      </c>
      <c r="C4340" s="59">
        <v>-29.164521268534259</v>
      </c>
      <c r="D4340" s="59">
        <v>-49.590893782355117</v>
      </c>
    </row>
    <row r="4341" spans="1:4" x14ac:dyDescent="0.3">
      <c r="A4341" s="58">
        <v>4202081</v>
      </c>
      <c r="B4341" s="58" t="s">
        <v>5176</v>
      </c>
      <c r="C4341" s="59">
        <v>-26.768937901324353</v>
      </c>
      <c r="D4341" s="59">
        <v>-53.641049586589993</v>
      </c>
    </row>
    <row r="4342" spans="1:4" x14ac:dyDescent="0.3">
      <c r="A4342" s="58">
        <v>4202099</v>
      </c>
      <c r="B4342" s="58" t="s">
        <v>4224</v>
      </c>
      <c r="C4342" s="59">
        <v>-26.652293599856158</v>
      </c>
      <c r="D4342" s="59">
        <v>-53.441302540604461</v>
      </c>
    </row>
    <row r="4343" spans="1:4" x14ac:dyDescent="0.3">
      <c r="A4343" s="58">
        <v>4202107</v>
      </c>
      <c r="B4343" s="58" t="s">
        <v>5177</v>
      </c>
      <c r="C4343" s="59">
        <v>-26.634361408289305</v>
      </c>
      <c r="D4343" s="59">
        <v>-48.683864274324037</v>
      </c>
    </row>
    <row r="4344" spans="1:4" x14ac:dyDescent="0.3">
      <c r="A4344" s="58">
        <v>4202131</v>
      </c>
      <c r="B4344" s="58" t="s">
        <v>5178</v>
      </c>
      <c r="C4344" s="59">
        <v>-26.276228278337978</v>
      </c>
      <c r="D4344" s="59">
        <v>-50.464788238469779</v>
      </c>
    </row>
    <row r="4345" spans="1:4" x14ac:dyDescent="0.3">
      <c r="A4345" s="58">
        <v>4202156</v>
      </c>
      <c r="B4345" s="58" t="s">
        <v>2819</v>
      </c>
      <c r="C4345" s="59">
        <v>-26.844586347482753</v>
      </c>
      <c r="D4345" s="59">
        <v>-53.580977231480944</v>
      </c>
    </row>
    <row r="4346" spans="1:4" x14ac:dyDescent="0.3">
      <c r="A4346" s="58">
        <v>4202206</v>
      </c>
      <c r="B4346" s="58" t="s">
        <v>5179</v>
      </c>
      <c r="C4346" s="59">
        <v>-26.777507569001155</v>
      </c>
      <c r="D4346" s="59">
        <v>-49.364402749408903</v>
      </c>
    </row>
    <row r="4347" spans="1:4" x14ac:dyDescent="0.3">
      <c r="A4347" s="58">
        <v>4202305</v>
      </c>
      <c r="B4347" s="58" t="s">
        <v>5180</v>
      </c>
      <c r="C4347" s="59">
        <v>-27.494322743470008</v>
      </c>
      <c r="D4347" s="59">
        <v>-48.654488928950599</v>
      </c>
    </row>
    <row r="4348" spans="1:4" x14ac:dyDescent="0.3">
      <c r="A4348" s="58">
        <v>4202404</v>
      </c>
      <c r="B4348" s="58" t="s">
        <v>5181</v>
      </c>
      <c r="C4348" s="59">
        <v>-26.916107705306658</v>
      </c>
      <c r="D4348" s="59">
        <v>-49.05763088436116</v>
      </c>
    </row>
    <row r="4349" spans="1:4" x14ac:dyDescent="0.3">
      <c r="A4349" s="58">
        <v>4202438</v>
      </c>
      <c r="B4349" s="58" t="s">
        <v>5182</v>
      </c>
      <c r="C4349" s="59">
        <v>-27.743198306937707</v>
      </c>
      <c r="D4349" s="59">
        <v>-49.945897910806927</v>
      </c>
    </row>
    <row r="4350" spans="1:4" x14ac:dyDescent="0.3">
      <c r="A4350" s="58">
        <v>4202453</v>
      </c>
      <c r="B4350" s="58" t="s">
        <v>5183</v>
      </c>
      <c r="C4350" s="59">
        <v>-27.144254699332055</v>
      </c>
      <c r="D4350" s="59">
        <v>-48.521345134844815</v>
      </c>
    </row>
    <row r="4351" spans="1:4" x14ac:dyDescent="0.3">
      <c r="A4351" s="58">
        <v>4202503</v>
      </c>
      <c r="B4351" s="58" t="s">
        <v>5184</v>
      </c>
      <c r="C4351" s="59">
        <v>-28.337947190976454</v>
      </c>
      <c r="D4351" s="59">
        <v>-49.624977745338136</v>
      </c>
    </row>
    <row r="4352" spans="1:4" x14ac:dyDescent="0.3">
      <c r="A4352" s="58">
        <v>4202537</v>
      </c>
      <c r="B4352" s="58" t="s">
        <v>1713</v>
      </c>
      <c r="C4352" s="59">
        <v>-26.735923435578005</v>
      </c>
      <c r="D4352" s="59">
        <v>-52.393015959826158</v>
      </c>
    </row>
    <row r="4353" spans="1:4" x14ac:dyDescent="0.3">
      <c r="A4353" s="58">
        <v>4202578</v>
      </c>
      <c r="B4353" s="58" t="s">
        <v>5185</v>
      </c>
      <c r="C4353" s="59">
        <v>-26.691811554593702</v>
      </c>
      <c r="D4353" s="59">
        <v>-53.09535028023371</v>
      </c>
    </row>
    <row r="4354" spans="1:4" x14ac:dyDescent="0.3">
      <c r="A4354" s="58">
        <v>4202602</v>
      </c>
      <c r="B4354" s="58" t="s">
        <v>5186</v>
      </c>
      <c r="C4354" s="59">
        <v>-27.798671001426055</v>
      </c>
      <c r="D4354" s="59">
        <v>-49.489833766081247</v>
      </c>
    </row>
    <row r="4355" spans="1:4" x14ac:dyDescent="0.3">
      <c r="A4355" s="58">
        <v>4202701</v>
      </c>
      <c r="B4355" s="58" t="s">
        <v>5187</v>
      </c>
      <c r="C4355" s="59">
        <v>-27.202106861164808</v>
      </c>
      <c r="D4355" s="59">
        <v>-49.078484361927849</v>
      </c>
    </row>
    <row r="4356" spans="1:4" x14ac:dyDescent="0.3">
      <c r="A4356" s="58">
        <v>4202800</v>
      </c>
      <c r="B4356" s="58" t="s">
        <v>5188</v>
      </c>
      <c r="C4356" s="59">
        <v>-28.280038867343556</v>
      </c>
      <c r="D4356" s="59">
        <v>-49.164547708948646</v>
      </c>
    </row>
    <row r="4357" spans="1:4" x14ac:dyDescent="0.3">
      <c r="A4357" s="58">
        <v>4202859</v>
      </c>
      <c r="B4357" s="58" t="s">
        <v>5189</v>
      </c>
      <c r="C4357" s="59">
        <v>-27.364251345124806</v>
      </c>
      <c r="D4357" s="59">
        <v>-49.890907935951354</v>
      </c>
    </row>
    <row r="4358" spans="1:4" x14ac:dyDescent="0.3">
      <c r="A4358" s="58">
        <v>4202875</v>
      </c>
      <c r="B4358" s="58" t="s">
        <v>5190</v>
      </c>
      <c r="C4358" s="59">
        <v>-27.318362150823955</v>
      </c>
      <c r="D4358" s="59">
        <v>-50.835920771950654</v>
      </c>
    </row>
    <row r="4359" spans="1:4" x14ac:dyDescent="0.3">
      <c r="A4359" s="58">
        <v>4202909</v>
      </c>
      <c r="B4359" s="58" t="s">
        <v>5191</v>
      </c>
      <c r="C4359" s="59">
        <v>-27.098310226210653</v>
      </c>
      <c r="D4359" s="59">
        <v>-48.915163005515346</v>
      </c>
    </row>
    <row r="4360" spans="1:4" x14ac:dyDescent="0.3">
      <c r="A4360" s="58">
        <v>4203006</v>
      </c>
      <c r="B4360" s="58" t="s">
        <v>5192</v>
      </c>
      <c r="C4360" s="59">
        <v>-26.775347672718151</v>
      </c>
      <c r="D4360" s="59">
        <v>-51.01903475899806</v>
      </c>
    </row>
    <row r="4361" spans="1:4" x14ac:dyDescent="0.3">
      <c r="A4361" s="58">
        <v>4203105</v>
      </c>
      <c r="B4361" s="58" t="s">
        <v>5193</v>
      </c>
      <c r="C4361" s="59">
        <v>-27.073053932558004</v>
      </c>
      <c r="D4361" s="59">
        <v>-53.250527195583715</v>
      </c>
    </row>
    <row r="4362" spans="1:4" x14ac:dyDescent="0.3">
      <c r="A4362" s="58">
        <v>4203154</v>
      </c>
      <c r="B4362" s="58" t="s">
        <v>5194</v>
      </c>
      <c r="C4362" s="59">
        <v>-26.604677177073306</v>
      </c>
      <c r="D4362" s="59">
        <v>-51.096634904598119</v>
      </c>
    </row>
    <row r="4363" spans="1:4" x14ac:dyDescent="0.3">
      <c r="A4363" s="58">
        <v>4203204</v>
      </c>
      <c r="B4363" s="58" t="s">
        <v>5195</v>
      </c>
      <c r="C4363" s="59">
        <v>-27.026456499235657</v>
      </c>
      <c r="D4363" s="59">
        <v>-48.649995852100552</v>
      </c>
    </row>
    <row r="4364" spans="1:4" x14ac:dyDescent="0.3">
      <c r="A4364" s="58">
        <v>4203253</v>
      </c>
      <c r="B4364" s="58" t="s">
        <v>5196</v>
      </c>
      <c r="C4364" s="59">
        <v>-27.941685281814902</v>
      </c>
      <c r="D4364" s="59">
        <v>-50.51147929258638</v>
      </c>
    </row>
    <row r="4365" spans="1:4" x14ac:dyDescent="0.3">
      <c r="A4365" s="58">
        <v>4203303</v>
      </c>
      <c r="B4365" s="58" t="s">
        <v>2626</v>
      </c>
      <c r="C4365" s="59">
        <v>-26.190659282464456</v>
      </c>
      <c r="D4365" s="59">
        <v>-49.26334448205364</v>
      </c>
    </row>
    <row r="4366" spans="1:4" x14ac:dyDescent="0.3">
      <c r="A4366" s="58">
        <v>4203402</v>
      </c>
      <c r="B4366" s="58" t="s">
        <v>5197</v>
      </c>
      <c r="C4366" s="59">
        <v>-27.896657387266458</v>
      </c>
      <c r="D4366" s="59">
        <v>-50.761993751938526</v>
      </c>
    </row>
    <row r="4367" spans="1:4" x14ac:dyDescent="0.3">
      <c r="A4367" s="58">
        <v>4203501</v>
      </c>
      <c r="B4367" s="58" t="s">
        <v>5198</v>
      </c>
      <c r="C4367" s="59">
        <v>-26.394551141005554</v>
      </c>
      <c r="D4367" s="59">
        <v>-53.09015517033761</v>
      </c>
    </row>
    <row r="4368" spans="1:4" x14ac:dyDescent="0.3">
      <c r="A4368" s="58">
        <v>4203600</v>
      </c>
      <c r="B4368" s="58" t="s">
        <v>5199</v>
      </c>
      <c r="C4368" s="59">
        <v>-27.399052979228557</v>
      </c>
      <c r="D4368" s="59">
        <v>-51.223672993237884</v>
      </c>
    </row>
    <row r="4369" spans="1:4" x14ac:dyDescent="0.3">
      <c r="A4369" s="58">
        <v>4203709</v>
      </c>
      <c r="B4369" s="58" t="s">
        <v>5200</v>
      </c>
      <c r="C4369" s="59">
        <v>-27.272414794608608</v>
      </c>
      <c r="D4369" s="59">
        <v>-48.78927312767793</v>
      </c>
    </row>
    <row r="4370" spans="1:4" x14ac:dyDescent="0.3">
      <c r="A4370" s="58">
        <v>4203808</v>
      </c>
      <c r="B4370" s="58" t="s">
        <v>5201</v>
      </c>
      <c r="C4370" s="59">
        <v>-26.178807014252406</v>
      </c>
      <c r="D4370" s="59">
        <v>-50.397848711893268</v>
      </c>
    </row>
    <row r="4371" spans="1:4" x14ac:dyDescent="0.3">
      <c r="A4371" s="58">
        <v>4203907</v>
      </c>
      <c r="B4371" s="58" t="s">
        <v>5202</v>
      </c>
      <c r="C4371" s="59">
        <v>-27.344278464216057</v>
      </c>
      <c r="D4371" s="59">
        <v>-51.611362755175925</v>
      </c>
    </row>
    <row r="4372" spans="1:4" x14ac:dyDescent="0.3">
      <c r="A4372" s="58">
        <v>4203956</v>
      </c>
      <c r="B4372" s="58" t="s">
        <v>5203</v>
      </c>
      <c r="C4372" s="59">
        <v>-28.449045511825055</v>
      </c>
      <c r="D4372" s="59">
        <v>-48.960575068094073</v>
      </c>
    </row>
    <row r="4373" spans="1:4" x14ac:dyDescent="0.3">
      <c r="A4373" s="58">
        <v>4204004</v>
      </c>
      <c r="B4373" s="58" t="s">
        <v>4849</v>
      </c>
      <c r="C4373" s="59">
        <v>-27.072035221570907</v>
      </c>
      <c r="D4373" s="59">
        <v>-51.658948098577639</v>
      </c>
    </row>
    <row r="4374" spans="1:4" x14ac:dyDescent="0.3">
      <c r="A4374" s="58">
        <v>4204103</v>
      </c>
      <c r="B4374" s="58" t="s">
        <v>5204</v>
      </c>
      <c r="C4374" s="59">
        <v>-27.161281784863753</v>
      </c>
      <c r="D4374" s="59">
        <v>-52.880474892892209</v>
      </c>
    </row>
    <row r="4375" spans="1:4" x14ac:dyDescent="0.3">
      <c r="A4375" s="58">
        <v>4204152</v>
      </c>
      <c r="B4375" s="58" t="s">
        <v>5205</v>
      </c>
      <c r="C4375" s="59">
        <v>-27.63473860536995</v>
      </c>
      <c r="D4375" s="59">
        <v>-51.335993824764472</v>
      </c>
    </row>
    <row r="4376" spans="1:4" x14ac:dyDescent="0.3">
      <c r="A4376" s="58">
        <v>4204178</v>
      </c>
      <c r="B4376" s="58" t="s">
        <v>5206</v>
      </c>
      <c r="C4376" s="59">
        <v>-27.795828067738402</v>
      </c>
      <c r="D4376" s="59">
        <v>-50.870062264678779</v>
      </c>
    </row>
    <row r="4377" spans="1:4" x14ac:dyDescent="0.3">
      <c r="A4377" s="58">
        <v>4204194</v>
      </c>
      <c r="B4377" s="58" t="s">
        <v>5207</v>
      </c>
      <c r="C4377" s="59">
        <v>-27.585298251201053</v>
      </c>
      <c r="D4377" s="59">
        <v>-49.544325954890461</v>
      </c>
    </row>
    <row r="4378" spans="1:4" x14ac:dyDescent="0.3">
      <c r="A4378" s="58">
        <v>4204202</v>
      </c>
      <c r="B4378" s="58" t="s">
        <v>5208</v>
      </c>
      <c r="C4378" s="59">
        <v>-27.10683702153321</v>
      </c>
      <c r="D4378" s="59">
        <v>-52.617031113413759</v>
      </c>
    </row>
    <row r="4379" spans="1:4" x14ac:dyDescent="0.3">
      <c r="A4379" s="58">
        <v>4204251</v>
      </c>
      <c r="B4379" s="58" t="s">
        <v>5209</v>
      </c>
      <c r="C4379" s="59">
        <v>-28.603022865277353</v>
      </c>
      <c r="D4379" s="59">
        <v>-49.327128719903911</v>
      </c>
    </row>
    <row r="4380" spans="1:4" x14ac:dyDescent="0.3">
      <c r="A4380" s="58">
        <v>4204301</v>
      </c>
      <c r="B4380" s="58" t="s">
        <v>5210</v>
      </c>
      <c r="C4380" s="59">
        <v>-27.233658780053851</v>
      </c>
      <c r="D4380" s="59">
        <v>-52.023971069748342</v>
      </c>
    </row>
    <row r="4381" spans="1:4" x14ac:dyDescent="0.3">
      <c r="A4381" s="58">
        <v>4204350</v>
      </c>
      <c r="B4381" s="58" t="s">
        <v>5211</v>
      </c>
      <c r="C4381" s="59">
        <v>-26.985081292325152</v>
      </c>
      <c r="D4381" s="59">
        <v>-52.603251270819925</v>
      </c>
    </row>
    <row r="4382" spans="1:4" x14ac:dyDescent="0.3">
      <c r="A4382" s="58">
        <v>4204400</v>
      </c>
      <c r="B4382" s="58" t="s">
        <v>5212</v>
      </c>
      <c r="C4382" s="59">
        <v>-26.903251411811006</v>
      </c>
      <c r="D4382" s="59">
        <v>-52.709151456517311</v>
      </c>
    </row>
    <row r="4383" spans="1:4" x14ac:dyDescent="0.3">
      <c r="A4383" s="58">
        <v>4204459</v>
      </c>
      <c r="B4383" s="58" t="s">
        <v>5213</v>
      </c>
      <c r="C4383" s="59">
        <v>-26.511637595292303</v>
      </c>
      <c r="D4383" s="59">
        <v>-52.66969928881209</v>
      </c>
    </row>
    <row r="4384" spans="1:4" x14ac:dyDescent="0.3">
      <c r="A4384" s="58">
        <v>4204509</v>
      </c>
      <c r="B4384" s="58" t="s">
        <v>5214</v>
      </c>
      <c r="C4384" s="59">
        <v>-26.431966315810058</v>
      </c>
      <c r="D4384" s="59">
        <v>-49.226737000043649</v>
      </c>
    </row>
    <row r="4385" spans="1:4" x14ac:dyDescent="0.3">
      <c r="A4385" s="58">
        <v>4204558</v>
      </c>
      <c r="B4385" s="58" t="s">
        <v>5215</v>
      </c>
      <c r="C4385" s="59">
        <v>-27.584808344970906</v>
      </c>
      <c r="D4385" s="59">
        <v>-50.363760554614963</v>
      </c>
    </row>
    <row r="4386" spans="1:4" x14ac:dyDescent="0.3">
      <c r="A4386" s="58">
        <v>4204608</v>
      </c>
      <c r="B4386" s="58" t="s">
        <v>5216</v>
      </c>
      <c r="C4386" s="59">
        <v>-28.673572252674656</v>
      </c>
      <c r="D4386" s="59">
        <v>-49.36593955882217</v>
      </c>
    </row>
    <row r="4387" spans="1:4" x14ac:dyDescent="0.3">
      <c r="A4387" s="58">
        <v>4204707</v>
      </c>
      <c r="B4387" s="58" t="s">
        <v>5217</v>
      </c>
      <c r="C4387" s="59">
        <v>-26.891727082450554</v>
      </c>
      <c r="D4387" s="59">
        <v>-53.173845571966488</v>
      </c>
    </row>
    <row r="4388" spans="1:4" x14ac:dyDescent="0.3">
      <c r="A4388" s="58">
        <v>4204756</v>
      </c>
      <c r="B4388" s="58" t="s">
        <v>5218</v>
      </c>
      <c r="C4388" s="59">
        <v>-26.973139698327557</v>
      </c>
      <c r="D4388" s="59">
        <v>-53.093290492590405</v>
      </c>
    </row>
    <row r="4389" spans="1:4" x14ac:dyDescent="0.3">
      <c r="A4389" s="58">
        <v>4204806</v>
      </c>
      <c r="B4389" s="58" t="s">
        <v>5219</v>
      </c>
      <c r="C4389" s="59">
        <v>-27.282982506466251</v>
      </c>
      <c r="D4389" s="59">
        <v>-50.582601035262108</v>
      </c>
    </row>
    <row r="4390" spans="1:4" x14ac:dyDescent="0.3">
      <c r="A4390" s="58">
        <v>4204905</v>
      </c>
      <c r="B4390" s="58" t="s">
        <v>5220</v>
      </c>
      <c r="C4390" s="59">
        <v>-26.817870220991555</v>
      </c>
      <c r="D4390" s="59">
        <v>-53.504628870613907</v>
      </c>
    </row>
    <row r="4391" spans="1:4" x14ac:dyDescent="0.3">
      <c r="A4391" s="58">
        <v>4205001</v>
      </c>
      <c r="B4391" s="58" t="s">
        <v>5221</v>
      </c>
      <c r="C4391" s="59">
        <v>-26.266488533660304</v>
      </c>
      <c r="D4391" s="59">
        <v>-53.631395122827257</v>
      </c>
    </row>
    <row r="4392" spans="1:4" x14ac:dyDescent="0.3">
      <c r="A4392" s="58">
        <v>4205100</v>
      </c>
      <c r="B4392" s="58" t="s">
        <v>5222</v>
      </c>
      <c r="C4392" s="59">
        <v>-26.986300613737452</v>
      </c>
      <c r="D4392" s="59">
        <v>-49.716897745052385</v>
      </c>
    </row>
    <row r="4393" spans="1:4" x14ac:dyDescent="0.3">
      <c r="A4393" s="58">
        <v>4205159</v>
      </c>
      <c r="B4393" s="58" t="s">
        <v>5223</v>
      </c>
      <c r="C4393" s="59">
        <v>-26.720460955541434</v>
      </c>
      <c r="D4393" s="59">
        <v>-49.479293361933351</v>
      </c>
    </row>
    <row r="4394" spans="1:4" x14ac:dyDescent="0.3">
      <c r="A4394" s="58">
        <v>4205175</v>
      </c>
      <c r="B4394" s="58" t="s">
        <v>2899</v>
      </c>
      <c r="C4394" s="59">
        <v>-26.723621095291055</v>
      </c>
      <c r="D4394" s="59">
        <v>-52.562533967831008</v>
      </c>
    </row>
    <row r="4395" spans="1:4" x14ac:dyDescent="0.3">
      <c r="A4395" s="58">
        <v>4205191</v>
      </c>
      <c r="B4395" s="58" t="s">
        <v>5224</v>
      </c>
      <c r="C4395" s="59">
        <v>-28.985081792251055</v>
      </c>
      <c r="D4395" s="59">
        <v>-49.643404977548592</v>
      </c>
    </row>
    <row r="4396" spans="1:4" x14ac:dyDescent="0.3">
      <c r="A4396" s="58">
        <v>4205209</v>
      </c>
      <c r="B4396" s="58" t="s">
        <v>5225</v>
      </c>
      <c r="C4396" s="59">
        <v>-27.273895484638356</v>
      </c>
      <c r="D4396" s="59">
        <v>-51.443432904449878</v>
      </c>
    </row>
    <row r="4397" spans="1:4" x14ac:dyDescent="0.3">
      <c r="A4397" s="58">
        <v>4205308</v>
      </c>
      <c r="B4397" s="58" t="s">
        <v>5226</v>
      </c>
      <c r="C4397" s="59">
        <v>-26.859786721352052</v>
      </c>
      <c r="D4397" s="59">
        <v>-52.271415398708527</v>
      </c>
    </row>
    <row r="4398" spans="1:4" x14ac:dyDescent="0.3">
      <c r="A4398" s="58">
        <v>4205357</v>
      </c>
      <c r="B4398" s="58" t="s">
        <v>5227</v>
      </c>
      <c r="C4398" s="59">
        <v>-26.779432328760404</v>
      </c>
      <c r="D4398" s="59">
        <v>-53.344891435481543</v>
      </c>
    </row>
    <row r="4399" spans="1:4" x14ac:dyDescent="0.3">
      <c r="A4399" s="58">
        <v>4205407</v>
      </c>
      <c r="B4399" s="58" t="s">
        <v>5228</v>
      </c>
      <c r="C4399" s="59">
        <v>-27.587795548549956</v>
      </c>
      <c r="D4399" s="59">
        <v>-48.547637378193336</v>
      </c>
    </row>
    <row r="4400" spans="1:4" x14ac:dyDescent="0.3">
      <c r="A4400" s="58">
        <v>4205431</v>
      </c>
      <c r="B4400" s="58" t="s">
        <v>5229</v>
      </c>
      <c r="C4400" s="59">
        <v>-26.648523378253657</v>
      </c>
      <c r="D4400" s="59">
        <v>-52.793450025273856</v>
      </c>
    </row>
    <row r="4401" spans="1:4" x14ac:dyDescent="0.3">
      <c r="A4401" s="58">
        <v>4205456</v>
      </c>
      <c r="B4401" s="58" t="s">
        <v>5230</v>
      </c>
      <c r="C4401" s="59">
        <v>-28.742415350877856</v>
      </c>
      <c r="D4401" s="59">
        <v>-49.468861053361522</v>
      </c>
    </row>
    <row r="4402" spans="1:4" x14ac:dyDescent="0.3">
      <c r="A4402" s="58">
        <v>4205506</v>
      </c>
      <c r="B4402" s="58" t="s">
        <v>5231</v>
      </c>
      <c r="C4402" s="59">
        <v>-27.023446962706053</v>
      </c>
      <c r="D4402" s="59">
        <v>-50.925079235234612</v>
      </c>
    </row>
    <row r="4403" spans="1:4" x14ac:dyDescent="0.3">
      <c r="A4403" s="58">
        <v>4205555</v>
      </c>
      <c r="B4403" s="58" t="s">
        <v>5232</v>
      </c>
      <c r="C4403" s="59">
        <v>-27.174751499232354</v>
      </c>
      <c r="D4403" s="59">
        <v>-50.806408249116366</v>
      </c>
    </row>
    <row r="4404" spans="1:4" x14ac:dyDescent="0.3">
      <c r="A4404" s="58">
        <v>4205605</v>
      </c>
      <c r="B4404" s="58" t="s">
        <v>5233</v>
      </c>
      <c r="C4404" s="59">
        <v>-26.455476238380754</v>
      </c>
      <c r="D4404" s="59">
        <v>-52.682002075557975</v>
      </c>
    </row>
    <row r="4405" spans="1:4" x14ac:dyDescent="0.3">
      <c r="A4405" s="58">
        <v>4205704</v>
      </c>
      <c r="B4405" s="58" t="s">
        <v>5234</v>
      </c>
      <c r="C4405" s="59">
        <v>-28.020895934825951</v>
      </c>
      <c r="D4405" s="59">
        <v>-48.612556682853793</v>
      </c>
    </row>
    <row r="4406" spans="1:4" x14ac:dyDescent="0.3">
      <c r="A4406" s="58">
        <v>4205803</v>
      </c>
      <c r="B4406" s="58" t="s">
        <v>5235</v>
      </c>
      <c r="C4406" s="59">
        <v>-26.022075506116455</v>
      </c>
      <c r="D4406" s="59">
        <v>-48.84984185940808</v>
      </c>
    </row>
    <row r="4407" spans="1:4" x14ac:dyDescent="0.3">
      <c r="A4407" s="58">
        <v>4205902</v>
      </c>
      <c r="B4407" s="58" t="s">
        <v>5236</v>
      </c>
      <c r="C4407" s="59">
        <v>-26.918368514237752</v>
      </c>
      <c r="D4407" s="59">
        <v>-48.96770656812631</v>
      </c>
    </row>
    <row r="4408" spans="1:4" x14ac:dyDescent="0.3">
      <c r="A4408" s="58">
        <v>4206009</v>
      </c>
      <c r="B4408" s="58" t="s">
        <v>5237</v>
      </c>
      <c r="C4408" s="59">
        <v>-27.318645907505054</v>
      </c>
      <c r="D4408" s="59">
        <v>-48.578166564509537</v>
      </c>
    </row>
    <row r="4409" spans="1:4" x14ac:dyDescent="0.3">
      <c r="A4409" s="58">
        <v>4206108</v>
      </c>
      <c r="B4409" s="58" t="s">
        <v>5238</v>
      </c>
      <c r="C4409" s="59">
        <v>-28.183986526237305</v>
      </c>
      <c r="D4409" s="59">
        <v>-49.219996040517842</v>
      </c>
    </row>
    <row r="4410" spans="1:4" x14ac:dyDescent="0.3">
      <c r="A4410" s="58">
        <v>4206207</v>
      </c>
      <c r="B4410" s="58" t="s">
        <v>5239</v>
      </c>
      <c r="C4410" s="59">
        <v>-28.329130717842549</v>
      </c>
      <c r="D4410" s="59">
        <v>-49.039470258161863</v>
      </c>
    </row>
    <row r="4411" spans="1:4" x14ac:dyDescent="0.3">
      <c r="A4411" s="58">
        <v>4206306</v>
      </c>
      <c r="B4411" s="58" t="s">
        <v>5240</v>
      </c>
      <c r="C4411" s="59">
        <v>-27.060325239251203</v>
      </c>
      <c r="D4411" s="59">
        <v>-48.983560448022814</v>
      </c>
    </row>
    <row r="4412" spans="1:4" x14ac:dyDescent="0.3">
      <c r="A4412" s="58">
        <v>4206405</v>
      </c>
      <c r="B4412" s="58" t="s">
        <v>3485</v>
      </c>
      <c r="C4412" s="59">
        <v>-26.600347570755204</v>
      </c>
      <c r="D4412" s="59">
        <v>-53.522089718183778</v>
      </c>
    </row>
    <row r="4413" spans="1:4" x14ac:dyDescent="0.3">
      <c r="A4413" s="58">
        <v>4206504</v>
      </c>
      <c r="B4413" s="58" t="s">
        <v>5241</v>
      </c>
      <c r="C4413" s="59">
        <v>-26.474445128320056</v>
      </c>
      <c r="D4413" s="59">
        <v>-48.992104265949465</v>
      </c>
    </row>
    <row r="4414" spans="1:4" x14ac:dyDescent="0.3">
      <c r="A4414" s="58">
        <v>4206603</v>
      </c>
      <c r="B4414" s="58" t="s">
        <v>5242</v>
      </c>
      <c r="C4414" s="59">
        <v>-26.384920604031951</v>
      </c>
      <c r="D4414" s="59">
        <v>-53.525445108314067</v>
      </c>
    </row>
    <row r="4415" spans="1:4" x14ac:dyDescent="0.3">
      <c r="A4415" s="58">
        <v>4206652</v>
      </c>
      <c r="B4415" s="58" t="s">
        <v>5243</v>
      </c>
      <c r="C4415" s="59">
        <v>-27.136910865903602</v>
      </c>
      <c r="D4415" s="59">
        <v>-52.783840134267123</v>
      </c>
    </row>
    <row r="4416" spans="1:4" x14ac:dyDescent="0.3">
      <c r="A4416" s="58">
        <v>4206702</v>
      </c>
      <c r="B4416" s="58" t="s">
        <v>5244</v>
      </c>
      <c r="C4416" s="59">
        <v>-27.170303184707254</v>
      </c>
      <c r="D4416" s="59">
        <v>-51.496215310259906</v>
      </c>
    </row>
    <row r="4417" spans="1:4" x14ac:dyDescent="0.3">
      <c r="A4417" s="58">
        <v>4206751</v>
      </c>
      <c r="B4417" s="58" t="s">
        <v>5245</v>
      </c>
      <c r="C4417" s="59">
        <v>-27.180583476411307</v>
      </c>
      <c r="D4417" s="59">
        <v>-51.239427698280714</v>
      </c>
    </row>
    <row r="4418" spans="1:4" x14ac:dyDescent="0.3">
      <c r="A4418" s="58">
        <v>4206801</v>
      </c>
      <c r="B4418" s="58" t="s">
        <v>5246</v>
      </c>
      <c r="C4418" s="59">
        <v>-27.091549016055055</v>
      </c>
      <c r="D4418" s="59">
        <v>-51.368450261966068</v>
      </c>
    </row>
    <row r="4419" spans="1:4" x14ac:dyDescent="0.3">
      <c r="A4419" s="58">
        <v>4206900</v>
      </c>
      <c r="B4419" s="58" t="s">
        <v>5247</v>
      </c>
      <c r="C4419" s="59">
        <v>-27.053540884913808</v>
      </c>
      <c r="D4419" s="59">
        <v>-49.522027759225502</v>
      </c>
    </row>
    <row r="4420" spans="1:4" x14ac:dyDescent="0.3">
      <c r="A4420" s="58">
        <v>4207007</v>
      </c>
      <c r="B4420" s="58" t="s">
        <v>5248</v>
      </c>
      <c r="C4420" s="59">
        <v>-28.707084009204554</v>
      </c>
      <c r="D4420" s="59">
        <v>-49.300822578323128</v>
      </c>
    </row>
    <row r="4421" spans="1:4" x14ac:dyDescent="0.3">
      <c r="A4421" s="58">
        <v>4207106</v>
      </c>
      <c r="B4421" s="58" t="s">
        <v>5249</v>
      </c>
      <c r="C4421" s="59">
        <v>-26.904625183216702</v>
      </c>
      <c r="D4421" s="59">
        <v>-48.825014006389566</v>
      </c>
    </row>
    <row r="4422" spans="1:4" x14ac:dyDescent="0.3">
      <c r="A4422" s="58">
        <v>4207205</v>
      </c>
      <c r="B4422" s="58" t="s">
        <v>5250</v>
      </c>
      <c r="C4422" s="59">
        <v>-28.343849909525908</v>
      </c>
      <c r="D4422" s="59">
        <v>-48.814671719515189</v>
      </c>
    </row>
    <row r="4423" spans="1:4" x14ac:dyDescent="0.3">
      <c r="A4423" s="58">
        <v>4207304</v>
      </c>
      <c r="B4423" s="58" t="s">
        <v>5251</v>
      </c>
      <c r="C4423" s="59">
        <v>-28.239951114013103</v>
      </c>
      <c r="D4423" s="59">
        <v>-48.66928419692276</v>
      </c>
    </row>
    <row r="4424" spans="1:4" x14ac:dyDescent="0.3">
      <c r="A4424" s="58">
        <v>4207403</v>
      </c>
      <c r="B4424" s="58" t="s">
        <v>5252</v>
      </c>
      <c r="C4424" s="59">
        <v>-27.494604253636908</v>
      </c>
      <c r="D4424" s="59">
        <v>-49.427729344991761</v>
      </c>
    </row>
    <row r="4425" spans="1:4" x14ac:dyDescent="0.3">
      <c r="A4425" s="58">
        <v>4207502</v>
      </c>
      <c r="B4425" s="58" t="s">
        <v>5253</v>
      </c>
      <c r="C4425" s="59">
        <v>-26.906255999237956</v>
      </c>
      <c r="D4425" s="59">
        <v>-49.240140460014601</v>
      </c>
    </row>
    <row r="4426" spans="1:4" x14ac:dyDescent="0.3">
      <c r="A4426" s="58">
        <v>4207577</v>
      </c>
      <c r="B4426" s="58" t="s">
        <v>5254</v>
      </c>
      <c r="C4426" s="59">
        <v>-27.001078050786752</v>
      </c>
      <c r="D4426" s="59">
        <v>-51.240619097875808</v>
      </c>
    </row>
    <row r="4427" spans="1:4" x14ac:dyDescent="0.3">
      <c r="A4427" s="58">
        <v>4207601</v>
      </c>
      <c r="B4427" s="58" t="s">
        <v>2940</v>
      </c>
      <c r="C4427" s="59">
        <v>-27.409708848228508</v>
      </c>
      <c r="D4427" s="59">
        <v>-51.770853618911524</v>
      </c>
    </row>
    <row r="4428" spans="1:4" x14ac:dyDescent="0.3">
      <c r="A4428" s="58">
        <v>4207650</v>
      </c>
      <c r="B4428" s="58" t="s">
        <v>5255</v>
      </c>
      <c r="C4428" s="59">
        <v>-26.996016679344454</v>
      </c>
      <c r="D4428" s="59">
        <v>-53.539511884306869</v>
      </c>
    </row>
    <row r="4429" spans="1:4" x14ac:dyDescent="0.3">
      <c r="A4429" s="58">
        <v>4207684</v>
      </c>
      <c r="B4429" s="58" t="s">
        <v>5256</v>
      </c>
      <c r="C4429" s="59">
        <v>-26.63256009768175</v>
      </c>
      <c r="D4429" s="59">
        <v>-52.454296911798011</v>
      </c>
    </row>
    <row r="4430" spans="1:4" x14ac:dyDescent="0.3">
      <c r="A4430" s="58">
        <v>4207700</v>
      </c>
      <c r="B4430" s="58" t="s">
        <v>5257</v>
      </c>
      <c r="C4430" s="59">
        <v>-27.068326363772506</v>
      </c>
      <c r="D4430" s="59">
        <v>-52.140540866767182</v>
      </c>
    </row>
    <row r="4431" spans="1:4" x14ac:dyDescent="0.3">
      <c r="A4431" s="58">
        <v>4207759</v>
      </c>
      <c r="B4431" s="58" t="s">
        <v>5258</v>
      </c>
      <c r="C4431" s="59">
        <v>-26.824065031575657</v>
      </c>
      <c r="D4431" s="59">
        <v>-53.276057794040426</v>
      </c>
    </row>
    <row r="4432" spans="1:4" x14ac:dyDescent="0.3">
      <c r="A4432" s="58">
        <v>4207809</v>
      </c>
      <c r="B4432" s="58" t="s">
        <v>5259</v>
      </c>
      <c r="C4432" s="59">
        <v>-27.016186689115951</v>
      </c>
      <c r="D4432" s="59">
        <v>-51.904107924029418</v>
      </c>
    </row>
    <row r="4433" spans="1:4" x14ac:dyDescent="0.3">
      <c r="A4433" s="58">
        <v>4207858</v>
      </c>
      <c r="B4433" s="58" t="s">
        <v>4924</v>
      </c>
      <c r="C4433" s="59">
        <v>-26.657226944800005</v>
      </c>
      <c r="D4433" s="59">
        <v>-52.895011356307798</v>
      </c>
    </row>
    <row r="4434" spans="1:4" x14ac:dyDescent="0.3">
      <c r="A4434" s="58">
        <v>4207908</v>
      </c>
      <c r="B4434" s="58" t="s">
        <v>5260</v>
      </c>
      <c r="C4434" s="59">
        <v>-26.236612937102258</v>
      </c>
      <c r="D4434" s="59">
        <v>-50.803900049813095</v>
      </c>
    </row>
    <row r="4435" spans="1:4" x14ac:dyDescent="0.3">
      <c r="A4435" s="58">
        <v>4208005</v>
      </c>
      <c r="B4435" s="58" t="s">
        <v>5261</v>
      </c>
      <c r="C4435" s="59">
        <v>-27.281778717475909</v>
      </c>
      <c r="D4435" s="59">
        <v>-52.329182516327151</v>
      </c>
    </row>
    <row r="4436" spans="1:4" x14ac:dyDescent="0.3">
      <c r="A4436" s="58">
        <v>4208104</v>
      </c>
      <c r="B4436" s="58" t="s">
        <v>5262</v>
      </c>
      <c r="C4436" s="59">
        <v>-26.337126411218804</v>
      </c>
      <c r="D4436" s="59">
        <v>-49.908756202223088</v>
      </c>
    </row>
    <row r="4437" spans="1:4" x14ac:dyDescent="0.3">
      <c r="A4437" s="58">
        <v>4208203</v>
      </c>
      <c r="B4437" s="58" t="s">
        <v>5263</v>
      </c>
      <c r="C4437" s="59">
        <v>-26.907426239799456</v>
      </c>
      <c r="D4437" s="59">
        <v>-48.657023208348832</v>
      </c>
    </row>
    <row r="4438" spans="1:4" x14ac:dyDescent="0.3">
      <c r="A4438" s="58">
        <v>4208302</v>
      </c>
      <c r="B4438" s="58" t="s">
        <v>5264</v>
      </c>
      <c r="C4438" s="59">
        <v>-27.095937883685604</v>
      </c>
      <c r="D4438" s="59">
        <v>-48.617399386142274</v>
      </c>
    </row>
    <row r="4439" spans="1:4" x14ac:dyDescent="0.3">
      <c r="A4439" s="58">
        <v>4208401</v>
      </c>
      <c r="B4439" s="58" t="s">
        <v>1140</v>
      </c>
      <c r="C4439" s="59">
        <v>-27.175375089490405</v>
      </c>
      <c r="D4439" s="59">
        <v>-53.7148020649025</v>
      </c>
    </row>
    <row r="4440" spans="1:4" x14ac:dyDescent="0.3">
      <c r="A4440" s="58">
        <v>4208450</v>
      </c>
      <c r="B4440" s="58" t="s">
        <v>5265</v>
      </c>
      <c r="C4440" s="59">
        <v>-26.006047887014457</v>
      </c>
      <c r="D4440" s="59">
        <v>-48.604167607077557</v>
      </c>
    </row>
    <row r="4441" spans="1:4" x14ac:dyDescent="0.3">
      <c r="A4441" s="58">
        <v>4208500</v>
      </c>
      <c r="B4441" s="58" t="s">
        <v>5266</v>
      </c>
      <c r="C4441" s="59">
        <v>-27.414858490667452</v>
      </c>
      <c r="D4441" s="59">
        <v>-49.603414701132955</v>
      </c>
    </row>
    <row r="4442" spans="1:4" x14ac:dyDescent="0.3">
      <c r="A4442" s="58">
        <v>4208609</v>
      </c>
      <c r="B4442" s="58" t="s">
        <v>5267</v>
      </c>
      <c r="C4442" s="59">
        <v>-27.172853086874703</v>
      </c>
      <c r="D4442" s="59">
        <v>-51.743353839013295</v>
      </c>
    </row>
    <row r="4443" spans="1:4" x14ac:dyDescent="0.3">
      <c r="A4443" s="58">
        <v>4208708</v>
      </c>
      <c r="B4443" s="58" t="s">
        <v>5268</v>
      </c>
      <c r="C4443" s="59">
        <v>-29.001418613823457</v>
      </c>
      <c r="D4443" s="59">
        <v>-49.761768656405998</v>
      </c>
    </row>
    <row r="4444" spans="1:4" x14ac:dyDescent="0.3">
      <c r="A4444" s="58">
        <v>4208807</v>
      </c>
      <c r="B4444" s="58" t="s">
        <v>5269</v>
      </c>
      <c r="C4444" s="59">
        <v>-28.624963689219452</v>
      </c>
      <c r="D4444" s="59">
        <v>-49.049128986085236</v>
      </c>
    </row>
    <row r="4445" spans="1:4" x14ac:dyDescent="0.3">
      <c r="A4445" s="58">
        <v>4208906</v>
      </c>
      <c r="B4445" s="58" t="s">
        <v>5270</v>
      </c>
      <c r="C4445" s="59">
        <v>-26.490484349413506</v>
      </c>
      <c r="D4445" s="59">
        <v>-49.076298822802237</v>
      </c>
    </row>
    <row r="4446" spans="1:4" x14ac:dyDescent="0.3">
      <c r="A4446" s="58">
        <v>4208955</v>
      </c>
      <c r="B4446" s="58" t="s">
        <v>4443</v>
      </c>
      <c r="C4446" s="59">
        <v>-26.720569403503053</v>
      </c>
      <c r="D4446" s="59">
        <v>-52.858899256049405</v>
      </c>
    </row>
    <row r="4447" spans="1:4" x14ac:dyDescent="0.3">
      <c r="A4447" s="58">
        <v>4209003</v>
      </c>
      <c r="B4447" s="58" t="s">
        <v>5271</v>
      </c>
      <c r="C4447" s="59">
        <v>-27.173944529232802</v>
      </c>
      <c r="D4447" s="59">
        <v>-51.506689733337744</v>
      </c>
    </row>
    <row r="4448" spans="1:4" x14ac:dyDescent="0.3">
      <c r="A4448" s="58">
        <v>4209102</v>
      </c>
      <c r="B4448" s="58" t="s">
        <v>5272</v>
      </c>
      <c r="C4448" s="59">
        <v>-26.304517648654056</v>
      </c>
      <c r="D4448" s="59">
        <v>-48.84940914323797</v>
      </c>
    </row>
    <row r="4449" spans="1:4" x14ac:dyDescent="0.3">
      <c r="A4449" s="58">
        <v>4209151</v>
      </c>
      <c r="B4449" s="58" t="s">
        <v>5273</v>
      </c>
      <c r="C4449" s="59">
        <v>-26.954682616568761</v>
      </c>
      <c r="D4449" s="59">
        <v>-49.623806686487455</v>
      </c>
    </row>
    <row r="4450" spans="1:4" x14ac:dyDescent="0.3">
      <c r="A4450" s="58">
        <v>4209177</v>
      </c>
      <c r="B4450" s="58" t="s">
        <v>5274</v>
      </c>
      <c r="C4450" s="59">
        <v>-26.393702818028952</v>
      </c>
      <c r="D4450" s="59">
        <v>-52.734380540757904</v>
      </c>
    </row>
    <row r="4451" spans="1:4" x14ac:dyDescent="0.3">
      <c r="A4451" s="58">
        <v>4209201</v>
      </c>
      <c r="B4451" s="58" t="s">
        <v>5275</v>
      </c>
      <c r="C4451" s="59">
        <v>-27.264600091221851</v>
      </c>
      <c r="D4451" s="59">
        <v>-51.562866369079835</v>
      </c>
    </row>
    <row r="4452" spans="1:4" x14ac:dyDescent="0.3">
      <c r="A4452" s="58">
        <v>4209300</v>
      </c>
      <c r="B4452" s="58" t="s">
        <v>5276</v>
      </c>
      <c r="C4452" s="59">
        <v>-27.817259463113704</v>
      </c>
      <c r="D4452" s="59">
        <v>-50.330222424189508</v>
      </c>
    </row>
    <row r="4453" spans="1:4" x14ac:dyDescent="0.3">
      <c r="A4453" s="58">
        <v>4209409</v>
      </c>
      <c r="B4453" s="58" t="s">
        <v>5277</v>
      </c>
      <c r="C4453" s="59">
        <v>-28.483585953911952</v>
      </c>
      <c r="D4453" s="59">
        <v>-48.781388621799358</v>
      </c>
    </row>
    <row r="4454" spans="1:4" x14ac:dyDescent="0.3">
      <c r="A4454" s="58">
        <v>4209458</v>
      </c>
      <c r="B4454" s="58" t="s">
        <v>5278</v>
      </c>
      <c r="C4454" s="59">
        <v>-26.860942345611107</v>
      </c>
      <c r="D4454" s="59">
        <v>-52.566034849543193</v>
      </c>
    </row>
    <row r="4455" spans="1:4" x14ac:dyDescent="0.3">
      <c r="A4455" s="58">
        <v>4209508</v>
      </c>
      <c r="B4455" s="58" t="s">
        <v>5279</v>
      </c>
      <c r="C4455" s="59">
        <v>-27.212388101601849</v>
      </c>
      <c r="D4455" s="59">
        <v>-49.755263660979921</v>
      </c>
    </row>
    <row r="4456" spans="1:4" x14ac:dyDescent="0.3">
      <c r="A4456" s="58">
        <v>4209607</v>
      </c>
      <c r="B4456" s="58" t="s">
        <v>5280</v>
      </c>
      <c r="C4456" s="59">
        <v>-28.393585165262852</v>
      </c>
      <c r="D4456" s="59">
        <v>-49.394307267247434</v>
      </c>
    </row>
    <row r="4457" spans="1:4" x14ac:dyDescent="0.3">
      <c r="A4457" s="58">
        <v>4209706</v>
      </c>
      <c r="B4457" s="58" t="s">
        <v>5281</v>
      </c>
      <c r="C4457" s="59">
        <v>-26.929114011170004</v>
      </c>
      <c r="D4457" s="59">
        <v>-50.691827864448136</v>
      </c>
    </row>
    <row r="4458" spans="1:4" x14ac:dyDescent="0.3">
      <c r="A4458" s="58">
        <v>4209805</v>
      </c>
      <c r="B4458" s="58" t="s">
        <v>5282</v>
      </c>
      <c r="C4458" s="59">
        <v>-27.506389515656657</v>
      </c>
      <c r="D4458" s="59">
        <v>-49.289401498979935</v>
      </c>
    </row>
    <row r="4459" spans="1:4" x14ac:dyDescent="0.3">
      <c r="A4459" s="58">
        <v>4209854</v>
      </c>
      <c r="B4459" s="58" t="s">
        <v>5283</v>
      </c>
      <c r="C4459" s="59">
        <v>-27.047464481481654</v>
      </c>
      <c r="D4459" s="59">
        <v>-52.08092264419853</v>
      </c>
    </row>
    <row r="4460" spans="1:4" x14ac:dyDescent="0.3">
      <c r="A4460" s="58">
        <v>4209904</v>
      </c>
      <c r="B4460" s="58" t="s">
        <v>5284</v>
      </c>
      <c r="C4460" s="59">
        <v>-27.157486563725488</v>
      </c>
      <c r="D4460" s="59">
        <v>-49.544829354684218</v>
      </c>
    </row>
    <row r="4461" spans="1:4" x14ac:dyDescent="0.3">
      <c r="A4461" s="58">
        <v>4210001</v>
      </c>
      <c r="B4461" s="58" t="s">
        <v>5285</v>
      </c>
      <c r="C4461" s="59">
        <v>-26.721110786695505</v>
      </c>
      <c r="D4461" s="59">
        <v>-48.926046772299408</v>
      </c>
    </row>
    <row r="4462" spans="1:4" x14ac:dyDescent="0.3">
      <c r="A4462" s="58">
        <v>4210035</v>
      </c>
      <c r="B4462" s="58" t="s">
        <v>5286</v>
      </c>
      <c r="C4462" s="59">
        <v>-27.129896069211053</v>
      </c>
      <c r="D4462" s="59">
        <v>-51.467946043203312</v>
      </c>
    </row>
    <row r="4463" spans="1:4" x14ac:dyDescent="0.3">
      <c r="A4463" s="58">
        <v>4210050</v>
      </c>
      <c r="B4463" s="58" t="s">
        <v>5287</v>
      </c>
      <c r="C4463" s="59">
        <v>-26.855212388547901</v>
      </c>
      <c r="D4463" s="59">
        <v>-51.376121976956114</v>
      </c>
    </row>
    <row r="4464" spans="1:4" x14ac:dyDescent="0.3">
      <c r="A4464" s="58">
        <v>4210100</v>
      </c>
      <c r="B4464" s="58" t="s">
        <v>5288</v>
      </c>
      <c r="C4464" s="59">
        <v>-26.115228494253653</v>
      </c>
      <c r="D4464" s="59">
        <v>-49.801037528269212</v>
      </c>
    </row>
    <row r="4465" spans="1:4" x14ac:dyDescent="0.3">
      <c r="A4465" s="58">
        <v>4210209</v>
      </c>
      <c r="B4465" s="58" t="s">
        <v>5289</v>
      </c>
      <c r="C4465" s="59">
        <v>-27.418660413420554</v>
      </c>
      <c r="D4465" s="59">
        <v>-48.953353958887838</v>
      </c>
    </row>
    <row r="4466" spans="1:4" x14ac:dyDescent="0.3">
      <c r="A4466" s="58">
        <v>4210308</v>
      </c>
      <c r="B4466" s="58" t="s">
        <v>5290</v>
      </c>
      <c r="C4466" s="59">
        <v>-26.357526536006009</v>
      </c>
      <c r="D4466" s="59">
        <v>-50.332986843316839</v>
      </c>
    </row>
    <row r="4467" spans="1:4" x14ac:dyDescent="0.3">
      <c r="A4467" s="58">
        <v>4210407</v>
      </c>
      <c r="B4467" s="58" t="s">
        <v>5291</v>
      </c>
      <c r="C4467" s="59">
        <v>-28.850314606974557</v>
      </c>
      <c r="D4467" s="59">
        <v>-49.454376324593198</v>
      </c>
    </row>
    <row r="4468" spans="1:4" x14ac:dyDescent="0.3">
      <c r="A4468" s="58">
        <v>4210506</v>
      </c>
      <c r="B4468" s="58" t="s">
        <v>2660</v>
      </c>
      <c r="C4468" s="59">
        <v>-26.761623947261807</v>
      </c>
      <c r="D4468" s="59">
        <v>-53.17481881589498</v>
      </c>
    </row>
    <row r="4469" spans="1:4" x14ac:dyDescent="0.3">
      <c r="A4469" s="58">
        <v>4210555</v>
      </c>
      <c r="B4469" s="58" t="s">
        <v>5292</v>
      </c>
      <c r="C4469" s="59">
        <v>-26.800421908754405</v>
      </c>
      <c r="D4469" s="59">
        <v>-52.627135410055914</v>
      </c>
    </row>
    <row r="4470" spans="1:4" x14ac:dyDescent="0.3">
      <c r="A4470" s="58">
        <v>4210605</v>
      </c>
      <c r="B4470" s="58" t="s">
        <v>2356</v>
      </c>
      <c r="C4470" s="59">
        <v>-26.595458014667653</v>
      </c>
      <c r="D4470" s="59">
        <v>-48.988744662714304</v>
      </c>
    </row>
    <row r="4471" spans="1:4" x14ac:dyDescent="0.3">
      <c r="A4471" s="58">
        <v>4210704</v>
      </c>
      <c r="B4471" s="58" t="s">
        <v>5293</v>
      </c>
      <c r="C4471" s="59">
        <v>-26.474115435202457</v>
      </c>
      <c r="D4471" s="59">
        <v>-51.157451443610157</v>
      </c>
    </row>
    <row r="4472" spans="1:4" x14ac:dyDescent="0.3">
      <c r="A4472" s="58">
        <v>4210803</v>
      </c>
      <c r="B4472" s="58" t="s">
        <v>5294</v>
      </c>
      <c r="C4472" s="59">
        <v>-28.832445820860801</v>
      </c>
      <c r="D4472" s="59">
        <v>-49.62984936022486</v>
      </c>
    </row>
    <row r="4473" spans="1:4" x14ac:dyDescent="0.3">
      <c r="A4473" s="58">
        <v>4210852</v>
      </c>
      <c r="B4473" s="58" t="s">
        <v>5295</v>
      </c>
      <c r="C4473" s="59">
        <v>-27.201205083137509</v>
      </c>
      <c r="D4473" s="59">
        <v>-50.068563712375386</v>
      </c>
    </row>
    <row r="4474" spans="1:4" x14ac:dyDescent="0.3">
      <c r="A4474" s="58">
        <v>4210902</v>
      </c>
      <c r="B4474" s="58" t="s">
        <v>5296</v>
      </c>
      <c r="C4474" s="59">
        <v>-26.778042075696156</v>
      </c>
      <c r="D4474" s="59">
        <v>-53.053500799237916</v>
      </c>
    </row>
    <row r="4475" spans="1:4" x14ac:dyDescent="0.3">
      <c r="A4475" s="58">
        <v>4211009</v>
      </c>
      <c r="B4475" s="58" t="s">
        <v>5297</v>
      </c>
      <c r="C4475" s="59">
        <v>-27.103611694103307</v>
      </c>
      <c r="D4475" s="59">
        <v>-53.398684027918726</v>
      </c>
    </row>
    <row r="4476" spans="1:4" x14ac:dyDescent="0.3">
      <c r="A4476" s="58">
        <v>4211058</v>
      </c>
      <c r="B4476" s="58" t="s">
        <v>5298</v>
      </c>
      <c r="C4476" s="59">
        <v>-27.217678802078954</v>
      </c>
      <c r="D4476" s="59">
        <v>-50.974104678032504</v>
      </c>
    </row>
    <row r="4477" spans="1:4" x14ac:dyDescent="0.3">
      <c r="A4477" s="58">
        <v>4211108</v>
      </c>
      <c r="B4477" s="58" t="s">
        <v>4512</v>
      </c>
      <c r="C4477" s="59">
        <v>-26.456362472163203</v>
      </c>
      <c r="D4477" s="59">
        <v>-50.226271432884332</v>
      </c>
    </row>
    <row r="4478" spans="1:4" x14ac:dyDescent="0.3">
      <c r="A4478" s="58">
        <v>4211207</v>
      </c>
      <c r="B4478" s="58" t="s">
        <v>5299</v>
      </c>
      <c r="C4478" s="59">
        <v>-28.654787843039607</v>
      </c>
      <c r="D4478" s="59">
        <v>-49.213256508437674</v>
      </c>
    </row>
    <row r="4479" spans="1:4" x14ac:dyDescent="0.3">
      <c r="A4479" s="58">
        <v>4211256</v>
      </c>
      <c r="B4479" s="58" t="s">
        <v>5300</v>
      </c>
      <c r="C4479" s="59">
        <v>-28.799719536658607</v>
      </c>
      <c r="D4479" s="59">
        <v>-49.718799983841755</v>
      </c>
    </row>
    <row r="4480" spans="1:4" x14ac:dyDescent="0.3">
      <c r="A4480" s="58">
        <v>4211306</v>
      </c>
      <c r="B4480" s="58" t="s">
        <v>5301</v>
      </c>
      <c r="C4480" s="59">
        <v>-26.897439119271155</v>
      </c>
      <c r="D4480" s="59">
        <v>-48.649182902509139</v>
      </c>
    </row>
    <row r="4481" spans="1:4" x14ac:dyDescent="0.3">
      <c r="A4481" s="58">
        <v>4211405</v>
      </c>
      <c r="B4481" s="58" t="s">
        <v>5302</v>
      </c>
      <c r="C4481" s="59">
        <v>-26.901273398081855</v>
      </c>
      <c r="D4481" s="59">
        <v>-52.91128666543861</v>
      </c>
    </row>
    <row r="4482" spans="1:4" x14ac:dyDescent="0.3">
      <c r="A4482" s="58">
        <v>4211454</v>
      </c>
      <c r="B4482" s="58" t="s">
        <v>5303</v>
      </c>
      <c r="C4482" s="59">
        <v>-26.942889883636255</v>
      </c>
      <c r="D4482" s="59">
        <v>-52.811244054889976</v>
      </c>
    </row>
    <row r="4483" spans="1:4" x14ac:dyDescent="0.3">
      <c r="A4483" s="58">
        <v>4211504</v>
      </c>
      <c r="B4483" s="58" t="s">
        <v>5304</v>
      </c>
      <c r="C4483" s="59">
        <v>-27.287771166785554</v>
      </c>
      <c r="D4483" s="59">
        <v>-48.925795432934521</v>
      </c>
    </row>
    <row r="4484" spans="1:4" x14ac:dyDescent="0.3">
      <c r="A4484" s="58">
        <v>4211603</v>
      </c>
      <c r="B4484" s="58" t="s">
        <v>5305</v>
      </c>
      <c r="C4484" s="59">
        <v>-28.638232602300956</v>
      </c>
      <c r="D4484" s="59">
        <v>-49.503123581732169</v>
      </c>
    </row>
    <row r="4485" spans="1:4" x14ac:dyDescent="0.3">
      <c r="A4485" s="58">
        <v>4211652</v>
      </c>
      <c r="B4485" s="58" t="s">
        <v>3050</v>
      </c>
      <c r="C4485" s="59">
        <v>-26.446171990206757</v>
      </c>
      <c r="D4485" s="59">
        <v>-52.834033390485288</v>
      </c>
    </row>
    <row r="4486" spans="1:4" x14ac:dyDescent="0.3">
      <c r="A4486" s="58">
        <v>4211702</v>
      </c>
      <c r="B4486" s="58" t="s">
        <v>5306</v>
      </c>
      <c r="C4486" s="59">
        <v>-28.360468966285506</v>
      </c>
      <c r="D4486" s="59">
        <v>-49.291426291101715</v>
      </c>
    </row>
    <row r="4487" spans="1:4" x14ac:dyDescent="0.3">
      <c r="A4487" s="58">
        <v>4211751</v>
      </c>
      <c r="B4487" s="58" t="s">
        <v>5307</v>
      </c>
      <c r="C4487" s="59">
        <v>-27.503846175008253</v>
      </c>
      <c r="D4487" s="59">
        <v>-50.112314689129128</v>
      </c>
    </row>
    <row r="4488" spans="1:4" x14ac:dyDescent="0.3">
      <c r="A4488" s="58">
        <v>4211801</v>
      </c>
      <c r="B4488" s="58" t="s">
        <v>5308</v>
      </c>
      <c r="C4488" s="59">
        <v>-27.342488172435708</v>
      </c>
      <c r="D4488" s="59">
        <v>-51.620562178213966</v>
      </c>
    </row>
    <row r="4489" spans="1:4" x14ac:dyDescent="0.3">
      <c r="A4489" s="58">
        <v>4211850</v>
      </c>
      <c r="B4489" s="58" t="s">
        <v>4550</v>
      </c>
      <c r="C4489" s="59">
        <v>-26.695994419577854</v>
      </c>
      <c r="D4489" s="59">
        <v>-52.310019201442593</v>
      </c>
    </row>
    <row r="4490" spans="1:4" x14ac:dyDescent="0.3">
      <c r="A4490" s="58">
        <v>4211876</v>
      </c>
      <c r="B4490" s="58" t="s">
        <v>5309</v>
      </c>
      <c r="C4490" s="59">
        <v>-27.255157794113501</v>
      </c>
      <c r="D4490" s="59">
        <v>-52.501088749273528</v>
      </c>
    </row>
    <row r="4491" spans="1:4" x14ac:dyDescent="0.3">
      <c r="A4491" s="58">
        <v>4211892</v>
      </c>
      <c r="B4491" s="58" t="s">
        <v>5310</v>
      </c>
      <c r="C4491" s="59">
        <v>-27.914518185427752</v>
      </c>
      <c r="D4491" s="59">
        <v>-50.113009740979315</v>
      </c>
    </row>
    <row r="4492" spans="1:4" x14ac:dyDescent="0.3">
      <c r="A4492" s="58">
        <v>4211900</v>
      </c>
      <c r="B4492" s="58" t="s">
        <v>5311</v>
      </c>
      <c r="C4492" s="59">
        <v>-27.647043683690701</v>
      </c>
      <c r="D4492" s="59">
        <v>-48.670287918712241</v>
      </c>
    </row>
    <row r="4493" spans="1:4" x14ac:dyDescent="0.3">
      <c r="A4493" s="58">
        <v>4212007</v>
      </c>
      <c r="B4493" s="58" t="s">
        <v>5312</v>
      </c>
      <c r="C4493" s="59">
        <v>-26.346508133803454</v>
      </c>
      <c r="D4493" s="59">
        <v>-53.279977251209196</v>
      </c>
    </row>
    <row r="4494" spans="1:4" x14ac:dyDescent="0.3">
      <c r="A4494" s="58">
        <v>4212056</v>
      </c>
      <c r="B4494" s="58" t="s">
        <v>5012</v>
      </c>
      <c r="C4494" s="59">
        <v>-27.582262070452359</v>
      </c>
      <c r="D4494" s="59">
        <v>-50.159001405592711</v>
      </c>
    </row>
    <row r="4495" spans="1:4" x14ac:dyDescent="0.3">
      <c r="A4495" s="58">
        <v>4212106</v>
      </c>
      <c r="B4495" s="58" t="s">
        <v>5313</v>
      </c>
      <c r="C4495" s="59">
        <v>-27.070250549168104</v>
      </c>
      <c r="D4495" s="59">
        <v>-53.162267292894875</v>
      </c>
    </row>
    <row r="4496" spans="1:4" x14ac:dyDescent="0.3">
      <c r="A4496" s="58">
        <v>4212205</v>
      </c>
      <c r="B4496" s="58" t="s">
        <v>5314</v>
      </c>
      <c r="C4496" s="59">
        <v>-26.393983070776553</v>
      </c>
      <c r="D4496" s="59">
        <v>-50.163204197322372</v>
      </c>
    </row>
    <row r="4497" spans="1:4" x14ac:dyDescent="0.3">
      <c r="A4497" s="58">
        <v>4212239</v>
      </c>
      <c r="B4497" s="58" t="s">
        <v>4558</v>
      </c>
      <c r="C4497" s="59">
        <v>-26.615262970792852</v>
      </c>
      <c r="D4497" s="59">
        <v>-53.675314131676664</v>
      </c>
    </row>
    <row r="4498" spans="1:4" x14ac:dyDescent="0.3">
      <c r="A4498" s="58">
        <v>4212254</v>
      </c>
      <c r="B4498" s="58" t="s">
        <v>5315</v>
      </c>
      <c r="C4498" s="59">
        <v>-29.323459905104354</v>
      </c>
      <c r="D4498" s="59">
        <v>-49.725145272462029</v>
      </c>
    </row>
    <row r="4499" spans="1:4" x14ac:dyDescent="0.3">
      <c r="A4499" s="58">
        <v>4212270</v>
      </c>
      <c r="B4499" s="58" t="s">
        <v>5316</v>
      </c>
      <c r="C4499" s="59">
        <v>-26.780889147192056</v>
      </c>
      <c r="D4499" s="59">
        <v>-52.061723800426968</v>
      </c>
    </row>
    <row r="4500" spans="1:4" x14ac:dyDescent="0.3">
      <c r="A4500" s="58">
        <v>4212304</v>
      </c>
      <c r="B4500" s="58" t="s">
        <v>5317</v>
      </c>
      <c r="C4500" s="59">
        <v>-27.949816232586951</v>
      </c>
      <c r="D4500" s="59">
        <v>-48.681495413588713</v>
      </c>
    </row>
    <row r="4501" spans="1:4" x14ac:dyDescent="0.3">
      <c r="A4501" s="58">
        <v>4212403</v>
      </c>
      <c r="B4501" s="58" t="s">
        <v>5318</v>
      </c>
      <c r="C4501" s="59">
        <v>-28.437217649745708</v>
      </c>
      <c r="D4501" s="59">
        <v>-49.18648754735603</v>
      </c>
    </row>
    <row r="4502" spans="1:4" x14ac:dyDescent="0.3">
      <c r="A4502" s="58">
        <v>4212502</v>
      </c>
      <c r="B4502" s="58" t="s">
        <v>5319</v>
      </c>
      <c r="C4502" s="59">
        <v>-26.768861092743254</v>
      </c>
      <c r="D4502" s="59">
        <v>-48.647572911269826</v>
      </c>
    </row>
    <row r="4503" spans="1:4" x14ac:dyDescent="0.3">
      <c r="A4503" s="58">
        <v>4212601</v>
      </c>
      <c r="B4503" s="58" t="s">
        <v>5320</v>
      </c>
      <c r="C4503" s="59">
        <v>-27.377309281499805</v>
      </c>
      <c r="D4503" s="59">
        <v>-51.909814667051492</v>
      </c>
    </row>
    <row r="4504" spans="1:4" x14ac:dyDescent="0.3">
      <c r="A4504" s="58">
        <v>4212700</v>
      </c>
      <c r="B4504" s="58" t="s">
        <v>2562</v>
      </c>
      <c r="C4504" s="59">
        <v>-27.528126833000304</v>
      </c>
      <c r="D4504" s="59">
        <v>-49.694868623100746</v>
      </c>
    </row>
    <row r="4505" spans="1:4" x14ac:dyDescent="0.3">
      <c r="A4505" s="58">
        <v>4212809</v>
      </c>
      <c r="B4505" s="58" t="s">
        <v>5321</v>
      </c>
      <c r="C4505" s="59">
        <v>-26.769170538502856</v>
      </c>
      <c r="D4505" s="59">
        <v>-48.675051353998704</v>
      </c>
    </row>
    <row r="4506" spans="1:4" x14ac:dyDescent="0.3">
      <c r="A4506" s="58">
        <v>4212908</v>
      </c>
      <c r="B4506" s="58" t="s">
        <v>4586</v>
      </c>
      <c r="C4506" s="59">
        <v>-26.848814334220108</v>
      </c>
      <c r="D4506" s="59">
        <v>-52.982253245130806</v>
      </c>
    </row>
    <row r="4507" spans="1:4" x14ac:dyDescent="0.3">
      <c r="A4507" s="58">
        <v>4213005</v>
      </c>
      <c r="B4507" s="58" t="s">
        <v>5322</v>
      </c>
      <c r="C4507" s="59">
        <v>-27.045134616051055</v>
      </c>
      <c r="D4507" s="59">
        <v>-51.230536483527402</v>
      </c>
    </row>
    <row r="4508" spans="1:4" x14ac:dyDescent="0.3">
      <c r="A4508" s="58">
        <v>4213104</v>
      </c>
      <c r="B4508" s="58" t="s">
        <v>5323</v>
      </c>
      <c r="C4508" s="59">
        <v>-27.415953551717653</v>
      </c>
      <c r="D4508" s="59">
        <v>-51.758649827612771</v>
      </c>
    </row>
    <row r="4509" spans="1:4" x14ac:dyDescent="0.3">
      <c r="A4509" s="58">
        <v>4213153</v>
      </c>
      <c r="B4509" s="58" t="s">
        <v>5324</v>
      </c>
      <c r="C4509" s="59">
        <v>-27.069459776079306</v>
      </c>
      <c r="D4509" s="59">
        <v>-52.867352030787075</v>
      </c>
    </row>
    <row r="4510" spans="1:4" x14ac:dyDescent="0.3">
      <c r="A4510" s="58">
        <v>4213203</v>
      </c>
      <c r="B4510" s="58" t="s">
        <v>5325</v>
      </c>
      <c r="C4510" s="59">
        <v>-26.744826396501853</v>
      </c>
      <c r="D4510" s="59">
        <v>-49.174197527400196</v>
      </c>
    </row>
    <row r="4511" spans="1:4" x14ac:dyDescent="0.3">
      <c r="A4511" s="58">
        <v>4213302</v>
      </c>
      <c r="B4511" s="58" t="s">
        <v>5326</v>
      </c>
      <c r="C4511" s="59">
        <v>-27.467784072792252</v>
      </c>
      <c r="D4511" s="59">
        <v>-50.37710065082068</v>
      </c>
    </row>
    <row r="4512" spans="1:4" x14ac:dyDescent="0.3">
      <c r="A4512" s="58">
        <v>4213351</v>
      </c>
      <c r="B4512" s="58" t="s">
        <v>5327</v>
      </c>
      <c r="C4512" s="59">
        <v>-27.169029182898079</v>
      </c>
      <c r="D4512" s="59">
        <v>-50.465404267765706</v>
      </c>
    </row>
    <row r="4513" spans="1:4" x14ac:dyDescent="0.3">
      <c r="A4513" s="58">
        <v>4213401</v>
      </c>
      <c r="B4513" s="58" t="s">
        <v>5328</v>
      </c>
      <c r="C4513" s="59">
        <v>-26.874912827643058</v>
      </c>
      <c r="D4513" s="59">
        <v>-52.014537512532982</v>
      </c>
    </row>
    <row r="4514" spans="1:4" x14ac:dyDescent="0.3">
      <c r="A4514" s="58">
        <v>4213500</v>
      </c>
      <c r="B4514" s="58" t="s">
        <v>5329</v>
      </c>
      <c r="C4514" s="59">
        <v>-27.1494662097186</v>
      </c>
      <c r="D4514" s="59">
        <v>-48.602756739584301</v>
      </c>
    </row>
    <row r="4515" spans="1:4" x14ac:dyDescent="0.3">
      <c r="A4515" s="58">
        <v>4213609</v>
      </c>
      <c r="B4515" s="58" t="s">
        <v>5330</v>
      </c>
      <c r="C4515" s="59">
        <v>-26.230004898086055</v>
      </c>
      <c r="D4515" s="59">
        <v>-51.081604633596577</v>
      </c>
    </row>
    <row r="4516" spans="1:4" x14ac:dyDescent="0.3">
      <c r="A4516" s="58">
        <v>4213708</v>
      </c>
      <c r="B4516" s="58" t="s">
        <v>5331</v>
      </c>
      <c r="C4516" s="59">
        <v>-27.251086278210558</v>
      </c>
      <c r="D4516" s="59">
        <v>-49.955652135519394</v>
      </c>
    </row>
    <row r="4517" spans="1:4" x14ac:dyDescent="0.3">
      <c r="A4517" s="58">
        <v>4213807</v>
      </c>
      <c r="B4517" s="58" t="s">
        <v>4615</v>
      </c>
      <c r="C4517" s="59">
        <v>-29.195776363617455</v>
      </c>
      <c r="D4517" s="59">
        <v>-49.960591976335998</v>
      </c>
    </row>
    <row r="4518" spans="1:4" x14ac:dyDescent="0.3">
      <c r="A4518" s="58">
        <v>4213906</v>
      </c>
      <c r="B4518" s="58" t="s">
        <v>5332</v>
      </c>
      <c r="C4518" s="59">
        <v>-27.219942194614607</v>
      </c>
      <c r="D4518" s="59">
        <v>-51.811375538246445</v>
      </c>
    </row>
    <row r="4519" spans="1:4" x14ac:dyDescent="0.3">
      <c r="A4519" s="58">
        <v>4214003</v>
      </c>
      <c r="B4519" s="58" t="s">
        <v>5333</v>
      </c>
      <c r="C4519" s="59">
        <v>-27.041408241123307</v>
      </c>
      <c r="D4519" s="59">
        <v>-49.622086169137894</v>
      </c>
    </row>
    <row r="4520" spans="1:4" x14ac:dyDescent="0.3">
      <c r="A4520" s="58">
        <v>4214102</v>
      </c>
      <c r="B4520" s="58" t="s">
        <v>5334</v>
      </c>
      <c r="C4520" s="59">
        <v>-27.287329214108507</v>
      </c>
      <c r="D4520" s="59">
        <v>-49.403292771088665</v>
      </c>
    </row>
    <row r="4521" spans="1:4" x14ac:dyDescent="0.3">
      <c r="A4521" s="58">
        <v>4214151</v>
      </c>
      <c r="B4521" s="58" t="s">
        <v>5335</v>
      </c>
      <c r="C4521" s="59">
        <v>-26.444335206820604</v>
      </c>
      <c r="D4521" s="59">
        <v>-53.598105875642482</v>
      </c>
    </row>
    <row r="4522" spans="1:4" x14ac:dyDescent="0.3">
      <c r="A4522" s="58">
        <v>4214201</v>
      </c>
      <c r="B4522" s="58" t="s">
        <v>5336</v>
      </c>
      <c r="C4522" s="59">
        <v>-26.740055549814105</v>
      </c>
      <c r="D4522" s="59">
        <v>-52.727609570087523</v>
      </c>
    </row>
    <row r="4523" spans="1:4" x14ac:dyDescent="0.3">
      <c r="A4523" s="58">
        <v>4214300</v>
      </c>
      <c r="B4523" s="58" t="s">
        <v>5337</v>
      </c>
      <c r="C4523" s="59">
        <v>-27.677208864110057</v>
      </c>
      <c r="D4523" s="59">
        <v>-49.008432379963892</v>
      </c>
    </row>
    <row r="4524" spans="1:4" x14ac:dyDescent="0.3">
      <c r="A4524" s="58">
        <v>4214409</v>
      </c>
      <c r="B4524" s="58" t="s">
        <v>5338</v>
      </c>
      <c r="C4524" s="59">
        <v>-26.897067435905406</v>
      </c>
      <c r="D4524" s="59">
        <v>-51.076019943170785</v>
      </c>
    </row>
    <row r="4525" spans="1:4" x14ac:dyDescent="0.3">
      <c r="A4525" s="58">
        <v>4214508</v>
      </c>
      <c r="B4525" s="58" t="s">
        <v>5339</v>
      </c>
      <c r="C4525" s="59">
        <v>-26.942308431128556</v>
      </c>
      <c r="D4525" s="59">
        <v>-50.139588913039148</v>
      </c>
    </row>
    <row r="4526" spans="1:4" x14ac:dyDescent="0.3">
      <c r="A4526" s="58">
        <v>4214607</v>
      </c>
      <c r="B4526" s="58" t="s">
        <v>5340</v>
      </c>
      <c r="C4526" s="59">
        <v>-27.191166518010053</v>
      </c>
      <c r="D4526" s="59">
        <v>-49.802862216701129</v>
      </c>
    </row>
    <row r="4527" spans="1:4" x14ac:dyDescent="0.3">
      <c r="A4527" s="58">
        <v>4214706</v>
      </c>
      <c r="B4527" s="58" t="s">
        <v>5341</v>
      </c>
      <c r="C4527" s="59">
        <v>-26.749129816162558</v>
      </c>
      <c r="D4527" s="59">
        <v>-49.272379443568504</v>
      </c>
    </row>
    <row r="4528" spans="1:4" x14ac:dyDescent="0.3">
      <c r="A4528" s="58">
        <v>4214805</v>
      </c>
      <c r="B4528" s="58" t="s">
        <v>5342</v>
      </c>
      <c r="C4528" s="59">
        <v>-27.217903225438857</v>
      </c>
      <c r="D4528" s="59">
        <v>-49.643237529098343</v>
      </c>
    </row>
    <row r="4529" spans="1:4" x14ac:dyDescent="0.3">
      <c r="A4529" s="58">
        <v>4214904</v>
      </c>
      <c r="B4529" s="58" t="s">
        <v>5343</v>
      </c>
      <c r="C4529" s="59">
        <v>-28.132591388637852</v>
      </c>
      <c r="D4529" s="59">
        <v>-49.105093802571034</v>
      </c>
    </row>
    <row r="4530" spans="1:4" x14ac:dyDescent="0.3">
      <c r="A4530" s="58">
        <v>4215000</v>
      </c>
      <c r="B4530" s="58" t="s">
        <v>5344</v>
      </c>
      <c r="C4530" s="59">
        <v>-26.255325027927004</v>
      </c>
      <c r="D4530" s="59">
        <v>-49.51729507558565</v>
      </c>
    </row>
    <row r="4531" spans="1:4" x14ac:dyDescent="0.3">
      <c r="A4531" s="58">
        <v>4215059</v>
      </c>
      <c r="B4531" s="58" t="s">
        <v>5345</v>
      </c>
      <c r="C4531" s="59">
        <v>-27.863235479243006</v>
      </c>
      <c r="D4531" s="59">
        <v>-49.777591804269512</v>
      </c>
    </row>
    <row r="4532" spans="1:4" x14ac:dyDescent="0.3">
      <c r="A4532" s="58">
        <v>4215075</v>
      </c>
      <c r="B4532" s="58" t="s">
        <v>5346</v>
      </c>
      <c r="C4532" s="59">
        <v>-27.067594164579553</v>
      </c>
      <c r="D4532" s="59">
        <v>-53.325286211509905</v>
      </c>
    </row>
    <row r="4533" spans="1:4" x14ac:dyDescent="0.3">
      <c r="A4533" s="58">
        <v>4215109</v>
      </c>
      <c r="B4533" s="58" t="s">
        <v>5347</v>
      </c>
      <c r="C4533" s="59">
        <v>-26.943501668370757</v>
      </c>
      <c r="D4533" s="59">
        <v>-49.304707233463553</v>
      </c>
    </row>
    <row r="4534" spans="1:4" x14ac:dyDescent="0.3">
      <c r="A4534" s="58">
        <v>4215208</v>
      </c>
      <c r="B4534" s="58" t="s">
        <v>5348</v>
      </c>
      <c r="C4534" s="59">
        <v>-26.679463563118006</v>
      </c>
      <c r="D4534" s="59">
        <v>-53.32015840004599</v>
      </c>
    </row>
    <row r="4535" spans="1:4" x14ac:dyDescent="0.3">
      <c r="A4535" s="58">
        <v>4215307</v>
      </c>
      <c r="B4535" s="58" t="s">
        <v>5349</v>
      </c>
      <c r="C4535" s="59">
        <v>-26.975244333431455</v>
      </c>
      <c r="D4535" s="59">
        <v>-50.001730731096181</v>
      </c>
    </row>
    <row r="4536" spans="1:4" x14ac:dyDescent="0.3">
      <c r="A4536" s="58">
        <v>4215356</v>
      </c>
      <c r="B4536" s="58" t="s">
        <v>4660</v>
      </c>
      <c r="C4536" s="59">
        <v>-26.608558919573404</v>
      </c>
      <c r="D4536" s="59">
        <v>-53.058631248926005</v>
      </c>
    </row>
    <row r="4537" spans="1:4" x14ac:dyDescent="0.3">
      <c r="A4537" s="58">
        <v>4215406</v>
      </c>
      <c r="B4537" s="58" t="s">
        <v>5350</v>
      </c>
      <c r="C4537" s="59">
        <v>-26.903164607691657</v>
      </c>
      <c r="D4537" s="59">
        <v>-51.405208077956928</v>
      </c>
    </row>
    <row r="4538" spans="1:4" x14ac:dyDescent="0.3">
      <c r="A4538" s="58">
        <v>4215455</v>
      </c>
      <c r="B4538" s="58" t="s">
        <v>5351</v>
      </c>
      <c r="C4538" s="59">
        <v>-28.633222922912204</v>
      </c>
      <c r="D4538" s="59">
        <v>-49.134029864198666</v>
      </c>
    </row>
    <row r="4539" spans="1:4" x14ac:dyDescent="0.3">
      <c r="A4539" s="58">
        <v>4215505</v>
      </c>
      <c r="B4539" s="58" t="s">
        <v>2401</v>
      </c>
      <c r="C4539" s="59">
        <v>-26.956900744614103</v>
      </c>
      <c r="D4539" s="59">
        <v>-50.422901620340461</v>
      </c>
    </row>
    <row r="4540" spans="1:4" x14ac:dyDescent="0.3">
      <c r="A4540" s="58">
        <v>4215554</v>
      </c>
      <c r="B4540" s="58" t="s">
        <v>1628</v>
      </c>
      <c r="C4540" s="59">
        <v>-26.93984392364025</v>
      </c>
      <c r="D4540" s="59">
        <v>-53.619987873937916</v>
      </c>
    </row>
    <row r="4541" spans="1:4" x14ac:dyDescent="0.3">
      <c r="A4541" s="58">
        <v>4215604</v>
      </c>
      <c r="B4541" s="58" t="s">
        <v>2767</v>
      </c>
      <c r="C4541" s="59">
        <v>-28.035605572843206</v>
      </c>
      <c r="D4541" s="59">
        <v>-49.125091302939367</v>
      </c>
    </row>
    <row r="4542" spans="1:4" x14ac:dyDescent="0.3">
      <c r="A4542" s="58">
        <v>4215653</v>
      </c>
      <c r="B4542" s="58" t="s">
        <v>5352</v>
      </c>
      <c r="C4542" s="59">
        <v>-29.135288218564302</v>
      </c>
      <c r="D4542" s="59">
        <v>-49.717626373592402</v>
      </c>
    </row>
    <row r="4543" spans="1:4" x14ac:dyDescent="0.3">
      <c r="A4543" s="58">
        <v>4215679</v>
      </c>
      <c r="B4543" s="58" t="s">
        <v>2579</v>
      </c>
      <c r="C4543" s="59">
        <v>-26.780982353953057</v>
      </c>
      <c r="D4543" s="59">
        <v>-50.005529187144077</v>
      </c>
    </row>
    <row r="4544" spans="1:4" x14ac:dyDescent="0.3">
      <c r="A4544" s="58">
        <v>4215687</v>
      </c>
      <c r="B4544" s="58" t="s">
        <v>5353</v>
      </c>
      <c r="C4544" s="59">
        <v>-26.619775573866452</v>
      </c>
      <c r="D4544" s="59">
        <v>-53.19984696165686</v>
      </c>
    </row>
    <row r="4545" spans="1:4" x14ac:dyDescent="0.3">
      <c r="A4545" s="58">
        <v>4215695</v>
      </c>
      <c r="B4545" s="58" t="s">
        <v>5354</v>
      </c>
      <c r="C4545" s="59">
        <v>-26.634809090896557</v>
      </c>
      <c r="D4545" s="59">
        <v>-52.675949479346961</v>
      </c>
    </row>
    <row r="4546" spans="1:4" x14ac:dyDescent="0.3">
      <c r="A4546" s="58">
        <v>4215703</v>
      </c>
      <c r="B4546" s="58" t="s">
        <v>5355</v>
      </c>
      <c r="C4546" s="59">
        <v>-27.689747758461806</v>
      </c>
      <c r="D4546" s="59">
        <v>-48.780239921372143</v>
      </c>
    </row>
    <row r="4547" spans="1:4" x14ac:dyDescent="0.3">
      <c r="A4547" s="58">
        <v>4215752</v>
      </c>
      <c r="B4547" s="58" t="s">
        <v>5356</v>
      </c>
      <c r="C4547" s="59">
        <v>-26.473278246255756</v>
      </c>
      <c r="D4547" s="59">
        <v>-52.965538739737447</v>
      </c>
    </row>
    <row r="4548" spans="1:4" x14ac:dyDescent="0.3">
      <c r="A4548" s="58">
        <v>4215802</v>
      </c>
      <c r="B4548" s="58" t="s">
        <v>5357</v>
      </c>
      <c r="C4548" s="59">
        <v>-26.249485418539205</v>
      </c>
      <c r="D4548" s="59">
        <v>-49.386978895134533</v>
      </c>
    </row>
    <row r="4549" spans="1:4" x14ac:dyDescent="0.3">
      <c r="A4549" s="58">
        <v>4215901</v>
      </c>
      <c r="B4549" s="58" t="s">
        <v>5358</v>
      </c>
      <c r="C4549" s="59">
        <v>-27.896496698526057</v>
      </c>
      <c r="D4549" s="59">
        <v>-48.929311958596166</v>
      </c>
    </row>
    <row r="4550" spans="1:4" x14ac:dyDescent="0.3">
      <c r="A4550" s="58">
        <v>4216008</v>
      </c>
      <c r="B4550" s="58" t="s">
        <v>4699</v>
      </c>
      <c r="C4550" s="59">
        <v>-27.078635077896106</v>
      </c>
      <c r="D4550" s="59">
        <v>-53.01739427332101</v>
      </c>
    </row>
    <row r="4551" spans="1:4" x14ac:dyDescent="0.3">
      <c r="A4551" s="58">
        <v>4216057</v>
      </c>
      <c r="B4551" s="58" t="s">
        <v>5359</v>
      </c>
      <c r="C4551" s="59">
        <v>-27.28294667339885</v>
      </c>
      <c r="D4551" s="59">
        <v>-50.434628933085953</v>
      </c>
    </row>
    <row r="4552" spans="1:4" x14ac:dyDescent="0.3">
      <c r="A4552" s="58">
        <v>4216107</v>
      </c>
      <c r="B4552" s="58" t="s">
        <v>2408</v>
      </c>
      <c r="C4552" s="59">
        <v>-26.557830369518651</v>
      </c>
      <c r="D4552" s="59">
        <v>-52.537227468534297</v>
      </c>
    </row>
    <row r="4553" spans="1:4" x14ac:dyDescent="0.3">
      <c r="A4553" s="58">
        <v>4216206</v>
      </c>
      <c r="B4553" s="58" t="s">
        <v>5360</v>
      </c>
      <c r="C4553" s="59">
        <v>-26.244017884154008</v>
      </c>
      <c r="D4553" s="59">
        <v>-48.637570758174533</v>
      </c>
    </row>
    <row r="4554" spans="1:4" x14ac:dyDescent="0.3">
      <c r="A4554" s="58">
        <v>4216255</v>
      </c>
      <c r="B4554" s="58" t="s">
        <v>5361</v>
      </c>
      <c r="C4554" s="59">
        <v>-27.097482625441508</v>
      </c>
      <c r="D4554" s="59">
        <v>-53.595966679744315</v>
      </c>
    </row>
    <row r="4555" spans="1:4" x14ac:dyDescent="0.3">
      <c r="A4555" s="58">
        <v>4216305</v>
      </c>
      <c r="B4555" s="58" t="s">
        <v>1645</v>
      </c>
      <c r="C4555" s="59">
        <v>-27.295880556737906</v>
      </c>
      <c r="D4555" s="59">
        <v>-48.857004280246151</v>
      </c>
    </row>
    <row r="4556" spans="1:4" x14ac:dyDescent="0.3">
      <c r="A4556" s="58">
        <v>4216354</v>
      </c>
      <c r="B4556" s="58" t="s">
        <v>5362</v>
      </c>
      <c r="C4556" s="59">
        <v>-26.617454046311757</v>
      </c>
      <c r="D4556" s="59">
        <v>-48.767765386762584</v>
      </c>
    </row>
    <row r="4557" spans="1:4" x14ac:dyDescent="0.3">
      <c r="A4557" s="58">
        <v>4216404</v>
      </c>
      <c r="B4557" s="58" t="s">
        <v>5363</v>
      </c>
      <c r="C4557" s="59">
        <v>-29.223479791248359</v>
      </c>
      <c r="D4557" s="59">
        <v>-49.806571385692031</v>
      </c>
    </row>
    <row r="4558" spans="1:4" x14ac:dyDescent="0.3">
      <c r="A4558" s="58">
        <v>4216503</v>
      </c>
      <c r="B4558" s="58" t="s">
        <v>5364</v>
      </c>
      <c r="C4558" s="59">
        <v>-28.294712499211954</v>
      </c>
      <c r="D4558" s="59">
        <v>-49.936741760544237</v>
      </c>
    </row>
    <row r="4559" spans="1:4" x14ac:dyDescent="0.3">
      <c r="A4559" s="58">
        <v>4216602</v>
      </c>
      <c r="B4559" s="58" t="s">
        <v>5365</v>
      </c>
      <c r="C4559" s="59">
        <v>-27.590312077248701</v>
      </c>
      <c r="D4559" s="59">
        <v>-48.616022715866414</v>
      </c>
    </row>
    <row r="4560" spans="1:4" x14ac:dyDescent="0.3">
      <c r="A4560" s="58">
        <v>4216701</v>
      </c>
      <c r="B4560" s="58" t="s">
        <v>5366</v>
      </c>
      <c r="C4560" s="59">
        <v>-26.456060296849159</v>
      </c>
      <c r="D4560" s="59">
        <v>-53.500124106913113</v>
      </c>
    </row>
    <row r="4561" spans="1:4" x14ac:dyDescent="0.3">
      <c r="A4561" s="58">
        <v>4216800</v>
      </c>
      <c r="B4561" s="58" t="s">
        <v>5367</v>
      </c>
      <c r="C4561" s="59">
        <v>-27.668586518753358</v>
      </c>
      <c r="D4561" s="59">
        <v>-50.581386176330525</v>
      </c>
    </row>
    <row r="4562" spans="1:4" x14ac:dyDescent="0.3">
      <c r="A4562" s="58">
        <v>4216909</v>
      </c>
      <c r="B4562" s="58" t="s">
        <v>5368</v>
      </c>
      <c r="C4562" s="59">
        <v>-26.355190164550258</v>
      </c>
      <c r="D4562" s="59">
        <v>-52.851333666950161</v>
      </c>
    </row>
    <row r="4563" spans="1:4" x14ac:dyDescent="0.3">
      <c r="A4563" s="58">
        <v>4217006</v>
      </c>
      <c r="B4563" s="58" t="s">
        <v>5369</v>
      </c>
      <c r="C4563" s="59">
        <v>-28.326895525075756</v>
      </c>
      <c r="D4563" s="59">
        <v>-49.175684324719306</v>
      </c>
    </row>
    <row r="4564" spans="1:4" x14ac:dyDescent="0.3">
      <c r="A4564" s="58">
        <v>4217105</v>
      </c>
      <c r="B4564" s="58" t="s">
        <v>5370</v>
      </c>
      <c r="C4564" s="59">
        <v>-28.164495289609956</v>
      </c>
      <c r="D4564" s="59">
        <v>-48.977786248035649</v>
      </c>
    </row>
    <row r="4565" spans="1:4" x14ac:dyDescent="0.3">
      <c r="A4565" s="58">
        <v>4217154</v>
      </c>
      <c r="B4565" s="58" t="s">
        <v>5371</v>
      </c>
      <c r="C4565" s="59">
        <v>-26.694475145317007</v>
      </c>
      <c r="D4565" s="59">
        <v>-53.254556376680227</v>
      </c>
    </row>
    <row r="4566" spans="1:4" x14ac:dyDescent="0.3">
      <c r="A4566" s="58">
        <v>4217204</v>
      </c>
      <c r="B4566" s="58" t="s">
        <v>5372</v>
      </c>
      <c r="C4566" s="59">
        <v>-26.726427176660554</v>
      </c>
      <c r="D4566" s="59">
        <v>-53.51883940615609</v>
      </c>
    </row>
    <row r="4567" spans="1:4" x14ac:dyDescent="0.3">
      <c r="A4567" s="58">
        <v>4217253</v>
      </c>
      <c r="B4567" s="58" t="s">
        <v>5373</v>
      </c>
      <c r="C4567" s="59">
        <v>-27.56717009339015</v>
      </c>
      <c r="D4567" s="59">
        <v>-48.787669587307086</v>
      </c>
    </row>
    <row r="4568" spans="1:4" x14ac:dyDescent="0.3">
      <c r="A4568" s="58">
        <v>4217303</v>
      </c>
      <c r="B4568" s="58" t="s">
        <v>5374</v>
      </c>
      <c r="C4568" s="59">
        <v>-26.919756951044853</v>
      </c>
      <c r="D4568" s="59">
        <v>-52.995569727251123</v>
      </c>
    </row>
    <row r="4569" spans="1:4" x14ac:dyDescent="0.3">
      <c r="A4569" s="58">
        <v>4217402</v>
      </c>
      <c r="B4569" s="58" t="s">
        <v>5375</v>
      </c>
      <c r="C4569" s="59">
        <v>-26.420975912627053</v>
      </c>
      <c r="D4569" s="59">
        <v>-49.073259691514927</v>
      </c>
    </row>
    <row r="4570" spans="1:4" x14ac:dyDescent="0.3">
      <c r="A4570" s="58">
        <v>4217501</v>
      </c>
      <c r="B4570" s="58" t="s">
        <v>5376</v>
      </c>
      <c r="C4570" s="59">
        <v>-27.145697622874604</v>
      </c>
      <c r="D4570" s="59">
        <v>-52.302854827990515</v>
      </c>
    </row>
    <row r="4571" spans="1:4" x14ac:dyDescent="0.3">
      <c r="A4571" s="58">
        <v>4217550</v>
      </c>
      <c r="B4571" s="58" t="s">
        <v>5377</v>
      </c>
      <c r="C4571" s="59">
        <v>-26.724773374051203</v>
      </c>
      <c r="D4571" s="59">
        <v>-53.046276341545465</v>
      </c>
    </row>
    <row r="4572" spans="1:4" x14ac:dyDescent="0.3">
      <c r="A4572" s="58">
        <v>4217600</v>
      </c>
      <c r="B4572" s="58" t="s">
        <v>5378</v>
      </c>
      <c r="C4572" s="59">
        <v>-28.595102418234454</v>
      </c>
      <c r="D4572" s="59">
        <v>-49.420540933002961</v>
      </c>
    </row>
    <row r="4573" spans="1:4" x14ac:dyDescent="0.3">
      <c r="A4573" s="58">
        <v>4217709</v>
      </c>
      <c r="B4573" s="58" t="s">
        <v>5379</v>
      </c>
      <c r="C4573" s="59">
        <v>-29.10913275682605</v>
      </c>
      <c r="D4573" s="59">
        <v>-49.634210364134098</v>
      </c>
    </row>
    <row r="4574" spans="1:4" x14ac:dyDescent="0.3">
      <c r="A4574" s="58">
        <v>4217758</v>
      </c>
      <c r="B4574" s="58" t="s">
        <v>5380</v>
      </c>
      <c r="C4574" s="59">
        <v>-26.736936209706005</v>
      </c>
      <c r="D4574" s="59">
        <v>-52.964204795729934</v>
      </c>
    </row>
    <row r="4575" spans="1:4" x14ac:dyDescent="0.3">
      <c r="A4575" s="58">
        <v>4217808</v>
      </c>
      <c r="B4575" s="58" t="s">
        <v>5381</v>
      </c>
      <c r="C4575" s="59">
        <v>-27.117937300220355</v>
      </c>
      <c r="D4575" s="59">
        <v>-50.005096464272405</v>
      </c>
    </row>
    <row r="4576" spans="1:4" x14ac:dyDescent="0.3">
      <c r="A4576" s="58">
        <v>4217907</v>
      </c>
      <c r="B4576" s="58" t="s">
        <v>2233</v>
      </c>
      <c r="C4576" s="59">
        <v>-27.101011104227656</v>
      </c>
      <c r="D4576" s="59">
        <v>-51.245914375253996</v>
      </c>
    </row>
    <row r="4577" spans="1:4" x14ac:dyDescent="0.3">
      <c r="A4577" s="58">
        <v>4217956</v>
      </c>
      <c r="B4577" s="58" t="s">
        <v>5382</v>
      </c>
      <c r="C4577" s="59">
        <v>-26.689474837759406</v>
      </c>
      <c r="D4577" s="59">
        <v>-53.157541983914776</v>
      </c>
    </row>
    <row r="4578" spans="1:4" x14ac:dyDescent="0.3">
      <c r="A4578" s="58">
        <v>4218004</v>
      </c>
      <c r="B4578" s="58" t="s">
        <v>5383</v>
      </c>
      <c r="C4578" s="59">
        <v>-27.239453607210557</v>
      </c>
      <c r="D4578" s="59">
        <v>-48.632070563869597</v>
      </c>
    </row>
    <row r="4579" spans="1:4" x14ac:dyDescent="0.3">
      <c r="A4579" s="58">
        <v>4218103</v>
      </c>
      <c r="B4579" s="58" t="s">
        <v>5384</v>
      </c>
      <c r="C4579" s="59">
        <v>-28.832517493479454</v>
      </c>
      <c r="D4579" s="59">
        <v>-49.844117762794347</v>
      </c>
    </row>
    <row r="4580" spans="1:4" x14ac:dyDescent="0.3">
      <c r="A4580" s="58">
        <v>4218202</v>
      </c>
      <c r="B4580" s="58" t="s">
        <v>5385</v>
      </c>
      <c r="C4580" s="59">
        <v>-26.822902574987754</v>
      </c>
      <c r="D4580" s="59">
        <v>-49.277712289797151</v>
      </c>
    </row>
    <row r="4581" spans="1:4" x14ac:dyDescent="0.3">
      <c r="A4581" s="58">
        <v>4218251</v>
      </c>
      <c r="B4581" s="58" t="s">
        <v>5386</v>
      </c>
      <c r="C4581" s="59">
        <v>-26.617828491043849</v>
      </c>
      <c r="D4581" s="59">
        <v>-50.674674136489379</v>
      </c>
    </row>
    <row r="4582" spans="1:4" x14ac:dyDescent="0.3">
      <c r="A4582" s="58">
        <v>4218301</v>
      </c>
      <c r="B4582" s="58" t="s">
        <v>5387</v>
      </c>
      <c r="C4582" s="59">
        <v>-26.114096336760007</v>
      </c>
      <c r="D4582" s="59">
        <v>-50.305419367994794</v>
      </c>
    </row>
    <row r="4583" spans="1:4" x14ac:dyDescent="0.3">
      <c r="A4583" s="58">
        <v>4218350</v>
      </c>
      <c r="B4583" s="58" t="s">
        <v>5388</v>
      </c>
      <c r="C4583" s="59">
        <v>-28.518484857940805</v>
      </c>
      <c r="D4583" s="59">
        <v>-49.455933378851007</v>
      </c>
    </row>
    <row r="4584" spans="1:4" x14ac:dyDescent="0.3">
      <c r="A4584" s="58">
        <v>4218400</v>
      </c>
      <c r="B4584" s="58" t="s">
        <v>5389</v>
      </c>
      <c r="C4584" s="59">
        <v>-28.558140037514004</v>
      </c>
      <c r="D4584" s="59">
        <v>-49.144815307174738</v>
      </c>
    </row>
    <row r="4585" spans="1:4" x14ac:dyDescent="0.3">
      <c r="A4585" s="58">
        <v>4218509</v>
      </c>
      <c r="B4585" s="58" t="s">
        <v>5390</v>
      </c>
      <c r="C4585" s="59">
        <v>-26.998536305870605</v>
      </c>
      <c r="D4585" s="59">
        <v>-51.414674665089507</v>
      </c>
    </row>
    <row r="4586" spans="1:4" x14ac:dyDescent="0.3">
      <c r="A4586" s="58">
        <v>4218608</v>
      </c>
      <c r="B4586" s="58" t="s">
        <v>5391</v>
      </c>
      <c r="C4586" s="59">
        <v>-27.303019529090307</v>
      </c>
      <c r="D4586" s="59">
        <v>-49.792478234055977</v>
      </c>
    </row>
    <row r="4587" spans="1:4" x14ac:dyDescent="0.3">
      <c r="A4587" s="58">
        <v>4218707</v>
      </c>
      <c r="B4587" s="58" t="s">
        <v>5392</v>
      </c>
      <c r="C4587" s="59">
        <v>-28.480033947850107</v>
      </c>
      <c r="D4587" s="59">
        <v>-49.005268077024454</v>
      </c>
    </row>
    <row r="4588" spans="1:4" x14ac:dyDescent="0.3">
      <c r="A4588" s="58">
        <v>4218756</v>
      </c>
      <c r="B4588" s="58" t="s">
        <v>5393</v>
      </c>
      <c r="C4588" s="59">
        <v>-26.972223591489307</v>
      </c>
      <c r="D4588" s="59">
        <v>-53.641459736046997</v>
      </c>
    </row>
    <row r="4589" spans="1:4" x14ac:dyDescent="0.3">
      <c r="A4589" s="58">
        <v>4218806</v>
      </c>
      <c r="B4589" s="58" t="s">
        <v>5137</v>
      </c>
      <c r="C4589" s="59">
        <v>-28.924749217388204</v>
      </c>
      <c r="D4589" s="59">
        <v>-49.680865745115895</v>
      </c>
    </row>
    <row r="4590" spans="1:4" x14ac:dyDescent="0.3">
      <c r="A4590" s="58">
        <v>4218855</v>
      </c>
      <c r="B4590" s="58" t="s">
        <v>5394</v>
      </c>
      <c r="C4590" s="59">
        <v>-26.761737013747506</v>
      </c>
      <c r="D4590" s="59">
        <v>-52.8514964564325</v>
      </c>
    </row>
    <row r="4591" spans="1:4" x14ac:dyDescent="0.3">
      <c r="A4591" s="58">
        <v>4218905</v>
      </c>
      <c r="B4591" s="58" t="s">
        <v>5395</v>
      </c>
      <c r="C4591" s="59">
        <v>-28.004554912032859</v>
      </c>
      <c r="D4591" s="59">
        <v>-49.588205611104243</v>
      </c>
    </row>
    <row r="4592" spans="1:4" x14ac:dyDescent="0.3">
      <c r="A4592" s="58">
        <v>4218954</v>
      </c>
      <c r="B4592" s="58" t="s">
        <v>5396</v>
      </c>
      <c r="C4592" s="59">
        <v>-27.952685809815911</v>
      </c>
      <c r="D4592" s="59">
        <v>-49.87321124239881</v>
      </c>
    </row>
    <row r="4593" spans="1:4" x14ac:dyDescent="0.3">
      <c r="A4593" s="58">
        <v>4219002</v>
      </c>
      <c r="B4593" s="58" t="s">
        <v>5397</v>
      </c>
      <c r="C4593" s="59">
        <v>-28.519966203921108</v>
      </c>
      <c r="D4593" s="59">
        <v>-49.31910791856474</v>
      </c>
    </row>
    <row r="4594" spans="1:4" x14ac:dyDescent="0.3">
      <c r="A4594" s="58">
        <v>4219101</v>
      </c>
      <c r="B4594" s="58" t="s">
        <v>5398</v>
      </c>
      <c r="C4594" s="59">
        <v>-26.863983317370508</v>
      </c>
      <c r="D4594" s="59">
        <v>-52.154105650117991</v>
      </c>
    </row>
    <row r="4595" spans="1:4" x14ac:dyDescent="0.3">
      <c r="A4595" s="58">
        <v>4219150</v>
      </c>
      <c r="B4595" s="58" t="s">
        <v>4775</v>
      </c>
      <c r="C4595" s="59">
        <v>-27.489970100429606</v>
      </c>
      <c r="D4595" s="59">
        <v>-50.978150625654884</v>
      </c>
    </row>
    <row r="4596" spans="1:4" x14ac:dyDescent="0.3">
      <c r="A4596" s="58">
        <v>4219176</v>
      </c>
      <c r="B4596" s="58" t="s">
        <v>3986</v>
      </c>
      <c r="C4596" s="59">
        <v>-27.003241604509103</v>
      </c>
      <c r="D4596" s="59">
        <v>-51.744740181404602</v>
      </c>
    </row>
    <row r="4597" spans="1:4" x14ac:dyDescent="0.3">
      <c r="A4597" s="58">
        <v>4219200</v>
      </c>
      <c r="B4597" s="58" t="s">
        <v>5399</v>
      </c>
      <c r="C4597" s="59">
        <v>-27.395778698688055</v>
      </c>
      <c r="D4597" s="59">
        <v>-49.36821917261144</v>
      </c>
    </row>
    <row r="4598" spans="1:4" x14ac:dyDescent="0.3">
      <c r="A4598" s="58">
        <v>4219309</v>
      </c>
      <c r="B4598" s="58" t="s">
        <v>5400</v>
      </c>
      <c r="C4598" s="59">
        <v>-27.006129067969756</v>
      </c>
      <c r="D4598" s="59">
        <v>-51.15170528283258</v>
      </c>
    </row>
    <row r="4599" spans="1:4" x14ac:dyDescent="0.3">
      <c r="A4599" s="58">
        <v>4219358</v>
      </c>
      <c r="B4599" s="58" t="s">
        <v>5401</v>
      </c>
      <c r="C4599" s="59">
        <v>-26.881577618578106</v>
      </c>
      <c r="D4599" s="59">
        <v>-49.830751960968357</v>
      </c>
    </row>
    <row r="4600" spans="1:4" x14ac:dyDescent="0.3">
      <c r="A4600" s="58">
        <v>4219408</v>
      </c>
      <c r="B4600" s="58" t="s">
        <v>5402</v>
      </c>
      <c r="C4600" s="59">
        <v>-26.926742723395954</v>
      </c>
      <c r="D4600" s="59">
        <v>-49.804203375440132</v>
      </c>
    </row>
    <row r="4601" spans="1:4" x14ac:dyDescent="0.3">
      <c r="A4601" s="58">
        <v>4219507</v>
      </c>
      <c r="B4601" s="58" t="s">
        <v>5403</v>
      </c>
      <c r="C4601" s="59">
        <v>-26.874584499238555</v>
      </c>
      <c r="D4601" s="59">
        <v>-52.404667138975384</v>
      </c>
    </row>
    <row r="4602" spans="1:4" x14ac:dyDescent="0.3">
      <c r="A4602" s="58">
        <v>4219606</v>
      </c>
      <c r="B4602" s="58" t="s">
        <v>5404</v>
      </c>
      <c r="C4602" s="59">
        <v>-27.070250147074457</v>
      </c>
      <c r="D4602" s="59">
        <v>-52.34285050991371</v>
      </c>
    </row>
    <row r="4603" spans="1:4" x14ac:dyDescent="0.3">
      <c r="A4603" s="58">
        <v>4219705</v>
      </c>
      <c r="B4603" s="58" t="s">
        <v>5405</v>
      </c>
      <c r="C4603" s="59">
        <v>-26.963719499236852</v>
      </c>
      <c r="D4603" s="59">
        <v>-52.534932518303926</v>
      </c>
    </row>
    <row r="4604" spans="1:4" x14ac:dyDescent="0.3">
      <c r="A4604" s="58">
        <v>4219853</v>
      </c>
      <c r="B4604" s="58" t="s">
        <v>5406</v>
      </c>
      <c r="C4604" s="59">
        <v>-27.450251411681855</v>
      </c>
      <c r="D4604" s="59">
        <v>-51.549566306840802</v>
      </c>
    </row>
    <row r="4605" spans="1:4" x14ac:dyDescent="0.3">
      <c r="A4605" s="58">
        <v>4300034</v>
      </c>
      <c r="B4605" s="58" t="s">
        <v>5407</v>
      </c>
      <c r="C4605" s="59">
        <v>-31.864015304262104</v>
      </c>
      <c r="D4605" s="59">
        <v>-54.164731536363419</v>
      </c>
    </row>
    <row r="4606" spans="1:4" x14ac:dyDescent="0.3">
      <c r="A4606" s="58">
        <v>4300059</v>
      </c>
      <c r="B4606" s="58" t="s">
        <v>5408</v>
      </c>
      <c r="C4606" s="59">
        <v>-28.175054748511855</v>
      </c>
      <c r="D4606" s="59">
        <v>-52.034632789162281</v>
      </c>
    </row>
    <row r="4607" spans="1:4" x14ac:dyDescent="0.3">
      <c r="A4607" s="58">
        <v>4300109</v>
      </c>
      <c r="B4607" s="58" t="s">
        <v>5409</v>
      </c>
      <c r="C4607" s="59">
        <v>-29.645663363249604</v>
      </c>
      <c r="D4607" s="59">
        <v>-53.258691687715093</v>
      </c>
    </row>
    <row r="4608" spans="1:4" x14ac:dyDescent="0.3">
      <c r="A4608" s="58">
        <v>4300208</v>
      </c>
      <c r="B4608" s="58" t="s">
        <v>5410</v>
      </c>
      <c r="C4608" s="59">
        <v>-28.237729006689253</v>
      </c>
      <c r="D4608" s="59">
        <v>-53.772818889987263</v>
      </c>
    </row>
    <row r="4609" spans="1:4" x14ac:dyDescent="0.3">
      <c r="A4609" s="58">
        <v>4300307</v>
      </c>
      <c r="B4609" s="58" t="s">
        <v>5411</v>
      </c>
      <c r="C4609" s="59">
        <v>-27.661074457801654</v>
      </c>
      <c r="D4609" s="59">
        <v>-54.767096221740736</v>
      </c>
    </row>
    <row r="4610" spans="1:4" x14ac:dyDescent="0.3">
      <c r="A4610" s="58">
        <v>4300406</v>
      </c>
      <c r="B4610" s="58" t="s">
        <v>5412</v>
      </c>
      <c r="C4610" s="59">
        <v>-29.782043209124456</v>
      </c>
      <c r="D4610" s="59">
        <v>-55.79587014533309</v>
      </c>
    </row>
    <row r="4611" spans="1:4" x14ac:dyDescent="0.3">
      <c r="A4611" s="58">
        <v>4300455</v>
      </c>
      <c r="B4611" s="58" t="s">
        <v>5413</v>
      </c>
      <c r="C4611" s="59">
        <v>-27.837299956370309</v>
      </c>
      <c r="D4611" s="59">
        <v>-54.057366413138539</v>
      </c>
    </row>
    <row r="4612" spans="1:4" x14ac:dyDescent="0.3">
      <c r="A4612" s="58">
        <v>4300471</v>
      </c>
      <c r="B4612" s="58" t="s">
        <v>5414</v>
      </c>
      <c r="C4612" s="59">
        <v>-28.113726287037604</v>
      </c>
      <c r="D4612" s="59">
        <v>-52.913714549694426</v>
      </c>
    </row>
    <row r="4613" spans="1:4" x14ac:dyDescent="0.3">
      <c r="A4613" s="58">
        <v>4300505</v>
      </c>
      <c r="B4613" s="58" t="s">
        <v>5415</v>
      </c>
      <c r="C4613" s="59">
        <v>-27.248768756690104</v>
      </c>
      <c r="D4613" s="59">
        <v>-53.037366048551235</v>
      </c>
    </row>
    <row r="4614" spans="1:4" x14ac:dyDescent="0.3">
      <c r="A4614" s="58">
        <v>4300554</v>
      </c>
      <c r="B4614" s="58" t="s">
        <v>74</v>
      </c>
      <c r="C4614" s="59">
        <v>-28.77474553706908</v>
      </c>
      <c r="D4614" s="59">
        <v>-52.990755280689086</v>
      </c>
    </row>
    <row r="4615" spans="1:4" x14ac:dyDescent="0.3">
      <c r="A4615" s="58">
        <v>4300570</v>
      </c>
      <c r="B4615" s="58" t="s">
        <v>5416</v>
      </c>
      <c r="C4615" s="59">
        <v>-29.390139166844754</v>
      </c>
      <c r="D4615" s="59">
        <v>-51.315815667840759</v>
      </c>
    </row>
    <row r="4616" spans="1:4" x14ac:dyDescent="0.3">
      <c r="A4616" s="58">
        <v>4300604</v>
      </c>
      <c r="B4616" s="58" t="s">
        <v>1347</v>
      </c>
      <c r="C4616" s="59">
        <v>-29.997493064742304</v>
      </c>
      <c r="D4616" s="59">
        <v>-51.077729454200089</v>
      </c>
    </row>
    <row r="4617" spans="1:4" x14ac:dyDescent="0.3">
      <c r="A4617" s="58">
        <v>4300638</v>
      </c>
      <c r="B4617" s="58" t="s">
        <v>5417</v>
      </c>
      <c r="C4617" s="59">
        <v>-30.87514760116936</v>
      </c>
      <c r="D4617" s="59">
        <v>-52.251270396969829</v>
      </c>
    </row>
    <row r="4618" spans="1:4" x14ac:dyDescent="0.3">
      <c r="A4618" s="58">
        <v>4300646</v>
      </c>
      <c r="B4618" s="58" t="s">
        <v>5418</v>
      </c>
      <c r="C4618" s="59">
        <v>-27.356425473784853</v>
      </c>
      <c r="D4618" s="59">
        <v>-53.192177261996946</v>
      </c>
    </row>
    <row r="4619" spans="1:4" x14ac:dyDescent="0.3">
      <c r="A4619" s="58">
        <v>4300661</v>
      </c>
      <c r="B4619" s="58" t="s">
        <v>5419</v>
      </c>
      <c r="C4619" s="59">
        <v>-28.631977202881853</v>
      </c>
      <c r="D4619" s="59">
        <v>-51.573737971200913</v>
      </c>
    </row>
    <row r="4620" spans="1:4" x14ac:dyDescent="0.3">
      <c r="A4620" s="58">
        <v>4300703</v>
      </c>
      <c r="B4620" s="58" t="s">
        <v>5420</v>
      </c>
      <c r="C4620" s="59">
        <v>-28.970884363101479</v>
      </c>
      <c r="D4620" s="59">
        <v>-52.015823439407257</v>
      </c>
    </row>
    <row r="4621" spans="1:4" x14ac:dyDescent="0.3">
      <c r="A4621" s="58">
        <v>4300802</v>
      </c>
      <c r="B4621" s="58" t="s">
        <v>5421</v>
      </c>
      <c r="C4621" s="59">
        <v>-28.855437624629804</v>
      </c>
      <c r="D4621" s="59">
        <v>-51.283576924340885</v>
      </c>
    </row>
    <row r="4622" spans="1:4" x14ac:dyDescent="0.3">
      <c r="A4622" s="58">
        <v>4300851</v>
      </c>
      <c r="B4622" s="58" t="s">
        <v>5422</v>
      </c>
      <c r="C4622" s="59">
        <v>-30.909345550011857</v>
      </c>
      <c r="D4622" s="59">
        <v>-51.501318250596768</v>
      </c>
    </row>
    <row r="4623" spans="1:4" x14ac:dyDescent="0.3">
      <c r="A4623" s="58">
        <v>4300877</v>
      </c>
      <c r="B4623" s="58" t="s">
        <v>5423</v>
      </c>
      <c r="C4623" s="59">
        <v>-29.617243592930102</v>
      </c>
      <c r="D4623" s="59">
        <v>-50.925676614680803</v>
      </c>
    </row>
    <row r="4624" spans="1:4" x14ac:dyDescent="0.3">
      <c r="A4624" s="58">
        <v>4300901</v>
      </c>
      <c r="B4624" s="58" t="s">
        <v>5424</v>
      </c>
      <c r="C4624" s="59">
        <v>-27.394444128894854</v>
      </c>
      <c r="D4624" s="59">
        <v>-52.303831954788379</v>
      </c>
    </row>
    <row r="4625" spans="1:4" x14ac:dyDescent="0.3">
      <c r="A4625" s="58">
        <v>4301008</v>
      </c>
      <c r="B4625" s="58" t="s">
        <v>5425</v>
      </c>
      <c r="C4625" s="59">
        <v>-29.398890719136805</v>
      </c>
      <c r="D4625" s="59">
        <v>-51.947449491613881</v>
      </c>
    </row>
    <row r="4626" spans="1:4" x14ac:dyDescent="0.3">
      <c r="A4626" s="58">
        <v>4301057</v>
      </c>
      <c r="B4626" s="58" t="s">
        <v>5426</v>
      </c>
      <c r="C4626" s="59">
        <v>-29.592960743965509</v>
      </c>
      <c r="D4626" s="59">
        <v>-49.932957517978032</v>
      </c>
    </row>
    <row r="4627" spans="1:4" x14ac:dyDescent="0.3">
      <c r="A4627" s="58">
        <v>4301073</v>
      </c>
      <c r="B4627" s="58" t="s">
        <v>5427</v>
      </c>
      <c r="C4627" s="59">
        <v>-31.440643993069301</v>
      </c>
      <c r="D4627" s="59">
        <v>-52.433301504409563</v>
      </c>
    </row>
    <row r="4628" spans="1:4" x14ac:dyDescent="0.3">
      <c r="A4628" s="58">
        <v>4301107</v>
      </c>
      <c r="B4628" s="58" t="s">
        <v>5428</v>
      </c>
      <c r="C4628" s="59">
        <v>-30.090013114676552</v>
      </c>
      <c r="D4628" s="59">
        <v>-51.733806866457961</v>
      </c>
    </row>
    <row r="4629" spans="1:4" x14ac:dyDescent="0.3">
      <c r="A4629" s="58">
        <v>4301206</v>
      </c>
      <c r="B4629" s="58" t="s">
        <v>5429</v>
      </c>
      <c r="C4629" s="59">
        <v>-29.335859613303604</v>
      </c>
      <c r="D4629" s="59">
        <v>-53.086395567176453</v>
      </c>
    </row>
    <row r="4630" spans="1:4" x14ac:dyDescent="0.3">
      <c r="A4630" s="58">
        <v>4301305</v>
      </c>
      <c r="B4630" s="58" t="s">
        <v>5430</v>
      </c>
      <c r="C4630" s="59">
        <v>-32.236344125667152</v>
      </c>
      <c r="D4630" s="59">
        <v>-53.082248348218101</v>
      </c>
    </row>
    <row r="4631" spans="1:4" x14ac:dyDescent="0.3">
      <c r="A4631" s="58">
        <v>4301404</v>
      </c>
      <c r="B4631" s="58" t="s">
        <v>5431</v>
      </c>
      <c r="C4631" s="59">
        <v>-28.873049391639704</v>
      </c>
      <c r="D4631" s="59">
        <v>-52.179511939529327</v>
      </c>
    </row>
    <row r="4632" spans="1:4" x14ac:dyDescent="0.3">
      <c r="A4632" s="58">
        <v>4301503</v>
      </c>
      <c r="B4632" s="58" t="s">
        <v>5432</v>
      </c>
      <c r="C4632" s="59">
        <v>-28.513351989114202</v>
      </c>
      <c r="D4632" s="59">
        <v>-53.989470080722569</v>
      </c>
    </row>
    <row r="4633" spans="1:4" x14ac:dyDescent="0.3">
      <c r="A4633" s="58">
        <v>4301552</v>
      </c>
      <c r="B4633" s="58" t="s">
        <v>5433</v>
      </c>
      <c r="C4633" s="59">
        <v>-27.693786650391004</v>
      </c>
      <c r="D4633" s="59">
        <v>-52.054175669132903</v>
      </c>
    </row>
    <row r="4634" spans="1:4" x14ac:dyDescent="0.3">
      <c r="A4634" s="58">
        <v>4301602</v>
      </c>
      <c r="B4634" s="58" t="s">
        <v>5434</v>
      </c>
      <c r="C4634" s="59">
        <v>-31.330501841547456</v>
      </c>
      <c r="D4634" s="59">
        <v>-54.10708328517002</v>
      </c>
    </row>
    <row r="4635" spans="1:4" x14ac:dyDescent="0.3">
      <c r="A4635" s="58">
        <v>4301636</v>
      </c>
      <c r="B4635" s="58" t="s">
        <v>5435</v>
      </c>
      <c r="C4635" s="59">
        <v>-30.239750927033906</v>
      </c>
      <c r="D4635" s="59">
        <v>-50.236701076097077</v>
      </c>
    </row>
    <row r="4636" spans="1:4" x14ac:dyDescent="0.3">
      <c r="A4636" s="58">
        <v>4301651</v>
      </c>
      <c r="B4636" s="58" t="s">
        <v>5436</v>
      </c>
      <c r="C4636" s="59">
        <v>-29.380864067808254</v>
      </c>
      <c r="D4636" s="59">
        <v>-51.49753768089726</v>
      </c>
    </row>
    <row r="4637" spans="1:4" x14ac:dyDescent="0.3">
      <c r="A4637" s="58">
        <v>4301701</v>
      </c>
      <c r="B4637" s="58" t="s">
        <v>5437</v>
      </c>
      <c r="C4637" s="59">
        <v>-27.617092567143203</v>
      </c>
      <c r="D4637" s="59">
        <v>-52.377750325027527</v>
      </c>
    </row>
    <row r="4638" spans="1:4" x14ac:dyDescent="0.3">
      <c r="A4638" s="58">
        <v>4301750</v>
      </c>
      <c r="B4638" s="58" t="s">
        <v>5438</v>
      </c>
      <c r="C4638" s="59">
        <v>-30.390483854734512</v>
      </c>
      <c r="D4638" s="59">
        <v>-51.737669474838825</v>
      </c>
    </row>
    <row r="4639" spans="1:4" x14ac:dyDescent="0.3">
      <c r="A4639" s="58">
        <v>4301800</v>
      </c>
      <c r="B4639" s="58" t="s">
        <v>4815</v>
      </c>
      <c r="C4639" s="59">
        <v>-27.680229871389749</v>
      </c>
      <c r="D4639" s="59">
        <v>-51.460151458378462</v>
      </c>
    </row>
    <row r="4640" spans="1:4" x14ac:dyDescent="0.3">
      <c r="A4640" s="58">
        <v>4301859</v>
      </c>
      <c r="B4640" s="58" t="s">
        <v>5439</v>
      </c>
      <c r="C4640" s="59">
        <v>-27.188069961494207</v>
      </c>
      <c r="D4640" s="59">
        <v>-53.714412693305825</v>
      </c>
    </row>
    <row r="4641" spans="1:4" x14ac:dyDescent="0.3">
      <c r="A4641" s="58">
        <v>4301875</v>
      </c>
      <c r="B4641" s="58" t="s">
        <v>5440</v>
      </c>
      <c r="C4641" s="59">
        <v>-30.211075407921651</v>
      </c>
      <c r="D4641" s="59">
        <v>-57.557060324812248</v>
      </c>
    </row>
    <row r="4642" spans="1:4" x14ac:dyDescent="0.3">
      <c r="A4642" s="58">
        <v>4301909</v>
      </c>
      <c r="B4642" s="58" t="s">
        <v>5441</v>
      </c>
      <c r="C4642" s="59">
        <v>-30.292675499886808</v>
      </c>
      <c r="D4642" s="59">
        <v>-51.300873600611538</v>
      </c>
    </row>
    <row r="4643" spans="1:4" x14ac:dyDescent="0.3">
      <c r="A4643" s="58">
        <v>4301925</v>
      </c>
      <c r="B4643" s="58" t="s">
        <v>5442</v>
      </c>
      <c r="C4643" s="59">
        <v>-27.408757715452207</v>
      </c>
      <c r="D4643" s="59">
        <v>-52.414104946450131</v>
      </c>
    </row>
    <row r="4644" spans="1:4" x14ac:dyDescent="0.3">
      <c r="A4644" s="58">
        <v>4301958</v>
      </c>
      <c r="B4644" s="58" t="s">
        <v>5443</v>
      </c>
      <c r="C4644" s="59">
        <v>-27.923825845175259</v>
      </c>
      <c r="D4644" s="59">
        <v>-53.03629666960363</v>
      </c>
    </row>
    <row r="4645" spans="1:4" x14ac:dyDescent="0.3">
      <c r="A4645" s="58">
        <v>4302006</v>
      </c>
      <c r="B4645" s="58" t="s">
        <v>5444</v>
      </c>
      <c r="C4645" s="59">
        <v>-29.087704360738456</v>
      </c>
      <c r="D4645" s="59">
        <v>-52.587752124500028</v>
      </c>
    </row>
    <row r="4646" spans="1:4" x14ac:dyDescent="0.3">
      <c r="A4646" s="58">
        <v>4302055</v>
      </c>
      <c r="B4646" s="58" t="s">
        <v>5445</v>
      </c>
      <c r="C4646" s="59">
        <v>-27.508583562657552</v>
      </c>
      <c r="D4646" s="59">
        <v>-52.602225004721909</v>
      </c>
    </row>
    <row r="4647" spans="1:4" x14ac:dyDescent="0.3">
      <c r="A4647" s="58">
        <v>4302105</v>
      </c>
      <c r="B4647" s="58" t="s">
        <v>5446</v>
      </c>
      <c r="C4647" s="59">
        <v>-29.167401933191208</v>
      </c>
      <c r="D4647" s="59">
        <v>-51.515560306323948</v>
      </c>
    </row>
    <row r="4648" spans="1:4" x14ac:dyDescent="0.3">
      <c r="A4648" s="58">
        <v>4302154</v>
      </c>
      <c r="B4648" s="58" t="s">
        <v>5447</v>
      </c>
      <c r="C4648" s="59">
        <v>-27.666111035038401</v>
      </c>
      <c r="D4648" s="59">
        <v>-53.312756393758043</v>
      </c>
    </row>
    <row r="4649" spans="1:4" x14ac:dyDescent="0.3">
      <c r="A4649" s="58">
        <v>4302204</v>
      </c>
      <c r="B4649" s="58" t="s">
        <v>5448</v>
      </c>
      <c r="C4649" s="59">
        <v>-27.671566996782552</v>
      </c>
      <c r="D4649" s="59">
        <v>-54.109481255269756</v>
      </c>
    </row>
    <row r="4650" spans="1:4" x14ac:dyDescent="0.3">
      <c r="A4650" s="58">
        <v>4302220</v>
      </c>
      <c r="B4650" s="58" t="s">
        <v>5449</v>
      </c>
      <c r="C4650" s="59">
        <v>-28.577434475480505</v>
      </c>
      <c r="D4650" s="59">
        <v>-53.813734635114891</v>
      </c>
    </row>
    <row r="4651" spans="1:4" x14ac:dyDescent="0.3">
      <c r="A4651" s="58">
        <v>4302238</v>
      </c>
      <c r="B4651" s="58" t="s">
        <v>5450</v>
      </c>
      <c r="C4651" s="59">
        <v>-28.818488034018706</v>
      </c>
      <c r="D4651" s="59">
        <v>-53.388704960602894</v>
      </c>
    </row>
    <row r="4652" spans="1:4" x14ac:dyDescent="0.3">
      <c r="A4652" s="58">
        <v>4302253</v>
      </c>
      <c r="B4652" s="58" t="s">
        <v>5451</v>
      </c>
      <c r="C4652" s="59">
        <v>-29.350119371492355</v>
      </c>
      <c r="D4652" s="59">
        <v>-51.677271837137319</v>
      </c>
    </row>
    <row r="4653" spans="1:4" x14ac:dyDescent="0.3">
      <c r="A4653" s="58">
        <v>4302303</v>
      </c>
      <c r="B4653" s="58" t="s">
        <v>1713</v>
      </c>
      <c r="C4653" s="59">
        <v>-28.670577675642701</v>
      </c>
      <c r="D4653" s="59">
        <v>-50.433349269980162</v>
      </c>
    </row>
    <row r="4654" spans="1:4" x14ac:dyDescent="0.3">
      <c r="A4654" s="58">
        <v>4302352</v>
      </c>
      <c r="B4654" s="58" t="s">
        <v>5452</v>
      </c>
      <c r="C4654" s="59">
        <v>-29.494485114945658</v>
      </c>
      <c r="D4654" s="59">
        <v>-51.355519097396034</v>
      </c>
    </row>
    <row r="4655" spans="1:4" x14ac:dyDescent="0.3">
      <c r="A4655" s="58">
        <v>4302378</v>
      </c>
      <c r="B4655" s="58" t="s">
        <v>5453</v>
      </c>
      <c r="C4655" s="59">
        <v>-27.546774204155401</v>
      </c>
      <c r="D4655" s="59">
        <v>-53.866790885640185</v>
      </c>
    </row>
    <row r="4656" spans="1:4" x14ac:dyDescent="0.3">
      <c r="A4656" s="58">
        <v>4302402</v>
      </c>
      <c r="B4656" s="58" t="s">
        <v>5454</v>
      </c>
      <c r="C4656" s="59">
        <v>-29.607422619857303</v>
      </c>
      <c r="D4656" s="59">
        <v>-51.94384676595859</v>
      </c>
    </row>
    <row r="4657" spans="1:4" x14ac:dyDescent="0.3">
      <c r="A4657" s="58">
        <v>4302451</v>
      </c>
      <c r="B4657" s="58" t="s">
        <v>5455</v>
      </c>
      <c r="C4657" s="59">
        <v>-29.305157917908499</v>
      </c>
      <c r="D4657" s="59">
        <v>-52.428050264471821</v>
      </c>
    </row>
    <row r="4658" spans="1:4" x14ac:dyDescent="0.3">
      <c r="A4658" s="58">
        <v>4302501</v>
      </c>
      <c r="B4658" s="58" t="s">
        <v>5456</v>
      </c>
      <c r="C4658" s="59">
        <v>-28.730724330223907</v>
      </c>
      <c r="D4658" s="59">
        <v>-54.909810925254462</v>
      </c>
    </row>
    <row r="4659" spans="1:4" x14ac:dyDescent="0.3">
      <c r="A4659" s="58">
        <v>4302584</v>
      </c>
      <c r="B4659" s="58" t="s">
        <v>5457</v>
      </c>
      <c r="C4659" s="59">
        <v>-28.366289940194104</v>
      </c>
      <c r="D4659" s="59">
        <v>-53.772402138764093</v>
      </c>
    </row>
    <row r="4660" spans="1:4" x14ac:dyDescent="0.3">
      <c r="A4660" s="58">
        <v>4302600</v>
      </c>
      <c r="B4660" s="58" t="s">
        <v>5458</v>
      </c>
      <c r="C4660" s="59">
        <v>-27.619192507534706</v>
      </c>
      <c r="D4660" s="59">
        <v>-53.744329382075165</v>
      </c>
    </row>
    <row r="4661" spans="1:4" x14ac:dyDescent="0.3">
      <c r="A4661" s="58">
        <v>4302659</v>
      </c>
      <c r="B4661" s="58" t="s">
        <v>5459</v>
      </c>
      <c r="C4661" s="59">
        <v>-29.555527955557206</v>
      </c>
      <c r="D4661" s="59">
        <v>-51.588915971653442</v>
      </c>
    </row>
    <row r="4662" spans="1:4" x14ac:dyDescent="0.3">
      <c r="A4662" s="58">
        <v>4302709</v>
      </c>
      <c r="B4662" s="58" t="s">
        <v>5460</v>
      </c>
      <c r="C4662" s="59">
        <v>-30.116144012647251</v>
      </c>
      <c r="D4662" s="59">
        <v>-51.961482953215771</v>
      </c>
    </row>
    <row r="4663" spans="1:4" x14ac:dyDescent="0.3">
      <c r="A4663" s="58">
        <v>4302808</v>
      </c>
      <c r="B4663" s="58" t="s">
        <v>5461</v>
      </c>
      <c r="C4663" s="59">
        <v>-30.514743234080058</v>
      </c>
      <c r="D4663" s="59">
        <v>-53.487568920041419</v>
      </c>
    </row>
    <row r="4664" spans="1:4" x14ac:dyDescent="0.3">
      <c r="A4664" s="58">
        <v>4302907</v>
      </c>
      <c r="B4664" s="58" t="s">
        <v>5462</v>
      </c>
      <c r="C4664" s="59">
        <v>-29.880287660479507</v>
      </c>
      <c r="D4664" s="59">
        <v>-54.827727690336211</v>
      </c>
    </row>
    <row r="4665" spans="1:4" x14ac:dyDescent="0.3">
      <c r="A4665" s="58">
        <v>4303004</v>
      </c>
      <c r="B4665" s="58" t="s">
        <v>5463</v>
      </c>
      <c r="C4665" s="59">
        <v>-30.045819979727405</v>
      </c>
      <c r="D4665" s="59">
        <v>-52.893412558481998</v>
      </c>
    </row>
    <row r="4666" spans="1:4" x14ac:dyDescent="0.3">
      <c r="A4666" s="58">
        <v>4303103</v>
      </c>
      <c r="B4666" s="58" t="s">
        <v>1001</v>
      </c>
      <c r="C4666" s="59">
        <v>-29.950629444344703</v>
      </c>
      <c r="D4666" s="59">
        <v>-51.093676954262762</v>
      </c>
    </row>
    <row r="4667" spans="1:4" x14ac:dyDescent="0.3">
      <c r="A4667" s="58">
        <v>4303202</v>
      </c>
      <c r="B4667" s="58" t="s">
        <v>5464</v>
      </c>
      <c r="C4667" s="59">
        <v>-27.768232466016304</v>
      </c>
      <c r="D4667" s="59">
        <v>-51.664113449838169</v>
      </c>
    </row>
    <row r="4668" spans="1:4" x14ac:dyDescent="0.3">
      <c r="A4668" s="58">
        <v>4303301</v>
      </c>
      <c r="B4668" s="58" t="s">
        <v>5465</v>
      </c>
      <c r="C4668" s="59">
        <v>-28.291074819166756</v>
      </c>
      <c r="D4668" s="59">
        <v>-54.637886704208661</v>
      </c>
    </row>
    <row r="4669" spans="1:4" x14ac:dyDescent="0.3">
      <c r="A4669" s="58">
        <v>4303400</v>
      </c>
      <c r="B4669" s="58" t="s">
        <v>2288</v>
      </c>
      <c r="C4669" s="59">
        <v>-27.280940664626954</v>
      </c>
      <c r="D4669" s="59">
        <v>-53.431895485103993</v>
      </c>
    </row>
    <row r="4670" spans="1:4" x14ac:dyDescent="0.3">
      <c r="A4670" s="58">
        <v>4303509</v>
      </c>
      <c r="B4670" s="58" t="s">
        <v>5466</v>
      </c>
      <c r="C4670" s="59">
        <v>-30.850704389255853</v>
      </c>
      <c r="D4670" s="59">
        <v>-51.814600906221074</v>
      </c>
    </row>
    <row r="4671" spans="1:4" x14ac:dyDescent="0.3">
      <c r="A4671" s="58">
        <v>4303558</v>
      </c>
      <c r="B4671" s="58" t="s">
        <v>5467</v>
      </c>
      <c r="C4671" s="59">
        <v>-28.589237531547006</v>
      </c>
      <c r="D4671" s="59">
        <v>-52.203798973251416</v>
      </c>
    </row>
    <row r="4672" spans="1:4" x14ac:dyDescent="0.3">
      <c r="A4672" s="58">
        <v>4303608</v>
      </c>
      <c r="B4672" s="58" t="s">
        <v>5468</v>
      </c>
      <c r="C4672" s="59">
        <v>-29.048175273445551</v>
      </c>
      <c r="D4672" s="59">
        <v>-50.143765384253626</v>
      </c>
    </row>
    <row r="4673" spans="1:4" x14ac:dyDescent="0.3">
      <c r="A4673" s="58">
        <v>4303673</v>
      </c>
      <c r="B4673" s="58" t="s">
        <v>5469</v>
      </c>
      <c r="C4673" s="59">
        <v>-28.796512246898057</v>
      </c>
      <c r="D4673" s="59">
        <v>-51.095664004837353</v>
      </c>
    </row>
    <row r="4674" spans="1:4" x14ac:dyDescent="0.3">
      <c r="A4674" s="58">
        <v>4303707</v>
      </c>
      <c r="B4674" s="58" t="s">
        <v>5470</v>
      </c>
      <c r="C4674" s="59">
        <v>-27.991690028400257</v>
      </c>
      <c r="D4674" s="59">
        <v>-54.845328950828787</v>
      </c>
    </row>
    <row r="4675" spans="1:4" x14ac:dyDescent="0.3">
      <c r="A4675" s="58">
        <v>4303806</v>
      </c>
      <c r="B4675" s="58" t="s">
        <v>5471</v>
      </c>
      <c r="C4675" s="59">
        <v>-27.711601416101455</v>
      </c>
      <c r="D4675" s="59">
        <v>-52.633104477776335</v>
      </c>
    </row>
    <row r="4676" spans="1:4" x14ac:dyDescent="0.3">
      <c r="A4676" s="58">
        <v>4303905</v>
      </c>
      <c r="B4676" s="58" t="s">
        <v>5472</v>
      </c>
      <c r="C4676" s="59">
        <v>-29.675685097122809</v>
      </c>
      <c r="D4676" s="59">
        <v>-51.058869924278497</v>
      </c>
    </row>
    <row r="4677" spans="1:4" x14ac:dyDescent="0.3">
      <c r="A4677" s="58">
        <v>4304002</v>
      </c>
      <c r="B4677" s="58" t="s">
        <v>5473</v>
      </c>
      <c r="C4677" s="59">
        <v>-27.674492610217204</v>
      </c>
      <c r="D4677" s="59">
        <v>-53.802813868673745</v>
      </c>
    </row>
    <row r="4678" spans="1:4" x14ac:dyDescent="0.3">
      <c r="A4678" s="58">
        <v>4304101</v>
      </c>
      <c r="B4678" s="58" t="s">
        <v>5474</v>
      </c>
      <c r="C4678" s="59">
        <v>-28.892131767326507</v>
      </c>
      <c r="D4678" s="59">
        <v>-52.998914733228034</v>
      </c>
    </row>
    <row r="4679" spans="1:4" x14ac:dyDescent="0.3">
      <c r="A4679" s="58">
        <v>4304200</v>
      </c>
      <c r="B4679" s="58" t="s">
        <v>5475</v>
      </c>
      <c r="C4679" s="59">
        <v>-29.671285415964707</v>
      </c>
      <c r="D4679" s="59">
        <v>-52.789668438819184</v>
      </c>
    </row>
    <row r="4680" spans="1:4" x14ac:dyDescent="0.3">
      <c r="A4680" s="58">
        <v>4304309</v>
      </c>
      <c r="B4680" s="58" t="s">
        <v>5476</v>
      </c>
      <c r="C4680" s="59">
        <v>-27.951318068101049</v>
      </c>
      <c r="D4680" s="59">
        <v>-54.752834042894094</v>
      </c>
    </row>
    <row r="4681" spans="1:4" x14ac:dyDescent="0.3">
      <c r="A4681" s="58">
        <v>4304358</v>
      </c>
      <c r="B4681" s="58" t="s">
        <v>5477</v>
      </c>
      <c r="C4681" s="59">
        <v>-31.561009723553504</v>
      </c>
      <c r="D4681" s="59">
        <v>-53.677804642512683</v>
      </c>
    </row>
    <row r="4682" spans="1:4" x14ac:dyDescent="0.3">
      <c r="A4682" s="58">
        <v>4304408</v>
      </c>
      <c r="B4682" s="58" t="s">
        <v>5478</v>
      </c>
      <c r="C4682" s="59">
        <v>-29.357971850415055</v>
      </c>
      <c r="D4682" s="59">
        <v>-50.814867349363638</v>
      </c>
    </row>
    <row r="4683" spans="1:4" x14ac:dyDescent="0.3">
      <c r="A4683" s="58">
        <v>4304507</v>
      </c>
      <c r="B4683" s="58" t="s">
        <v>5479</v>
      </c>
      <c r="C4683" s="59">
        <v>-31.393859524316301</v>
      </c>
      <c r="D4683" s="59">
        <v>-52.676285832072352</v>
      </c>
    </row>
    <row r="4684" spans="1:4" x14ac:dyDescent="0.3">
      <c r="A4684" s="58">
        <v>4304606</v>
      </c>
      <c r="B4684" s="58" t="s">
        <v>5480</v>
      </c>
      <c r="C4684" s="59">
        <v>-29.918696706490604</v>
      </c>
      <c r="D4684" s="59">
        <v>-51.181029780687645</v>
      </c>
    </row>
    <row r="4685" spans="1:4" x14ac:dyDescent="0.3">
      <c r="A4685" s="58">
        <v>4304614</v>
      </c>
      <c r="B4685" s="58" t="s">
        <v>5481</v>
      </c>
      <c r="C4685" s="59">
        <v>-29.323525296299554</v>
      </c>
      <c r="D4685" s="59">
        <v>-52.232382617248518</v>
      </c>
    </row>
    <row r="4686" spans="1:4" x14ac:dyDescent="0.3">
      <c r="A4686" s="58">
        <v>4304622</v>
      </c>
      <c r="B4686" s="58" t="s">
        <v>5482</v>
      </c>
      <c r="C4686" s="59">
        <v>-28.125975294924757</v>
      </c>
      <c r="D4686" s="59">
        <v>-51.395158462703471</v>
      </c>
    </row>
    <row r="4687" spans="1:4" x14ac:dyDescent="0.3">
      <c r="A4687" s="58">
        <v>4304630</v>
      </c>
      <c r="B4687" s="58" t="s">
        <v>5483</v>
      </c>
      <c r="C4687" s="59">
        <v>-29.761466640119753</v>
      </c>
      <c r="D4687" s="59">
        <v>-50.020022444273209</v>
      </c>
    </row>
    <row r="4688" spans="1:4" x14ac:dyDescent="0.3">
      <c r="A4688" s="58">
        <v>4304655</v>
      </c>
      <c r="B4688" s="58" t="s">
        <v>5484</v>
      </c>
      <c r="C4688" s="59">
        <v>-28.931627519554201</v>
      </c>
      <c r="D4688" s="59">
        <v>-54.554698999990705</v>
      </c>
    </row>
    <row r="4689" spans="1:4" x14ac:dyDescent="0.3">
      <c r="A4689" s="58">
        <v>4304663</v>
      </c>
      <c r="B4689" s="58" t="s">
        <v>5485</v>
      </c>
      <c r="C4689" s="59">
        <v>-31.766838656648602</v>
      </c>
      <c r="D4689" s="59">
        <v>-52.487007572062737</v>
      </c>
    </row>
    <row r="4690" spans="1:4" x14ac:dyDescent="0.3">
      <c r="A4690" s="58">
        <v>4304671</v>
      </c>
      <c r="B4690" s="58" t="s">
        <v>5486</v>
      </c>
      <c r="C4690" s="59">
        <v>-30.149659662938152</v>
      </c>
      <c r="D4690" s="59">
        <v>-50.508807934093376</v>
      </c>
    </row>
    <row r="4691" spans="1:4" x14ac:dyDescent="0.3">
      <c r="A4691" s="58">
        <v>4304689</v>
      </c>
      <c r="B4691" s="58" t="s">
        <v>5487</v>
      </c>
      <c r="C4691" s="59">
        <v>-29.701944851983058</v>
      </c>
      <c r="D4691" s="59">
        <v>-51.321769345411369</v>
      </c>
    </row>
    <row r="4692" spans="1:4" x14ac:dyDescent="0.3">
      <c r="A4692" s="58">
        <v>4304697</v>
      </c>
      <c r="B4692" s="58" t="s">
        <v>5488</v>
      </c>
      <c r="C4692" s="59">
        <v>-29.269499608581754</v>
      </c>
      <c r="D4692" s="59">
        <v>-51.98596884563888</v>
      </c>
    </row>
    <row r="4693" spans="1:4" x14ac:dyDescent="0.3">
      <c r="A4693" s="58">
        <v>4304705</v>
      </c>
      <c r="B4693" s="58" t="s">
        <v>5489</v>
      </c>
      <c r="C4693" s="59">
        <v>-28.286510590894906</v>
      </c>
      <c r="D4693" s="59">
        <v>-52.791897388103791</v>
      </c>
    </row>
    <row r="4694" spans="1:4" x14ac:dyDescent="0.3">
      <c r="A4694" s="58">
        <v>4304713</v>
      </c>
      <c r="B4694" s="58" t="s">
        <v>5490</v>
      </c>
      <c r="C4694" s="59">
        <v>-29.778637456240407</v>
      </c>
      <c r="D4694" s="59">
        <v>-50.435756429569622</v>
      </c>
    </row>
    <row r="4695" spans="1:4" x14ac:dyDescent="0.3">
      <c r="A4695" s="58">
        <v>4304804</v>
      </c>
      <c r="B4695" s="58" t="s">
        <v>5491</v>
      </c>
      <c r="C4695" s="59">
        <v>-29.298296805873953</v>
      </c>
      <c r="D4695" s="59">
        <v>-51.503817629983644</v>
      </c>
    </row>
    <row r="4696" spans="1:4" x14ac:dyDescent="0.3">
      <c r="A4696" s="58">
        <v>4304853</v>
      </c>
      <c r="B4696" s="58" t="s">
        <v>5492</v>
      </c>
      <c r="C4696" s="59">
        <v>-27.714892075086354</v>
      </c>
      <c r="D4696" s="59">
        <v>-51.917576229865169</v>
      </c>
    </row>
    <row r="4697" spans="1:4" x14ac:dyDescent="0.3">
      <c r="A4697" s="58">
        <v>4304903</v>
      </c>
      <c r="B4697" s="58" t="s">
        <v>5493</v>
      </c>
      <c r="C4697" s="59">
        <v>-28.559874016842105</v>
      </c>
      <c r="D4697" s="59">
        <v>-51.983232657416352</v>
      </c>
    </row>
    <row r="4698" spans="1:4" x14ac:dyDescent="0.3">
      <c r="A4698" s="58">
        <v>4304952</v>
      </c>
      <c r="B4698" s="58" t="s">
        <v>5494</v>
      </c>
      <c r="C4698" s="59">
        <v>-28.273565470281106</v>
      </c>
      <c r="D4698" s="59">
        <v>-51.692682822330312</v>
      </c>
    </row>
    <row r="4699" spans="1:4" x14ac:dyDescent="0.3">
      <c r="A4699" s="58">
        <v>4305009</v>
      </c>
      <c r="B4699" s="58" t="s">
        <v>5495</v>
      </c>
      <c r="C4699" s="59">
        <v>-28.254234472461654</v>
      </c>
      <c r="D4699" s="59">
        <v>-54.012386847674406</v>
      </c>
    </row>
    <row r="4700" spans="1:4" x14ac:dyDescent="0.3">
      <c r="A4700" s="58">
        <v>4305108</v>
      </c>
      <c r="B4700" s="58" t="s">
        <v>5496</v>
      </c>
      <c r="C4700" s="59">
        <v>-29.166899011062103</v>
      </c>
      <c r="D4700" s="59">
        <v>-51.178860205883019</v>
      </c>
    </row>
    <row r="4701" spans="1:4" x14ac:dyDescent="0.3">
      <c r="A4701" s="58">
        <v>4305116</v>
      </c>
      <c r="B4701" s="58" t="s">
        <v>1373</v>
      </c>
      <c r="C4701" s="59">
        <v>-27.762847130393855</v>
      </c>
      <c r="D4701" s="59">
        <v>-52.002053845845694</v>
      </c>
    </row>
    <row r="4702" spans="1:4" x14ac:dyDescent="0.3">
      <c r="A4702" s="58">
        <v>4305124</v>
      </c>
      <c r="B4702" s="58" t="s">
        <v>5497</v>
      </c>
      <c r="C4702" s="59">
        <v>-31.852639126784009</v>
      </c>
      <c r="D4702" s="59">
        <v>-52.814802332280905</v>
      </c>
    </row>
    <row r="4703" spans="1:4" x14ac:dyDescent="0.3">
      <c r="A4703" s="58">
        <v>4305132</v>
      </c>
      <c r="B4703" s="58" t="s">
        <v>5498</v>
      </c>
      <c r="C4703" s="59">
        <v>-29.656287194921653</v>
      </c>
      <c r="D4703" s="59">
        <v>-52.94197780174391</v>
      </c>
    </row>
    <row r="4704" spans="1:4" x14ac:dyDescent="0.3">
      <c r="A4704" s="58">
        <v>4305157</v>
      </c>
      <c r="B4704" s="58" t="s">
        <v>5499</v>
      </c>
      <c r="C4704" s="59">
        <v>-27.607980134736852</v>
      </c>
      <c r="D4704" s="59">
        <v>-53.16591307647635</v>
      </c>
    </row>
    <row r="4705" spans="1:4" x14ac:dyDescent="0.3">
      <c r="A4705" s="58">
        <v>4305173</v>
      </c>
      <c r="B4705" s="58" t="s">
        <v>5500</v>
      </c>
      <c r="C4705" s="59">
        <v>-30.602028928950556</v>
      </c>
      <c r="D4705" s="59">
        <v>-51.753103265218691</v>
      </c>
    </row>
    <row r="4706" spans="1:4" x14ac:dyDescent="0.3">
      <c r="A4706" s="58">
        <v>4305207</v>
      </c>
      <c r="B4706" s="58" t="s">
        <v>5501</v>
      </c>
      <c r="C4706" s="59">
        <v>-28.1478408769518</v>
      </c>
      <c r="D4706" s="59">
        <v>-54.739997239855136</v>
      </c>
    </row>
    <row r="4707" spans="1:4" x14ac:dyDescent="0.3">
      <c r="A4707" s="58">
        <v>4305306</v>
      </c>
      <c r="B4707" s="58" t="s">
        <v>5502</v>
      </c>
      <c r="C4707" s="59">
        <v>-28.058450461239307</v>
      </c>
      <c r="D4707" s="59">
        <v>-53.067276904420602</v>
      </c>
    </row>
    <row r="4708" spans="1:4" x14ac:dyDescent="0.3">
      <c r="A4708" s="58">
        <v>4305355</v>
      </c>
      <c r="B4708" s="58" t="s">
        <v>5503</v>
      </c>
      <c r="C4708" s="59">
        <v>-29.956800363044554</v>
      </c>
      <c r="D4708" s="59">
        <v>-51.625006052184659</v>
      </c>
    </row>
    <row r="4709" spans="1:4" x14ac:dyDescent="0.3">
      <c r="A4709" s="58">
        <v>4305371</v>
      </c>
      <c r="B4709" s="58" t="s">
        <v>5504</v>
      </c>
      <c r="C4709" s="59">
        <v>-27.952831101069552</v>
      </c>
      <c r="D4709" s="59">
        <v>-52.029411953513502</v>
      </c>
    </row>
    <row r="4710" spans="1:4" x14ac:dyDescent="0.3">
      <c r="A4710" s="58">
        <v>4305405</v>
      </c>
      <c r="B4710" s="58" t="s">
        <v>5505</v>
      </c>
      <c r="C4710" s="59">
        <v>-27.917364754007757</v>
      </c>
      <c r="D4710" s="59">
        <v>-53.945749702382166</v>
      </c>
    </row>
    <row r="4711" spans="1:4" x14ac:dyDescent="0.3">
      <c r="A4711" s="58">
        <v>4305439</v>
      </c>
      <c r="B4711" s="58" t="s">
        <v>5506</v>
      </c>
      <c r="C4711" s="59">
        <v>-33.687566868729654</v>
      </c>
      <c r="D4711" s="59">
        <v>-53.462675141684343</v>
      </c>
    </row>
    <row r="4712" spans="1:4" x14ac:dyDescent="0.3">
      <c r="A4712" s="58">
        <v>4305447</v>
      </c>
      <c r="B4712" s="58" t="s">
        <v>5507</v>
      </c>
      <c r="C4712" s="59">
        <v>-30.757426711190906</v>
      </c>
      <c r="D4712" s="59">
        <v>-51.978542222628441</v>
      </c>
    </row>
    <row r="4713" spans="1:4" x14ac:dyDescent="0.3">
      <c r="A4713" s="58">
        <v>4305454</v>
      </c>
      <c r="B4713" s="58" t="s">
        <v>5508</v>
      </c>
      <c r="C4713" s="59">
        <v>-30.181169986162057</v>
      </c>
      <c r="D4713" s="59">
        <v>-50.209092333871908</v>
      </c>
    </row>
    <row r="4714" spans="1:4" x14ac:dyDescent="0.3">
      <c r="A4714" s="58">
        <v>4305504</v>
      </c>
      <c r="B4714" s="58" t="s">
        <v>5509</v>
      </c>
      <c r="C4714" s="59">
        <v>-28.344302543514608</v>
      </c>
      <c r="D4714" s="59">
        <v>-51.883031291955831</v>
      </c>
    </row>
    <row r="4715" spans="1:4" x14ac:dyDescent="0.3">
      <c r="A4715" s="58">
        <v>4305587</v>
      </c>
      <c r="B4715" s="58" t="s">
        <v>1528</v>
      </c>
      <c r="C4715" s="59">
        <v>-29.392536871608804</v>
      </c>
      <c r="D4715" s="59">
        <v>-51.868575546499791</v>
      </c>
    </row>
    <row r="4716" spans="1:4" x14ac:dyDescent="0.3">
      <c r="A4716" s="58">
        <v>4305603</v>
      </c>
      <c r="B4716" s="58" t="s">
        <v>4858</v>
      </c>
      <c r="C4716" s="59">
        <v>-28.522947759894354</v>
      </c>
      <c r="D4716" s="59">
        <v>-52.993176319463295</v>
      </c>
    </row>
    <row r="4717" spans="1:4" x14ac:dyDescent="0.3">
      <c r="A4717" s="58">
        <v>4305702</v>
      </c>
      <c r="B4717" s="58" t="s">
        <v>5510</v>
      </c>
      <c r="C4717" s="59">
        <v>-28.20529577529371</v>
      </c>
      <c r="D4717" s="59">
        <v>-53.488943330852884</v>
      </c>
    </row>
    <row r="4718" spans="1:4" x14ac:dyDescent="0.3">
      <c r="A4718" s="58">
        <v>4305801</v>
      </c>
      <c r="B4718" s="58" t="s">
        <v>5511</v>
      </c>
      <c r="C4718" s="59">
        <v>-27.730411086445002</v>
      </c>
      <c r="D4718" s="59">
        <v>-52.987738832113699</v>
      </c>
    </row>
    <row r="4719" spans="1:4" x14ac:dyDescent="0.3">
      <c r="A4719" s="58">
        <v>4305835</v>
      </c>
      <c r="B4719" s="58" t="s">
        <v>5512</v>
      </c>
      <c r="C4719" s="59">
        <v>-29.179256801256901</v>
      </c>
      <c r="D4719" s="59">
        <v>-52.094602559640336</v>
      </c>
    </row>
    <row r="4720" spans="1:4" x14ac:dyDescent="0.3">
      <c r="A4720" s="58">
        <v>4305850</v>
      </c>
      <c r="B4720" s="58" t="s">
        <v>5513</v>
      </c>
      <c r="C4720" s="59">
        <v>-28.117428320627955</v>
      </c>
      <c r="D4720" s="59">
        <v>-52.778800845550357</v>
      </c>
    </row>
    <row r="4721" spans="1:4" x14ac:dyDescent="0.3">
      <c r="A4721" s="58">
        <v>4305871</v>
      </c>
      <c r="B4721" s="58" t="s">
        <v>5514</v>
      </c>
      <c r="C4721" s="59">
        <v>-28.384540858676253</v>
      </c>
      <c r="D4721" s="59">
        <v>-54.07366243028882</v>
      </c>
    </row>
    <row r="4722" spans="1:4" x14ac:dyDescent="0.3">
      <c r="A4722" s="58">
        <v>4305900</v>
      </c>
      <c r="B4722" s="58" t="s">
        <v>5515</v>
      </c>
      <c r="C4722" s="59">
        <v>-27.717873019639054</v>
      </c>
      <c r="D4722" s="59">
        <v>-53.709128106501403</v>
      </c>
    </row>
    <row r="4723" spans="1:4" x14ac:dyDescent="0.3">
      <c r="A4723" s="58">
        <v>4305934</v>
      </c>
      <c r="B4723" s="58" t="s">
        <v>5516</v>
      </c>
      <c r="C4723" s="59">
        <v>-29.272710075417454</v>
      </c>
      <c r="D4723" s="59">
        <v>-51.684934596555166</v>
      </c>
    </row>
    <row r="4724" spans="1:4" x14ac:dyDescent="0.3">
      <c r="A4724" s="58">
        <v>4305959</v>
      </c>
      <c r="B4724" s="58" t="s">
        <v>5517</v>
      </c>
      <c r="C4724" s="59">
        <v>-28.998576427598156</v>
      </c>
      <c r="D4724" s="59">
        <v>-51.69643367740256</v>
      </c>
    </row>
    <row r="4725" spans="1:4" x14ac:dyDescent="0.3">
      <c r="A4725" s="58">
        <v>4305975</v>
      </c>
      <c r="B4725" s="58" t="s">
        <v>5518</v>
      </c>
      <c r="C4725" s="59">
        <v>-28.121341710779156</v>
      </c>
      <c r="D4725" s="59">
        <v>-52.300277829510264</v>
      </c>
    </row>
    <row r="4726" spans="1:4" x14ac:dyDescent="0.3">
      <c r="A4726" s="58">
        <v>4306007</v>
      </c>
      <c r="B4726" s="58" t="s">
        <v>5519</v>
      </c>
      <c r="C4726" s="59">
        <v>-27.498012269392703</v>
      </c>
      <c r="D4726" s="59">
        <v>-54.100034906165305</v>
      </c>
    </row>
    <row r="4727" spans="1:4" x14ac:dyDescent="0.3">
      <c r="A4727" s="58">
        <v>4306056</v>
      </c>
      <c r="B4727" s="58" t="s">
        <v>5520</v>
      </c>
      <c r="C4727" s="59">
        <v>-30.999345191822005</v>
      </c>
      <c r="D4727" s="59">
        <v>-52.049410401776356</v>
      </c>
    </row>
    <row r="4728" spans="1:4" x14ac:dyDescent="0.3">
      <c r="A4728" s="58">
        <v>4306072</v>
      </c>
      <c r="B4728" s="58" t="s">
        <v>5521</v>
      </c>
      <c r="C4728" s="59">
        <v>-27.453629567169408</v>
      </c>
      <c r="D4728" s="59">
        <v>-53.249184495257445</v>
      </c>
    </row>
    <row r="4729" spans="1:4" x14ac:dyDescent="0.3">
      <c r="A4729" s="58">
        <v>4306106</v>
      </c>
      <c r="B4729" s="58" t="s">
        <v>5522</v>
      </c>
      <c r="C4729" s="59">
        <v>-28.642446608489106</v>
      </c>
      <c r="D4729" s="59">
        <v>-53.605240762119642</v>
      </c>
    </row>
    <row r="4730" spans="1:4" x14ac:dyDescent="0.3">
      <c r="A4730" s="58">
        <v>4306130</v>
      </c>
      <c r="B4730" s="58" t="s">
        <v>5523</v>
      </c>
      <c r="C4730" s="59">
        <v>-27.664888108574253</v>
      </c>
      <c r="D4730" s="59">
        <v>-52.648142988227058</v>
      </c>
    </row>
    <row r="4731" spans="1:4" x14ac:dyDescent="0.3">
      <c r="A4731" s="58">
        <v>4306205</v>
      </c>
      <c r="B4731" s="58" t="s">
        <v>1093</v>
      </c>
      <c r="C4731" s="59">
        <v>-29.508290968701203</v>
      </c>
      <c r="D4731" s="59">
        <v>-51.991575885173425</v>
      </c>
    </row>
    <row r="4732" spans="1:4" x14ac:dyDescent="0.3">
      <c r="A4732" s="58">
        <v>4306304</v>
      </c>
      <c r="B4732" s="58" t="s">
        <v>5524</v>
      </c>
      <c r="C4732" s="59">
        <v>-28.384611534059903</v>
      </c>
      <c r="D4732" s="59">
        <v>-51.852249056523007</v>
      </c>
    </row>
    <row r="4733" spans="1:4" x14ac:dyDescent="0.3">
      <c r="A4733" s="58">
        <v>4306320</v>
      </c>
      <c r="B4733" s="58" t="s">
        <v>5525</v>
      </c>
      <c r="C4733" s="59">
        <v>-27.265390936297301</v>
      </c>
      <c r="D4733" s="59">
        <v>-53.865119460332515</v>
      </c>
    </row>
    <row r="4734" spans="1:4" x14ac:dyDescent="0.3">
      <c r="A4734" s="58">
        <v>4306353</v>
      </c>
      <c r="B4734" s="58" t="s">
        <v>5526</v>
      </c>
      <c r="C4734" s="59">
        <v>-28.226876443498504</v>
      </c>
      <c r="D4734" s="59">
        <v>-55.048208502039856</v>
      </c>
    </row>
    <row r="4735" spans="1:4" x14ac:dyDescent="0.3">
      <c r="A4735" s="58">
        <v>4306379</v>
      </c>
      <c r="B4735" s="58" t="s">
        <v>5527</v>
      </c>
      <c r="C4735" s="59">
        <v>-29.701963909753907</v>
      </c>
      <c r="D4735" s="59">
        <v>-54.213560384502131</v>
      </c>
    </row>
    <row r="4736" spans="1:4" x14ac:dyDescent="0.3">
      <c r="A4736" s="58">
        <v>4306403</v>
      </c>
      <c r="B4736" s="58" t="s">
        <v>5528</v>
      </c>
      <c r="C4736" s="59">
        <v>-29.584158778904708</v>
      </c>
      <c r="D4736" s="59">
        <v>-51.087619313020944</v>
      </c>
    </row>
    <row r="4737" spans="1:4" x14ac:dyDescent="0.3">
      <c r="A4737" s="58">
        <v>4306429</v>
      </c>
      <c r="B4737" s="58" t="s">
        <v>5529</v>
      </c>
      <c r="C4737" s="59">
        <v>-27.657536731448904</v>
      </c>
      <c r="D4737" s="59">
        <v>-53.53086462352293</v>
      </c>
    </row>
    <row r="4738" spans="1:4" x14ac:dyDescent="0.3">
      <c r="A4738" s="58">
        <v>4306452</v>
      </c>
      <c r="B4738" s="58" t="s">
        <v>5530</v>
      </c>
      <c r="C4738" s="59">
        <v>-28.975205386242457</v>
      </c>
      <c r="D4738" s="59">
        <v>-51.835102986864825</v>
      </c>
    </row>
    <row r="4739" spans="1:4" x14ac:dyDescent="0.3">
      <c r="A4739" s="58">
        <v>4306502</v>
      </c>
      <c r="B4739" s="58" t="s">
        <v>5531</v>
      </c>
      <c r="C4739" s="59">
        <v>-30.708598426315003</v>
      </c>
      <c r="D4739" s="59">
        <v>-52.103933579678007</v>
      </c>
    </row>
    <row r="4740" spans="1:4" x14ac:dyDescent="0.3">
      <c r="A4740" s="58">
        <v>4306551</v>
      </c>
      <c r="B4740" s="58" t="s">
        <v>5532</v>
      </c>
      <c r="C4740" s="59">
        <v>-29.370187079104401</v>
      </c>
      <c r="D4740" s="59">
        <v>-49.849549961729615</v>
      </c>
    </row>
    <row r="4741" spans="1:4" x14ac:dyDescent="0.3">
      <c r="A4741" s="58">
        <v>4306601</v>
      </c>
      <c r="B4741" s="58" t="s">
        <v>5533</v>
      </c>
      <c r="C4741" s="59">
        <v>-30.981267056751104</v>
      </c>
      <c r="D4741" s="59">
        <v>-54.67413018382365</v>
      </c>
    </row>
    <row r="4742" spans="1:4" x14ac:dyDescent="0.3">
      <c r="A4742" s="58">
        <v>4306700</v>
      </c>
      <c r="B4742" s="58" t="s">
        <v>5534</v>
      </c>
      <c r="C4742" s="59">
        <v>-29.624852491347255</v>
      </c>
      <c r="D4742" s="59">
        <v>-53.362333180785015</v>
      </c>
    </row>
    <row r="4743" spans="1:4" x14ac:dyDescent="0.3">
      <c r="A4743" s="58">
        <v>4306734</v>
      </c>
      <c r="B4743" s="58" t="s">
        <v>5535</v>
      </c>
      <c r="C4743" s="59">
        <v>-27.509212613712503</v>
      </c>
      <c r="D4743" s="59">
        <v>-54.358267990526791</v>
      </c>
    </row>
    <row r="4744" spans="1:4" x14ac:dyDescent="0.3">
      <c r="A4744" s="58">
        <v>4306759</v>
      </c>
      <c r="B4744" s="58" t="s">
        <v>5536</v>
      </c>
      <c r="C4744" s="59">
        <v>-29.099031060960254</v>
      </c>
      <c r="D4744" s="59">
        <v>-51.984904392116164</v>
      </c>
    </row>
    <row r="4745" spans="1:4" x14ac:dyDescent="0.3">
      <c r="A4745" s="58">
        <v>4306767</v>
      </c>
      <c r="B4745" s="58" t="s">
        <v>5537</v>
      </c>
      <c r="C4745" s="59">
        <v>-29.999292594586805</v>
      </c>
      <c r="D4745" s="59">
        <v>-51.310418926013021</v>
      </c>
    </row>
    <row r="4746" spans="1:4" x14ac:dyDescent="0.3">
      <c r="A4746" s="58">
        <v>4306809</v>
      </c>
      <c r="B4746" s="58" t="s">
        <v>5538</v>
      </c>
      <c r="C4746" s="59">
        <v>-29.2399172072227</v>
      </c>
      <c r="D4746" s="59">
        <v>-51.8730231343648</v>
      </c>
    </row>
    <row r="4747" spans="1:4" x14ac:dyDescent="0.3">
      <c r="A4747" s="58">
        <v>4306908</v>
      </c>
      <c r="B4747" s="58" t="s">
        <v>5539</v>
      </c>
      <c r="C4747" s="59">
        <v>-30.543657324769157</v>
      </c>
      <c r="D4747" s="59">
        <v>-52.522045389855798</v>
      </c>
    </row>
    <row r="4748" spans="1:4" x14ac:dyDescent="0.3">
      <c r="A4748" s="58">
        <v>4306924</v>
      </c>
      <c r="B4748" s="58" t="s">
        <v>5540</v>
      </c>
      <c r="C4748" s="59">
        <v>-27.708586519665101</v>
      </c>
      <c r="D4748" s="59">
        <v>-52.911920503024071</v>
      </c>
    </row>
    <row r="4749" spans="1:4" x14ac:dyDescent="0.3">
      <c r="A4749" s="58">
        <v>4306932</v>
      </c>
      <c r="B4749" s="58" t="s">
        <v>5541</v>
      </c>
      <c r="C4749" s="59">
        <v>-28.3627942778995</v>
      </c>
      <c r="D4749" s="59">
        <v>-54.27143185119467</v>
      </c>
    </row>
    <row r="4750" spans="1:4" x14ac:dyDescent="0.3">
      <c r="A4750" s="58">
        <v>4306957</v>
      </c>
      <c r="B4750" s="58" t="s">
        <v>5542</v>
      </c>
      <c r="C4750" s="59">
        <v>-27.528857931636303</v>
      </c>
      <c r="D4750" s="59">
        <v>-52.735067952125625</v>
      </c>
    </row>
    <row r="4751" spans="1:4" x14ac:dyDescent="0.3">
      <c r="A4751" s="58">
        <v>4306973</v>
      </c>
      <c r="B4751" s="58" t="s">
        <v>5543</v>
      </c>
      <c r="C4751" s="59">
        <v>-27.849195940860252</v>
      </c>
      <c r="D4751" s="59">
        <v>-52.299711402977138</v>
      </c>
    </row>
    <row r="4752" spans="1:4" x14ac:dyDescent="0.3">
      <c r="A4752" s="58">
        <v>4307005</v>
      </c>
      <c r="B4752" s="58" t="s">
        <v>5544</v>
      </c>
      <c r="C4752" s="59">
        <v>-27.633405810801008</v>
      </c>
      <c r="D4752" s="59">
        <v>-52.275876897887066</v>
      </c>
    </row>
    <row r="4753" spans="1:4" x14ac:dyDescent="0.3">
      <c r="A4753" s="58">
        <v>4307054</v>
      </c>
      <c r="B4753" s="58" t="s">
        <v>5545</v>
      </c>
      <c r="C4753" s="59">
        <v>-28.4971546905367</v>
      </c>
      <c r="D4753" s="59">
        <v>-52.572176208858686</v>
      </c>
    </row>
    <row r="4754" spans="1:4" x14ac:dyDescent="0.3">
      <c r="A4754" s="58">
        <v>4307104</v>
      </c>
      <c r="B4754" s="58" t="s">
        <v>5546</v>
      </c>
      <c r="C4754" s="59">
        <v>-32.026743551158461</v>
      </c>
      <c r="D4754" s="59">
        <v>-53.394337860891071</v>
      </c>
    </row>
    <row r="4755" spans="1:4" x14ac:dyDescent="0.3">
      <c r="A4755" s="58">
        <v>4307203</v>
      </c>
      <c r="B4755" s="58" t="s">
        <v>5547</v>
      </c>
      <c r="C4755" s="59">
        <v>-27.393336674507555</v>
      </c>
      <c r="D4755" s="59">
        <v>-52.570112052353217</v>
      </c>
    </row>
    <row r="4756" spans="1:4" x14ac:dyDescent="0.3">
      <c r="A4756" s="58">
        <v>4307302</v>
      </c>
      <c r="B4756" s="58" t="s">
        <v>5548</v>
      </c>
      <c r="C4756" s="59">
        <v>-27.549417126509454</v>
      </c>
      <c r="D4756" s="59">
        <v>-53.509573083661166</v>
      </c>
    </row>
    <row r="4757" spans="1:4" x14ac:dyDescent="0.3">
      <c r="A4757" s="58">
        <v>4307401</v>
      </c>
      <c r="B4757" s="58" t="s">
        <v>5549</v>
      </c>
      <c r="C4757" s="59">
        <v>-28.057276347984157</v>
      </c>
      <c r="D4757" s="59">
        <v>-51.188793662461386</v>
      </c>
    </row>
    <row r="4758" spans="1:4" x14ac:dyDescent="0.3">
      <c r="A4758" s="58">
        <v>4307450</v>
      </c>
      <c r="B4758" s="58" t="s">
        <v>5550</v>
      </c>
      <c r="C4758" s="59">
        <v>-27.359943608841203</v>
      </c>
      <c r="D4758" s="59">
        <v>-53.99276781511945</v>
      </c>
    </row>
    <row r="4759" spans="1:4" x14ac:dyDescent="0.3">
      <c r="A4759" s="58">
        <v>4307500</v>
      </c>
      <c r="B4759" s="58" t="s">
        <v>5551</v>
      </c>
      <c r="C4759" s="59">
        <v>-28.731445142544256</v>
      </c>
      <c r="D4759" s="59">
        <v>-52.841926970943952</v>
      </c>
    </row>
    <row r="4760" spans="1:4" x14ac:dyDescent="0.3">
      <c r="A4760" s="58">
        <v>4307559</v>
      </c>
      <c r="B4760" s="58" t="s">
        <v>5552</v>
      </c>
      <c r="C4760" s="59">
        <v>-27.909006341528752</v>
      </c>
      <c r="D4760" s="59">
        <v>-52.270485796656715</v>
      </c>
    </row>
    <row r="4761" spans="1:4" x14ac:dyDescent="0.3">
      <c r="A4761" s="58">
        <v>4307609</v>
      </c>
      <c r="B4761" s="58" t="s">
        <v>5553</v>
      </c>
      <c r="C4761" s="59">
        <v>-29.650147967601306</v>
      </c>
      <c r="D4761" s="59">
        <v>-51.174293924986067</v>
      </c>
    </row>
    <row r="4762" spans="1:4" x14ac:dyDescent="0.3">
      <c r="A4762" s="58">
        <v>4307708</v>
      </c>
      <c r="B4762" s="58" t="s">
        <v>5554</v>
      </c>
      <c r="C4762" s="59">
        <v>-29.852186295458051</v>
      </c>
      <c r="D4762" s="59">
        <v>-51.143837339431997</v>
      </c>
    </row>
    <row r="4763" spans="1:4" x14ac:dyDescent="0.3">
      <c r="A4763" s="58">
        <v>4307807</v>
      </c>
      <c r="B4763" s="58" t="s">
        <v>5555</v>
      </c>
      <c r="C4763" s="59">
        <v>-29.503471876822204</v>
      </c>
      <c r="D4763" s="59">
        <v>-51.970260294175461</v>
      </c>
    </row>
    <row r="4764" spans="1:4" x14ac:dyDescent="0.3">
      <c r="A4764" s="58">
        <v>4307815</v>
      </c>
      <c r="B4764" s="58" t="s">
        <v>5556</v>
      </c>
      <c r="C4764" s="59">
        <v>-29.17966136170126</v>
      </c>
      <c r="D4764" s="59">
        <v>-53.160293778686466</v>
      </c>
    </row>
    <row r="4765" spans="1:4" x14ac:dyDescent="0.3">
      <c r="A4765" s="58">
        <v>4307831</v>
      </c>
      <c r="B4765" s="58" t="s">
        <v>5557</v>
      </c>
      <c r="C4765" s="59">
        <v>-28.525059762610653</v>
      </c>
      <c r="D4765" s="59">
        <v>-54.148112618486202</v>
      </c>
    </row>
    <row r="4766" spans="1:4" x14ac:dyDescent="0.3">
      <c r="A4766" s="58">
        <v>4307864</v>
      </c>
      <c r="B4766" s="58" t="s">
        <v>5558</v>
      </c>
      <c r="C4766" s="59">
        <v>-28.882134312618106</v>
      </c>
      <c r="D4766" s="59">
        <v>-51.691448747733048</v>
      </c>
    </row>
    <row r="4767" spans="1:4" x14ac:dyDescent="0.3">
      <c r="A4767" s="58">
        <v>4307906</v>
      </c>
      <c r="B4767" s="58" t="s">
        <v>5559</v>
      </c>
      <c r="C4767" s="59">
        <v>-29.223679186835056</v>
      </c>
      <c r="D4767" s="59">
        <v>-51.348349573769831</v>
      </c>
    </row>
    <row r="4768" spans="1:4" x14ac:dyDescent="0.3">
      <c r="A4768" s="58">
        <v>4308003</v>
      </c>
      <c r="B4768" s="58" t="s">
        <v>5560</v>
      </c>
      <c r="C4768" s="59">
        <v>-29.574329539770655</v>
      </c>
      <c r="D4768" s="59">
        <v>-53.43906481970582</v>
      </c>
    </row>
    <row r="4769" spans="1:4" x14ac:dyDescent="0.3">
      <c r="A4769" s="58">
        <v>4308052</v>
      </c>
      <c r="B4769" s="58" t="s">
        <v>5561</v>
      </c>
      <c r="C4769" s="59">
        <v>-27.425415506908159</v>
      </c>
      <c r="D4769" s="59">
        <v>-52.670591242164733</v>
      </c>
    </row>
    <row r="4770" spans="1:4" x14ac:dyDescent="0.3">
      <c r="A4770" s="58">
        <v>4308078</v>
      </c>
      <c r="B4770" s="58" t="s">
        <v>5562</v>
      </c>
      <c r="C4770" s="59">
        <v>-29.588574529673554</v>
      </c>
      <c r="D4770" s="59">
        <v>-51.821183044640762</v>
      </c>
    </row>
    <row r="4771" spans="1:4" x14ac:dyDescent="0.3">
      <c r="A4771" s="58">
        <v>4308102</v>
      </c>
      <c r="B4771" s="58" t="s">
        <v>5563</v>
      </c>
      <c r="C4771" s="59">
        <v>-29.453970926152046</v>
      </c>
      <c r="D4771" s="59">
        <v>-51.310102135355699</v>
      </c>
    </row>
    <row r="4772" spans="1:4" x14ac:dyDescent="0.3">
      <c r="A4772" s="58">
        <v>4308201</v>
      </c>
      <c r="B4772" s="58" t="s">
        <v>5564</v>
      </c>
      <c r="C4772" s="59">
        <v>-29.031142143690303</v>
      </c>
      <c r="D4772" s="59">
        <v>-51.182220576935862</v>
      </c>
    </row>
    <row r="4773" spans="1:4" x14ac:dyDescent="0.3">
      <c r="A4773" s="58">
        <v>4308250</v>
      </c>
      <c r="B4773" s="58" t="s">
        <v>5565</v>
      </c>
      <c r="C4773" s="59">
        <v>-27.862509277899502</v>
      </c>
      <c r="D4773" s="59">
        <v>-52.085607099939111</v>
      </c>
    </row>
    <row r="4774" spans="1:4" x14ac:dyDescent="0.3">
      <c r="A4774" s="58">
        <v>4308300</v>
      </c>
      <c r="B4774" s="58" t="s">
        <v>5566</v>
      </c>
      <c r="C4774" s="59">
        <v>-28.982167789175357</v>
      </c>
      <c r="D4774" s="59">
        <v>-52.344953183775289</v>
      </c>
    </row>
    <row r="4775" spans="1:4" x14ac:dyDescent="0.3">
      <c r="A4775" s="58">
        <v>4308409</v>
      </c>
      <c r="B4775" s="58" t="s">
        <v>5567</v>
      </c>
      <c r="C4775" s="59">
        <v>-29.997633815420357</v>
      </c>
      <c r="D4775" s="59">
        <v>-53.50029441494447</v>
      </c>
    </row>
    <row r="4776" spans="1:4" x14ac:dyDescent="0.3">
      <c r="A4776" s="58">
        <v>4308433</v>
      </c>
      <c r="B4776" s="58" t="s">
        <v>5568</v>
      </c>
      <c r="C4776" s="59">
        <v>-29.380633784728651</v>
      </c>
      <c r="D4776" s="59">
        <v>-52.096917058527183</v>
      </c>
    </row>
    <row r="4777" spans="1:4" x14ac:dyDescent="0.3">
      <c r="A4777" s="58">
        <v>4308458</v>
      </c>
      <c r="B4777" s="58" t="s">
        <v>5569</v>
      </c>
      <c r="C4777" s="59">
        <v>-28.787882970994101</v>
      </c>
      <c r="D4777" s="59">
        <v>-53.23552326391178</v>
      </c>
    </row>
    <row r="4778" spans="1:4" x14ac:dyDescent="0.3">
      <c r="A4778" s="58">
        <v>4308508</v>
      </c>
      <c r="B4778" s="58" t="s">
        <v>5570</v>
      </c>
      <c r="C4778" s="59">
        <v>-27.358882412380954</v>
      </c>
      <c r="D4778" s="59">
        <v>-53.400776738851427</v>
      </c>
    </row>
    <row r="4779" spans="1:4" x14ac:dyDescent="0.3">
      <c r="A4779" s="58">
        <v>4308607</v>
      </c>
      <c r="B4779" s="58" t="s">
        <v>5571</v>
      </c>
      <c r="C4779" s="59">
        <v>-29.254549112824456</v>
      </c>
      <c r="D4779" s="59">
        <v>-51.52954845879966</v>
      </c>
    </row>
    <row r="4780" spans="1:4" x14ac:dyDescent="0.3">
      <c r="A4780" s="58">
        <v>4308656</v>
      </c>
      <c r="B4780" s="58" t="s">
        <v>5572</v>
      </c>
      <c r="C4780" s="59">
        <v>-28.18947679006866</v>
      </c>
      <c r="D4780" s="59">
        <v>-55.634071950104449</v>
      </c>
    </row>
    <row r="4781" spans="1:4" x14ac:dyDescent="0.3">
      <c r="A4781" s="58">
        <v>4308706</v>
      </c>
      <c r="B4781" s="58" t="s">
        <v>5573</v>
      </c>
      <c r="C4781" s="59">
        <v>-27.583857756261459</v>
      </c>
      <c r="D4781" s="59">
        <v>-52.100138460526487</v>
      </c>
    </row>
    <row r="4782" spans="1:4" x14ac:dyDescent="0.3">
      <c r="A4782" s="58">
        <v>4308805</v>
      </c>
      <c r="B4782" s="58" t="s">
        <v>5574</v>
      </c>
      <c r="C4782" s="59">
        <v>-29.902983741364</v>
      </c>
      <c r="D4782" s="59">
        <v>-51.763430685100268</v>
      </c>
    </row>
    <row r="4783" spans="1:4" x14ac:dyDescent="0.3">
      <c r="A4783" s="58">
        <v>4308854</v>
      </c>
      <c r="B4783" s="58" t="s">
        <v>5575</v>
      </c>
      <c r="C4783" s="59">
        <v>-28.433848467015757</v>
      </c>
      <c r="D4783" s="59">
        <v>-52.034523569936745</v>
      </c>
    </row>
    <row r="4784" spans="1:4" x14ac:dyDescent="0.3">
      <c r="A4784" s="58">
        <v>4308904</v>
      </c>
      <c r="B4784" s="58" t="s">
        <v>5576</v>
      </c>
      <c r="C4784" s="59">
        <v>-27.875911930525607</v>
      </c>
      <c r="D4784" s="59">
        <v>-52.24957412333098</v>
      </c>
    </row>
    <row r="4785" spans="1:4" x14ac:dyDescent="0.3">
      <c r="A4785" s="58">
        <v>4309001</v>
      </c>
      <c r="B4785" s="58" t="s">
        <v>5577</v>
      </c>
      <c r="C4785" s="59">
        <v>-28.029744372896754</v>
      </c>
      <c r="D4785" s="59">
        <v>-54.350840077683884</v>
      </c>
    </row>
    <row r="4786" spans="1:4" x14ac:dyDescent="0.3">
      <c r="A4786" s="58">
        <v>4309050</v>
      </c>
      <c r="B4786" s="58" t="s">
        <v>5578</v>
      </c>
      <c r="C4786" s="59">
        <v>-29.877133961280354</v>
      </c>
      <c r="D4786" s="59">
        <v>-50.786207431893814</v>
      </c>
    </row>
    <row r="4787" spans="1:4" x14ac:dyDescent="0.3">
      <c r="A4787" s="58">
        <v>4309100</v>
      </c>
      <c r="B4787" s="58" t="s">
        <v>5579</v>
      </c>
      <c r="C4787" s="59">
        <v>-29.379737518357654</v>
      </c>
      <c r="D4787" s="59">
        <v>-50.871945700281437</v>
      </c>
    </row>
    <row r="4788" spans="1:4" x14ac:dyDescent="0.3">
      <c r="A4788" s="58">
        <v>4309126</v>
      </c>
      <c r="B4788" s="58" t="s">
        <v>5580</v>
      </c>
      <c r="C4788" s="59">
        <v>-27.444385021407001</v>
      </c>
      <c r="D4788" s="59">
        <v>-52.918217983032065</v>
      </c>
    </row>
    <row r="4789" spans="1:4" x14ac:dyDescent="0.3">
      <c r="A4789" s="58">
        <v>4309159</v>
      </c>
      <c r="B4789" s="58" t="s">
        <v>5581</v>
      </c>
      <c r="C4789" s="59">
        <v>-29.269936217535506</v>
      </c>
      <c r="D4789" s="59">
        <v>-52.577837756966474</v>
      </c>
    </row>
    <row r="4790" spans="1:4" x14ac:dyDescent="0.3">
      <c r="A4790" s="58">
        <v>4309209</v>
      </c>
      <c r="B4790" s="58" t="s">
        <v>5582</v>
      </c>
      <c r="C4790" s="59">
        <v>-29.945518913336258</v>
      </c>
      <c r="D4790" s="59">
        <v>-50.99079297477406</v>
      </c>
    </row>
    <row r="4791" spans="1:4" x14ac:dyDescent="0.3">
      <c r="A4791" s="58">
        <v>4309258</v>
      </c>
      <c r="B4791" s="58" t="s">
        <v>5583</v>
      </c>
      <c r="C4791" s="59">
        <v>-28.540671531039109</v>
      </c>
      <c r="D4791" s="59">
        <v>-51.691047358074734</v>
      </c>
    </row>
    <row r="4792" spans="1:4" x14ac:dyDescent="0.3">
      <c r="A4792" s="58">
        <v>4309308</v>
      </c>
      <c r="B4792" s="58" t="s">
        <v>5584</v>
      </c>
      <c r="C4792" s="59">
        <v>-30.108601922373559</v>
      </c>
      <c r="D4792" s="59">
        <v>-51.31468366372475</v>
      </c>
    </row>
    <row r="4793" spans="1:4" x14ac:dyDescent="0.3">
      <c r="A4793" s="58">
        <v>4309407</v>
      </c>
      <c r="B4793" s="58" t="s">
        <v>5585</v>
      </c>
      <c r="C4793" s="59">
        <v>-28.849133640450503</v>
      </c>
      <c r="D4793" s="59">
        <v>-51.890650687492716</v>
      </c>
    </row>
    <row r="4794" spans="1:4" x14ac:dyDescent="0.3">
      <c r="A4794" s="58">
        <v>4309506</v>
      </c>
      <c r="B4794" s="58" t="s">
        <v>5586</v>
      </c>
      <c r="C4794" s="59">
        <v>-28.141779257345405</v>
      </c>
      <c r="D4794" s="59">
        <v>-54.560555929660943</v>
      </c>
    </row>
    <row r="4795" spans="1:4" x14ac:dyDescent="0.3">
      <c r="A4795" s="58">
        <v>4309555</v>
      </c>
      <c r="B4795" s="58" t="s">
        <v>5587</v>
      </c>
      <c r="C4795" s="59">
        <v>-29.549049086787356</v>
      </c>
      <c r="D4795" s="59">
        <v>-51.414039704657959</v>
      </c>
    </row>
    <row r="4796" spans="1:4" x14ac:dyDescent="0.3">
      <c r="A4796" s="58">
        <v>4309571</v>
      </c>
      <c r="B4796" s="58" t="s">
        <v>5588</v>
      </c>
      <c r="C4796" s="59">
        <v>-29.457043810903354</v>
      </c>
      <c r="D4796" s="59">
        <v>-52.650170595805498</v>
      </c>
    </row>
    <row r="4797" spans="1:4" x14ac:dyDescent="0.3">
      <c r="A4797" s="58">
        <v>4309605</v>
      </c>
      <c r="B4797" s="58" t="s">
        <v>5589</v>
      </c>
      <c r="C4797" s="59">
        <v>-27.630096913680578</v>
      </c>
      <c r="D4797" s="59">
        <v>-54.308791510895787</v>
      </c>
    </row>
    <row r="4798" spans="1:4" x14ac:dyDescent="0.3">
      <c r="A4798" s="58">
        <v>4309654</v>
      </c>
      <c r="B4798" s="58" t="s">
        <v>5590</v>
      </c>
      <c r="C4798" s="59">
        <v>-31.405098248387059</v>
      </c>
      <c r="D4798" s="59">
        <v>-53.867824794008676</v>
      </c>
    </row>
    <row r="4799" spans="1:4" x14ac:dyDescent="0.3">
      <c r="A4799" s="58">
        <v>4309704</v>
      </c>
      <c r="B4799" s="58" t="s">
        <v>1135</v>
      </c>
      <c r="C4799" s="59">
        <v>-27.561489816120705</v>
      </c>
      <c r="D4799" s="59">
        <v>-53.976505573700095</v>
      </c>
    </row>
    <row r="4800" spans="1:4" x14ac:dyDescent="0.3">
      <c r="A4800" s="58">
        <v>4309753</v>
      </c>
      <c r="B4800" s="58" t="s">
        <v>5591</v>
      </c>
      <c r="C4800" s="59">
        <v>-29.420744361083656</v>
      </c>
      <c r="D4800" s="59">
        <v>-53.133200012943718</v>
      </c>
    </row>
    <row r="4801" spans="1:4" x14ac:dyDescent="0.3">
      <c r="A4801" s="58">
        <v>4309803</v>
      </c>
      <c r="B4801" s="58" t="s">
        <v>5592</v>
      </c>
      <c r="C4801" s="59">
        <v>-28.048849521490506</v>
      </c>
      <c r="D4801" s="59">
        <v>-51.857252090220094</v>
      </c>
    </row>
    <row r="4802" spans="1:4" x14ac:dyDescent="0.3">
      <c r="A4802" s="58">
        <v>4309902</v>
      </c>
      <c r="B4802" s="58" t="s">
        <v>5593</v>
      </c>
      <c r="C4802" s="59">
        <v>-28.369226729447902</v>
      </c>
      <c r="D4802" s="59">
        <v>-51.635323989188315</v>
      </c>
    </row>
    <row r="4803" spans="1:4" x14ac:dyDescent="0.3">
      <c r="A4803" s="58">
        <v>4309951</v>
      </c>
      <c r="B4803" s="58" t="s">
        <v>5594</v>
      </c>
      <c r="C4803" s="59">
        <v>-28.615020415163258</v>
      </c>
      <c r="D4803" s="59">
        <v>-52.519385587848873</v>
      </c>
    </row>
    <row r="4804" spans="1:4" x14ac:dyDescent="0.3">
      <c r="A4804" s="58">
        <v>4310009</v>
      </c>
      <c r="B4804" s="58" t="s">
        <v>5595</v>
      </c>
      <c r="C4804" s="59">
        <v>-28.627607782438027</v>
      </c>
      <c r="D4804" s="59">
        <v>-53.088354019523287</v>
      </c>
    </row>
    <row r="4805" spans="1:4" x14ac:dyDescent="0.3">
      <c r="A4805" s="58">
        <v>4310108</v>
      </c>
      <c r="B4805" s="58" t="s">
        <v>5596</v>
      </c>
      <c r="C4805" s="59">
        <v>-29.572220455755303</v>
      </c>
      <c r="D4805" s="59">
        <v>-50.798710733321677</v>
      </c>
    </row>
    <row r="4806" spans="1:4" x14ac:dyDescent="0.3">
      <c r="A4806" s="58">
        <v>4310207</v>
      </c>
      <c r="B4806" s="58" t="s">
        <v>5597</v>
      </c>
      <c r="C4806" s="59">
        <v>-28.388536540984905</v>
      </c>
      <c r="D4806" s="59">
        <v>-53.918066835708018</v>
      </c>
    </row>
    <row r="4807" spans="1:4" x14ac:dyDescent="0.3">
      <c r="A4807" s="58">
        <v>4310306</v>
      </c>
      <c r="B4807" s="58" t="s">
        <v>5598</v>
      </c>
      <c r="C4807" s="59">
        <v>-28.929152731799608</v>
      </c>
      <c r="D4807" s="59">
        <v>-52.122157494637243</v>
      </c>
    </row>
    <row r="4808" spans="1:4" x14ac:dyDescent="0.3">
      <c r="A4808" s="58">
        <v>4310330</v>
      </c>
      <c r="B4808" s="58" t="s">
        <v>5599</v>
      </c>
      <c r="C4808" s="59">
        <v>-29.97477782067001</v>
      </c>
      <c r="D4808" s="59">
        <v>-50.130579940718121</v>
      </c>
    </row>
    <row r="4809" spans="1:4" x14ac:dyDescent="0.3">
      <c r="A4809" s="58">
        <v>4310363</v>
      </c>
      <c r="B4809" s="58" t="s">
        <v>5600</v>
      </c>
      <c r="C4809" s="59">
        <v>-29.352158119782807</v>
      </c>
      <c r="D4809" s="59">
        <v>-51.770190510074436</v>
      </c>
    </row>
    <row r="4810" spans="1:4" x14ac:dyDescent="0.3">
      <c r="A4810" s="58">
        <v>4310405</v>
      </c>
      <c r="B4810" s="58" t="s">
        <v>1983</v>
      </c>
      <c r="C4810" s="59">
        <v>-27.847331558066855</v>
      </c>
      <c r="D4810" s="59">
        <v>-54.188108334589622</v>
      </c>
    </row>
    <row r="4811" spans="1:4" x14ac:dyDescent="0.3">
      <c r="A4811" s="58">
        <v>4310413</v>
      </c>
      <c r="B4811" s="58" t="s">
        <v>5601</v>
      </c>
      <c r="C4811" s="59">
        <v>-27.880454458342854</v>
      </c>
      <c r="D4811" s="59">
        <v>-54.012545591407999</v>
      </c>
    </row>
    <row r="4812" spans="1:4" x14ac:dyDescent="0.3">
      <c r="A4812" s="58">
        <v>4310439</v>
      </c>
      <c r="B4812" s="58" t="s">
        <v>5602</v>
      </c>
      <c r="C4812" s="59">
        <v>-28.818328031830355</v>
      </c>
      <c r="D4812" s="59">
        <v>-51.279910192200113</v>
      </c>
    </row>
    <row r="4813" spans="1:4" x14ac:dyDescent="0.3">
      <c r="A4813" s="58">
        <v>4310462</v>
      </c>
      <c r="B4813" s="58" t="s">
        <v>5603</v>
      </c>
      <c r="C4813" s="59">
        <v>-27.935984284854353</v>
      </c>
      <c r="D4813" s="59">
        <v>-52.425060644144715</v>
      </c>
    </row>
    <row r="4814" spans="1:4" x14ac:dyDescent="0.3">
      <c r="A4814" s="58">
        <v>4310504</v>
      </c>
      <c r="B4814" s="58" t="s">
        <v>5604</v>
      </c>
      <c r="C4814" s="59">
        <v>-27.1922819750184</v>
      </c>
      <c r="D4814" s="59">
        <v>-53.264296018514919</v>
      </c>
    </row>
    <row r="4815" spans="1:4" x14ac:dyDescent="0.3">
      <c r="A4815" s="58">
        <v>4310538</v>
      </c>
      <c r="B4815" s="58" t="s">
        <v>5605</v>
      </c>
      <c r="C4815" s="59">
        <v>-29.602887954743853</v>
      </c>
      <c r="D4815" s="59">
        <v>-53.757849249004487</v>
      </c>
    </row>
    <row r="4816" spans="1:4" x14ac:dyDescent="0.3">
      <c r="A4816" s="58">
        <v>4310553</v>
      </c>
      <c r="B4816" s="58" t="s">
        <v>5606</v>
      </c>
      <c r="C4816" s="59">
        <v>-28.802205033086953</v>
      </c>
      <c r="D4816" s="59">
        <v>-55.232723264051636</v>
      </c>
    </row>
    <row r="4817" spans="1:4" x14ac:dyDescent="0.3">
      <c r="A4817" s="58">
        <v>4310579</v>
      </c>
      <c r="B4817" s="58" t="s">
        <v>5607</v>
      </c>
      <c r="C4817" s="59">
        <v>-28.780295702981054</v>
      </c>
      <c r="D4817" s="59">
        <v>-52.172366845203456</v>
      </c>
    </row>
    <row r="4818" spans="1:4" x14ac:dyDescent="0.3">
      <c r="A4818" s="58">
        <v>4310603</v>
      </c>
      <c r="B4818" s="58" t="s">
        <v>5608</v>
      </c>
      <c r="C4818" s="59">
        <v>-29.128636899060872</v>
      </c>
      <c r="D4818" s="59">
        <v>-56.557133497030364</v>
      </c>
    </row>
    <row r="4819" spans="1:4" x14ac:dyDescent="0.3">
      <c r="A4819" s="58">
        <v>4310652</v>
      </c>
      <c r="B4819" s="58" t="s">
        <v>5609</v>
      </c>
      <c r="C4819" s="59">
        <v>-29.500248495475603</v>
      </c>
      <c r="D4819" s="59">
        <v>-50.101782261394753</v>
      </c>
    </row>
    <row r="4820" spans="1:4" x14ac:dyDescent="0.3">
      <c r="A4820" s="58">
        <v>4310702</v>
      </c>
      <c r="B4820" s="58" t="s">
        <v>5610</v>
      </c>
      <c r="C4820" s="59">
        <v>-27.383291940055805</v>
      </c>
      <c r="D4820" s="59">
        <v>-52.452443254705493</v>
      </c>
    </row>
    <row r="4821" spans="1:4" x14ac:dyDescent="0.3">
      <c r="A4821" s="58">
        <v>4310751</v>
      </c>
      <c r="B4821" s="58" t="s">
        <v>5611</v>
      </c>
      <c r="C4821" s="59">
        <v>-29.5195344843337</v>
      </c>
      <c r="D4821" s="59">
        <v>-53.580885619439769</v>
      </c>
    </row>
    <row r="4822" spans="1:4" x14ac:dyDescent="0.3">
      <c r="A4822" s="58">
        <v>4310801</v>
      </c>
      <c r="B4822" s="58" t="s">
        <v>5612</v>
      </c>
      <c r="C4822" s="59">
        <v>-29.594156522862452</v>
      </c>
      <c r="D4822" s="59">
        <v>-51.15957419432992</v>
      </c>
    </row>
    <row r="4823" spans="1:4" x14ac:dyDescent="0.3">
      <c r="A4823" s="58">
        <v>4310850</v>
      </c>
      <c r="B4823" s="58" t="s">
        <v>5613</v>
      </c>
      <c r="C4823" s="59">
        <v>-27.631222386294002</v>
      </c>
      <c r="D4823" s="59">
        <v>-53.284389402047147</v>
      </c>
    </row>
    <row r="4824" spans="1:4" x14ac:dyDescent="0.3">
      <c r="A4824" s="58">
        <v>4310876</v>
      </c>
      <c r="B4824" s="58" t="s">
        <v>5614</v>
      </c>
      <c r="C4824" s="59">
        <v>-29.033816356111657</v>
      </c>
      <c r="D4824" s="59">
        <v>-53.056550658796944</v>
      </c>
    </row>
    <row r="4825" spans="1:4" x14ac:dyDescent="0.3">
      <c r="A4825" s="58">
        <v>4310900</v>
      </c>
      <c r="B4825" s="58" t="s">
        <v>3559</v>
      </c>
      <c r="C4825" s="59">
        <v>-27.728493633566654</v>
      </c>
      <c r="D4825" s="59">
        <v>-52.543172806430348</v>
      </c>
    </row>
    <row r="4826" spans="1:4" x14ac:dyDescent="0.3">
      <c r="A4826" s="58">
        <v>4311007</v>
      </c>
      <c r="B4826" s="58" t="s">
        <v>5615</v>
      </c>
      <c r="C4826" s="59">
        <v>-32.563568668514954</v>
      </c>
      <c r="D4826" s="59">
        <v>-53.377522915312881</v>
      </c>
    </row>
    <row r="4827" spans="1:4" x14ac:dyDescent="0.3">
      <c r="A4827" s="58">
        <v>4311106</v>
      </c>
      <c r="B4827" s="58" t="s">
        <v>5616</v>
      </c>
      <c r="C4827" s="59">
        <v>-29.497346731215405</v>
      </c>
      <c r="D4827" s="59">
        <v>-54.693846671329176</v>
      </c>
    </row>
    <row r="4828" spans="1:4" x14ac:dyDescent="0.3">
      <c r="A4828" s="58">
        <v>4311122</v>
      </c>
      <c r="B4828" s="58" t="s">
        <v>5617</v>
      </c>
      <c r="C4828" s="59">
        <v>-28.880567591349354</v>
      </c>
      <c r="D4828" s="59">
        <v>-50.358036722200168</v>
      </c>
    </row>
    <row r="4829" spans="1:4" x14ac:dyDescent="0.3">
      <c r="A4829" s="58">
        <v>4311130</v>
      </c>
      <c r="B4829" s="58" t="s">
        <v>5618</v>
      </c>
      <c r="C4829" s="59">
        <v>-29.290081096840503</v>
      </c>
      <c r="D4829" s="59">
        <v>-54.219935820282046</v>
      </c>
    </row>
    <row r="4830" spans="1:4" x14ac:dyDescent="0.3">
      <c r="A4830" s="58">
        <v>4311155</v>
      </c>
      <c r="B4830" s="58" t="s">
        <v>5619</v>
      </c>
      <c r="C4830" s="59">
        <v>-28.645623534628005</v>
      </c>
      <c r="D4830" s="59">
        <v>-54.115964897021051</v>
      </c>
    </row>
    <row r="4831" spans="1:4" x14ac:dyDescent="0.3">
      <c r="A4831" s="58">
        <v>4311205</v>
      </c>
      <c r="B4831" s="58" t="s">
        <v>5620</v>
      </c>
      <c r="C4831" s="59">
        <v>-29.226449119274758</v>
      </c>
      <c r="D4831" s="59">
        <v>-53.683099614611002</v>
      </c>
    </row>
    <row r="4832" spans="1:4" x14ac:dyDescent="0.3">
      <c r="A4832" s="58">
        <v>4311239</v>
      </c>
      <c r="B4832" s="58" t="s">
        <v>5621</v>
      </c>
      <c r="C4832" s="59">
        <v>-29.49413140044236</v>
      </c>
      <c r="D4832" s="59">
        <v>-53.016983180783512</v>
      </c>
    </row>
    <row r="4833" spans="1:4" x14ac:dyDescent="0.3">
      <c r="A4833" s="58">
        <v>4311254</v>
      </c>
      <c r="B4833" s="58" t="s">
        <v>5622</v>
      </c>
      <c r="C4833" s="59">
        <v>-29.224316401148904</v>
      </c>
      <c r="D4833" s="59">
        <v>-52.775028908259692</v>
      </c>
    </row>
    <row r="4834" spans="1:4" x14ac:dyDescent="0.3">
      <c r="A4834" s="58">
        <v>4311270</v>
      </c>
      <c r="B4834" s="58" t="s">
        <v>5623</v>
      </c>
      <c r="C4834" s="59">
        <v>-28.569468132747005</v>
      </c>
      <c r="D4834" s="59">
        <v>-52.857835242404512</v>
      </c>
    </row>
    <row r="4835" spans="1:4" x14ac:dyDescent="0.3">
      <c r="A4835" s="58">
        <v>4311304</v>
      </c>
      <c r="B4835" s="58" t="s">
        <v>5624</v>
      </c>
      <c r="C4835" s="59">
        <v>-28.208870246212356</v>
      </c>
      <c r="D4835" s="59">
        <v>-51.527228529144736</v>
      </c>
    </row>
    <row r="4836" spans="1:4" x14ac:dyDescent="0.3">
      <c r="A4836" s="58">
        <v>4311403</v>
      </c>
      <c r="B4836" s="58" t="s">
        <v>1404</v>
      </c>
      <c r="C4836" s="59">
        <v>-29.465454402471003</v>
      </c>
      <c r="D4836" s="59">
        <v>-51.967827700500123</v>
      </c>
    </row>
    <row r="4837" spans="1:4" x14ac:dyDescent="0.3">
      <c r="A4837" s="58">
        <v>4311429</v>
      </c>
      <c r="B4837" s="58" t="s">
        <v>5625</v>
      </c>
      <c r="C4837" s="59">
        <v>-27.690769408380255</v>
      </c>
      <c r="D4837" s="59">
        <v>-53.181387133759685</v>
      </c>
    </row>
    <row r="4838" spans="1:4" x14ac:dyDescent="0.3">
      <c r="A4838" s="58">
        <v>4311502</v>
      </c>
      <c r="B4838" s="58" t="s">
        <v>5626</v>
      </c>
      <c r="C4838" s="59">
        <v>-30.812009993039457</v>
      </c>
      <c r="D4838" s="59">
        <v>-53.898476655467618</v>
      </c>
    </row>
    <row r="4839" spans="1:4" x14ac:dyDescent="0.3">
      <c r="A4839" s="58">
        <v>4311601</v>
      </c>
      <c r="B4839" s="58" t="s">
        <v>5627</v>
      </c>
      <c r="C4839" s="59">
        <v>-27.596470163855606</v>
      </c>
      <c r="D4839" s="59">
        <v>-53.07486073721784</v>
      </c>
    </row>
    <row r="4840" spans="1:4" x14ac:dyDescent="0.3">
      <c r="A4840" s="58">
        <v>4311627</v>
      </c>
      <c r="B4840" s="58" t="s">
        <v>5628</v>
      </c>
      <c r="C4840" s="59">
        <v>-29.600803585793255</v>
      </c>
      <c r="D4840" s="59">
        <v>-51.208155321557669</v>
      </c>
    </row>
    <row r="4841" spans="1:4" x14ac:dyDescent="0.3">
      <c r="A4841" s="58">
        <v>4311643</v>
      </c>
      <c r="B4841" s="58" t="s">
        <v>5629</v>
      </c>
      <c r="C4841" s="59">
        <v>-29.462638602550605</v>
      </c>
      <c r="D4841" s="59">
        <v>-51.201902094768407</v>
      </c>
    </row>
    <row r="4842" spans="1:4" x14ac:dyDescent="0.3">
      <c r="A4842" s="58">
        <v>4311700</v>
      </c>
      <c r="B4842" s="58" t="s">
        <v>5630</v>
      </c>
      <c r="C4842" s="59">
        <v>-27.568139969908557</v>
      </c>
      <c r="D4842" s="59">
        <v>-51.667507360469195</v>
      </c>
    </row>
    <row r="4843" spans="1:4" x14ac:dyDescent="0.3">
      <c r="A4843" s="58">
        <v>4311718</v>
      </c>
      <c r="B4843" s="58" t="s">
        <v>5631</v>
      </c>
      <c r="C4843" s="59">
        <v>-29.146144199184157</v>
      </c>
      <c r="D4843" s="59">
        <v>-56.063613481735551</v>
      </c>
    </row>
    <row r="4844" spans="1:4" x14ac:dyDescent="0.3">
      <c r="A4844" s="58">
        <v>4311734</v>
      </c>
      <c r="B4844" s="58" t="s">
        <v>5632</v>
      </c>
      <c r="C4844" s="59">
        <v>-29.210649419724454</v>
      </c>
      <c r="D4844" s="59">
        <v>-49.936513552395617</v>
      </c>
    </row>
    <row r="4845" spans="1:4" x14ac:dyDescent="0.3">
      <c r="A4845" s="58">
        <v>4311759</v>
      </c>
      <c r="B4845" s="58" t="s">
        <v>5633</v>
      </c>
      <c r="C4845" s="59">
        <v>-29.580537182645354</v>
      </c>
      <c r="D4845" s="59">
        <v>-55.491662539452975</v>
      </c>
    </row>
    <row r="4846" spans="1:4" x14ac:dyDescent="0.3">
      <c r="A4846" s="58">
        <v>4311775</v>
      </c>
      <c r="B4846" s="58" t="s">
        <v>5634</v>
      </c>
      <c r="C4846" s="59">
        <v>-29.679137012896408</v>
      </c>
      <c r="D4846" s="59">
        <v>-50.203394812629298</v>
      </c>
    </row>
    <row r="4847" spans="1:4" x14ac:dyDescent="0.3">
      <c r="A4847" s="58">
        <v>4311791</v>
      </c>
      <c r="B4847" s="58" t="s">
        <v>5635</v>
      </c>
      <c r="C4847" s="59">
        <v>-29.555322967597956</v>
      </c>
      <c r="D4847" s="59">
        <v>-51.555566883264149</v>
      </c>
    </row>
    <row r="4848" spans="1:4" x14ac:dyDescent="0.3">
      <c r="A4848" s="58">
        <v>4311809</v>
      </c>
      <c r="B4848" s="58" t="s">
        <v>3020</v>
      </c>
      <c r="C4848" s="59">
        <v>-28.448453927276351</v>
      </c>
      <c r="D4848" s="59">
        <v>-52.196776934000106</v>
      </c>
    </row>
    <row r="4849" spans="1:4" x14ac:dyDescent="0.3">
      <c r="A4849" s="58">
        <v>4311908</v>
      </c>
      <c r="B4849" s="58" t="s">
        <v>5636</v>
      </c>
      <c r="C4849" s="59">
        <v>-27.461391212869508</v>
      </c>
      <c r="D4849" s="59">
        <v>-51.91331894372744</v>
      </c>
    </row>
    <row r="4850" spans="1:4" x14ac:dyDescent="0.3">
      <c r="A4850" s="58">
        <v>4311981</v>
      </c>
      <c r="B4850" s="58" t="s">
        <v>5637</v>
      </c>
      <c r="C4850" s="59">
        <v>-30.353622202338407</v>
      </c>
      <c r="D4850" s="59">
        <v>-51.587342991443293</v>
      </c>
    </row>
    <row r="4851" spans="1:4" x14ac:dyDescent="0.3">
      <c r="A4851" s="58">
        <v>4312005</v>
      </c>
      <c r="B4851" s="58" t="s">
        <v>5638</v>
      </c>
      <c r="C4851" s="59">
        <v>-27.352612788347454</v>
      </c>
      <c r="D4851" s="59">
        <v>-52.148891817328007</v>
      </c>
    </row>
    <row r="4852" spans="1:4" x14ac:dyDescent="0.3">
      <c r="A4852" s="58">
        <v>4312054</v>
      </c>
      <c r="B4852" s="58" t="s">
        <v>5639</v>
      </c>
      <c r="C4852" s="59">
        <v>-29.329137344053606</v>
      </c>
      <c r="D4852" s="59">
        <v>-52.09780442841523</v>
      </c>
    </row>
    <row r="4853" spans="1:4" x14ac:dyDescent="0.3">
      <c r="A4853" s="58">
        <v>4312104</v>
      </c>
      <c r="B4853" s="58" t="s">
        <v>5640</v>
      </c>
      <c r="C4853" s="59">
        <v>-29.569391775553555</v>
      </c>
      <c r="D4853" s="59">
        <v>-54.452435481935233</v>
      </c>
    </row>
    <row r="4854" spans="1:4" x14ac:dyDescent="0.3">
      <c r="A4854" s="58">
        <v>4312138</v>
      </c>
      <c r="B4854" s="58" t="s">
        <v>5641</v>
      </c>
      <c r="C4854" s="59">
        <v>-28.275761741248004</v>
      </c>
      <c r="D4854" s="59">
        <v>-52.197260881204251</v>
      </c>
    </row>
    <row r="4855" spans="1:4" x14ac:dyDescent="0.3">
      <c r="A4855" s="58">
        <v>4312153</v>
      </c>
      <c r="B4855" s="58" t="s">
        <v>5642</v>
      </c>
      <c r="C4855" s="59">
        <v>-29.524830337797752</v>
      </c>
      <c r="D4855" s="59">
        <v>-52.133029326332533</v>
      </c>
    </row>
    <row r="4856" spans="1:4" x14ac:dyDescent="0.3">
      <c r="A4856" s="58">
        <v>4312179</v>
      </c>
      <c r="B4856" s="58" t="s">
        <v>5643</v>
      </c>
      <c r="C4856" s="59">
        <v>-28.255815987012653</v>
      </c>
      <c r="D4856" s="59">
        <v>-54.61683687772679</v>
      </c>
    </row>
    <row r="4857" spans="1:4" x14ac:dyDescent="0.3">
      <c r="A4857" s="58">
        <v>4312203</v>
      </c>
      <c r="B4857" s="58" t="s">
        <v>5644</v>
      </c>
      <c r="C4857" s="59">
        <v>-27.634940651760854</v>
      </c>
      <c r="D4857" s="59">
        <v>-51.801718197005926</v>
      </c>
    </row>
    <row r="4858" spans="1:4" x14ac:dyDescent="0.3">
      <c r="A4858" s="58">
        <v>4312252</v>
      </c>
      <c r="B4858" s="58" t="s">
        <v>5645</v>
      </c>
      <c r="C4858" s="59">
        <v>-30.122439510724657</v>
      </c>
      <c r="D4858" s="59">
        <v>-52.051280198577189</v>
      </c>
    </row>
    <row r="4859" spans="1:4" x14ac:dyDescent="0.3">
      <c r="A4859" s="58">
        <v>4312302</v>
      </c>
      <c r="B4859" s="58" t="s">
        <v>5646</v>
      </c>
      <c r="C4859" s="59">
        <v>-27.496076423065908</v>
      </c>
      <c r="D4859" s="59">
        <v>-53.685994044768101</v>
      </c>
    </row>
    <row r="4860" spans="1:4" x14ac:dyDescent="0.3">
      <c r="A4860" s="58">
        <v>4312351</v>
      </c>
      <c r="B4860" s="58" t="s">
        <v>5647</v>
      </c>
      <c r="C4860" s="59">
        <v>-28.653207185055308</v>
      </c>
      <c r="D4860" s="59">
        <v>-52.076108191111899</v>
      </c>
    </row>
    <row r="4861" spans="1:4" x14ac:dyDescent="0.3">
      <c r="A4861" s="58">
        <v>4312377</v>
      </c>
      <c r="B4861" s="58" t="s">
        <v>5648</v>
      </c>
      <c r="C4861" s="59">
        <v>-28.685071775718651</v>
      </c>
      <c r="D4861" s="59">
        <v>-50.782833705111628</v>
      </c>
    </row>
    <row r="4862" spans="1:4" x14ac:dyDescent="0.3">
      <c r="A4862" s="58">
        <v>4312385</v>
      </c>
      <c r="B4862" s="58" t="s">
        <v>5649</v>
      </c>
      <c r="C4862" s="59">
        <v>-29.159941223129454</v>
      </c>
      <c r="D4862" s="59">
        <v>-51.631559245390314</v>
      </c>
    </row>
    <row r="4863" spans="1:4" x14ac:dyDescent="0.3">
      <c r="A4863" s="58">
        <v>4312401</v>
      </c>
      <c r="B4863" s="58" t="s">
        <v>5650</v>
      </c>
      <c r="C4863" s="59">
        <v>-29.688118609863803</v>
      </c>
      <c r="D4863" s="59">
        <v>-51.461299375681861</v>
      </c>
    </row>
    <row r="4864" spans="1:4" x14ac:dyDescent="0.3">
      <c r="A4864" s="58">
        <v>4312427</v>
      </c>
      <c r="B4864" s="58" t="s">
        <v>5651</v>
      </c>
      <c r="C4864" s="59">
        <v>-28.693351220219153</v>
      </c>
      <c r="D4864" s="59">
        <v>-52.692826315056521</v>
      </c>
    </row>
    <row r="4865" spans="1:4" x14ac:dyDescent="0.3">
      <c r="A4865" s="58">
        <v>4312443</v>
      </c>
      <c r="B4865" s="58" t="s">
        <v>5652</v>
      </c>
      <c r="C4865" s="59">
        <v>-29.362963630042408</v>
      </c>
      <c r="D4865" s="59">
        <v>-49.932762974333023</v>
      </c>
    </row>
    <row r="4866" spans="1:4" x14ac:dyDescent="0.3">
      <c r="A4866" s="58">
        <v>4312450</v>
      </c>
      <c r="B4866" s="58" t="s">
        <v>5653</v>
      </c>
      <c r="C4866" s="59">
        <v>-31.582203227446151</v>
      </c>
      <c r="D4866" s="59">
        <v>-52.657780201394445</v>
      </c>
    </row>
    <row r="4867" spans="1:4" x14ac:dyDescent="0.3">
      <c r="A4867" s="58">
        <v>4312476</v>
      </c>
      <c r="B4867" s="58" t="s">
        <v>5654</v>
      </c>
      <c r="C4867" s="59">
        <v>-29.539341658588153</v>
      </c>
      <c r="D4867" s="59">
        <v>-51.080088347807184</v>
      </c>
    </row>
    <row r="4868" spans="1:4" x14ac:dyDescent="0.3">
      <c r="A4868" s="58">
        <v>4312500</v>
      </c>
      <c r="B4868" s="58" t="s">
        <v>5655</v>
      </c>
      <c r="C4868" s="59">
        <v>-31.108225107407456</v>
      </c>
      <c r="D4868" s="59">
        <v>-50.919158851071657</v>
      </c>
    </row>
    <row r="4869" spans="1:4" x14ac:dyDescent="0.3">
      <c r="A4869" s="58">
        <v>4312609</v>
      </c>
      <c r="B4869" s="58" t="s">
        <v>5656</v>
      </c>
      <c r="C4869" s="59">
        <v>-29.165614814579602</v>
      </c>
      <c r="D4869" s="59">
        <v>-51.86605552605176</v>
      </c>
    </row>
    <row r="4870" spans="1:4" x14ac:dyDescent="0.3">
      <c r="A4870" s="58">
        <v>4312617</v>
      </c>
      <c r="B4870" s="58" t="s">
        <v>5657</v>
      </c>
      <c r="C4870" s="59">
        <v>-28.318912801480554</v>
      </c>
      <c r="D4870" s="59">
        <v>-51.18460234489573</v>
      </c>
    </row>
    <row r="4871" spans="1:4" x14ac:dyDescent="0.3">
      <c r="A4871" s="58">
        <v>4312625</v>
      </c>
      <c r="B4871" s="58" t="s">
        <v>5658</v>
      </c>
      <c r="C4871" s="59">
        <v>-28.330265356274253</v>
      </c>
      <c r="D4871" s="59">
        <v>-51.768701235333204</v>
      </c>
    </row>
    <row r="4872" spans="1:4" x14ac:dyDescent="0.3">
      <c r="A4872" s="58">
        <v>4312658</v>
      </c>
      <c r="B4872" s="58" t="s">
        <v>5659</v>
      </c>
      <c r="C4872" s="59">
        <v>-28.459906765875054</v>
      </c>
      <c r="D4872" s="59">
        <v>-52.819279492423433</v>
      </c>
    </row>
    <row r="4873" spans="1:4" x14ac:dyDescent="0.3">
      <c r="A4873" s="58">
        <v>4312674</v>
      </c>
      <c r="B4873" s="58" t="s">
        <v>5660</v>
      </c>
      <c r="C4873" s="59">
        <v>-28.536214813866454</v>
      </c>
      <c r="D4873" s="59">
        <v>-52.462400673190359</v>
      </c>
    </row>
    <row r="4874" spans="1:4" x14ac:dyDescent="0.3">
      <c r="A4874" s="58">
        <v>4312708</v>
      </c>
      <c r="B4874" s="58" t="s">
        <v>5661</v>
      </c>
      <c r="C4874" s="59">
        <v>-27.354664532484655</v>
      </c>
      <c r="D4874" s="59">
        <v>-52.776188567235934</v>
      </c>
    </row>
    <row r="4875" spans="1:4" x14ac:dyDescent="0.3">
      <c r="A4875" s="58">
        <v>4312757</v>
      </c>
      <c r="B4875" s="58" t="s">
        <v>5662</v>
      </c>
      <c r="C4875" s="59">
        <v>-28.676564432797807</v>
      </c>
      <c r="D4875" s="59">
        <v>-52.167133917291331</v>
      </c>
    </row>
    <row r="4876" spans="1:4" x14ac:dyDescent="0.3">
      <c r="A4876" s="58">
        <v>4312807</v>
      </c>
      <c r="B4876" s="58" t="s">
        <v>5663</v>
      </c>
      <c r="C4876" s="59">
        <v>-28.658176037072455</v>
      </c>
      <c r="D4876" s="59">
        <v>-51.742164633967263</v>
      </c>
    </row>
    <row r="4877" spans="1:4" x14ac:dyDescent="0.3">
      <c r="A4877" s="58">
        <v>4312906</v>
      </c>
      <c r="B4877" s="58" t="s">
        <v>5664</v>
      </c>
      <c r="C4877" s="59">
        <v>-28.723468641616805</v>
      </c>
      <c r="D4877" s="59">
        <v>-51.703231417395763</v>
      </c>
    </row>
    <row r="4878" spans="1:4" x14ac:dyDescent="0.3">
      <c r="A4878" s="58">
        <v>4312955</v>
      </c>
      <c r="B4878" s="58" t="s">
        <v>5665</v>
      </c>
      <c r="C4878" s="59">
        <v>-27.987967659123605</v>
      </c>
      <c r="D4878" s="59">
        <v>-52.981476843800806</v>
      </c>
    </row>
    <row r="4879" spans="1:4" x14ac:dyDescent="0.3">
      <c r="A4879" s="58">
        <v>4313003</v>
      </c>
      <c r="B4879" s="58" t="s">
        <v>5666</v>
      </c>
      <c r="C4879" s="59">
        <v>-29.216511432547655</v>
      </c>
      <c r="D4879" s="59">
        <v>-52.017983540611645</v>
      </c>
    </row>
    <row r="4880" spans="1:4" x14ac:dyDescent="0.3">
      <c r="A4880" s="58">
        <v>4313011</v>
      </c>
      <c r="B4880" s="58" t="s">
        <v>5667</v>
      </c>
      <c r="C4880" s="59">
        <v>-27.612098160947056</v>
      </c>
      <c r="D4880" s="59">
        <v>-54.104114239760847</v>
      </c>
    </row>
    <row r="4881" spans="1:4" x14ac:dyDescent="0.3">
      <c r="A4881" s="58">
        <v>4313037</v>
      </c>
      <c r="B4881" s="58" t="s">
        <v>5668</v>
      </c>
      <c r="C4881" s="59">
        <v>-29.404595708627554</v>
      </c>
      <c r="D4881" s="59">
        <v>-54.835872901854202</v>
      </c>
    </row>
    <row r="4882" spans="1:4" x14ac:dyDescent="0.3">
      <c r="A4882" s="58">
        <v>4313060</v>
      </c>
      <c r="B4882" s="58" t="s">
        <v>5669</v>
      </c>
      <c r="C4882" s="59">
        <v>-29.585747532970409</v>
      </c>
      <c r="D4882" s="59">
        <v>-50.903793430738375</v>
      </c>
    </row>
    <row r="4883" spans="1:4" x14ac:dyDescent="0.3">
      <c r="A4883" s="58">
        <v>4313086</v>
      </c>
      <c r="B4883" s="58" t="s">
        <v>5670</v>
      </c>
      <c r="C4883" s="59">
        <v>-29.030046445285503</v>
      </c>
      <c r="D4883" s="59">
        <v>-51.306824642212</v>
      </c>
    </row>
    <row r="4884" spans="1:4" x14ac:dyDescent="0.3">
      <c r="A4884" s="58">
        <v>4313102</v>
      </c>
      <c r="B4884" s="58" t="s">
        <v>5671</v>
      </c>
      <c r="C4884" s="59">
        <v>-29.473025737950607</v>
      </c>
      <c r="D4884" s="59">
        <v>-53.470635110882796</v>
      </c>
    </row>
    <row r="4885" spans="1:4" x14ac:dyDescent="0.3">
      <c r="A4885" s="58">
        <v>4313201</v>
      </c>
      <c r="B4885" s="58" t="s">
        <v>5672</v>
      </c>
      <c r="C4885" s="59">
        <v>-29.376208869435057</v>
      </c>
      <c r="D4885" s="59">
        <v>-51.106953923956105</v>
      </c>
    </row>
    <row r="4886" spans="1:4" x14ac:dyDescent="0.3">
      <c r="A4886" s="58">
        <v>4313300</v>
      </c>
      <c r="B4886" s="58" t="s">
        <v>5673</v>
      </c>
      <c r="C4886" s="59">
        <v>-28.783944713190152</v>
      </c>
      <c r="D4886" s="59">
        <v>-51.608995692017743</v>
      </c>
    </row>
    <row r="4887" spans="1:4" x14ac:dyDescent="0.3">
      <c r="A4887" s="58">
        <v>4313334</v>
      </c>
      <c r="B4887" s="58" t="s">
        <v>5674</v>
      </c>
      <c r="C4887" s="59">
        <v>-28.082644872405155</v>
      </c>
      <c r="D4887" s="59">
        <v>-53.706937337891588</v>
      </c>
    </row>
    <row r="4888" spans="1:4" x14ac:dyDescent="0.3">
      <c r="A4888" s="58">
        <v>4313359</v>
      </c>
      <c r="B4888" s="58" t="s">
        <v>5675</v>
      </c>
      <c r="C4888" s="59">
        <v>-28.984748912048353</v>
      </c>
      <c r="D4888" s="59">
        <v>-51.405157474965129</v>
      </c>
    </row>
    <row r="4889" spans="1:4" x14ac:dyDescent="0.3">
      <c r="A4889" s="58">
        <v>4313375</v>
      </c>
      <c r="B4889" s="58" t="s">
        <v>1840</v>
      </c>
      <c r="C4889" s="59">
        <v>-29.848615535624656</v>
      </c>
      <c r="D4889" s="59">
        <v>-51.275210689013321</v>
      </c>
    </row>
    <row r="4890" spans="1:4" x14ac:dyDescent="0.3">
      <c r="A4890" s="58">
        <v>4313391</v>
      </c>
      <c r="B4890" s="58" t="s">
        <v>5676</v>
      </c>
      <c r="C4890" s="59">
        <v>-29.736254605733201</v>
      </c>
      <c r="D4890" s="59">
        <v>-52.955086064131343</v>
      </c>
    </row>
    <row r="4891" spans="1:4" x14ac:dyDescent="0.3">
      <c r="A4891" s="58">
        <v>4313409</v>
      </c>
      <c r="B4891" s="58" t="s">
        <v>5677</v>
      </c>
      <c r="C4891" s="59">
        <v>-29.686326025177205</v>
      </c>
      <c r="D4891" s="59">
        <v>-51.128605277631863</v>
      </c>
    </row>
    <row r="4892" spans="1:4" x14ac:dyDescent="0.3">
      <c r="A4892" s="58">
        <v>4313425</v>
      </c>
      <c r="B4892" s="58" t="s">
        <v>5678</v>
      </c>
      <c r="C4892" s="59">
        <v>-27.578400650578153</v>
      </c>
      <c r="D4892" s="59">
        <v>-54.503384414530139</v>
      </c>
    </row>
    <row r="4893" spans="1:4" x14ac:dyDescent="0.3">
      <c r="A4893" s="58">
        <v>4313441</v>
      </c>
      <c r="B4893" s="58" t="s">
        <v>5679</v>
      </c>
      <c r="C4893" s="59">
        <v>-27.563558434475706</v>
      </c>
      <c r="D4893" s="59">
        <v>-53.185702589065556</v>
      </c>
    </row>
    <row r="4894" spans="1:4" x14ac:dyDescent="0.3">
      <c r="A4894" s="58">
        <v>4313466</v>
      </c>
      <c r="B4894" s="58" t="s">
        <v>5680</v>
      </c>
      <c r="C4894" s="59">
        <v>-27.748114692135609</v>
      </c>
      <c r="D4894" s="59">
        <v>-53.06410929947436</v>
      </c>
    </row>
    <row r="4895" spans="1:4" x14ac:dyDescent="0.3">
      <c r="A4895" s="58">
        <v>4313490</v>
      </c>
      <c r="B4895" s="58" t="s">
        <v>5681</v>
      </c>
      <c r="C4895" s="59">
        <v>-27.906788467025805</v>
      </c>
      <c r="D4895" s="59">
        <v>-53.113498851014448</v>
      </c>
    </row>
    <row r="4896" spans="1:4" x14ac:dyDescent="0.3">
      <c r="A4896" s="58">
        <v>4313508</v>
      </c>
      <c r="B4896" s="58" t="s">
        <v>5682</v>
      </c>
      <c r="C4896" s="59">
        <v>-29.892697077517351</v>
      </c>
      <c r="D4896" s="59">
        <v>-50.266797812615629</v>
      </c>
    </row>
    <row r="4897" spans="1:4" x14ac:dyDescent="0.3">
      <c r="A4897" s="58">
        <v>4313607</v>
      </c>
      <c r="B4897" s="58" t="s">
        <v>5683</v>
      </c>
      <c r="C4897" s="59">
        <v>-27.703308073932206</v>
      </c>
      <c r="D4897" s="59">
        <v>-51.761596640946138</v>
      </c>
    </row>
    <row r="4898" spans="1:4" x14ac:dyDescent="0.3">
      <c r="A4898" s="58">
        <v>4313656</v>
      </c>
      <c r="B4898" s="58" t="s">
        <v>5684</v>
      </c>
      <c r="C4898" s="59">
        <v>-30.260066645131907</v>
      </c>
      <c r="D4898" s="59">
        <v>-50.506051972261794</v>
      </c>
    </row>
    <row r="4899" spans="1:4" x14ac:dyDescent="0.3">
      <c r="A4899" s="58">
        <v>4313706</v>
      </c>
      <c r="B4899" s="58" t="s">
        <v>5685</v>
      </c>
      <c r="C4899" s="59">
        <v>-27.900620875431851</v>
      </c>
      <c r="D4899" s="59">
        <v>-53.314953910551367</v>
      </c>
    </row>
    <row r="4900" spans="1:4" x14ac:dyDescent="0.3">
      <c r="A4900" s="58">
        <v>4313805</v>
      </c>
      <c r="B4900" s="58" t="s">
        <v>5686</v>
      </c>
      <c r="C4900" s="59">
        <v>-27.356019913937754</v>
      </c>
      <c r="D4900" s="59">
        <v>-53.555546012988252</v>
      </c>
    </row>
    <row r="4901" spans="1:4" x14ac:dyDescent="0.3">
      <c r="A4901" s="58">
        <v>4313904</v>
      </c>
      <c r="B4901" s="58" t="s">
        <v>5687</v>
      </c>
      <c r="C4901" s="59">
        <v>-28.292730536924857</v>
      </c>
      <c r="D4901" s="59">
        <v>-53.500265167445249</v>
      </c>
    </row>
    <row r="4902" spans="1:4" x14ac:dyDescent="0.3">
      <c r="A4902" s="58">
        <v>4313953</v>
      </c>
      <c r="B4902" s="58" t="s">
        <v>5688</v>
      </c>
      <c r="C4902" s="59">
        <v>-30.194551527174951</v>
      </c>
      <c r="D4902" s="59">
        <v>-52.37390023530201</v>
      </c>
    </row>
    <row r="4903" spans="1:4" x14ac:dyDescent="0.3">
      <c r="A4903" s="58">
        <v>4314001</v>
      </c>
      <c r="B4903" s="58" t="s">
        <v>5689</v>
      </c>
      <c r="C4903" s="59">
        <v>-28.599620533732555</v>
      </c>
      <c r="D4903" s="59">
        <v>-51.78209604505669</v>
      </c>
    </row>
    <row r="4904" spans="1:4" x14ac:dyDescent="0.3">
      <c r="A4904" s="58">
        <v>4314027</v>
      </c>
      <c r="B4904" s="58" t="s">
        <v>5690</v>
      </c>
      <c r="C4904" s="59">
        <v>-29.731314240147807</v>
      </c>
      <c r="D4904" s="59">
        <v>-53.179100238954625</v>
      </c>
    </row>
    <row r="4905" spans="1:4" x14ac:dyDescent="0.3">
      <c r="A4905" s="58">
        <v>4314035</v>
      </c>
      <c r="B4905" s="58" t="s">
        <v>5691</v>
      </c>
      <c r="C4905" s="59">
        <v>-29.639389291408708</v>
      </c>
      <c r="D4905" s="59">
        <v>-51.398869658378807</v>
      </c>
    </row>
    <row r="4906" spans="1:4" x14ac:dyDescent="0.3">
      <c r="A4906" s="58">
        <v>4314050</v>
      </c>
      <c r="B4906" s="58" t="s">
        <v>5692</v>
      </c>
      <c r="C4906" s="59">
        <v>-29.631749277632153</v>
      </c>
      <c r="D4906" s="59">
        <v>-50.834865902327394</v>
      </c>
    </row>
    <row r="4907" spans="1:4" x14ac:dyDescent="0.3">
      <c r="A4907" s="58">
        <v>4314068</v>
      </c>
      <c r="B4907" s="58" t="s">
        <v>5693</v>
      </c>
      <c r="C4907" s="59">
        <v>-29.451665568898804</v>
      </c>
      <c r="D4907" s="59">
        <v>-52.963983235212794</v>
      </c>
    </row>
    <row r="4908" spans="1:4" x14ac:dyDescent="0.3">
      <c r="A4908" s="58">
        <v>4314076</v>
      </c>
      <c r="B4908" s="58" t="s">
        <v>5694</v>
      </c>
      <c r="C4908" s="59">
        <v>-29.745793549976963</v>
      </c>
      <c r="D4908" s="59">
        <v>-52.278758194322656</v>
      </c>
    </row>
    <row r="4909" spans="1:4" x14ac:dyDescent="0.3">
      <c r="A4909" s="58">
        <v>4314100</v>
      </c>
      <c r="B4909" s="58" t="s">
        <v>5695</v>
      </c>
      <c r="C4909" s="59">
        <v>-28.261767127904854</v>
      </c>
      <c r="D4909" s="59">
        <v>-52.407095092617155</v>
      </c>
    </row>
    <row r="4910" spans="1:4" x14ac:dyDescent="0.3">
      <c r="A4910" s="58">
        <v>4314134</v>
      </c>
      <c r="B4910" s="58" t="s">
        <v>5696</v>
      </c>
      <c r="C4910" s="59">
        <v>-27.704100282707959</v>
      </c>
      <c r="D4910" s="59">
        <v>-52.422435631104328</v>
      </c>
    </row>
    <row r="4911" spans="1:4" x14ac:dyDescent="0.3">
      <c r="A4911" s="58">
        <v>4314159</v>
      </c>
      <c r="B4911" s="58" t="s">
        <v>5697</v>
      </c>
      <c r="C4911" s="59">
        <v>-29.554856139936305</v>
      </c>
      <c r="D4911" s="59">
        <v>-51.730292967150454</v>
      </c>
    </row>
    <row r="4912" spans="1:4" x14ac:dyDescent="0.3">
      <c r="A4912" s="58">
        <v>4314175</v>
      </c>
      <c r="B4912" s="58" t="s">
        <v>5698</v>
      </c>
      <c r="C4912" s="59">
        <v>-31.733636939470955</v>
      </c>
      <c r="D4912" s="59">
        <v>-53.587170319639611</v>
      </c>
    </row>
    <row r="4913" spans="1:4" x14ac:dyDescent="0.3">
      <c r="A4913" s="58">
        <v>4314209</v>
      </c>
      <c r="B4913" s="58" t="s">
        <v>5699</v>
      </c>
      <c r="C4913" s="59">
        <v>-31.863828221811804</v>
      </c>
      <c r="D4913" s="59">
        <v>-52.82631173393262</v>
      </c>
    </row>
    <row r="4914" spans="1:4" x14ac:dyDescent="0.3">
      <c r="A4914" s="58">
        <v>4314308</v>
      </c>
      <c r="B4914" s="58" t="s">
        <v>5700</v>
      </c>
      <c r="C4914" s="59">
        <v>-28.42158606415834</v>
      </c>
      <c r="D4914" s="59">
        <v>-53.656542331773743</v>
      </c>
    </row>
    <row r="4915" spans="1:4" x14ac:dyDescent="0.3">
      <c r="A4915" s="58">
        <v>4314407</v>
      </c>
      <c r="B4915" s="58" t="s">
        <v>5701</v>
      </c>
      <c r="C4915" s="59">
        <v>-31.719597880829156</v>
      </c>
      <c r="D4915" s="59">
        <v>-52.344320062991535</v>
      </c>
    </row>
    <row r="4916" spans="1:4" x14ac:dyDescent="0.3">
      <c r="A4916" s="58">
        <v>4314423</v>
      </c>
      <c r="B4916" s="58" t="s">
        <v>5702</v>
      </c>
      <c r="C4916" s="59">
        <v>-29.454384443051904</v>
      </c>
      <c r="D4916" s="59">
        <v>-51.064049820261985</v>
      </c>
    </row>
    <row r="4917" spans="1:4" x14ac:dyDescent="0.3">
      <c r="A4917" s="58">
        <v>4314456</v>
      </c>
      <c r="B4917" s="58" t="s">
        <v>5703</v>
      </c>
      <c r="C4917" s="59">
        <v>-27.511674243457556</v>
      </c>
      <c r="D4917" s="59">
        <v>-53.214706178891511</v>
      </c>
    </row>
    <row r="4918" spans="1:4" x14ac:dyDescent="0.3">
      <c r="A4918" s="58">
        <v>4314464</v>
      </c>
      <c r="B4918" s="58" t="s">
        <v>5704</v>
      </c>
      <c r="C4918" s="59">
        <v>-27.876664586771156</v>
      </c>
      <c r="D4918" s="59">
        <v>-51.170102723733976</v>
      </c>
    </row>
    <row r="4919" spans="1:4" x14ac:dyDescent="0.3">
      <c r="A4919" s="58">
        <v>4314472</v>
      </c>
      <c r="B4919" s="58" t="s">
        <v>5705</v>
      </c>
      <c r="C4919" s="59">
        <v>-29.335360128916104</v>
      </c>
      <c r="D4919" s="59">
        <v>-53.338638337144772</v>
      </c>
    </row>
    <row r="4920" spans="1:4" x14ac:dyDescent="0.3">
      <c r="A4920" s="58">
        <v>4314498</v>
      </c>
      <c r="B4920" s="58" t="s">
        <v>5706</v>
      </c>
      <c r="C4920" s="59">
        <v>-27.209762789259653</v>
      </c>
      <c r="D4920" s="59">
        <v>-53.619560956929611</v>
      </c>
    </row>
    <row r="4921" spans="1:4" x14ac:dyDescent="0.3">
      <c r="A4921" s="58">
        <v>4314506</v>
      </c>
      <c r="B4921" s="58" t="s">
        <v>5707</v>
      </c>
      <c r="C4921" s="59">
        <v>-31.580592668694351</v>
      </c>
      <c r="D4921" s="59">
        <v>-53.384619968277363</v>
      </c>
    </row>
    <row r="4922" spans="1:4" x14ac:dyDescent="0.3">
      <c r="A4922" s="58">
        <v>4314555</v>
      </c>
      <c r="B4922" s="58" t="s">
        <v>5708</v>
      </c>
      <c r="C4922" s="59">
        <v>-28.0453158376278</v>
      </c>
      <c r="D4922" s="59">
        <v>-55.2003099472118</v>
      </c>
    </row>
    <row r="4923" spans="1:4" x14ac:dyDescent="0.3">
      <c r="A4923" s="58">
        <v>4314605</v>
      </c>
      <c r="B4923" s="58" t="s">
        <v>5709</v>
      </c>
      <c r="C4923" s="59">
        <v>-31.444112473353606</v>
      </c>
      <c r="D4923" s="59">
        <v>-53.104734453972149</v>
      </c>
    </row>
    <row r="4924" spans="1:4" x14ac:dyDescent="0.3">
      <c r="A4924" s="58">
        <v>4314704</v>
      </c>
      <c r="B4924" s="58" t="s">
        <v>3075</v>
      </c>
      <c r="C4924" s="59">
        <v>-27.331463875466156</v>
      </c>
      <c r="D4924" s="59">
        <v>-53.058880813139027</v>
      </c>
    </row>
    <row r="4925" spans="1:4" x14ac:dyDescent="0.3">
      <c r="A4925" s="58">
        <v>4314753</v>
      </c>
      <c r="B4925" s="58" t="s">
        <v>5710</v>
      </c>
      <c r="C4925" s="59">
        <v>-29.454546477830402</v>
      </c>
      <c r="D4925" s="59">
        <v>-51.67089027332301</v>
      </c>
    </row>
    <row r="4926" spans="1:4" x14ac:dyDescent="0.3">
      <c r="A4926" s="58">
        <v>4314779</v>
      </c>
      <c r="B4926" s="58" t="s">
        <v>5711</v>
      </c>
      <c r="C4926" s="59">
        <v>-28.061840839364308</v>
      </c>
      <c r="D4926" s="59">
        <v>-52.675399446616517</v>
      </c>
    </row>
    <row r="4927" spans="1:4" x14ac:dyDescent="0.3">
      <c r="A4927" s="58">
        <v>4314787</v>
      </c>
      <c r="B4927" s="58" t="s">
        <v>5712</v>
      </c>
      <c r="C4927" s="59">
        <v>-27.657039970073651</v>
      </c>
      <c r="D4927" s="59">
        <v>-52.490231921242696</v>
      </c>
    </row>
    <row r="4928" spans="1:4" x14ac:dyDescent="0.3">
      <c r="A4928" s="58">
        <v>4314803</v>
      </c>
      <c r="B4928" s="58" t="s">
        <v>5713</v>
      </c>
      <c r="C4928" s="59">
        <v>-29.696258601139654</v>
      </c>
      <c r="D4928" s="59">
        <v>-51.230149644245657</v>
      </c>
    </row>
    <row r="4929" spans="1:4" x14ac:dyDescent="0.3">
      <c r="A4929" s="58">
        <v>4314902</v>
      </c>
      <c r="B4929" s="58" t="s">
        <v>5714</v>
      </c>
      <c r="C4929" s="59">
        <v>-30.030036774766401</v>
      </c>
      <c r="D4929" s="59">
        <v>-51.228660463702333</v>
      </c>
    </row>
    <row r="4930" spans="1:4" x14ac:dyDescent="0.3">
      <c r="A4930" s="58">
        <v>4315008</v>
      </c>
      <c r="B4930" s="58" t="s">
        <v>5715</v>
      </c>
      <c r="C4930" s="59">
        <v>-27.851375115972605</v>
      </c>
      <c r="D4930" s="59">
        <v>-55.01156204525244</v>
      </c>
    </row>
    <row r="4931" spans="1:4" x14ac:dyDescent="0.3">
      <c r="A4931" s="58">
        <v>4315057</v>
      </c>
      <c r="B4931" s="58" t="s">
        <v>5716</v>
      </c>
      <c r="C4931" s="59">
        <v>-27.578635360057106</v>
      </c>
      <c r="D4931" s="59">
        <v>-54.671951891498018</v>
      </c>
    </row>
    <row r="4932" spans="1:4" x14ac:dyDescent="0.3">
      <c r="A4932" s="58">
        <v>4315073</v>
      </c>
      <c r="B4932" s="58" t="s">
        <v>5717</v>
      </c>
      <c r="C4932" s="59">
        <v>-27.734373919408455</v>
      </c>
      <c r="D4932" s="59">
        <v>-54.899031824044698</v>
      </c>
    </row>
    <row r="4933" spans="1:4" x14ac:dyDescent="0.3">
      <c r="A4933" s="58">
        <v>4315107</v>
      </c>
      <c r="B4933" s="58" t="s">
        <v>5718</v>
      </c>
      <c r="C4933" s="59">
        <v>-27.905689846934308</v>
      </c>
      <c r="D4933" s="59">
        <v>-55.139560262015991</v>
      </c>
    </row>
    <row r="4934" spans="1:4" x14ac:dyDescent="0.3">
      <c r="A4934" s="58">
        <v>4315131</v>
      </c>
      <c r="B4934" s="58" t="s">
        <v>5719</v>
      </c>
      <c r="C4934" s="59">
        <v>-29.169761252323511</v>
      </c>
      <c r="D4934" s="59">
        <v>-52.210869739506656</v>
      </c>
    </row>
    <row r="4935" spans="1:4" x14ac:dyDescent="0.3">
      <c r="A4935" s="58">
        <v>4315149</v>
      </c>
      <c r="B4935" s="58" t="s">
        <v>5720</v>
      </c>
      <c r="C4935" s="59">
        <v>-29.526127068180106</v>
      </c>
      <c r="D4935" s="59">
        <v>-51.181599695051652</v>
      </c>
    </row>
    <row r="4936" spans="1:4" x14ac:dyDescent="0.3">
      <c r="A4936" s="58">
        <v>4315156</v>
      </c>
      <c r="B4936" s="58" t="s">
        <v>5721</v>
      </c>
      <c r="C4936" s="59">
        <v>-29.240308678121053</v>
      </c>
      <c r="D4936" s="59">
        <v>-52.301716602948936</v>
      </c>
    </row>
    <row r="4937" spans="1:4" x14ac:dyDescent="0.3">
      <c r="A4937" s="58">
        <v>4315172</v>
      </c>
      <c r="B4937" s="58" t="s">
        <v>5722</v>
      </c>
      <c r="C4937" s="59">
        <v>-28.756712831185201</v>
      </c>
      <c r="D4937" s="59">
        <v>-51.473631697258277</v>
      </c>
    </row>
    <row r="4938" spans="1:4" x14ac:dyDescent="0.3">
      <c r="A4938" s="58">
        <v>4315206</v>
      </c>
      <c r="B4938" s="58" t="s">
        <v>5723</v>
      </c>
      <c r="C4938" s="59">
        <v>-28.998755654131052</v>
      </c>
      <c r="D4938" s="59">
        <v>-52.159910694708863</v>
      </c>
    </row>
    <row r="4939" spans="1:4" x14ac:dyDescent="0.3">
      <c r="A4939" s="58">
        <v>4315305</v>
      </c>
      <c r="B4939" s="58" t="s">
        <v>5724</v>
      </c>
      <c r="C4939" s="59">
        <v>-30.382867960881256</v>
      </c>
      <c r="D4939" s="59">
        <v>-56.453647040383643</v>
      </c>
    </row>
    <row r="4940" spans="1:4" x14ac:dyDescent="0.3">
      <c r="A4940" s="58">
        <v>4315313</v>
      </c>
      <c r="B4940" s="58" t="s">
        <v>5725</v>
      </c>
      <c r="C4940" s="59">
        <v>-27.821196688680104</v>
      </c>
      <c r="D4940" s="59">
        <v>-52.442768604506171</v>
      </c>
    </row>
    <row r="4941" spans="1:4" x14ac:dyDescent="0.3">
      <c r="A4941" s="58">
        <v>4315321</v>
      </c>
      <c r="B4941" s="58" t="s">
        <v>5726</v>
      </c>
      <c r="C4941" s="59">
        <v>-29.351921349972507</v>
      </c>
      <c r="D4941" s="59">
        <v>-54.071254722350773</v>
      </c>
    </row>
    <row r="4942" spans="1:4" x14ac:dyDescent="0.3">
      <c r="A4942" s="58">
        <v>4315354</v>
      </c>
      <c r="B4942" s="58" t="s">
        <v>5727</v>
      </c>
      <c r="C4942" s="59">
        <v>-28.742361349923275</v>
      </c>
      <c r="D4942" s="59">
        <v>-53.096722056781836</v>
      </c>
    </row>
    <row r="4943" spans="1:4" x14ac:dyDescent="0.3">
      <c r="A4943" s="58">
        <v>4315404</v>
      </c>
      <c r="B4943" s="58" t="s">
        <v>5728</v>
      </c>
      <c r="C4943" s="59">
        <v>-27.661539882669906</v>
      </c>
      <c r="D4943" s="59">
        <v>-53.641933693995348</v>
      </c>
    </row>
    <row r="4944" spans="1:4" x14ac:dyDescent="0.3">
      <c r="A4944" s="58">
        <v>4315453</v>
      </c>
      <c r="B4944" s="58" t="s">
        <v>5729</v>
      </c>
      <c r="C4944" s="59">
        <v>-29.112278666125604</v>
      </c>
      <c r="D4944" s="59">
        <v>-52.07294855429658</v>
      </c>
    </row>
    <row r="4945" spans="1:4" x14ac:dyDescent="0.3">
      <c r="A4945" s="58">
        <v>4315503</v>
      </c>
      <c r="B4945" s="58" t="s">
        <v>5730</v>
      </c>
      <c r="C4945" s="59">
        <v>-29.813948536698906</v>
      </c>
      <c r="D4945" s="59">
        <v>-53.37056857654742</v>
      </c>
    </row>
    <row r="4946" spans="1:4" x14ac:dyDescent="0.3">
      <c r="A4946" s="58">
        <v>4315552</v>
      </c>
      <c r="B4946" s="58" t="s">
        <v>5731</v>
      </c>
      <c r="C4946" s="59">
        <v>-27.298397595219804</v>
      </c>
      <c r="D4946" s="59">
        <v>-52.840057892829201</v>
      </c>
    </row>
    <row r="4947" spans="1:4" x14ac:dyDescent="0.3">
      <c r="A4947" s="58">
        <v>4315602</v>
      </c>
      <c r="B4947" s="58" t="s">
        <v>5732</v>
      </c>
      <c r="C4947" s="59">
        <v>-32.050445792652503</v>
      </c>
      <c r="D4947" s="59">
        <v>-52.086769699113468</v>
      </c>
    </row>
    <row r="4948" spans="1:4" x14ac:dyDescent="0.3">
      <c r="A4948" s="58">
        <v>4315701</v>
      </c>
      <c r="B4948" s="58" t="s">
        <v>5733</v>
      </c>
      <c r="C4948" s="59">
        <v>-29.985625878653256</v>
      </c>
      <c r="D4948" s="59">
        <v>-52.379018251236332</v>
      </c>
    </row>
    <row r="4949" spans="1:4" x14ac:dyDescent="0.3">
      <c r="A4949" s="58">
        <v>4315750</v>
      </c>
      <c r="B4949" s="58" t="s">
        <v>5734</v>
      </c>
      <c r="C4949" s="59">
        <v>-29.642286013791708</v>
      </c>
      <c r="D4949" s="59">
        <v>-50.473818113786287</v>
      </c>
    </row>
    <row r="4950" spans="1:4" x14ac:dyDescent="0.3">
      <c r="A4950" s="58">
        <v>4315800</v>
      </c>
      <c r="B4950" s="58" t="s">
        <v>5735</v>
      </c>
      <c r="C4950" s="59">
        <v>-29.285070073713356</v>
      </c>
      <c r="D4950" s="59">
        <v>-51.863891759921984</v>
      </c>
    </row>
    <row r="4951" spans="1:4" x14ac:dyDescent="0.3">
      <c r="A4951" s="58">
        <v>4315909</v>
      </c>
      <c r="B4951" s="58" t="s">
        <v>5736</v>
      </c>
      <c r="C4951" s="59">
        <v>-27.470403435462057</v>
      </c>
      <c r="D4951" s="59">
        <v>-53.1685306043438</v>
      </c>
    </row>
    <row r="4952" spans="1:4" x14ac:dyDescent="0.3">
      <c r="A4952" s="58">
        <v>4315958</v>
      </c>
      <c r="B4952" s="58" t="s">
        <v>5737</v>
      </c>
      <c r="C4952" s="59">
        <v>-28.256344217328003</v>
      </c>
      <c r="D4952" s="59">
        <v>-54.819426975410387</v>
      </c>
    </row>
    <row r="4953" spans="1:4" x14ac:dyDescent="0.3">
      <c r="A4953" s="58">
        <v>4316006</v>
      </c>
      <c r="B4953" s="58" t="s">
        <v>5738</v>
      </c>
      <c r="C4953" s="59">
        <v>-29.640762889996555</v>
      </c>
      <c r="D4953" s="59">
        <v>-50.57344233458825</v>
      </c>
    </row>
    <row r="4954" spans="1:4" x14ac:dyDescent="0.3">
      <c r="A4954" s="58">
        <v>4316105</v>
      </c>
      <c r="B4954" s="58" t="s">
        <v>5739</v>
      </c>
      <c r="C4954" s="59">
        <v>-27.781931352866753</v>
      </c>
      <c r="D4954" s="59">
        <v>-52.806533525569144</v>
      </c>
    </row>
    <row r="4955" spans="1:4" x14ac:dyDescent="0.3">
      <c r="A4955" s="58">
        <v>4316204</v>
      </c>
      <c r="B4955" s="58" t="s">
        <v>5740</v>
      </c>
      <c r="C4955" s="59">
        <v>-27.831815970369206</v>
      </c>
      <c r="D4955" s="59">
        <v>-52.906160156480389</v>
      </c>
    </row>
    <row r="4956" spans="1:4" x14ac:dyDescent="0.3">
      <c r="A4956" s="58">
        <v>4316303</v>
      </c>
      <c r="B4956" s="58" t="s">
        <v>5741</v>
      </c>
      <c r="C4956" s="59">
        <v>-28.135366986894958</v>
      </c>
      <c r="D4956" s="59">
        <v>-55.029186124345863</v>
      </c>
    </row>
    <row r="4957" spans="1:4" x14ac:dyDescent="0.3">
      <c r="A4957" s="58">
        <v>4316402</v>
      </c>
      <c r="B4957" s="58" t="s">
        <v>5742</v>
      </c>
      <c r="C4957" s="59">
        <v>-30.244033237809852</v>
      </c>
      <c r="D4957" s="59">
        <v>-54.945760855251926</v>
      </c>
    </row>
    <row r="4958" spans="1:4" x14ac:dyDescent="0.3">
      <c r="A4958" s="58">
        <v>4316428</v>
      </c>
      <c r="B4958" s="58" t="s">
        <v>5743</v>
      </c>
      <c r="C4958" s="59">
        <v>-27.706730990501555</v>
      </c>
      <c r="D4958" s="59">
        <v>-53.135651718031085</v>
      </c>
    </row>
    <row r="4959" spans="1:4" x14ac:dyDescent="0.3">
      <c r="A4959" s="58">
        <v>4316436</v>
      </c>
      <c r="B4959" s="58" t="s">
        <v>5744</v>
      </c>
      <c r="C4959" s="59">
        <v>-28.403286170686474</v>
      </c>
      <c r="D4959" s="59">
        <v>-53.094107201560675</v>
      </c>
    </row>
    <row r="4960" spans="1:4" x14ac:dyDescent="0.3">
      <c r="A4960" s="58">
        <v>4316451</v>
      </c>
      <c r="B4960" s="58" t="s">
        <v>5745</v>
      </c>
      <c r="C4960" s="59">
        <v>-29.088681247816915</v>
      </c>
      <c r="D4960" s="59">
        <v>-53.213309652406394</v>
      </c>
    </row>
    <row r="4961" spans="1:4" x14ac:dyDescent="0.3">
      <c r="A4961" s="58">
        <v>4316477</v>
      </c>
      <c r="B4961" s="58" t="s">
        <v>5746</v>
      </c>
      <c r="C4961" s="59">
        <v>-28.121697445134</v>
      </c>
      <c r="D4961" s="59">
        <v>-54.837742018812264</v>
      </c>
    </row>
    <row r="4962" spans="1:4" x14ac:dyDescent="0.3">
      <c r="A4962" s="58">
        <v>4316501</v>
      </c>
      <c r="B4962" s="58" t="s">
        <v>5747</v>
      </c>
      <c r="C4962" s="59">
        <v>-29.439732220880053</v>
      </c>
      <c r="D4962" s="59">
        <v>-51.509421459476535</v>
      </c>
    </row>
    <row r="4963" spans="1:4" x14ac:dyDescent="0.3">
      <c r="A4963" s="58">
        <v>4316600</v>
      </c>
      <c r="B4963" s="58" t="s">
        <v>5748</v>
      </c>
      <c r="C4963" s="59">
        <v>-27.9440065101962</v>
      </c>
      <c r="D4963" s="59">
        <v>-51.813501913945579</v>
      </c>
    </row>
    <row r="4964" spans="1:4" x14ac:dyDescent="0.3">
      <c r="A4964" s="58">
        <v>4316709</v>
      </c>
      <c r="B4964" s="58" t="s">
        <v>5749</v>
      </c>
      <c r="C4964" s="59">
        <v>-28.365166816746505</v>
      </c>
      <c r="D4964" s="59">
        <v>-53.250526707550385</v>
      </c>
    </row>
    <row r="4965" spans="1:4" x14ac:dyDescent="0.3">
      <c r="A4965" s="58">
        <v>4316733</v>
      </c>
      <c r="B4965" s="58" t="s">
        <v>5750</v>
      </c>
      <c r="C4965" s="59">
        <v>-28.164451104973104</v>
      </c>
      <c r="D4965" s="59">
        <v>-51.926671261095628</v>
      </c>
    </row>
    <row r="4966" spans="1:4" x14ac:dyDescent="0.3">
      <c r="A4966" s="58">
        <v>4316758</v>
      </c>
      <c r="B4966" s="58" t="s">
        <v>5751</v>
      </c>
      <c r="C4966" s="59">
        <v>-29.463596210918706</v>
      </c>
      <c r="D4966" s="59">
        <v>-52.080925823931565</v>
      </c>
    </row>
    <row r="4967" spans="1:4" x14ac:dyDescent="0.3">
      <c r="A4967" s="58">
        <v>4316808</v>
      </c>
      <c r="B4967" s="58" t="s">
        <v>5752</v>
      </c>
      <c r="C4967" s="59">
        <v>-29.719768433746555</v>
      </c>
      <c r="D4967" s="59">
        <v>-52.429928587370398</v>
      </c>
    </row>
    <row r="4968" spans="1:4" x14ac:dyDescent="0.3">
      <c r="A4968" s="58">
        <v>4316907</v>
      </c>
      <c r="B4968" s="58" t="s">
        <v>2184</v>
      </c>
      <c r="C4968" s="59">
        <v>-29.685581803545702</v>
      </c>
      <c r="D4968" s="59">
        <v>-53.808675394662885</v>
      </c>
    </row>
    <row r="4969" spans="1:4" x14ac:dyDescent="0.3">
      <c r="A4969" s="58">
        <v>4316956</v>
      </c>
      <c r="B4969" s="58" t="s">
        <v>5753</v>
      </c>
      <c r="C4969" s="59">
        <v>-29.503515538799903</v>
      </c>
      <c r="D4969" s="59">
        <v>-50.987255409364266</v>
      </c>
    </row>
    <row r="4970" spans="1:4" x14ac:dyDescent="0.3">
      <c r="A4970" s="58">
        <v>4316972</v>
      </c>
      <c r="B4970" s="58" t="s">
        <v>5754</v>
      </c>
      <c r="C4970" s="59">
        <v>-30.345103450910457</v>
      </c>
      <c r="D4970" s="59">
        <v>-54.090954670358613</v>
      </c>
    </row>
    <row r="4971" spans="1:4" x14ac:dyDescent="0.3">
      <c r="A4971" s="58">
        <v>4317004</v>
      </c>
      <c r="B4971" s="58" t="s">
        <v>5755</v>
      </c>
      <c r="C4971" s="59">
        <v>-30.874702573961606</v>
      </c>
      <c r="D4971" s="59">
        <v>-53.115874998699077</v>
      </c>
    </row>
    <row r="4972" spans="1:4" x14ac:dyDescent="0.3">
      <c r="A4972" s="58">
        <v>4317103</v>
      </c>
      <c r="B4972" s="58" t="s">
        <v>5756</v>
      </c>
      <c r="C4972" s="59">
        <v>-30.889384011212904</v>
      </c>
      <c r="D4972" s="59">
        <v>-55.534814267959725</v>
      </c>
    </row>
    <row r="4973" spans="1:4" x14ac:dyDescent="0.3">
      <c r="A4973" s="58">
        <v>4317202</v>
      </c>
      <c r="B4973" s="58" t="s">
        <v>5757</v>
      </c>
      <c r="C4973" s="59">
        <v>-27.866749798922999</v>
      </c>
      <c r="D4973" s="59">
        <v>-54.478224098760876</v>
      </c>
    </row>
    <row r="4974" spans="1:4" x14ac:dyDescent="0.3">
      <c r="A4974" s="58">
        <v>4317251</v>
      </c>
      <c r="B4974" s="58" t="s">
        <v>5758</v>
      </c>
      <c r="C4974" s="59">
        <v>-29.171634439872502</v>
      </c>
      <c r="D4974" s="59">
        <v>-51.734344242398933</v>
      </c>
    </row>
    <row r="4975" spans="1:4" x14ac:dyDescent="0.3">
      <c r="A4975" s="58">
        <v>4317301</v>
      </c>
      <c r="B4975" s="58" t="s">
        <v>5759</v>
      </c>
      <c r="C4975" s="59">
        <v>-33.519860030694751</v>
      </c>
      <c r="D4975" s="59">
        <v>-53.367006380733301</v>
      </c>
    </row>
    <row r="4976" spans="1:4" x14ac:dyDescent="0.3">
      <c r="A4976" s="58">
        <v>4317400</v>
      </c>
      <c r="B4976" s="58" t="s">
        <v>5760</v>
      </c>
      <c r="C4976" s="59">
        <v>-29.191460170894359</v>
      </c>
      <c r="D4976" s="59">
        <v>-54.869075853788608</v>
      </c>
    </row>
    <row r="4977" spans="1:4" x14ac:dyDescent="0.3">
      <c r="A4977" s="58">
        <v>4317509</v>
      </c>
      <c r="B4977" s="58" t="s">
        <v>5761</v>
      </c>
      <c r="C4977" s="59">
        <v>-28.301937873347352</v>
      </c>
      <c r="D4977" s="59">
        <v>-54.264142798426946</v>
      </c>
    </row>
    <row r="4978" spans="1:4" x14ac:dyDescent="0.3">
      <c r="A4978" s="58">
        <v>4317558</v>
      </c>
      <c r="B4978" s="58" t="s">
        <v>5762</v>
      </c>
      <c r="C4978" s="59">
        <v>-28.497445104529557</v>
      </c>
      <c r="D4978" s="59">
        <v>-52.02463305955937</v>
      </c>
    </row>
    <row r="4979" spans="1:4" x14ac:dyDescent="0.3">
      <c r="A4979" s="58">
        <v>4317608</v>
      </c>
      <c r="B4979" s="58" t="s">
        <v>5763</v>
      </c>
      <c r="C4979" s="59">
        <v>-29.832034016925103</v>
      </c>
      <c r="D4979" s="59">
        <v>-50.520985936677796</v>
      </c>
    </row>
    <row r="4980" spans="1:4" x14ac:dyDescent="0.3">
      <c r="A4980" s="58">
        <v>4317707</v>
      </c>
      <c r="B4980" s="58" t="s">
        <v>5764</v>
      </c>
      <c r="C4980" s="59">
        <v>-28.508096977591851</v>
      </c>
      <c r="D4980" s="59">
        <v>-55.22455664263439</v>
      </c>
    </row>
    <row r="4981" spans="1:4" x14ac:dyDescent="0.3">
      <c r="A4981" s="58">
        <v>4317756</v>
      </c>
      <c r="B4981" s="58" t="s">
        <v>5765</v>
      </c>
      <c r="C4981" s="59">
        <v>-28.395928906631056</v>
      </c>
      <c r="D4981" s="59">
        <v>-52.683725844432253</v>
      </c>
    </row>
    <row r="4982" spans="1:4" x14ac:dyDescent="0.3">
      <c r="A4982" s="58">
        <v>4317806</v>
      </c>
      <c r="B4982" s="58" t="s">
        <v>5766</v>
      </c>
      <c r="C4982" s="59">
        <v>-27.853490776403305</v>
      </c>
      <c r="D4982" s="59">
        <v>-53.778849598293228</v>
      </c>
    </row>
    <row r="4983" spans="1:4" x14ac:dyDescent="0.3">
      <c r="A4983" s="58">
        <v>4317905</v>
      </c>
      <c r="B4983" s="58" t="s">
        <v>5767</v>
      </c>
      <c r="C4983" s="59">
        <v>-27.819929734601054</v>
      </c>
      <c r="D4983" s="59">
        <v>-54.668747895290402</v>
      </c>
    </row>
    <row r="4984" spans="1:4" x14ac:dyDescent="0.3">
      <c r="A4984" s="58">
        <v>4317954</v>
      </c>
      <c r="B4984" s="58" t="s">
        <v>5768</v>
      </c>
      <c r="C4984" s="59">
        <v>-27.909369424614354</v>
      </c>
      <c r="D4984" s="59">
        <v>-51.64357217432557</v>
      </c>
    </row>
    <row r="4985" spans="1:4" x14ac:dyDescent="0.3">
      <c r="A4985" s="58">
        <v>4318002</v>
      </c>
      <c r="B4985" s="58" t="s">
        <v>5769</v>
      </c>
      <c r="C4985" s="59">
        <v>-28.662837526694659</v>
      </c>
      <c r="D4985" s="59">
        <v>-56.001029153618504</v>
      </c>
    </row>
    <row r="4986" spans="1:4" x14ac:dyDescent="0.3">
      <c r="A4986" s="58">
        <v>4318051</v>
      </c>
      <c r="B4986" s="58" t="s">
        <v>5770</v>
      </c>
      <c r="C4986" s="59">
        <v>-28.531763126799206</v>
      </c>
      <c r="D4986" s="59">
        <v>-51.893186714181176</v>
      </c>
    </row>
    <row r="4987" spans="1:4" x14ac:dyDescent="0.3">
      <c r="A4987" s="58">
        <v>4318101</v>
      </c>
      <c r="B4987" s="58" t="s">
        <v>5771</v>
      </c>
      <c r="C4987" s="59">
        <v>-29.55271590673825</v>
      </c>
      <c r="D4987" s="59">
        <v>-55.13238574024512</v>
      </c>
    </row>
    <row r="4988" spans="1:4" x14ac:dyDescent="0.3">
      <c r="A4988" s="58">
        <v>4318200</v>
      </c>
      <c r="B4988" s="58" t="s">
        <v>3870</v>
      </c>
      <c r="C4988" s="59">
        <v>-29.444098074799307</v>
      </c>
      <c r="D4988" s="59">
        <v>-50.582108107830443</v>
      </c>
    </row>
    <row r="4989" spans="1:4" x14ac:dyDescent="0.3">
      <c r="A4989" s="58">
        <v>4318309</v>
      </c>
      <c r="B4989" s="58" t="s">
        <v>3117</v>
      </c>
      <c r="C4989" s="59">
        <v>-30.336760054851453</v>
      </c>
      <c r="D4989" s="59">
        <v>-54.320477858107616</v>
      </c>
    </row>
    <row r="4990" spans="1:4" x14ac:dyDescent="0.3">
      <c r="A4990" s="58">
        <v>4318408</v>
      </c>
      <c r="B4990" s="58" t="s">
        <v>5772</v>
      </c>
      <c r="C4990" s="59">
        <v>-29.959438664804956</v>
      </c>
      <c r="D4990" s="59">
        <v>-51.728177503240424</v>
      </c>
    </row>
    <row r="4991" spans="1:4" x14ac:dyDescent="0.3">
      <c r="A4991" s="58">
        <v>4318424</v>
      </c>
      <c r="B4991" s="58" t="s">
        <v>5773</v>
      </c>
      <c r="C4991" s="59">
        <v>-27.826689965513552</v>
      </c>
      <c r="D4991" s="59">
        <v>-51.825838547592895</v>
      </c>
    </row>
    <row r="4992" spans="1:4" x14ac:dyDescent="0.3">
      <c r="A4992" s="58">
        <v>4318432</v>
      </c>
      <c r="B4992" s="58" t="s">
        <v>5774</v>
      </c>
      <c r="C4992" s="59">
        <v>-29.614676416364301</v>
      </c>
      <c r="D4992" s="59">
        <v>-53.446350434806199</v>
      </c>
    </row>
    <row r="4993" spans="1:4" x14ac:dyDescent="0.3">
      <c r="A4993" s="58">
        <v>4318440</v>
      </c>
      <c r="B4993" s="58" t="s">
        <v>5775</v>
      </c>
      <c r="C4993" s="59">
        <v>-28.498080971001453</v>
      </c>
      <c r="D4993" s="59">
        <v>-51.702968589339307</v>
      </c>
    </row>
    <row r="4994" spans="1:4" x14ac:dyDescent="0.3">
      <c r="A4994" s="58">
        <v>4318457</v>
      </c>
      <c r="B4994" s="58" t="s">
        <v>5776</v>
      </c>
      <c r="C4994" s="59">
        <v>-27.778183318051603</v>
      </c>
      <c r="D4994" s="59">
        <v>-53.118775269011117</v>
      </c>
    </row>
    <row r="4995" spans="1:4" x14ac:dyDescent="0.3">
      <c r="A4995" s="58">
        <v>4318465</v>
      </c>
      <c r="B4995" s="58" t="s">
        <v>5777</v>
      </c>
      <c r="C4995" s="59">
        <v>-29.041447021339852</v>
      </c>
      <c r="D4995" s="59">
        <v>-52.293016474121799</v>
      </c>
    </row>
    <row r="4996" spans="1:4" x14ac:dyDescent="0.3">
      <c r="A4996" s="58">
        <v>4318481</v>
      </c>
      <c r="B4996" s="58" t="s">
        <v>5778</v>
      </c>
      <c r="C4996" s="59">
        <v>-29.540048607318951</v>
      </c>
      <c r="D4996" s="59">
        <v>-51.249597557143794</v>
      </c>
    </row>
    <row r="4997" spans="1:4" x14ac:dyDescent="0.3">
      <c r="A4997" s="58">
        <v>4318499</v>
      </c>
      <c r="B4997" s="58" t="s">
        <v>5779</v>
      </c>
      <c r="C4997" s="59">
        <v>-27.722584567332003</v>
      </c>
      <c r="D4997" s="59">
        <v>-54.133550202739002</v>
      </c>
    </row>
    <row r="4998" spans="1:4" x14ac:dyDescent="0.3">
      <c r="A4998" s="58">
        <v>4318507</v>
      </c>
      <c r="B4998" s="58" t="s">
        <v>5780</v>
      </c>
      <c r="C4998" s="59">
        <v>-32.020609112738057</v>
      </c>
      <c r="D4998" s="59">
        <v>-52.034202271983816</v>
      </c>
    </row>
    <row r="4999" spans="1:4" x14ac:dyDescent="0.3">
      <c r="A4999" s="58">
        <v>4318606</v>
      </c>
      <c r="B4999" s="58" t="s">
        <v>5781</v>
      </c>
      <c r="C4999" s="59">
        <v>-27.771255406485004</v>
      </c>
      <c r="D4999" s="59">
        <v>-51.594767677991122</v>
      </c>
    </row>
    <row r="5000" spans="1:4" x14ac:dyDescent="0.3">
      <c r="A5000" s="58">
        <v>4318614</v>
      </c>
      <c r="B5000" s="58" t="s">
        <v>5782</v>
      </c>
      <c r="C5000" s="59">
        <v>-29.543469517815804</v>
      </c>
      <c r="D5000" s="59">
        <v>-51.486383830685341</v>
      </c>
    </row>
    <row r="5001" spans="1:4" x14ac:dyDescent="0.3">
      <c r="A5001" s="58">
        <v>4318622</v>
      </c>
      <c r="B5001" s="58" t="s">
        <v>5783</v>
      </c>
      <c r="C5001" s="59">
        <v>-28.749906432033811</v>
      </c>
      <c r="D5001" s="59">
        <v>-50.063612937632868</v>
      </c>
    </row>
    <row r="5002" spans="1:4" x14ac:dyDescent="0.3">
      <c r="A5002" s="58">
        <v>4318705</v>
      </c>
      <c r="B5002" s="58" t="s">
        <v>5784</v>
      </c>
      <c r="C5002" s="59">
        <v>-29.765866542385105</v>
      </c>
      <c r="D5002" s="59">
        <v>-51.146234561572179</v>
      </c>
    </row>
    <row r="5003" spans="1:4" x14ac:dyDescent="0.3">
      <c r="A5003" s="58">
        <v>4318804</v>
      </c>
      <c r="B5003" s="58" t="s">
        <v>5785</v>
      </c>
      <c r="C5003" s="59">
        <v>-31.364023721151156</v>
      </c>
      <c r="D5003" s="59">
        <v>-51.976915235762284</v>
      </c>
    </row>
    <row r="5004" spans="1:4" x14ac:dyDescent="0.3">
      <c r="A5004" s="58">
        <v>4318903</v>
      </c>
      <c r="B5004" s="58" t="s">
        <v>5786</v>
      </c>
      <c r="C5004" s="59">
        <v>-28.406646953009357</v>
      </c>
      <c r="D5004" s="59">
        <v>-54.959659549363913</v>
      </c>
    </row>
    <row r="5005" spans="1:4" x14ac:dyDescent="0.3">
      <c r="A5005" s="58">
        <v>4319000</v>
      </c>
      <c r="B5005" s="58" t="s">
        <v>5787</v>
      </c>
      <c r="C5005" s="59">
        <v>-28.969848639421201</v>
      </c>
      <c r="D5005" s="59">
        <v>-51.066706938263216</v>
      </c>
    </row>
    <row r="5006" spans="1:4" x14ac:dyDescent="0.3">
      <c r="A5006" s="58">
        <v>4319109</v>
      </c>
      <c r="B5006" s="58" t="s">
        <v>5370</v>
      </c>
      <c r="C5006" s="59">
        <v>-27.708928802128355</v>
      </c>
      <c r="D5006" s="59">
        <v>-53.966922723041783</v>
      </c>
    </row>
    <row r="5007" spans="1:4" x14ac:dyDescent="0.3">
      <c r="A5007" s="58">
        <v>4319125</v>
      </c>
      <c r="B5007" s="58" t="s">
        <v>5788</v>
      </c>
      <c r="C5007" s="59">
        <v>-29.534850568315555</v>
      </c>
      <c r="D5007" s="59">
        <v>-53.854225631864331</v>
      </c>
    </row>
    <row r="5008" spans="1:4" x14ac:dyDescent="0.3">
      <c r="A5008" s="58">
        <v>4319158</v>
      </c>
      <c r="B5008" s="58" t="s">
        <v>5789</v>
      </c>
      <c r="C5008" s="59">
        <v>-28.549537121513104</v>
      </c>
      <c r="D5008" s="59">
        <v>-54.561563093700123</v>
      </c>
    </row>
    <row r="5009" spans="1:4" x14ac:dyDescent="0.3">
      <c r="A5009" s="58">
        <v>4319208</v>
      </c>
      <c r="B5009" s="58" t="s">
        <v>5790</v>
      </c>
      <c r="C5009" s="59">
        <v>-28.182154693305602</v>
      </c>
      <c r="D5009" s="59">
        <v>-55.260100232027966</v>
      </c>
    </row>
    <row r="5010" spans="1:4" x14ac:dyDescent="0.3">
      <c r="A5010" s="58">
        <v>4319307</v>
      </c>
      <c r="B5010" s="58" t="s">
        <v>5791</v>
      </c>
      <c r="C5010" s="59">
        <v>-28.020484909962153</v>
      </c>
      <c r="D5010" s="59">
        <v>-54.934708342252421</v>
      </c>
    </row>
    <row r="5011" spans="1:4" x14ac:dyDescent="0.3">
      <c r="A5011" s="58">
        <v>4319356</v>
      </c>
      <c r="B5011" s="58" t="s">
        <v>5792</v>
      </c>
      <c r="C5011" s="59">
        <v>-29.421429842003452</v>
      </c>
      <c r="D5011" s="59">
        <v>-51.514326527240989</v>
      </c>
    </row>
    <row r="5012" spans="1:4" x14ac:dyDescent="0.3">
      <c r="A5012" s="58">
        <v>4319364</v>
      </c>
      <c r="B5012" s="58" t="s">
        <v>5793</v>
      </c>
      <c r="C5012" s="59">
        <v>-27.771308460748955</v>
      </c>
      <c r="D5012" s="59">
        <v>-53.24736897885257</v>
      </c>
    </row>
    <row r="5013" spans="1:4" x14ac:dyDescent="0.3">
      <c r="A5013" s="58">
        <v>4319372</v>
      </c>
      <c r="B5013" s="58" t="s">
        <v>5794</v>
      </c>
      <c r="C5013" s="59">
        <v>-28.124353901842117</v>
      </c>
      <c r="D5013" s="59">
        <v>-54.88825595344629</v>
      </c>
    </row>
    <row r="5014" spans="1:4" x14ac:dyDescent="0.3">
      <c r="A5014" s="58">
        <v>4319406</v>
      </c>
      <c r="B5014" s="58" t="s">
        <v>5795</v>
      </c>
      <c r="C5014" s="59">
        <v>-29.617530756194057</v>
      </c>
      <c r="D5014" s="59">
        <v>-54.179991287549477</v>
      </c>
    </row>
    <row r="5015" spans="1:4" x14ac:dyDescent="0.3">
      <c r="A5015" s="58">
        <v>4319505</v>
      </c>
      <c r="B5015" s="58" t="s">
        <v>5796</v>
      </c>
      <c r="C5015" s="59">
        <v>-29.592080330757849</v>
      </c>
      <c r="D5015" s="59">
        <v>-51.376664824245132</v>
      </c>
    </row>
    <row r="5016" spans="1:4" x14ac:dyDescent="0.3">
      <c r="A5016" s="58">
        <v>4319604</v>
      </c>
      <c r="B5016" s="58" t="s">
        <v>5797</v>
      </c>
      <c r="C5016" s="59">
        <v>-30.167411389713504</v>
      </c>
      <c r="D5016" s="59">
        <v>-53.569644125371838</v>
      </c>
    </row>
    <row r="5017" spans="1:4" x14ac:dyDescent="0.3">
      <c r="A5017" s="58">
        <v>4319703</v>
      </c>
      <c r="B5017" s="58" t="s">
        <v>5798</v>
      </c>
      <c r="C5017" s="59">
        <v>-27.554318331222753</v>
      </c>
      <c r="D5017" s="59">
        <v>-52.528478942221888</v>
      </c>
    </row>
    <row r="5018" spans="1:4" x14ac:dyDescent="0.3">
      <c r="A5018" s="58">
        <v>4319711</v>
      </c>
      <c r="B5018" s="58" t="s">
        <v>5799</v>
      </c>
      <c r="C5018" s="59">
        <v>-29.051227528125651</v>
      </c>
      <c r="D5018" s="59">
        <v>-51.769670539140975</v>
      </c>
    </row>
    <row r="5019" spans="1:4" x14ac:dyDescent="0.3">
      <c r="A5019" s="58">
        <v>4319737</v>
      </c>
      <c r="B5019" s="58" t="s">
        <v>5800</v>
      </c>
      <c r="C5019" s="59">
        <v>-27.787718169884052</v>
      </c>
      <c r="D5019" s="59">
        <v>-53.935526151343488</v>
      </c>
    </row>
    <row r="5020" spans="1:4" x14ac:dyDescent="0.3">
      <c r="A5020" s="58">
        <v>4319752</v>
      </c>
      <c r="B5020" s="58" t="s">
        <v>5801</v>
      </c>
      <c r="C5020" s="59">
        <v>-29.375809957172102</v>
      </c>
      <c r="D5020" s="59">
        <v>-51.368652756262541</v>
      </c>
    </row>
    <row r="5021" spans="1:4" x14ac:dyDescent="0.3">
      <c r="A5021" s="58">
        <v>4319802</v>
      </c>
      <c r="B5021" s="58" t="s">
        <v>5802</v>
      </c>
      <c r="C5021" s="59">
        <v>-29.692060834465906</v>
      </c>
      <c r="D5021" s="59">
        <v>-54.676002016209267</v>
      </c>
    </row>
    <row r="5022" spans="1:4" x14ac:dyDescent="0.3">
      <c r="A5022" s="58">
        <v>4319901</v>
      </c>
      <c r="B5022" s="58" t="s">
        <v>5803</v>
      </c>
      <c r="C5022" s="59">
        <v>-29.638554117614504</v>
      </c>
      <c r="D5022" s="59">
        <v>-51.003622987823803</v>
      </c>
    </row>
    <row r="5023" spans="1:4" x14ac:dyDescent="0.3">
      <c r="A5023" s="58">
        <v>4320008</v>
      </c>
      <c r="B5023" s="58" t="s">
        <v>5804</v>
      </c>
      <c r="C5023" s="59">
        <v>-29.824868032585407</v>
      </c>
      <c r="D5023" s="59">
        <v>-51.15187471552057</v>
      </c>
    </row>
    <row r="5024" spans="1:4" x14ac:dyDescent="0.3">
      <c r="A5024" s="58">
        <v>4320107</v>
      </c>
      <c r="B5024" s="58" t="s">
        <v>5115</v>
      </c>
      <c r="C5024" s="59">
        <v>-27.943595177904058</v>
      </c>
      <c r="D5024" s="59">
        <v>-52.925461059447109</v>
      </c>
    </row>
    <row r="5025" spans="1:4" x14ac:dyDescent="0.3">
      <c r="A5025" s="58">
        <v>4320206</v>
      </c>
      <c r="B5025" s="58" t="s">
        <v>5805</v>
      </c>
      <c r="C5025" s="59">
        <v>-27.480413816526209</v>
      </c>
      <c r="D5025" s="59">
        <v>-53.405467303527942</v>
      </c>
    </row>
    <row r="5026" spans="1:4" x14ac:dyDescent="0.3">
      <c r="A5026" s="58">
        <v>4320230</v>
      </c>
      <c r="B5026" s="58" t="s">
        <v>5806</v>
      </c>
      <c r="C5026" s="59">
        <v>-27.631162872479507</v>
      </c>
      <c r="D5026" s="59">
        <v>-53.955884723833798</v>
      </c>
    </row>
    <row r="5027" spans="1:4" x14ac:dyDescent="0.3">
      <c r="A5027" s="58">
        <v>4320263</v>
      </c>
      <c r="B5027" s="58" t="s">
        <v>5807</v>
      </c>
      <c r="C5027" s="59">
        <v>-29.342618427326855</v>
      </c>
      <c r="D5027" s="59">
        <v>-52.982073641215116</v>
      </c>
    </row>
    <row r="5028" spans="1:4" x14ac:dyDescent="0.3">
      <c r="A5028" s="58">
        <v>4320305</v>
      </c>
      <c r="B5028" s="58" t="s">
        <v>5808</v>
      </c>
      <c r="C5028" s="59">
        <v>-28.627433806630904</v>
      </c>
      <c r="D5028" s="59">
        <v>-52.956525273836228</v>
      </c>
    </row>
    <row r="5029" spans="1:4" x14ac:dyDescent="0.3">
      <c r="A5029" s="58">
        <v>4320321</v>
      </c>
      <c r="B5029" s="58" t="s">
        <v>5809</v>
      </c>
      <c r="C5029" s="59">
        <v>-28.027489501396651</v>
      </c>
      <c r="D5029" s="59">
        <v>-54.545403032518095</v>
      </c>
    </row>
    <row r="5030" spans="1:4" x14ac:dyDescent="0.3">
      <c r="A5030" s="58">
        <v>4320354</v>
      </c>
      <c r="B5030" s="58" t="s">
        <v>5810</v>
      </c>
      <c r="C5030" s="59">
        <v>-30.613302597045404</v>
      </c>
      <c r="D5030" s="59">
        <v>-51.577981774810382</v>
      </c>
    </row>
    <row r="5031" spans="1:4" x14ac:dyDescent="0.3">
      <c r="A5031" s="58">
        <v>4320404</v>
      </c>
      <c r="B5031" s="58" t="s">
        <v>5811</v>
      </c>
      <c r="C5031" s="59">
        <v>-28.710797071407157</v>
      </c>
      <c r="D5031" s="59">
        <v>-51.935708609940313</v>
      </c>
    </row>
    <row r="5032" spans="1:4" x14ac:dyDescent="0.3">
      <c r="A5032" s="58">
        <v>4320453</v>
      </c>
      <c r="B5032" s="58" t="s">
        <v>5812</v>
      </c>
      <c r="C5032" s="59">
        <v>-29.386760089877257</v>
      </c>
      <c r="D5032" s="59">
        <v>-52.267455830944968</v>
      </c>
    </row>
    <row r="5033" spans="1:4" x14ac:dyDescent="0.3">
      <c r="A5033" s="58">
        <v>4320503</v>
      </c>
      <c r="B5033" s="58" t="s">
        <v>5813</v>
      </c>
      <c r="C5033" s="59">
        <v>-27.980773554847456</v>
      </c>
      <c r="D5033" s="59">
        <v>-52.25973786114546</v>
      </c>
    </row>
    <row r="5034" spans="1:4" x14ac:dyDescent="0.3">
      <c r="A5034" s="58">
        <v>4320552</v>
      </c>
      <c r="B5034" s="58" t="s">
        <v>5814</v>
      </c>
      <c r="C5034" s="59">
        <v>-30.465427890332553</v>
      </c>
      <c r="D5034" s="59">
        <v>-51.60424991604291</v>
      </c>
    </row>
    <row r="5035" spans="1:4" x14ac:dyDescent="0.3">
      <c r="A5035" s="58">
        <v>4320578</v>
      </c>
      <c r="B5035" s="58" t="s">
        <v>5815</v>
      </c>
      <c r="C5035" s="59">
        <v>-28.130416323371051</v>
      </c>
      <c r="D5035" s="59">
        <v>-54.463686182315463</v>
      </c>
    </row>
    <row r="5036" spans="1:4" x14ac:dyDescent="0.3">
      <c r="A5036" s="58">
        <v>4320602</v>
      </c>
      <c r="B5036" s="58" t="s">
        <v>5816</v>
      </c>
      <c r="C5036" s="59">
        <v>-27.4327929836269</v>
      </c>
      <c r="D5036" s="59">
        <v>-52.12065629605403</v>
      </c>
    </row>
    <row r="5037" spans="1:4" x14ac:dyDescent="0.3">
      <c r="A5037" s="58">
        <v>4320651</v>
      </c>
      <c r="B5037" s="58" t="s">
        <v>5817</v>
      </c>
      <c r="C5037" s="59">
        <v>-29.645250058547404</v>
      </c>
      <c r="D5037" s="59">
        <v>-53.585237473611862</v>
      </c>
    </row>
    <row r="5038" spans="1:4" x14ac:dyDescent="0.3">
      <c r="A5038" s="58">
        <v>4320677</v>
      </c>
      <c r="B5038" s="58" t="s">
        <v>5818</v>
      </c>
      <c r="C5038" s="59">
        <v>-29.52906815701861</v>
      </c>
      <c r="D5038" s="59">
        <v>-52.521636308625339</v>
      </c>
    </row>
    <row r="5039" spans="1:4" x14ac:dyDescent="0.3">
      <c r="A5039" s="58">
        <v>4320701</v>
      </c>
      <c r="B5039" s="58" t="s">
        <v>3138</v>
      </c>
      <c r="C5039" s="59">
        <v>-29.414773134129355</v>
      </c>
      <c r="D5039" s="59">
        <v>-53.025167943616104</v>
      </c>
    </row>
    <row r="5040" spans="1:4" x14ac:dyDescent="0.3">
      <c r="A5040" s="58">
        <v>4320800</v>
      </c>
      <c r="B5040" s="58" t="s">
        <v>2436</v>
      </c>
      <c r="C5040" s="59">
        <v>-28.827737953669203</v>
      </c>
      <c r="D5040" s="59">
        <v>-52.509866171166223</v>
      </c>
    </row>
    <row r="5041" spans="1:4" x14ac:dyDescent="0.3">
      <c r="A5041" s="58">
        <v>4320859</v>
      </c>
      <c r="B5041" s="58" t="s">
        <v>5819</v>
      </c>
      <c r="C5041" s="59">
        <v>-29.687770624164852</v>
      </c>
      <c r="D5041" s="59">
        <v>-51.727475118508075</v>
      </c>
    </row>
    <row r="5042" spans="1:4" x14ac:dyDescent="0.3">
      <c r="A5042" s="58">
        <v>4320909</v>
      </c>
      <c r="B5042" s="58" t="s">
        <v>5125</v>
      </c>
      <c r="C5042" s="59">
        <v>-28.084171059705955</v>
      </c>
      <c r="D5042" s="59">
        <v>-52.022132527664091</v>
      </c>
    </row>
    <row r="5043" spans="1:4" x14ac:dyDescent="0.3">
      <c r="A5043" s="58">
        <v>4321006</v>
      </c>
      <c r="B5043" s="58" t="s">
        <v>5820</v>
      </c>
      <c r="C5043" s="59">
        <v>-28.624950191165453</v>
      </c>
      <c r="D5043" s="59">
        <v>-52.871467174076841</v>
      </c>
    </row>
    <row r="5044" spans="1:4" x14ac:dyDescent="0.3">
      <c r="A5044" s="58">
        <v>4321105</v>
      </c>
      <c r="B5044" s="58" t="s">
        <v>5821</v>
      </c>
      <c r="C5044" s="59">
        <v>-30.67317290384705</v>
      </c>
      <c r="D5044" s="59">
        <v>-51.39449870575865</v>
      </c>
    </row>
    <row r="5045" spans="1:4" x14ac:dyDescent="0.3">
      <c r="A5045" s="58">
        <v>4321204</v>
      </c>
      <c r="B5045" s="58" t="s">
        <v>5822</v>
      </c>
      <c r="C5045" s="59">
        <v>-29.650513104275806</v>
      </c>
      <c r="D5045" s="59">
        <v>-50.78116861925583</v>
      </c>
    </row>
    <row r="5046" spans="1:4" x14ac:dyDescent="0.3">
      <c r="A5046" s="58">
        <v>4321303</v>
      </c>
      <c r="B5046" s="58" t="s">
        <v>5823</v>
      </c>
      <c r="C5046" s="59">
        <v>-29.802800851673499</v>
      </c>
      <c r="D5046" s="59">
        <v>-51.862776484200225</v>
      </c>
    </row>
    <row r="5047" spans="1:4" x14ac:dyDescent="0.3">
      <c r="A5047" s="58">
        <v>4321329</v>
      </c>
      <c r="B5047" s="58" t="s">
        <v>5824</v>
      </c>
      <c r="C5047" s="59">
        <v>-27.398036050907855</v>
      </c>
      <c r="D5047" s="59">
        <v>-53.466951959614377</v>
      </c>
    </row>
    <row r="5048" spans="1:4" x14ac:dyDescent="0.3">
      <c r="A5048" s="58">
        <v>4321352</v>
      </c>
      <c r="B5048" s="58" t="s">
        <v>2442</v>
      </c>
      <c r="C5048" s="59">
        <v>-31.288702658316609</v>
      </c>
      <c r="D5048" s="59">
        <v>-51.088842981516173</v>
      </c>
    </row>
    <row r="5049" spans="1:4" x14ac:dyDescent="0.3">
      <c r="A5049" s="58">
        <v>4321402</v>
      </c>
      <c r="B5049" s="58" t="s">
        <v>5825</v>
      </c>
      <c r="C5049" s="59">
        <v>-27.372166919114452</v>
      </c>
      <c r="D5049" s="59">
        <v>-53.757269614898107</v>
      </c>
    </row>
    <row r="5050" spans="1:4" x14ac:dyDescent="0.3">
      <c r="A5050" s="58">
        <v>4321436</v>
      </c>
      <c r="B5050" s="58" t="s">
        <v>5826</v>
      </c>
      <c r="C5050" s="59">
        <v>-29.577548568045906</v>
      </c>
      <c r="D5050" s="59">
        <v>-50.067249145631799</v>
      </c>
    </row>
    <row r="5051" spans="1:4" x14ac:dyDescent="0.3">
      <c r="A5051" s="58">
        <v>4321451</v>
      </c>
      <c r="B5051" s="58" t="s">
        <v>5827</v>
      </c>
      <c r="C5051" s="59">
        <v>-29.488914436394452</v>
      </c>
      <c r="D5051" s="59">
        <v>-51.812816870599264</v>
      </c>
    </row>
    <row r="5052" spans="1:4" x14ac:dyDescent="0.3">
      <c r="A5052" s="58">
        <v>4321469</v>
      </c>
      <c r="B5052" s="58" t="s">
        <v>5828</v>
      </c>
      <c r="C5052" s="59">
        <v>-28.580496016554402</v>
      </c>
      <c r="D5052" s="59">
        <v>-52.593046116065992</v>
      </c>
    </row>
    <row r="5053" spans="1:4" x14ac:dyDescent="0.3">
      <c r="A5053" s="58">
        <v>4321477</v>
      </c>
      <c r="B5053" s="58" t="s">
        <v>5829</v>
      </c>
      <c r="C5053" s="59">
        <v>-27.396898884195004</v>
      </c>
      <c r="D5053" s="59">
        <v>-54.08539220504057</v>
      </c>
    </row>
    <row r="5054" spans="1:4" x14ac:dyDescent="0.3">
      <c r="A5054" s="58">
        <v>4321493</v>
      </c>
      <c r="B5054" s="58" t="s">
        <v>5830</v>
      </c>
      <c r="C5054" s="59">
        <v>-29.472141700754754</v>
      </c>
      <c r="D5054" s="59">
        <v>-54.228010996738249</v>
      </c>
    </row>
    <row r="5055" spans="1:4" x14ac:dyDescent="0.3">
      <c r="A5055" s="58">
        <v>4321501</v>
      </c>
      <c r="B5055" s="58" t="s">
        <v>5831</v>
      </c>
      <c r="C5055" s="59">
        <v>-29.335930614335606</v>
      </c>
      <c r="D5055" s="59">
        <v>-49.730404494503361</v>
      </c>
    </row>
    <row r="5056" spans="1:4" x14ac:dyDescent="0.3">
      <c r="A5056" s="58">
        <v>4321600</v>
      </c>
      <c r="B5056" s="58" t="s">
        <v>5832</v>
      </c>
      <c r="C5056" s="59">
        <v>-29.987301947182555</v>
      </c>
      <c r="D5056" s="59">
        <v>-50.130376500680306</v>
      </c>
    </row>
    <row r="5057" spans="1:4" x14ac:dyDescent="0.3">
      <c r="A5057" s="58">
        <v>4321626</v>
      </c>
      <c r="B5057" s="58" t="s">
        <v>5833</v>
      </c>
      <c r="C5057" s="59">
        <v>-29.299085809755354</v>
      </c>
      <c r="D5057" s="59">
        <v>-52.05777726813001</v>
      </c>
    </row>
    <row r="5058" spans="1:4" x14ac:dyDescent="0.3">
      <c r="A5058" s="58">
        <v>4321634</v>
      </c>
      <c r="B5058" s="58" t="s">
        <v>5834</v>
      </c>
      <c r="C5058" s="59">
        <v>-27.499516218387651</v>
      </c>
      <c r="D5058" s="59">
        <v>-52.149852074270044</v>
      </c>
    </row>
    <row r="5059" spans="1:4" x14ac:dyDescent="0.3">
      <c r="A5059" s="58">
        <v>4321667</v>
      </c>
      <c r="B5059" s="58" t="s">
        <v>5835</v>
      </c>
      <c r="C5059" s="59">
        <v>-29.445886590417008</v>
      </c>
      <c r="D5059" s="59">
        <v>-49.915639276195698</v>
      </c>
    </row>
    <row r="5060" spans="1:4" x14ac:dyDescent="0.3">
      <c r="A5060" s="58">
        <v>4321709</v>
      </c>
      <c r="B5060" s="58" t="s">
        <v>5836</v>
      </c>
      <c r="C5060" s="59">
        <v>-29.516660978989457</v>
      </c>
      <c r="D5060" s="59">
        <v>-50.783125835797058</v>
      </c>
    </row>
    <row r="5061" spans="1:4" x14ac:dyDescent="0.3">
      <c r="A5061" s="58">
        <v>4321808</v>
      </c>
      <c r="B5061" s="58" t="s">
        <v>5837</v>
      </c>
      <c r="C5061" s="59">
        <v>-27.779660218897504</v>
      </c>
      <c r="D5061" s="59">
        <v>-54.235302207546724</v>
      </c>
    </row>
    <row r="5062" spans="1:4" x14ac:dyDescent="0.3">
      <c r="A5062" s="58">
        <v>4321832</v>
      </c>
      <c r="B5062" s="58" t="s">
        <v>5838</v>
      </c>
      <c r="C5062" s="59">
        <v>-29.538110546290202</v>
      </c>
      <c r="D5062" s="59">
        <v>-50.064316480522756</v>
      </c>
    </row>
    <row r="5063" spans="1:4" x14ac:dyDescent="0.3">
      <c r="A5063" s="58">
        <v>4321857</v>
      </c>
      <c r="B5063" s="58" t="s">
        <v>5839</v>
      </c>
      <c r="C5063" s="59">
        <v>-27.617527449981353</v>
      </c>
      <c r="D5063" s="59">
        <v>-52.843714350148197</v>
      </c>
    </row>
    <row r="5064" spans="1:4" x14ac:dyDescent="0.3">
      <c r="A5064" s="58">
        <v>4321907</v>
      </c>
      <c r="B5064" s="58" t="s">
        <v>5840</v>
      </c>
      <c r="C5064" s="59">
        <v>-27.45615988384256</v>
      </c>
      <c r="D5064" s="59">
        <v>-53.929698958011095</v>
      </c>
    </row>
    <row r="5065" spans="1:4" x14ac:dyDescent="0.3">
      <c r="A5065" s="58">
        <v>4321956</v>
      </c>
      <c r="B5065" s="58" t="s">
        <v>5841</v>
      </c>
      <c r="C5065" s="59">
        <v>-27.517575934832053</v>
      </c>
      <c r="D5065" s="59">
        <v>-52.892231020965681</v>
      </c>
    </row>
    <row r="5066" spans="1:4" x14ac:dyDescent="0.3">
      <c r="A5066" s="58">
        <v>4322004</v>
      </c>
      <c r="B5066" s="58" t="s">
        <v>2445</v>
      </c>
      <c r="C5066" s="59">
        <v>-29.945204266044652</v>
      </c>
      <c r="D5066" s="59">
        <v>-51.715312835696103</v>
      </c>
    </row>
    <row r="5067" spans="1:4" x14ac:dyDescent="0.3">
      <c r="A5067" s="58">
        <v>4322103</v>
      </c>
      <c r="B5067" s="58" t="s">
        <v>5842</v>
      </c>
      <c r="C5067" s="59">
        <v>-27.650059933357806</v>
      </c>
      <c r="D5067" s="59">
        <v>-54.433128668834172</v>
      </c>
    </row>
    <row r="5068" spans="1:4" x14ac:dyDescent="0.3">
      <c r="A5068" s="58">
        <v>4322152</v>
      </c>
      <c r="B5068" s="58" t="s">
        <v>5843</v>
      </c>
      <c r="C5068" s="59">
        <v>-29.106439718846104</v>
      </c>
      <c r="D5068" s="59">
        <v>-52.95701310553364</v>
      </c>
    </row>
    <row r="5069" spans="1:4" x14ac:dyDescent="0.3">
      <c r="A5069" s="58">
        <v>4322186</v>
      </c>
      <c r="B5069" s="58" t="s">
        <v>5844</v>
      </c>
      <c r="C5069" s="59">
        <v>-27.925711465932302</v>
      </c>
      <c r="D5069" s="59">
        <v>-51.540539011684707</v>
      </c>
    </row>
    <row r="5070" spans="1:4" x14ac:dyDescent="0.3">
      <c r="A5070" s="58">
        <v>4322202</v>
      </c>
      <c r="B5070" s="58" t="s">
        <v>5845</v>
      </c>
      <c r="C5070" s="59">
        <v>-29.077479730048005</v>
      </c>
      <c r="D5070" s="59">
        <v>-53.840630055346367</v>
      </c>
    </row>
    <row r="5071" spans="1:4" x14ac:dyDescent="0.3">
      <c r="A5071" s="58">
        <v>4322251</v>
      </c>
      <c r="B5071" s="58" t="s">
        <v>5846</v>
      </c>
      <c r="C5071" s="59">
        <v>-29.487912814868604</v>
      </c>
      <c r="D5071" s="59">
        <v>-51.419825429735702</v>
      </c>
    </row>
    <row r="5072" spans="1:4" x14ac:dyDescent="0.3">
      <c r="A5072" s="58">
        <v>4322301</v>
      </c>
      <c r="B5072" s="58" t="s">
        <v>5847</v>
      </c>
      <c r="C5072" s="59">
        <v>-27.75408892729865</v>
      </c>
      <c r="D5072" s="59">
        <v>-54.478508075327341</v>
      </c>
    </row>
    <row r="5073" spans="1:4" x14ac:dyDescent="0.3">
      <c r="A5073" s="58">
        <v>4322327</v>
      </c>
      <c r="B5073" s="58" t="s">
        <v>5848</v>
      </c>
      <c r="C5073" s="59">
        <v>-31.412365857091554</v>
      </c>
      <c r="D5073" s="59">
        <v>-52.17141562100084</v>
      </c>
    </row>
    <row r="5074" spans="1:4" x14ac:dyDescent="0.3">
      <c r="A5074" s="58">
        <v>4322343</v>
      </c>
      <c r="B5074" s="58" t="s">
        <v>5849</v>
      </c>
      <c r="C5074" s="59">
        <v>-28.04356476573275</v>
      </c>
      <c r="D5074" s="59">
        <v>-54.684510776228137</v>
      </c>
    </row>
    <row r="5075" spans="1:4" x14ac:dyDescent="0.3">
      <c r="A5075" s="58">
        <v>4322350</v>
      </c>
      <c r="B5075" s="58" t="s">
        <v>5850</v>
      </c>
      <c r="C5075" s="59">
        <v>-28.779898567831655</v>
      </c>
      <c r="D5075" s="59">
        <v>-52.000416664253152</v>
      </c>
    </row>
    <row r="5076" spans="1:4" x14ac:dyDescent="0.3">
      <c r="A5076" s="58">
        <v>4322376</v>
      </c>
      <c r="B5076" s="58" t="s">
        <v>5851</v>
      </c>
      <c r="C5076" s="59">
        <v>-29.047485025584056</v>
      </c>
      <c r="D5076" s="59">
        <v>-55.150780518137864</v>
      </c>
    </row>
    <row r="5077" spans="1:4" x14ac:dyDescent="0.3">
      <c r="A5077" s="58">
        <v>4322400</v>
      </c>
      <c r="B5077" s="58" t="s">
        <v>5852</v>
      </c>
      <c r="C5077" s="59">
        <v>-29.759823172014407</v>
      </c>
      <c r="D5077" s="59">
        <v>-57.081824909022906</v>
      </c>
    </row>
    <row r="5078" spans="1:4" x14ac:dyDescent="0.3">
      <c r="A5078" s="58">
        <v>4322509</v>
      </c>
      <c r="B5078" s="58" t="s">
        <v>5853</v>
      </c>
      <c r="C5078" s="59">
        <v>-28.502354395186359</v>
      </c>
      <c r="D5078" s="59">
        <v>-50.936599164121127</v>
      </c>
    </row>
    <row r="5079" spans="1:4" x14ac:dyDescent="0.3">
      <c r="A5079" s="58">
        <v>4322525</v>
      </c>
      <c r="B5079" s="58" t="s">
        <v>5854</v>
      </c>
      <c r="C5079" s="59">
        <v>-29.782574939640956</v>
      </c>
      <c r="D5079" s="59">
        <v>-52.179722300928361</v>
      </c>
    </row>
    <row r="5080" spans="1:4" x14ac:dyDescent="0.3">
      <c r="A5080" s="58">
        <v>4322533</v>
      </c>
      <c r="B5080" s="58" t="s">
        <v>5855</v>
      </c>
      <c r="C5080" s="59">
        <v>-29.608827986548956</v>
      </c>
      <c r="D5080" s="59">
        <v>-52.681354500657399</v>
      </c>
    </row>
    <row r="5081" spans="1:4" x14ac:dyDescent="0.3">
      <c r="A5081" s="58">
        <v>4322541</v>
      </c>
      <c r="B5081" s="58" t="s">
        <v>5856</v>
      </c>
      <c r="C5081" s="59">
        <v>-29.392280617420756</v>
      </c>
      <c r="D5081" s="59">
        <v>-51.251196564826991</v>
      </c>
    </row>
    <row r="5082" spans="1:4" x14ac:dyDescent="0.3">
      <c r="A5082" s="58">
        <v>4322558</v>
      </c>
      <c r="B5082" s="58" t="s">
        <v>5857</v>
      </c>
      <c r="C5082" s="59">
        <v>-28.476222514975657</v>
      </c>
      <c r="D5082" s="59">
        <v>-51.8446581973908</v>
      </c>
    </row>
    <row r="5083" spans="1:4" x14ac:dyDescent="0.3">
      <c r="A5083" s="58">
        <v>4322608</v>
      </c>
      <c r="B5083" s="58" t="s">
        <v>5858</v>
      </c>
      <c r="C5083" s="59">
        <v>-29.611652892655552</v>
      </c>
      <c r="D5083" s="59">
        <v>-52.191880240489475</v>
      </c>
    </row>
    <row r="5084" spans="1:4" x14ac:dyDescent="0.3">
      <c r="A5084" s="58">
        <v>4322707</v>
      </c>
      <c r="B5084" s="58" t="s">
        <v>2244</v>
      </c>
      <c r="C5084" s="59">
        <v>-29.719857594034508</v>
      </c>
      <c r="D5084" s="59">
        <v>-52.50110340710409</v>
      </c>
    </row>
    <row r="5085" spans="1:4" x14ac:dyDescent="0.3">
      <c r="A5085" s="58">
        <v>4322806</v>
      </c>
      <c r="B5085" s="58" t="s">
        <v>5859</v>
      </c>
      <c r="C5085" s="59">
        <v>-28.933957336274453</v>
      </c>
      <c r="D5085" s="59">
        <v>-51.552286904464744</v>
      </c>
    </row>
    <row r="5086" spans="1:4" x14ac:dyDescent="0.3">
      <c r="A5086" s="58">
        <v>4322855</v>
      </c>
      <c r="B5086" s="58" t="s">
        <v>5860</v>
      </c>
      <c r="C5086" s="59">
        <v>-29.069894355790954</v>
      </c>
      <c r="D5086" s="59">
        <v>-51.859469950102117</v>
      </c>
    </row>
    <row r="5087" spans="1:4" x14ac:dyDescent="0.3">
      <c r="A5087" s="58">
        <v>4322905</v>
      </c>
      <c r="B5087" s="58" t="s">
        <v>5861</v>
      </c>
      <c r="C5087" s="59">
        <v>-27.570953060084104</v>
      </c>
      <c r="D5087" s="59">
        <v>-52.023798749651334</v>
      </c>
    </row>
    <row r="5088" spans="1:4" x14ac:dyDescent="0.3">
      <c r="A5088" s="58">
        <v>4323002</v>
      </c>
      <c r="B5088" s="58" t="s">
        <v>5862</v>
      </c>
      <c r="C5088" s="59">
        <v>-30.081896840939951</v>
      </c>
      <c r="D5088" s="59">
        <v>-51.024820489572996</v>
      </c>
    </row>
    <row r="5089" spans="1:4" x14ac:dyDescent="0.3">
      <c r="A5089" s="58">
        <v>4323101</v>
      </c>
      <c r="B5089" s="58" t="s">
        <v>5863</v>
      </c>
      <c r="C5089" s="59">
        <v>-27.168445044144654</v>
      </c>
      <c r="D5089" s="59">
        <v>-53.402129055409446</v>
      </c>
    </row>
    <row r="5090" spans="1:4" x14ac:dyDescent="0.3">
      <c r="A5090" s="58">
        <v>4323200</v>
      </c>
      <c r="B5090" s="58" t="s">
        <v>5864</v>
      </c>
      <c r="C5090" s="59">
        <v>-28.560184625148406</v>
      </c>
      <c r="D5090" s="59">
        <v>-52.747791788899917</v>
      </c>
    </row>
    <row r="5091" spans="1:4" x14ac:dyDescent="0.3">
      <c r="A5091" s="58">
        <v>4323309</v>
      </c>
      <c r="B5091" s="58" t="s">
        <v>5865</v>
      </c>
      <c r="C5091" s="59">
        <v>-28.863000130250455</v>
      </c>
      <c r="D5091" s="59">
        <v>-51.549589089178369</v>
      </c>
    </row>
    <row r="5092" spans="1:4" x14ac:dyDescent="0.3">
      <c r="A5092" s="58">
        <v>4323358</v>
      </c>
      <c r="B5092" s="58" t="s">
        <v>5866</v>
      </c>
      <c r="C5092" s="59">
        <v>-28.107405198760752</v>
      </c>
      <c r="D5092" s="59">
        <v>-52.146903357117765</v>
      </c>
    </row>
    <row r="5093" spans="1:4" x14ac:dyDescent="0.3">
      <c r="A5093" s="58">
        <v>4323408</v>
      </c>
      <c r="B5093" s="58" t="s">
        <v>5867</v>
      </c>
      <c r="C5093" s="59">
        <v>-28.533314234998503</v>
      </c>
      <c r="D5093" s="59">
        <v>-52.163537899070874</v>
      </c>
    </row>
    <row r="5094" spans="1:4" x14ac:dyDescent="0.3">
      <c r="A5094" s="58">
        <v>4323457</v>
      </c>
      <c r="B5094" s="58" t="s">
        <v>5868</v>
      </c>
      <c r="C5094" s="59">
        <v>-30.333958689168007</v>
      </c>
      <c r="D5094" s="59">
        <v>-53.879196483096983</v>
      </c>
    </row>
    <row r="5095" spans="1:4" x14ac:dyDescent="0.3">
      <c r="A5095" s="58">
        <v>4323507</v>
      </c>
      <c r="B5095" s="58" t="s">
        <v>5869</v>
      </c>
      <c r="C5095" s="59">
        <v>-27.370084170074456</v>
      </c>
      <c r="D5095" s="59">
        <v>-53.492410466124824</v>
      </c>
    </row>
    <row r="5096" spans="1:4" x14ac:dyDescent="0.3">
      <c r="A5096" s="58">
        <v>4323606</v>
      </c>
      <c r="B5096" s="58" t="s">
        <v>5870</v>
      </c>
      <c r="C5096" s="59">
        <v>-28.809472296911451</v>
      </c>
      <c r="D5096" s="59">
        <v>-51.786208402478884</v>
      </c>
    </row>
    <row r="5097" spans="1:4" x14ac:dyDescent="0.3">
      <c r="A5097" s="58">
        <v>4323705</v>
      </c>
      <c r="B5097" s="58" t="s">
        <v>5871</v>
      </c>
      <c r="C5097" s="59">
        <v>-27.289978375341352</v>
      </c>
      <c r="D5097" s="59">
        <v>-53.70131978163306</v>
      </c>
    </row>
    <row r="5098" spans="1:4" x14ac:dyDescent="0.3">
      <c r="A5098" s="58">
        <v>4323754</v>
      </c>
      <c r="B5098" s="58" t="s">
        <v>5872</v>
      </c>
      <c r="C5098" s="59">
        <v>-28.352387249251159</v>
      </c>
      <c r="D5098" s="59">
        <v>-54.499054887070358</v>
      </c>
    </row>
    <row r="5099" spans="1:4" x14ac:dyDescent="0.3">
      <c r="A5099" s="58">
        <v>4323770</v>
      </c>
      <c r="B5099" s="58" t="s">
        <v>5873</v>
      </c>
      <c r="C5099" s="59">
        <v>-29.423449549900951</v>
      </c>
      <c r="D5099" s="59">
        <v>-51.76615551374983</v>
      </c>
    </row>
    <row r="5100" spans="1:4" x14ac:dyDescent="0.3">
      <c r="A5100" s="58">
        <v>4323804</v>
      </c>
      <c r="B5100" s="58" t="s">
        <v>5874</v>
      </c>
      <c r="C5100" s="59">
        <v>-29.805378185410451</v>
      </c>
      <c r="D5100" s="59">
        <v>-50.039081423796738</v>
      </c>
    </row>
    <row r="5101" spans="1:4" x14ac:dyDescent="0.3">
      <c r="A5101" s="58">
        <v>5000203</v>
      </c>
      <c r="B5101" s="58" t="s">
        <v>5875</v>
      </c>
      <c r="C5101" s="59">
        <v>-20.44885076232455</v>
      </c>
      <c r="D5101" s="59">
        <v>-52.875117551453883</v>
      </c>
    </row>
    <row r="5102" spans="1:4" x14ac:dyDescent="0.3">
      <c r="A5102" s="58">
        <v>5000252</v>
      </c>
      <c r="B5102" s="58" t="s">
        <v>5876</v>
      </c>
      <c r="C5102" s="59">
        <v>-18.325033979362754</v>
      </c>
      <c r="D5102" s="59">
        <v>-53.708089626281293</v>
      </c>
    </row>
    <row r="5103" spans="1:4" x14ac:dyDescent="0.3">
      <c r="A5103" s="58">
        <v>5000609</v>
      </c>
      <c r="B5103" s="58" t="s">
        <v>5877</v>
      </c>
      <c r="C5103" s="59">
        <v>-23.100582238376351</v>
      </c>
      <c r="D5103" s="59">
        <v>-55.24382769262369</v>
      </c>
    </row>
    <row r="5104" spans="1:4" x14ac:dyDescent="0.3">
      <c r="A5104" s="58">
        <v>5000708</v>
      </c>
      <c r="B5104" s="58" t="s">
        <v>5878</v>
      </c>
      <c r="C5104" s="59">
        <v>-20.482360199575606</v>
      </c>
      <c r="D5104" s="59">
        <v>-55.804570599079163</v>
      </c>
    </row>
    <row r="5105" spans="1:4" x14ac:dyDescent="0.3">
      <c r="A5105" s="58">
        <v>5000807</v>
      </c>
      <c r="B5105" s="58" t="s">
        <v>5879</v>
      </c>
      <c r="C5105" s="59">
        <v>-22.182650267948702</v>
      </c>
      <c r="D5105" s="59">
        <v>-52.71816935868442</v>
      </c>
    </row>
    <row r="5106" spans="1:4" x14ac:dyDescent="0.3">
      <c r="A5106" s="58">
        <v>5000856</v>
      </c>
      <c r="B5106" s="58" t="s">
        <v>5880</v>
      </c>
      <c r="C5106" s="59">
        <v>-22.156062522433704</v>
      </c>
      <c r="D5106" s="59">
        <v>-53.769730480462705</v>
      </c>
    </row>
    <row r="5107" spans="1:4" x14ac:dyDescent="0.3">
      <c r="A5107" s="58">
        <v>5000906</v>
      </c>
      <c r="B5107" s="58" t="s">
        <v>5881</v>
      </c>
      <c r="C5107" s="59">
        <v>-22.194685390528701</v>
      </c>
      <c r="D5107" s="59">
        <v>-55.948081505386583</v>
      </c>
    </row>
    <row r="5108" spans="1:4" x14ac:dyDescent="0.3">
      <c r="A5108" s="58">
        <v>5001003</v>
      </c>
      <c r="B5108" s="58" t="s">
        <v>5882</v>
      </c>
      <c r="C5108" s="59">
        <v>-20.085021514995553</v>
      </c>
      <c r="D5108" s="59">
        <v>-51.097637623736752</v>
      </c>
    </row>
    <row r="5109" spans="1:4" x14ac:dyDescent="0.3">
      <c r="A5109" s="58">
        <v>5001102</v>
      </c>
      <c r="B5109" s="58" t="s">
        <v>5883</v>
      </c>
      <c r="C5109" s="59">
        <v>-20.474654346916203</v>
      </c>
      <c r="D5109" s="59">
        <v>-55.790616090226749</v>
      </c>
    </row>
    <row r="5110" spans="1:4" x14ac:dyDescent="0.3">
      <c r="A5110" s="58">
        <v>5001243</v>
      </c>
      <c r="B5110" s="58" t="s">
        <v>5884</v>
      </c>
      <c r="C5110" s="59">
        <v>-22.947881329085604</v>
      </c>
      <c r="D5110" s="59">
        <v>-55.630761446862543</v>
      </c>
    </row>
    <row r="5111" spans="1:4" x14ac:dyDescent="0.3">
      <c r="A5111" s="58">
        <v>5001508</v>
      </c>
      <c r="B5111" s="58" t="s">
        <v>4813</v>
      </c>
      <c r="C5111" s="59">
        <v>-19.920920303094505</v>
      </c>
      <c r="D5111" s="59">
        <v>-54.36319389428408</v>
      </c>
    </row>
    <row r="5112" spans="1:4" x14ac:dyDescent="0.3">
      <c r="A5112" s="58">
        <v>5001904</v>
      </c>
      <c r="B5112" s="58" t="s">
        <v>5885</v>
      </c>
      <c r="C5112" s="59">
        <v>-21.715288435775005</v>
      </c>
      <c r="D5112" s="59">
        <v>-52.425436602033081</v>
      </c>
    </row>
    <row r="5113" spans="1:4" x14ac:dyDescent="0.3">
      <c r="A5113" s="58">
        <v>5002001</v>
      </c>
      <c r="B5113" s="58" t="s">
        <v>5886</v>
      </c>
      <c r="C5113" s="59">
        <v>-22.295879966590704</v>
      </c>
      <c r="D5113" s="59">
        <v>-53.274806991107106</v>
      </c>
    </row>
    <row r="5114" spans="1:4" x14ac:dyDescent="0.3">
      <c r="A5114" s="58">
        <v>5002100</v>
      </c>
      <c r="B5114" s="58" t="s">
        <v>5887</v>
      </c>
      <c r="C5114" s="59">
        <v>-22.1159761784366</v>
      </c>
      <c r="D5114" s="59">
        <v>-56.531314567784193</v>
      </c>
    </row>
    <row r="5115" spans="1:4" x14ac:dyDescent="0.3">
      <c r="A5115" s="58">
        <v>5002159</v>
      </c>
      <c r="B5115" s="58" t="s">
        <v>5888</v>
      </c>
      <c r="C5115" s="59">
        <v>-20.554842698146604</v>
      </c>
      <c r="D5115" s="59">
        <v>-56.673567300008131</v>
      </c>
    </row>
    <row r="5116" spans="1:4" x14ac:dyDescent="0.3">
      <c r="A5116" s="58">
        <v>5002209</v>
      </c>
      <c r="B5116" s="58" t="s">
        <v>1207</v>
      </c>
      <c r="C5116" s="59">
        <v>-21.124341284449553</v>
      </c>
      <c r="D5116" s="59">
        <v>-56.492858618573067</v>
      </c>
    </row>
    <row r="5117" spans="1:4" x14ac:dyDescent="0.3">
      <c r="A5117" s="58">
        <v>5002308</v>
      </c>
      <c r="B5117" s="58" t="s">
        <v>5889</v>
      </c>
      <c r="C5117" s="59">
        <v>-21.247118143962904</v>
      </c>
      <c r="D5117" s="59">
        <v>-52.036296794852177</v>
      </c>
    </row>
    <row r="5118" spans="1:4" x14ac:dyDescent="0.3">
      <c r="A5118" s="58">
        <v>5002407</v>
      </c>
      <c r="B5118" s="58" t="s">
        <v>5890</v>
      </c>
      <c r="C5118" s="59">
        <v>-22.636582219398303</v>
      </c>
      <c r="D5118" s="59">
        <v>-54.826970101358327</v>
      </c>
    </row>
    <row r="5119" spans="1:4" x14ac:dyDescent="0.3">
      <c r="A5119" s="58">
        <v>5002605</v>
      </c>
      <c r="B5119" s="58" t="s">
        <v>5891</v>
      </c>
      <c r="C5119" s="59">
        <v>-19.535259798748204</v>
      </c>
      <c r="D5119" s="59">
        <v>-54.043309486428001</v>
      </c>
    </row>
    <row r="5120" spans="1:4" x14ac:dyDescent="0.3">
      <c r="A5120" s="58">
        <v>5002704</v>
      </c>
      <c r="B5120" s="58" t="s">
        <v>2627</v>
      </c>
      <c r="C5120" s="59">
        <v>-20.458029987863902</v>
      </c>
      <c r="D5120" s="59">
        <v>-54.615743566458839</v>
      </c>
    </row>
    <row r="5121" spans="1:4" x14ac:dyDescent="0.3">
      <c r="A5121" s="58">
        <v>5002803</v>
      </c>
      <c r="B5121" s="58" t="s">
        <v>1734</v>
      </c>
      <c r="C5121" s="59">
        <v>-22.012738289194758</v>
      </c>
      <c r="D5121" s="59">
        <v>-57.025938764352318</v>
      </c>
    </row>
    <row r="5122" spans="1:4" x14ac:dyDescent="0.3">
      <c r="A5122" s="58">
        <v>5002902</v>
      </c>
      <c r="B5122" s="58" t="s">
        <v>5892</v>
      </c>
      <c r="C5122" s="59">
        <v>-19.109407370756902</v>
      </c>
      <c r="D5122" s="59">
        <v>-51.731576888403929</v>
      </c>
    </row>
    <row r="5123" spans="1:4" x14ac:dyDescent="0.3">
      <c r="A5123" s="58">
        <v>5002951</v>
      </c>
      <c r="B5123" s="58" t="s">
        <v>5893</v>
      </c>
      <c r="C5123" s="59">
        <v>-18.797773122036201</v>
      </c>
      <c r="D5123" s="59">
        <v>-52.626355706998687</v>
      </c>
    </row>
    <row r="5124" spans="1:4" x14ac:dyDescent="0.3">
      <c r="A5124" s="58">
        <v>5003108</v>
      </c>
      <c r="B5124" s="58" t="s">
        <v>5894</v>
      </c>
      <c r="C5124" s="59">
        <v>-19.831218017235152</v>
      </c>
      <c r="D5124" s="59">
        <v>-54.830006000977853</v>
      </c>
    </row>
    <row r="5125" spans="1:4" x14ac:dyDescent="0.3">
      <c r="A5125" s="58">
        <v>5003157</v>
      </c>
      <c r="B5125" s="58" t="s">
        <v>5895</v>
      </c>
      <c r="C5125" s="59">
        <v>-23.276444560785759</v>
      </c>
      <c r="D5125" s="59">
        <v>-55.541327690264474</v>
      </c>
    </row>
    <row r="5126" spans="1:4" x14ac:dyDescent="0.3">
      <c r="A5126" s="58">
        <v>5003207</v>
      </c>
      <c r="B5126" s="58" t="s">
        <v>5896</v>
      </c>
      <c r="C5126" s="59">
        <v>-19.006374654645803</v>
      </c>
      <c r="D5126" s="59">
        <v>-57.648985457340132</v>
      </c>
    </row>
    <row r="5127" spans="1:4" x14ac:dyDescent="0.3">
      <c r="A5127" s="58">
        <v>5003256</v>
      </c>
      <c r="B5127" s="58" t="s">
        <v>5897</v>
      </c>
      <c r="C5127" s="59">
        <v>-18.543548388410503</v>
      </c>
      <c r="D5127" s="59">
        <v>-53.133046904874142</v>
      </c>
    </row>
    <row r="5128" spans="1:4" x14ac:dyDescent="0.3">
      <c r="A5128" s="58">
        <v>5003306</v>
      </c>
      <c r="B5128" s="58" t="s">
        <v>5898</v>
      </c>
      <c r="C5128" s="59">
        <v>-18.508410538646654</v>
      </c>
      <c r="D5128" s="59">
        <v>-54.758055950193267</v>
      </c>
    </row>
    <row r="5129" spans="1:4" x14ac:dyDescent="0.3">
      <c r="A5129" s="58">
        <v>5003454</v>
      </c>
      <c r="B5129" s="58" t="s">
        <v>5899</v>
      </c>
      <c r="C5129" s="59">
        <v>-22.272949142266704</v>
      </c>
      <c r="D5129" s="59">
        <v>-54.161183242862677</v>
      </c>
    </row>
    <row r="5130" spans="1:4" x14ac:dyDescent="0.3">
      <c r="A5130" s="58">
        <v>5003488</v>
      </c>
      <c r="B5130" s="58" t="s">
        <v>5900</v>
      </c>
      <c r="C5130" s="59">
        <v>-20.692312058239303</v>
      </c>
      <c r="D5130" s="59">
        <v>-55.281914486328986</v>
      </c>
    </row>
    <row r="5131" spans="1:4" x14ac:dyDescent="0.3">
      <c r="A5131" s="58">
        <v>5003504</v>
      </c>
      <c r="B5131" s="58" t="s">
        <v>4877</v>
      </c>
      <c r="C5131" s="59">
        <v>-22.045530282042602</v>
      </c>
      <c r="D5131" s="59">
        <v>-54.607930668631447</v>
      </c>
    </row>
    <row r="5132" spans="1:4" x14ac:dyDescent="0.3">
      <c r="A5132" s="58">
        <v>5003702</v>
      </c>
      <c r="B5132" s="58" t="s">
        <v>5901</v>
      </c>
      <c r="C5132" s="59">
        <v>-22.227235536898849</v>
      </c>
      <c r="D5132" s="59">
        <v>-54.811289122892603</v>
      </c>
    </row>
    <row r="5133" spans="1:4" x14ac:dyDescent="0.3">
      <c r="A5133" s="58">
        <v>5003751</v>
      </c>
      <c r="B5133" s="58" t="s">
        <v>4325</v>
      </c>
      <c r="C5133" s="59">
        <v>-23.77405392007535</v>
      </c>
      <c r="D5133" s="59">
        <v>-54.2800282489385</v>
      </c>
    </row>
    <row r="5134" spans="1:4" x14ac:dyDescent="0.3">
      <c r="A5134" s="58">
        <v>5003801</v>
      </c>
      <c r="B5134" s="58" t="s">
        <v>5902</v>
      </c>
      <c r="C5134" s="59">
        <v>-22.375423211058898</v>
      </c>
      <c r="D5134" s="59">
        <v>-54.516375990241144</v>
      </c>
    </row>
    <row r="5135" spans="1:4" x14ac:dyDescent="0.3">
      <c r="A5135" s="58">
        <v>5003900</v>
      </c>
      <c r="B5135" s="58" t="s">
        <v>5903</v>
      </c>
      <c r="C5135" s="59">
        <v>-18.675448070767555</v>
      </c>
      <c r="D5135" s="59">
        <v>-53.642573323891774</v>
      </c>
    </row>
    <row r="5136" spans="1:4" x14ac:dyDescent="0.3">
      <c r="A5136" s="58">
        <v>5004007</v>
      </c>
      <c r="B5136" s="58" t="s">
        <v>5904</v>
      </c>
      <c r="C5136" s="59">
        <v>-22.414424530998602</v>
      </c>
      <c r="D5136" s="59">
        <v>-54.234628789857865</v>
      </c>
    </row>
    <row r="5137" spans="1:4" x14ac:dyDescent="0.3">
      <c r="A5137" s="58">
        <v>5004106</v>
      </c>
      <c r="B5137" s="58" t="s">
        <v>5905</v>
      </c>
      <c r="C5137" s="59">
        <v>-21.45245914224526</v>
      </c>
      <c r="D5137" s="59">
        <v>-56.108152502245233</v>
      </c>
    </row>
    <row r="5138" spans="1:4" x14ac:dyDescent="0.3">
      <c r="A5138" s="58">
        <v>5004304</v>
      </c>
      <c r="B5138" s="58" t="s">
        <v>5906</v>
      </c>
      <c r="C5138" s="59">
        <v>-23.661901564507751</v>
      </c>
      <c r="D5138" s="59">
        <v>-54.558601086649816</v>
      </c>
    </row>
    <row r="5139" spans="1:4" x14ac:dyDescent="0.3">
      <c r="A5139" s="58">
        <v>5004403</v>
      </c>
      <c r="B5139" s="58" t="s">
        <v>5907</v>
      </c>
      <c r="C5139" s="59">
        <v>-19.725457973959003</v>
      </c>
      <c r="D5139" s="59">
        <v>-51.92767902234656</v>
      </c>
    </row>
    <row r="5140" spans="1:4" x14ac:dyDescent="0.3">
      <c r="A5140" s="58">
        <v>5004502</v>
      </c>
      <c r="B5140" s="58" t="s">
        <v>5908</v>
      </c>
      <c r="C5140" s="59">
        <v>-22.082447560164503</v>
      </c>
      <c r="D5140" s="59">
        <v>-54.795658737265299</v>
      </c>
    </row>
    <row r="5141" spans="1:4" x14ac:dyDescent="0.3">
      <c r="A5141" s="58">
        <v>5004601</v>
      </c>
      <c r="B5141" s="58" t="s">
        <v>5909</v>
      </c>
      <c r="C5141" s="59">
        <v>-23.490663262346406</v>
      </c>
      <c r="D5141" s="59">
        <v>-54.188198302743366</v>
      </c>
    </row>
    <row r="5142" spans="1:4" x14ac:dyDescent="0.3">
      <c r="A5142" s="58">
        <v>5004700</v>
      </c>
      <c r="B5142" s="58" t="s">
        <v>5910</v>
      </c>
      <c r="C5142" s="59">
        <v>-22.301603562708458</v>
      </c>
      <c r="D5142" s="59">
        <v>-53.826970147060258</v>
      </c>
    </row>
    <row r="5143" spans="1:4" x14ac:dyDescent="0.3">
      <c r="A5143" s="58">
        <v>5004809</v>
      </c>
      <c r="B5143" s="58" t="s">
        <v>5911</v>
      </c>
      <c r="C5143" s="59">
        <v>-23.894066951461703</v>
      </c>
      <c r="D5143" s="59">
        <v>-54.403484742865409</v>
      </c>
    </row>
    <row r="5144" spans="1:4" x14ac:dyDescent="0.3">
      <c r="A5144" s="58">
        <v>5004908</v>
      </c>
      <c r="B5144" s="58" t="s">
        <v>5912</v>
      </c>
      <c r="C5144" s="59">
        <v>-20.103740391705003</v>
      </c>
      <c r="D5144" s="59">
        <v>-54.440683953938489</v>
      </c>
    </row>
    <row r="5145" spans="1:4" x14ac:dyDescent="0.3">
      <c r="A5145" s="58">
        <v>5005004</v>
      </c>
      <c r="B5145" s="58" t="s">
        <v>1999</v>
      </c>
      <c r="C5145" s="59">
        <v>-21.479603145756602</v>
      </c>
      <c r="D5145" s="59">
        <v>-56.145844584411904</v>
      </c>
    </row>
    <row r="5146" spans="1:4" x14ac:dyDescent="0.3">
      <c r="A5146" s="58">
        <v>5005103</v>
      </c>
      <c r="B5146" s="58" t="s">
        <v>5913</v>
      </c>
      <c r="C5146" s="59">
        <v>-22.481687030527706</v>
      </c>
      <c r="D5146" s="59">
        <v>-54.308054375642868</v>
      </c>
    </row>
    <row r="5147" spans="1:4" x14ac:dyDescent="0.3">
      <c r="A5147" s="58">
        <v>5005152</v>
      </c>
      <c r="B5147" s="58" t="s">
        <v>5914</v>
      </c>
      <c r="C5147" s="59">
        <v>-22.862471834392451</v>
      </c>
      <c r="D5147" s="59">
        <v>-54.601322831257072</v>
      </c>
    </row>
    <row r="5148" spans="1:4" x14ac:dyDescent="0.3">
      <c r="A5148" s="58">
        <v>5005202</v>
      </c>
      <c r="B5148" s="58" t="s">
        <v>5915</v>
      </c>
      <c r="C5148" s="59">
        <v>-19.001775668023303</v>
      </c>
      <c r="D5148" s="59">
        <v>-57.602400195527466</v>
      </c>
    </row>
    <row r="5149" spans="1:4" x14ac:dyDescent="0.3">
      <c r="A5149" s="58">
        <v>5005251</v>
      </c>
      <c r="B5149" s="58" t="s">
        <v>5916</v>
      </c>
      <c r="C5149" s="59">
        <v>-22.550581514512551</v>
      </c>
      <c r="D5149" s="59">
        <v>-55.150107734473664</v>
      </c>
    </row>
    <row r="5150" spans="1:4" x14ac:dyDescent="0.3">
      <c r="A5150" s="58">
        <v>5005400</v>
      </c>
      <c r="B5150" s="58" t="s">
        <v>5917</v>
      </c>
      <c r="C5150" s="59">
        <v>-21.623610383816402</v>
      </c>
      <c r="D5150" s="59">
        <v>-55.157139568995618</v>
      </c>
    </row>
    <row r="5151" spans="1:4" x14ac:dyDescent="0.3">
      <c r="A5151" s="58">
        <v>5005608</v>
      </c>
      <c r="B5151" s="58" t="s">
        <v>5918</v>
      </c>
      <c r="C5151" s="59">
        <v>-20.239333499043454</v>
      </c>
      <c r="D5151" s="59">
        <v>-56.390198286134066</v>
      </c>
    </row>
    <row r="5152" spans="1:4" x14ac:dyDescent="0.3">
      <c r="A5152" s="58">
        <v>5005681</v>
      </c>
      <c r="B5152" s="58" t="s">
        <v>3036</v>
      </c>
      <c r="C5152" s="59">
        <v>-23.935273618185903</v>
      </c>
      <c r="D5152" s="59">
        <v>-54.281661423776583</v>
      </c>
    </row>
    <row r="5153" spans="1:4" x14ac:dyDescent="0.3">
      <c r="A5153" s="58">
        <v>5005707</v>
      </c>
      <c r="B5153" s="58" t="s">
        <v>5919</v>
      </c>
      <c r="C5153" s="59">
        <v>-23.059999482499936</v>
      </c>
      <c r="D5153" s="59">
        <v>-54.198836170118092</v>
      </c>
    </row>
    <row r="5154" spans="1:4" x14ac:dyDescent="0.3">
      <c r="A5154" s="58">
        <v>5005806</v>
      </c>
      <c r="B5154" s="58" t="s">
        <v>5920</v>
      </c>
      <c r="C5154" s="59">
        <v>-21.158152313499052</v>
      </c>
      <c r="D5154" s="59">
        <v>-55.833889921413501</v>
      </c>
    </row>
    <row r="5155" spans="1:4" x14ac:dyDescent="0.3">
      <c r="A5155" s="58">
        <v>5006002</v>
      </c>
      <c r="B5155" s="58" t="s">
        <v>5921</v>
      </c>
      <c r="C5155" s="59">
        <v>-21.466634252514751</v>
      </c>
      <c r="D5155" s="59">
        <v>-54.382803600082504</v>
      </c>
    </row>
    <row r="5156" spans="1:4" x14ac:dyDescent="0.3">
      <c r="A5156" s="58">
        <v>5006200</v>
      </c>
      <c r="B5156" s="58" t="s">
        <v>5922</v>
      </c>
      <c r="C5156" s="59">
        <v>-22.248759312753354</v>
      </c>
      <c r="D5156" s="59">
        <v>-53.351573814868807</v>
      </c>
    </row>
    <row r="5157" spans="1:4" x14ac:dyDescent="0.3">
      <c r="A5157" s="58">
        <v>5006259</v>
      </c>
      <c r="B5157" s="58" t="s">
        <v>5923</v>
      </c>
      <c r="C5157" s="59">
        <v>-22.654953105581153</v>
      </c>
      <c r="D5157" s="59">
        <v>-53.860886557042498</v>
      </c>
    </row>
    <row r="5158" spans="1:4" x14ac:dyDescent="0.3">
      <c r="A5158" s="58">
        <v>5006309</v>
      </c>
      <c r="B5158" s="58" t="s">
        <v>5924</v>
      </c>
      <c r="C5158" s="59">
        <v>-19.677371733200605</v>
      </c>
      <c r="D5158" s="59">
        <v>-51.188707708369805</v>
      </c>
    </row>
    <row r="5159" spans="1:4" x14ac:dyDescent="0.3">
      <c r="A5159" s="58">
        <v>5006358</v>
      </c>
      <c r="B5159" s="58" t="s">
        <v>5925</v>
      </c>
      <c r="C5159" s="59">
        <v>-23.896869661480103</v>
      </c>
      <c r="D5159" s="59">
        <v>-55.433030457390117</v>
      </c>
    </row>
    <row r="5160" spans="1:4" x14ac:dyDescent="0.3">
      <c r="A5160" s="58">
        <v>5006408</v>
      </c>
      <c r="B5160" s="58" t="s">
        <v>5926</v>
      </c>
      <c r="C5160" s="59">
        <v>-18.101856234250651</v>
      </c>
      <c r="D5160" s="59">
        <v>-54.552445829166061</v>
      </c>
    </row>
    <row r="5161" spans="1:4" x14ac:dyDescent="0.3">
      <c r="A5161" s="58">
        <v>5006606</v>
      </c>
      <c r="B5161" s="58" t="s">
        <v>5927</v>
      </c>
      <c r="C5161" s="59">
        <v>-22.486187078760256</v>
      </c>
      <c r="D5161" s="59">
        <v>-55.710850177863747</v>
      </c>
    </row>
    <row r="5162" spans="1:4" x14ac:dyDescent="0.3">
      <c r="A5162" s="58">
        <v>5006903</v>
      </c>
      <c r="B5162" s="58" t="s">
        <v>5928</v>
      </c>
      <c r="C5162" s="59">
        <v>-21.707324558832003</v>
      </c>
      <c r="D5162" s="59">
        <v>-57.888482302260734</v>
      </c>
    </row>
    <row r="5163" spans="1:4" x14ac:dyDescent="0.3">
      <c r="A5163" s="58">
        <v>5007109</v>
      </c>
      <c r="B5163" s="58" t="s">
        <v>5929</v>
      </c>
      <c r="C5163" s="59">
        <v>-20.443675525586109</v>
      </c>
      <c r="D5163" s="59">
        <v>-53.761677624322004</v>
      </c>
    </row>
    <row r="5164" spans="1:4" x14ac:dyDescent="0.3">
      <c r="A5164" s="58">
        <v>5007208</v>
      </c>
      <c r="B5164" s="58" t="s">
        <v>5930</v>
      </c>
      <c r="C5164" s="59">
        <v>-21.801195257573202</v>
      </c>
      <c r="D5164" s="59">
        <v>-54.542242222468857</v>
      </c>
    </row>
    <row r="5165" spans="1:4" x14ac:dyDescent="0.3">
      <c r="A5165" s="58">
        <v>5007307</v>
      </c>
      <c r="B5165" s="58" t="s">
        <v>5070</v>
      </c>
      <c r="C5165" s="59">
        <v>-19.447429107340451</v>
      </c>
      <c r="D5165" s="59">
        <v>-54.987502324298163</v>
      </c>
    </row>
    <row r="5166" spans="1:4" x14ac:dyDescent="0.3">
      <c r="A5166" s="58">
        <v>5007406</v>
      </c>
      <c r="B5166" s="58" t="s">
        <v>5931</v>
      </c>
      <c r="C5166" s="59">
        <v>-18.916586440256101</v>
      </c>
      <c r="D5166" s="59">
        <v>-54.842253690112479</v>
      </c>
    </row>
    <row r="5167" spans="1:4" x14ac:dyDescent="0.3">
      <c r="A5167" s="58">
        <v>5007505</v>
      </c>
      <c r="B5167" s="58" t="s">
        <v>5932</v>
      </c>
      <c r="C5167" s="59">
        <v>-19.961859606541854</v>
      </c>
      <c r="D5167" s="59">
        <v>-54.892771930644436</v>
      </c>
    </row>
    <row r="5168" spans="1:4" x14ac:dyDescent="0.3">
      <c r="A5168" s="58">
        <v>5007554</v>
      </c>
      <c r="B5168" s="58" t="s">
        <v>5933</v>
      </c>
      <c r="C5168" s="59">
        <v>-21.30537694248655</v>
      </c>
      <c r="D5168" s="59">
        <v>-52.828071432573971</v>
      </c>
    </row>
    <row r="5169" spans="1:4" x14ac:dyDescent="0.3">
      <c r="A5169" s="58">
        <v>5007695</v>
      </c>
      <c r="B5169" s="58" t="s">
        <v>5934</v>
      </c>
      <c r="C5169" s="59">
        <v>-19.395521370157805</v>
      </c>
      <c r="D5169" s="59">
        <v>-54.56456909376007</v>
      </c>
    </row>
    <row r="5170" spans="1:4" x14ac:dyDescent="0.3">
      <c r="A5170" s="58">
        <v>5007703</v>
      </c>
      <c r="B5170" s="58" t="s">
        <v>5935</v>
      </c>
      <c r="C5170" s="59">
        <v>-23.983513254971253</v>
      </c>
      <c r="D5170" s="59">
        <v>-55.053315089063354</v>
      </c>
    </row>
    <row r="5171" spans="1:4" x14ac:dyDescent="0.3">
      <c r="A5171" s="58">
        <v>5007802</v>
      </c>
      <c r="B5171" s="58" t="s">
        <v>5936</v>
      </c>
      <c r="C5171" s="59">
        <v>-20.366742585330705</v>
      </c>
      <c r="D5171" s="59">
        <v>-51.418936905761399</v>
      </c>
    </row>
    <row r="5172" spans="1:4" x14ac:dyDescent="0.3">
      <c r="A5172" s="58">
        <v>5007901</v>
      </c>
      <c r="B5172" s="58" t="s">
        <v>5937</v>
      </c>
      <c r="C5172" s="59">
        <v>-20.931054459536501</v>
      </c>
      <c r="D5172" s="59">
        <v>-54.966030136506411</v>
      </c>
    </row>
    <row r="5173" spans="1:4" x14ac:dyDescent="0.3">
      <c r="A5173" s="58">
        <v>5007935</v>
      </c>
      <c r="B5173" s="58" t="s">
        <v>5938</v>
      </c>
      <c r="C5173" s="59">
        <v>-17.581355234453202</v>
      </c>
      <c r="D5173" s="59">
        <v>-54.754906217954186</v>
      </c>
    </row>
    <row r="5174" spans="1:4" x14ac:dyDescent="0.3">
      <c r="A5174" s="58">
        <v>5007950</v>
      </c>
      <c r="B5174" s="58" t="s">
        <v>5939</v>
      </c>
      <c r="C5174" s="59">
        <v>-23.634742022015704</v>
      </c>
      <c r="D5174" s="59">
        <v>-55.020320518296302</v>
      </c>
    </row>
    <row r="5175" spans="1:4" x14ac:dyDescent="0.3">
      <c r="A5175" s="58">
        <v>5007976</v>
      </c>
      <c r="B5175" s="58" t="s">
        <v>5940</v>
      </c>
      <c r="C5175" s="59">
        <v>-22.489987056525653</v>
      </c>
      <c r="D5175" s="59">
        <v>-53.351918741939599</v>
      </c>
    </row>
    <row r="5176" spans="1:4" x14ac:dyDescent="0.3">
      <c r="A5176" s="58">
        <v>5008008</v>
      </c>
      <c r="B5176" s="58" t="s">
        <v>5941</v>
      </c>
      <c r="C5176" s="59">
        <v>-20.442307680035352</v>
      </c>
      <c r="D5176" s="59">
        <v>-54.865556630648904</v>
      </c>
    </row>
    <row r="5177" spans="1:4" x14ac:dyDescent="0.3">
      <c r="A5177" s="58">
        <v>5008305</v>
      </c>
      <c r="B5177" s="58" t="s">
        <v>5942</v>
      </c>
      <c r="C5177" s="59">
        <v>-20.788679161391403</v>
      </c>
      <c r="D5177" s="59">
        <v>-51.710000628794234</v>
      </c>
    </row>
    <row r="5178" spans="1:4" x14ac:dyDescent="0.3">
      <c r="A5178" s="58">
        <v>5008404</v>
      </c>
      <c r="B5178" s="58" t="s">
        <v>5943</v>
      </c>
      <c r="C5178" s="59">
        <v>-22.401787557344853</v>
      </c>
      <c r="D5178" s="59">
        <v>-54.442124776842114</v>
      </c>
    </row>
    <row r="5179" spans="1:4" x14ac:dyDescent="0.3">
      <c r="A5179" s="58">
        <v>5100102</v>
      </c>
      <c r="B5179" s="58" t="s">
        <v>5944</v>
      </c>
      <c r="C5179" s="59">
        <v>-15.197889980333903</v>
      </c>
      <c r="D5179" s="59">
        <v>-56.371552566709767</v>
      </c>
    </row>
    <row r="5180" spans="1:4" x14ac:dyDescent="0.3">
      <c r="A5180" s="58">
        <v>5100201</v>
      </c>
      <c r="B5180" s="58" t="s">
        <v>3178</v>
      </c>
      <c r="C5180" s="59">
        <v>-14.049086800343453</v>
      </c>
      <c r="D5180" s="59">
        <v>-52.15891529860378</v>
      </c>
    </row>
    <row r="5181" spans="1:4" x14ac:dyDescent="0.3">
      <c r="A5181" s="58">
        <v>5100250</v>
      </c>
      <c r="B5181" s="58" t="s">
        <v>5945</v>
      </c>
      <c r="C5181" s="59">
        <v>-9.8717225966195112</v>
      </c>
      <c r="D5181" s="59">
        <v>-56.091610440473772</v>
      </c>
    </row>
    <row r="5182" spans="1:4" x14ac:dyDescent="0.3">
      <c r="A5182" s="58">
        <v>5100300</v>
      </c>
      <c r="B5182" s="58" t="s">
        <v>5946</v>
      </c>
      <c r="C5182" s="59">
        <v>-17.315589940396354</v>
      </c>
      <c r="D5182" s="59">
        <v>-53.220260329984264</v>
      </c>
    </row>
    <row r="5183" spans="1:4" x14ac:dyDescent="0.3">
      <c r="A5183" s="58">
        <v>5100359</v>
      </c>
      <c r="B5183" s="58" t="s">
        <v>5947</v>
      </c>
      <c r="C5183" s="59">
        <v>-11.676745157856102</v>
      </c>
      <c r="D5183" s="59">
        <v>-51.379322073755198</v>
      </c>
    </row>
    <row r="5184" spans="1:4" x14ac:dyDescent="0.3">
      <c r="A5184" s="58">
        <v>5100409</v>
      </c>
      <c r="B5184" s="58" t="s">
        <v>5948</v>
      </c>
      <c r="C5184" s="59">
        <v>-16.946722176039653</v>
      </c>
      <c r="D5184" s="59">
        <v>-53.52845411962425</v>
      </c>
    </row>
    <row r="5185" spans="1:4" x14ac:dyDescent="0.3">
      <c r="A5185" s="58">
        <v>5100508</v>
      </c>
      <c r="B5185" s="58" t="s">
        <v>5949</v>
      </c>
      <c r="C5185" s="59">
        <v>-14.514711810331054</v>
      </c>
      <c r="D5185" s="59">
        <v>-56.494441662575539</v>
      </c>
    </row>
    <row r="5186" spans="1:4" x14ac:dyDescent="0.3">
      <c r="A5186" s="58">
        <v>5100607</v>
      </c>
      <c r="B5186" s="58" t="s">
        <v>5950</v>
      </c>
      <c r="C5186" s="59">
        <v>-17.834743650721801</v>
      </c>
      <c r="D5186" s="59">
        <v>-53.281993122274109</v>
      </c>
    </row>
    <row r="5187" spans="1:4" x14ac:dyDescent="0.3">
      <c r="A5187" s="58">
        <v>5100805</v>
      </c>
      <c r="B5187" s="58" t="s">
        <v>5951</v>
      </c>
      <c r="C5187" s="59">
        <v>-9.5654951687245706</v>
      </c>
      <c r="D5187" s="59">
        <v>-57.395402241225518</v>
      </c>
    </row>
    <row r="5188" spans="1:4" x14ac:dyDescent="0.3">
      <c r="A5188" s="58">
        <v>5101001</v>
      </c>
      <c r="B5188" s="58" t="s">
        <v>5952</v>
      </c>
      <c r="C5188" s="59">
        <v>-15.731243495713604</v>
      </c>
      <c r="D5188" s="59">
        <v>-51.833621651334703</v>
      </c>
    </row>
    <row r="5189" spans="1:4" x14ac:dyDescent="0.3">
      <c r="A5189" s="58">
        <v>5101209</v>
      </c>
      <c r="B5189" s="58" t="s">
        <v>5953</v>
      </c>
      <c r="C5189" s="59">
        <v>-16.857545537891102</v>
      </c>
      <c r="D5189" s="59">
        <v>-53.035619883859958</v>
      </c>
    </row>
    <row r="5190" spans="1:4" x14ac:dyDescent="0.3">
      <c r="A5190" s="58">
        <v>5101258</v>
      </c>
      <c r="B5190" s="58" t="s">
        <v>5954</v>
      </c>
      <c r="C5190" s="59">
        <v>-15.468144269668453</v>
      </c>
      <c r="D5190" s="59">
        <v>-58.348367151868267</v>
      </c>
    </row>
    <row r="5191" spans="1:4" x14ac:dyDescent="0.3">
      <c r="A5191" s="58">
        <v>5101308</v>
      </c>
      <c r="B5191" s="58" t="s">
        <v>5955</v>
      </c>
      <c r="C5191" s="59">
        <v>-14.455521665975754</v>
      </c>
      <c r="D5191" s="59">
        <v>-56.844489239547187</v>
      </c>
    </row>
    <row r="5192" spans="1:4" x14ac:dyDescent="0.3">
      <c r="A5192" s="58">
        <v>5101407</v>
      </c>
      <c r="B5192" s="58" t="s">
        <v>5956</v>
      </c>
      <c r="C5192" s="59">
        <v>-10.172523695482651</v>
      </c>
      <c r="D5192" s="59">
        <v>-59.448616379161912</v>
      </c>
    </row>
    <row r="5193" spans="1:4" x14ac:dyDescent="0.3">
      <c r="A5193" s="58">
        <v>5101605</v>
      </c>
      <c r="B5193" s="58" t="s">
        <v>5957</v>
      </c>
      <c r="C5193" s="59">
        <v>-16.195099447643305</v>
      </c>
      <c r="D5193" s="59">
        <v>-55.967121133684586</v>
      </c>
    </row>
    <row r="5194" spans="1:4" x14ac:dyDescent="0.3">
      <c r="A5194" s="58">
        <v>5101704</v>
      </c>
      <c r="B5194" s="58" t="s">
        <v>5958</v>
      </c>
      <c r="C5194" s="59">
        <v>-15.066257940343409</v>
      </c>
      <c r="D5194" s="59">
        <v>-57.186408686842825</v>
      </c>
    </row>
    <row r="5195" spans="1:4" x14ac:dyDescent="0.3">
      <c r="A5195" s="58">
        <v>5101803</v>
      </c>
      <c r="B5195" s="58" t="s">
        <v>5959</v>
      </c>
      <c r="C5195" s="59">
        <v>-15.888711451695317</v>
      </c>
      <c r="D5195" s="59">
        <v>-52.260329756772109</v>
      </c>
    </row>
    <row r="5196" spans="1:4" x14ac:dyDescent="0.3">
      <c r="A5196" s="58">
        <v>5101852</v>
      </c>
      <c r="B5196" s="58" t="s">
        <v>5960</v>
      </c>
      <c r="C5196" s="59">
        <v>-12.173598343653152</v>
      </c>
      <c r="D5196" s="59">
        <v>-51.503639231862721</v>
      </c>
    </row>
    <row r="5197" spans="1:4" x14ac:dyDescent="0.3">
      <c r="A5197" s="58">
        <v>5101902</v>
      </c>
      <c r="B5197" s="58" t="s">
        <v>5961</v>
      </c>
      <c r="C5197" s="59">
        <v>-12.124938139880303</v>
      </c>
      <c r="D5197" s="59">
        <v>-58.002673627787196</v>
      </c>
    </row>
    <row r="5198" spans="1:4" x14ac:dyDescent="0.3">
      <c r="A5198" s="58">
        <v>5102504</v>
      </c>
      <c r="B5198" s="58" t="s">
        <v>5962</v>
      </c>
      <c r="C5198" s="59">
        <v>-16.074095630363654</v>
      </c>
      <c r="D5198" s="59">
        <v>-57.67476230721806</v>
      </c>
    </row>
    <row r="5199" spans="1:4" x14ac:dyDescent="0.3">
      <c r="A5199" s="58">
        <v>5102603</v>
      </c>
      <c r="B5199" s="58" t="s">
        <v>5963</v>
      </c>
      <c r="C5199" s="59">
        <v>-14.539617429941552</v>
      </c>
      <c r="D5199" s="59">
        <v>-52.797494750579212</v>
      </c>
    </row>
    <row r="5200" spans="1:4" x14ac:dyDescent="0.3">
      <c r="A5200" s="58">
        <v>5102637</v>
      </c>
      <c r="B5200" s="58" t="s">
        <v>5964</v>
      </c>
      <c r="C5200" s="59">
        <v>-13.654733173202303</v>
      </c>
      <c r="D5200" s="59">
        <v>-57.888546478837164</v>
      </c>
    </row>
    <row r="5201" spans="1:4" x14ac:dyDescent="0.3">
      <c r="A5201" s="58">
        <v>5102678</v>
      </c>
      <c r="B5201" s="58" t="s">
        <v>5965</v>
      </c>
      <c r="C5201" s="59">
        <v>-15.553704270314903</v>
      </c>
      <c r="D5201" s="59">
        <v>-55.171655414895667</v>
      </c>
    </row>
    <row r="5202" spans="1:4" x14ac:dyDescent="0.3">
      <c r="A5202" s="58">
        <v>5102686</v>
      </c>
      <c r="B5202" s="58" t="s">
        <v>5966</v>
      </c>
      <c r="C5202" s="59">
        <v>-13.719923045640453</v>
      </c>
      <c r="D5202" s="59">
        <v>-59.263408520586225</v>
      </c>
    </row>
    <row r="5203" spans="1:4" x14ac:dyDescent="0.3">
      <c r="A5203" s="58">
        <v>5102694</v>
      </c>
      <c r="B5203" s="58" t="s">
        <v>5967</v>
      </c>
      <c r="C5203" s="59">
        <v>-11.046186921831053</v>
      </c>
      <c r="D5203" s="59">
        <v>-51.837758006752829</v>
      </c>
    </row>
    <row r="5204" spans="1:4" x14ac:dyDescent="0.3">
      <c r="A5204" s="58">
        <v>5102702</v>
      </c>
      <c r="B5204" s="58" t="s">
        <v>2851</v>
      </c>
      <c r="C5204" s="59">
        <v>-13.559229509583004</v>
      </c>
      <c r="D5204" s="59">
        <v>-52.27345686347752</v>
      </c>
    </row>
    <row r="5205" spans="1:4" x14ac:dyDescent="0.3">
      <c r="A5205" s="58">
        <v>5102793</v>
      </c>
      <c r="B5205" s="58" t="s">
        <v>5968</v>
      </c>
      <c r="C5205" s="59">
        <v>-9.9666657925558511</v>
      </c>
      <c r="D5205" s="59">
        <v>-55.821614777994121</v>
      </c>
    </row>
    <row r="5206" spans="1:4" x14ac:dyDescent="0.3">
      <c r="A5206" s="58">
        <v>5102850</v>
      </c>
      <c r="B5206" s="58" t="s">
        <v>5969</v>
      </c>
      <c r="C5206" s="59">
        <v>-11.134107857592101</v>
      </c>
      <c r="D5206" s="59">
        <v>-58.613409263696084</v>
      </c>
    </row>
    <row r="5207" spans="1:4" x14ac:dyDescent="0.3">
      <c r="A5207" s="58">
        <v>5103007</v>
      </c>
      <c r="B5207" s="58" t="s">
        <v>5970</v>
      </c>
      <c r="C5207" s="59">
        <v>-15.460569678908451</v>
      </c>
      <c r="D5207" s="59">
        <v>-55.745004517892063</v>
      </c>
    </row>
    <row r="5208" spans="1:4" x14ac:dyDescent="0.3">
      <c r="A5208" s="58">
        <v>5103056</v>
      </c>
      <c r="B5208" s="58" t="s">
        <v>5971</v>
      </c>
      <c r="C5208" s="59">
        <v>-11.505310737648653</v>
      </c>
      <c r="D5208" s="59">
        <v>-54.874182447768789</v>
      </c>
    </row>
    <row r="5209" spans="1:4" x14ac:dyDescent="0.3">
      <c r="A5209" s="58">
        <v>5103106</v>
      </c>
      <c r="B5209" s="58" t="s">
        <v>5972</v>
      </c>
      <c r="C5209" s="59">
        <v>-14.390365539180801</v>
      </c>
      <c r="D5209" s="59">
        <v>-51.011243641008356</v>
      </c>
    </row>
    <row r="5210" spans="1:4" x14ac:dyDescent="0.3">
      <c r="A5210" s="58">
        <v>5103205</v>
      </c>
      <c r="B5210" s="58" t="s">
        <v>5973</v>
      </c>
      <c r="C5210" s="59">
        <v>-10.804089779009152</v>
      </c>
      <c r="D5210" s="59">
        <v>-55.464230541960127</v>
      </c>
    </row>
    <row r="5211" spans="1:4" x14ac:dyDescent="0.3">
      <c r="A5211" s="58">
        <v>5103254</v>
      </c>
      <c r="B5211" s="58" t="s">
        <v>5974</v>
      </c>
      <c r="C5211" s="59">
        <v>-9.4579038467120764</v>
      </c>
      <c r="D5211" s="59">
        <v>-59.218948674079115</v>
      </c>
    </row>
    <row r="5212" spans="1:4" x14ac:dyDescent="0.3">
      <c r="A5212" s="58">
        <v>5103304</v>
      </c>
      <c r="B5212" s="58" t="s">
        <v>5975</v>
      </c>
      <c r="C5212" s="59">
        <v>-13.660559916982852</v>
      </c>
      <c r="D5212" s="59">
        <v>-59.790430994422074</v>
      </c>
    </row>
    <row r="5213" spans="1:4" x14ac:dyDescent="0.3">
      <c r="A5213" s="58">
        <v>5103353</v>
      </c>
      <c r="B5213" s="58" t="s">
        <v>5976</v>
      </c>
      <c r="C5213" s="59">
        <v>-10.640730577037651</v>
      </c>
      <c r="D5213" s="59">
        <v>-51.57103361786146</v>
      </c>
    </row>
    <row r="5214" spans="1:4" x14ac:dyDescent="0.3">
      <c r="A5214" s="58">
        <v>5103361</v>
      </c>
      <c r="B5214" s="58" t="s">
        <v>5977</v>
      </c>
      <c r="C5214" s="59">
        <v>-14.536272814975851</v>
      </c>
      <c r="D5214" s="59">
        <v>-59.545074207299074</v>
      </c>
    </row>
    <row r="5215" spans="1:4" x14ac:dyDescent="0.3">
      <c r="A5215" s="58">
        <v>5103379</v>
      </c>
      <c r="B5215" s="58" t="s">
        <v>5978</v>
      </c>
      <c r="C5215" s="59">
        <v>-9.8862538715296111</v>
      </c>
      <c r="D5215" s="59">
        <v>-58.606894971081715</v>
      </c>
    </row>
    <row r="5216" spans="1:4" x14ac:dyDescent="0.3">
      <c r="A5216" s="58">
        <v>5103403</v>
      </c>
      <c r="B5216" s="58" t="s">
        <v>5979</v>
      </c>
      <c r="C5216" s="59">
        <v>-15.569989013120601</v>
      </c>
      <c r="D5216" s="59">
        <v>-56.073252038191143</v>
      </c>
    </row>
    <row r="5217" spans="1:4" x14ac:dyDescent="0.3">
      <c r="A5217" s="58">
        <v>5103437</v>
      </c>
      <c r="B5217" s="58" t="s">
        <v>5980</v>
      </c>
      <c r="C5217" s="59">
        <v>-15.609306170856703</v>
      </c>
      <c r="D5217" s="59">
        <v>-57.917114978664372</v>
      </c>
    </row>
    <row r="5218" spans="1:4" x14ac:dyDescent="0.3">
      <c r="A5218" s="58">
        <v>5103452</v>
      </c>
      <c r="B5218" s="58" t="s">
        <v>5981</v>
      </c>
      <c r="C5218" s="59">
        <v>-14.733815918331803</v>
      </c>
      <c r="D5218" s="59">
        <v>-57.053777272832349</v>
      </c>
    </row>
    <row r="5219" spans="1:4" x14ac:dyDescent="0.3">
      <c r="A5219" s="58">
        <v>5103502</v>
      </c>
      <c r="B5219" s="58" t="s">
        <v>5982</v>
      </c>
      <c r="C5219" s="59">
        <v>-14.401322962164901</v>
      </c>
      <c r="D5219" s="59">
        <v>-56.433566081511977</v>
      </c>
    </row>
    <row r="5220" spans="1:4" x14ac:dyDescent="0.3">
      <c r="A5220" s="58">
        <v>5103601</v>
      </c>
      <c r="B5220" s="58" t="s">
        <v>5983</v>
      </c>
      <c r="C5220" s="59">
        <v>-15.807455150789702</v>
      </c>
      <c r="D5220" s="59">
        <v>-54.917480782569164</v>
      </c>
    </row>
    <row r="5221" spans="1:4" x14ac:dyDescent="0.3">
      <c r="A5221" s="58">
        <v>5103700</v>
      </c>
      <c r="B5221" s="58" t="s">
        <v>5984</v>
      </c>
      <c r="C5221" s="59">
        <v>-12.383247028174004</v>
      </c>
      <c r="D5221" s="59">
        <v>-54.933904066425491</v>
      </c>
    </row>
    <row r="5222" spans="1:4" x14ac:dyDescent="0.3">
      <c r="A5222" s="58">
        <v>5103809</v>
      </c>
      <c r="B5222" s="58" t="s">
        <v>5985</v>
      </c>
      <c r="C5222" s="59">
        <v>-15.446135114631904</v>
      </c>
      <c r="D5222" s="59">
        <v>-58.737824548863216</v>
      </c>
    </row>
    <row r="5223" spans="1:4" x14ac:dyDescent="0.3">
      <c r="A5223" s="58">
        <v>5103858</v>
      </c>
      <c r="B5223" s="58" t="s">
        <v>5986</v>
      </c>
      <c r="C5223" s="59">
        <v>-13.188043189509701</v>
      </c>
      <c r="D5223" s="59">
        <v>-53.261518671947549</v>
      </c>
    </row>
    <row r="5224" spans="1:4" x14ac:dyDescent="0.3">
      <c r="A5224" s="58">
        <v>5103908</v>
      </c>
      <c r="B5224" s="58" t="s">
        <v>4899</v>
      </c>
      <c r="C5224" s="59">
        <v>-15.707041794613303</v>
      </c>
      <c r="D5224" s="59">
        <v>-52.759309833966846</v>
      </c>
    </row>
    <row r="5225" spans="1:4" x14ac:dyDescent="0.3">
      <c r="A5225" s="58">
        <v>5103957</v>
      </c>
      <c r="B5225" s="58" t="s">
        <v>5987</v>
      </c>
      <c r="C5225" s="59">
        <v>-15.767962309548301</v>
      </c>
      <c r="D5225" s="59">
        <v>-58.31448558872399</v>
      </c>
    </row>
    <row r="5226" spans="1:4" x14ac:dyDescent="0.3">
      <c r="A5226" s="58">
        <v>5104104</v>
      </c>
      <c r="B5226" s="58" t="s">
        <v>5988</v>
      </c>
      <c r="C5226" s="59">
        <v>-9.954073233642605</v>
      </c>
      <c r="D5226" s="59">
        <v>-54.916057311272176</v>
      </c>
    </row>
    <row r="5227" spans="1:4" x14ac:dyDescent="0.3">
      <c r="A5227" s="58">
        <v>5104203</v>
      </c>
      <c r="B5227" s="58" t="s">
        <v>5989</v>
      </c>
      <c r="C5227" s="59">
        <v>-16.348389268066551</v>
      </c>
      <c r="D5227" s="59">
        <v>-53.760964029419526</v>
      </c>
    </row>
    <row r="5228" spans="1:4" x14ac:dyDescent="0.3">
      <c r="A5228" s="58">
        <v>5104500</v>
      </c>
      <c r="B5228" s="58" t="s">
        <v>5990</v>
      </c>
      <c r="C5228" s="59">
        <v>-15.497514229556103</v>
      </c>
      <c r="D5228" s="59">
        <v>-58.573992386023249</v>
      </c>
    </row>
    <row r="5229" spans="1:4" x14ac:dyDescent="0.3">
      <c r="A5229" s="58">
        <v>5104526</v>
      </c>
      <c r="B5229" s="58" t="s">
        <v>5991</v>
      </c>
      <c r="C5229" s="59">
        <v>-12.236842000175852</v>
      </c>
      <c r="D5229" s="59">
        <v>-56.159793135550309</v>
      </c>
    </row>
    <row r="5230" spans="1:4" x14ac:dyDescent="0.3">
      <c r="A5230" s="58">
        <v>5104542</v>
      </c>
      <c r="B5230" s="58" t="s">
        <v>5992</v>
      </c>
      <c r="C5230" s="59">
        <v>-12.234768715866602</v>
      </c>
      <c r="D5230" s="59">
        <v>-56.649343613083879</v>
      </c>
    </row>
    <row r="5231" spans="1:4" x14ac:dyDescent="0.3">
      <c r="A5231" s="58">
        <v>5104559</v>
      </c>
      <c r="B5231" s="58" t="s">
        <v>5993</v>
      </c>
      <c r="C5231" s="59">
        <v>-11.007711898731852</v>
      </c>
      <c r="D5231" s="59">
        <v>-55.246689334860122</v>
      </c>
    </row>
    <row r="5232" spans="1:4" x14ac:dyDescent="0.3">
      <c r="A5232" s="58">
        <v>5104609</v>
      </c>
      <c r="B5232" s="58" t="s">
        <v>5994</v>
      </c>
      <c r="C5232" s="59">
        <v>-17.206825055365652</v>
      </c>
      <c r="D5232" s="59">
        <v>-54.144300896000416</v>
      </c>
    </row>
    <row r="5233" spans="1:4" x14ac:dyDescent="0.3">
      <c r="A5233" s="58">
        <v>5104807</v>
      </c>
      <c r="B5233" s="58" t="s">
        <v>5995</v>
      </c>
      <c r="C5233" s="59">
        <v>-15.964838184149352</v>
      </c>
      <c r="D5233" s="59">
        <v>-54.964188175190138</v>
      </c>
    </row>
    <row r="5234" spans="1:4" x14ac:dyDescent="0.3">
      <c r="A5234" s="58">
        <v>5104906</v>
      </c>
      <c r="B5234" s="58" t="s">
        <v>5996</v>
      </c>
      <c r="C5234" s="59">
        <v>-15.239687225593203</v>
      </c>
      <c r="D5234" s="59">
        <v>-56.490194562613951</v>
      </c>
    </row>
    <row r="5235" spans="1:4" x14ac:dyDescent="0.3">
      <c r="A5235" s="58">
        <v>5105002</v>
      </c>
      <c r="B5235" s="58" t="s">
        <v>5997</v>
      </c>
      <c r="C5235" s="59">
        <v>-15.341896381514502</v>
      </c>
      <c r="D5235" s="59">
        <v>-58.879838397363052</v>
      </c>
    </row>
    <row r="5236" spans="1:4" x14ac:dyDescent="0.3">
      <c r="A5236" s="58">
        <v>5105101</v>
      </c>
      <c r="B5236" s="58" t="s">
        <v>5998</v>
      </c>
      <c r="C5236" s="59">
        <v>-11.250359978485204</v>
      </c>
      <c r="D5236" s="59">
        <v>-57.513123218331167</v>
      </c>
    </row>
    <row r="5237" spans="1:4" x14ac:dyDescent="0.3">
      <c r="A5237" s="58">
        <v>5105150</v>
      </c>
      <c r="B5237" s="58" t="s">
        <v>5999</v>
      </c>
      <c r="C5237" s="59">
        <v>-11.422018032268115</v>
      </c>
      <c r="D5237" s="59">
        <v>-58.762217151769548</v>
      </c>
    </row>
    <row r="5238" spans="1:4" x14ac:dyDescent="0.3">
      <c r="A5238" s="58">
        <v>5105176</v>
      </c>
      <c r="B5238" s="58" t="s">
        <v>6000</v>
      </c>
      <c r="C5238" s="59">
        <v>-10.329112779866753</v>
      </c>
      <c r="D5238" s="59">
        <v>-58.496309174033399</v>
      </c>
    </row>
    <row r="5239" spans="1:4" x14ac:dyDescent="0.3">
      <c r="A5239" s="58">
        <v>5105200</v>
      </c>
      <c r="B5239" s="58" t="s">
        <v>6001</v>
      </c>
      <c r="C5239" s="59">
        <v>-16.044685189108836</v>
      </c>
      <c r="D5239" s="59">
        <v>-54.888760942950412</v>
      </c>
    </row>
    <row r="5240" spans="1:4" x14ac:dyDescent="0.3">
      <c r="A5240" s="58">
        <v>5105234</v>
      </c>
      <c r="B5240" s="58" t="s">
        <v>6002</v>
      </c>
      <c r="C5240" s="59">
        <v>-15.315501240044052</v>
      </c>
      <c r="D5240" s="59">
        <v>-58.005825178606408</v>
      </c>
    </row>
    <row r="5241" spans="1:4" x14ac:dyDescent="0.3">
      <c r="A5241" s="58">
        <v>5105259</v>
      </c>
      <c r="B5241" s="58" t="s">
        <v>6003</v>
      </c>
      <c r="C5241" s="59">
        <v>-13.070464950899904</v>
      </c>
      <c r="D5241" s="59">
        <v>-55.921770709111676</v>
      </c>
    </row>
    <row r="5242" spans="1:4" x14ac:dyDescent="0.3">
      <c r="A5242" s="58">
        <v>5105309</v>
      </c>
      <c r="B5242" s="58" t="s">
        <v>6004</v>
      </c>
      <c r="C5242" s="59">
        <v>-11.228097099831201</v>
      </c>
      <c r="D5242" s="59">
        <v>-50.663201583169375</v>
      </c>
    </row>
    <row r="5243" spans="1:4" x14ac:dyDescent="0.3">
      <c r="A5243" s="58">
        <v>5105507</v>
      </c>
      <c r="B5243" s="58" t="s">
        <v>6005</v>
      </c>
      <c r="C5243" s="59">
        <v>-15.009324478780552</v>
      </c>
      <c r="D5243" s="59">
        <v>-59.952558199478077</v>
      </c>
    </row>
    <row r="5244" spans="1:4" x14ac:dyDescent="0.3">
      <c r="A5244" s="58">
        <v>5105580</v>
      </c>
      <c r="B5244" s="58" t="s">
        <v>6006</v>
      </c>
      <c r="C5244" s="59">
        <v>-11.080591411281651</v>
      </c>
      <c r="D5244" s="59">
        <v>-54.519306232190516</v>
      </c>
    </row>
    <row r="5245" spans="1:4" x14ac:dyDescent="0.3">
      <c r="A5245" s="58">
        <v>5105606</v>
      </c>
      <c r="B5245" s="58" t="s">
        <v>6007</v>
      </c>
      <c r="C5245" s="59">
        <v>-10.172107466203203</v>
      </c>
      <c r="D5245" s="59">
        <v>-54.93180572014581</v>
      </c>
    </row>
    <row r="5246" spans="1:4" x14ac:dyDescent="0.3">
      <c r="A5246" s="58">
        <v>5105622</v>
      </c>
      <c r="B5246" s="58" t="s">
        <v>6008</v>
      </c>
      <c r="C5246" s="59">
        <v>-15.674070781088052</v>
      </c>
      <c r="D5246" s="59">
        <v>-58.097903568991171</v>
      </c>
    </row>
    <row r="5247" spans="1:4" x14ac:dyDescent="0.3">
      <c r="A5247" s="58">
        <v>5105903</v>
      </c>
      <c r="B5247" s="58" t="s">
        <v>6009</v>
      </c>
      <c r="C5247" s="59">
        <v>-14.724500273370301</v>
      </c>
      <c r="D5247" s="59">
        <v>-56.334084830598847</v>
      </c>
    </row>
    <row r="5248" spans="1:4" x14ac:dyDescent="0.3">
      <c r="A5248" s="58">
        <v>5106000</v>
      </c>
      <c r="B5248" s="58" t="s">
        <v>6010</v>
      </c>
      <c r="C5248" s="59">
        <v>-14.453724556765302</v>
      </c>
      <c r="D5248" s="59">
        <v>-56.80206897515157</v>
      </c>
    </row>
    <row r="5249" spans="1:4" x14ac:dyDescent="0.3">
      <c r="A5249" s="58">
        <v>5106109</v>
      </c>
      <c r="B5249" s="58" t="s">
        <v>6011</v>
      </c>
      <c r="C5249" s="59">
        <v>-15.789676206668204</v>
      </c>
      <c r="D5249" s="59">
        <v>-56.345258555178184</v>
      </c>
    </row>
    <row r="5250" spans="1:4" x14ac:dyDescent="0.3">
      <c r="A5250" s="58">
        <v>5106158</v>
      </c>
      <c r="B5250" s="58" t="s">
        <v>6012</v>
      </c>
      <c r="C5250" s="59">
        <v>-9.8429528203058165</v>
      </c>
      <c r="D5250" s="59">
        <v>-57.818475798533051</v>
      </c>
    </row>
    <row r="5251" spans="1:4" x14ac:dyDescent="0.3">
      <c r="A5251" s="58">
        <v>5106174</v>
      </c>
      <c r="B5251" s="58" t="s">
        <v>6013</v>
      </c>
      <c r="C5251" s="59">
        <v>-13.987867273442603</v>
      </c>
      <c r="D5251" s="59">
        <v>-51.797434217511743</v>
      </c>
    </row>
    <row r="5252" spans="1:4" x14ac:dyDescent="0.3">
      <c r="A5252" s="58">
        <v>5106182</v>
      </c>
      <c r="B5252" s="58" t="s">
        <v>6014</v>
      </c>
      <c r="C5252" s="59">
        <v>-14.469788994004201</v>
      </c>
      <c r="D5252" s="59">
        <v>-59.590330502794515</v>
      </c>
    </row>
    <row r="5253" spans="1:4" x14ac:dyDescent="0.3">
      <c r="A5253" s="58">
        <v>5106190</v>
      </c>
      <c r="B5253" s="58" t="s">
        <v>6015</v>
      </c>
      <c r="C5253" s="59">
        <v>-10.850999975911153</v>
      </c>
      <c r="D5253" s="59">
        <v>-55.183685741121195</v>
      </c>
    </row>
    <row r="5254" spans="1:4" x14ac:dyDescent="0.3">
      <c r="A5254" s="58">
        <v>5106208</v>
      </c>
      <c r="B5254" s="58" t="s">
        <v>6016</v>
      </c>
      <c r="C5254" s="59">
        <v>-14.925464456005001</v>
      </c>
      <c r="D5254" s="59">
        <v>-54.971908869126054</v>
      </c>
    </row>
    <row r="5255" spans="1:4" x14ac:dyDescent="0.3">
      <c r="A5255" s="58">
        <v>5106216</v>
      </c>
      <c r="B5255" s="58" t="s">
        <v>6017</v>
      </c>
      <c r="C5255" s="59">
        <v>-10.631104229019204</v>
      </c>
      <c r="D5255" s="59">
        <v>-55.714877306043761</v>
      </c>
    </row>
    <row r="5256" spans="1:4" x14ac:dyDescent="0.3">
      <c r="A5256" s="58">
        <v>5106224</v>
      </c>
      <c r="B5256" s="58" t="s">
        <v>6018</v>
      </c>
      <c r="C5256" s="59">
        <v>-13.832725692724004</v>
      </c>
      <c r="D5256" s="59">
        <v>-56.110005248097764</v>
      </c>
    </row>
    <row r="5257" spans="1:4" x14ac:dyDescent="0.3">
      <c r="A5257" s="58">
        <v>5106232</v>
      </c>
      <c r="B5257" s="58" t="s">
        <v>5002</v>
      </c>
      <c r="C5257" s="59">
        <v>-14.779414241865254</v>
      </c>
      <c r="D5257" s="59">
        <v>-57.28292396195836</v>
      </c>
    </row>
    <row r="5258" spans="1:4" x14ac:dyDescent="0.3">
      <c r="A5258" s="58">
        <v>5106240</v>
      </c>
      <c r="B5258" s="58" t="s">
        <v>6019</v>
      </c>
      <c r="C5258" s="59">
        <v>-13.033827715955551</v>
      </c>
      <c r="D5258" s="59">
        <v>-55.273213318983998</v>
      </c>
    </row>
    <row r="5259" spans="1:4" x14ac:dyDescent="0.3">
      <c r="A5259" s="58">
        <v>5106257</v>
      </c>
      <c r="B5259" s="58" t="s">
        <v>6020</v>
      </c>
      <c r="C5259" s="59">
        <v>-14.669179516314003</v>
      </c>
      <c r="D5259" s="59">
        <v>-52.361192672619474</v>
      </c>
    </row>
    <row r="5260" spans="1:4" x14ac:dyDescent="0.3">
      <c r="A5260" s="58">
        <v>5106265</v>
      </c>
      <c r="B5260" s="58" t="s">
        <v>6021</v>
      </c>
      <c r="C5260" s="59">
        <v>-9.9771091944931261</v>
      </c>
      <c r="D5260" s="59">
        <v>-55.172018931552422</v>
      </c>
    </row>
    <row r="5261" spans="1:4" x14ac:dyDescent="0.3">
      <c r="A5261" s="58">
        <v>5106273</v>
      </c>
      <c r="B5261" s="58" t="s">
        <v>6022</v>
      </c>
      <c r="C5261" s="59">
        <v>-11.387634779361102</v>
      </c>
      <c r="D5261" s="59">
        <v>-57.317475113823669</v>
      </c>
    </row>
    <row r="5262" spans="1:4" x14ac:dyDescent="0.3">
      <c r="A5262" s="58">
        <v>5106281</v>
      </c>
      <c r="B5262" s="58" t="s">
        <v>6023</v>
      </c>
      <c r="C5262" s="59">
        <v>-14.886565262715102</v>
      </c>
      <c r="D5262" s="59">
        <v>-53.016115512901763</v>
      </c>
    </row>
    <row r="5263" spans="1:4" x14ac:dyDescent="0.3">
      <c r="A5263" s="58">
        <v>5106299</v>
      </c>
      <c r="B5263" s="58" t="s">
        <v>6024</v>
      </c>
      <c r="C5263" s="59">
        <v>-9.6696554985260565</v>
      </c>
      <c r="D5263" s="59">
        <v>-56.478899720188814</v>
      </c>
    </row>
    <row r="5264" spans="1:4" x14ac:dyDescent="0.3">
      <c r="A5264" s="58">
        <v>5106307</v>
      </c>
      <c r="B5264" s="58" t="s">
        <v>6025</v>
      </c>
      <c r="C5264" s="59">
        <v>-14.427698480098858</v>
      </c>
      <c r="D5264" s="59">
        <v>-54.054091991906546</v>
      </c>
    </row>
    <row r="5265" spans="1:4" x14ac:dyDescent="0.3">
      <c r="A5265" s="58">
        <v>5106315</v>
      </c>
      <c r="B5265" s="58" t="s">
        <v>1822</v>
      </c>
      <c r="C5265" s="59">
        <v>-12.294693483242304</v>
      </c>
      <c r="D5265" s="59">
        <v>-50.969172645205163</v>
      </c>
    </row>
    <row r="5266" spans="1:4" x14ac:dyDescent="0.3">
      <c r="A5266" s="58">
        <v>5106372</v>
      </c>
      <c r="B5266" s="58" t="s">
        <v>2187</v>
      </c>
      <c r="C5266" s="59">
        <v>-16.622210415882552</v>
      </c>
      <c r="D5266" s="59">
        <v>-54.471395638210147</v>
      </c>
    </row>
    <row r="5267" spans="1:4" x14ac:dyDescent="0.3">
      <c r="A5267" s="58">
        <v>5106422</v>
      </c>
      <c r="B5267" s="58" t="s">
        <v>6026</v>
      </c>
      <c r="C5267" s="59">
        <v>-10.244842082771353</v>
      </c>
      <c r="D5267" s="59">
        <v>-54.992297401368766</v>
      </c>
    </row>
    <row r="5268" spans="1:4" x14ac:dyDescent="0.3">
      <c r="A5268" s="58">
        <v>5106455</v>
      </c>
      <c r="B5268" s="58" t="s">
        <v>6027</v>
      </c>
      <c r="C5268" s="59">
        <v>-14.660705939490303</v>
      </c>
      <c r="D5268" s="59">
        <v>-54.783495752278711</v>
      </c>
    </row>
    <row r="5269" spans="1:4" x14ac:dyDescent="0.3">
      <c r="A5269" s="58">
        <v>5106505</v>
      </c>
      <c r="B5269" s="58" t="s">
        <v>6028</v>
      </c>
      <c r="C5269" s="59">
        <v>-16.259509466966701</v>
      </c>
      <c r="D5269" s="59">
        <v>-56.626509352734999</v>
      </c>
    </row>
    <row r="5270" spans="1:4" x14ac:dyDescent="0.3">
      <c r="A5270" s="58">
        <v>5106653</v>
      </c>
      <c r="B5270" s="58" t="s">
        <v>6029</v>
      </c>
      <c r="C5270" s="59">
        <v>-15.902471343839251</v>
      </c>
      <c r="D5270" s="59">
        <v>-52.258511111935448</v>
      </c>
    </row>
    <row r="5271" spans="1:4" x14ac:dyDescent="0.3">
      <c r="A5271" s="58">
        <v>5106703</v>
      </c>
      <c r="B5271" s="58" t="s">
        <v>6030</v>
      </c>
      <c r="C5271" s="59">
        <v>-16.767648010988953</v>
      </c>
      <c r="D5271" s="59">
        <v>-52.835775728192417</v>
      </c>
    </row>
    <row r="5272" spans="1:4" x14ac:dyDescent="0.3">
      <c r="A5272" s="58">
        <v>5106752</v>
      </c>
      <c r="B5272" s="58" t="s">
        <v>6031</v>
      </c>
      <c r="C5272" s="59">
        <v>-15.229727571109953</v>
      </c>
      <c r="D5272" s="59">
        <v>-59.338001844365699</v>
      </c>
    </row>
    <row r="5273" spans="1:4" x14ac:dyDescent="0.3">
      <c r="A5273" s="58">
        <v>5106778</v>
      </c>
      <c r="B5273" s="58" t="s">
        <v>6032</v>
      </c>
      <c r="C5273" s="59">
        <v>-10.877548476915303</v>
      </c>
      <c r="D5273" s="59">
        <v>-51.630879823940759</v>
      </c>
    </row>
    <row r="5274" spans="1:4" x14ac:dyDescent="0.3">
      <c r="A5274" s="58">
        <v>5106802</v>
      </c>
      <c r="B5274" s="58" t="s">
        <v>6033</v>
      </c>
      <c r="C5274" s="59">
        <v>-11.533840029457602</v>
      </c>
      <c r="D5274" s="59">
        <v>-57.408353838005056</v>
      </c>
    </row>
    <row r="5275" spans="1:4" x14ac:dyDescent="0.3">
      <c r="A5275" s="58">
        <v>5106828</v>
      </c>
      <c r="B5275" s="58" t="s">
        <v>6034</v>
      </c>
      <c r="C5275" s="59">
        <v>-15.857634861917754</v>
      </c>
      <c r="D5275" s="59">
        <v>-58.469298742252064</v>
      </c>
    </row>
    <row r="5276" spans="1:4" x14ac:dyDescent="0.3">
      <c r="A5276" s="58">
        <v>5106851</v>
      </c>
      <c r="B5276" s="58" t="s">
        <v>6035</v>
      </c>
      <c r="C5276" s="59">
        <v>-15.331336306004253</v>
      </c>
      <c r="D5276" s="59">
        <v>-57.201357299911074</v>
      </c>
    </row>
    <row r="5277" spans="1:4" x14ac:dyDescent="0.3">
      <c r="A5277" s="58">
        <v>5107008</v>
      </c>
      <c r="B5277" s="58" t="s">
        <v>6036</v>
      </c>
      <c r="C5277" s="59">
        <v>-15.818135556980952</v>
      </c>
      <c r="D5277" s="59">
        <v>-54.400732655953831</v>
      </c>
    </row>
    <row r="5278" spans="1:4" x14ac:dyDescent="0.3">
      <c r="A5278" s="58">
        <v>5107040</v>
      </c>
      <c r="B5278" s="58" t="s">
        <v>6037</v>
      </c>
      <c r="C5278" s="59">
        <v>-15.552293593114062</v>
      </c>
      <c r="D5278" s="59">
        <v>-54.300053259122677</v>
      </c>
    </row>
    <row r="5279" spans="1:4" x14ac:dyDescent="0.3">
      <c r="A5279" s="58">
        <v>5107065</v>
      </c>
      <c r="B5279" s="58" t="s">
        <v>6038</v>
      </c>
      <c r="C5279" s="59">
        <v>-12.592299626304401</v>
      </c>
      <c r="D5279" s="59">
        <v>-52.209891915594156</v>
      </c>
    </row>
    <row r="5280" spans="1:4" x14ac:dyDescent="0.3">
      <c r="A5280" s="58">
        <v>5107107</v>
      </c>
      <c r="B5280" s="58" t="s">
        <v>6039</v>
      </c>
      <c r="C5280" s="59">
        <v>-15.627105736672302</v>
      </c>
      <c r="D5280" s="59">
        <v>-58.17650593737298</v>
      </c>
    </row>
    <row r="5281" spans="1:4" x14ac:dyDescent="0.3">
      <c r="A5281" s="58">
        <v>5107156</v>
      </c>
      <c r="B5281" s="58" t="s">
        <v>6040</v>
      </c>
      <c r="C5281" s="59">
        <v>-15.122409531185653</v>
      </c>
      <c r="D5281" s="59">
        <v>-58.385364529951602</v>
      </c>
    </row>
    <row r="5282" spans="1:4" x14ac:dyDescent="0.3">
      <c r="A5282" s="58">
        <v>5107180</v>
      </c>
      <c r="B5282" s="58" t="s">
        <v>6041</v>
      </c>
      <c r="C5282" s="59">
        <v>-12.932048563490699</v>
      </c>
      <c r="D5282" s="59">
        <v>-51.83336334510134</v>
      </c>
    </row>
    <row r="5283" spans="1:4" x14ac:dyDescent="0.3">
      <c r="A5283" s="58">
        <v>5107198</v>
      </c>
      <c r="B5283" s="58" t="s">
        <v>6042</v>
      </c>
      <c r="C5283" s="59">
        <v>-16.486525913679955</v>
      </c>
      <c r="D5283" s="59">
        <v>-52.695441728262622</v>
      </c>
    </row>
    <row r="5284" spans="1:4" x14ac:dyDescent="0.3">
      <c r="A5284" s="58">
        <v>5107206</v>
      </c>
      <c r="B5284" s="58" t="s">
        <v>1102</v>
      </c>
      <c r="C5284" s="59">
        <v>-15.235682810143553</v>
      </c>
      <c r="D5284" s="59">
        <v>-58.117939347991616</v>
      </c>
    </row>
    <row r="5285" spans="1:4" x14ac:dyDescent="0.3">
      <c r="A5285" s="58">
        <v>5107248</v>
      </c>
      <c r="B5285" s="58" t="s">
        <v>6043</v>
      </c>
      <c r="C5285" s="59">
        <v>-11.9696855569233</v>
      </c>
      <c r="D5285" s="59">
        <v>-55.282222706505316</v>
      </c>
    </row>
    <row r="5286" spans="1:4" x14ac:dyDescent="0.3">
      <c r="A5286" s="58">
        <v>5107263</v>
      </c>
      <c r="B5286" s="58" t="s">
        <v>6044</v>
      </c>
      <c r="C5286" s="59">
        <v>-14.490776819697754</v>
      </c>
      <c r="D5286" s="59">
        <v>-57.000503637470864</v>
      </c>
    </row>
    <row r="5287" spans="1:4" x14ac:dyDescent="0.3">
      <c r="A5287" s="58">
        <v>5107297</v>
      </c>
      <c r="B5287" s="58" t="s">
        <v>6045</v>
      </c>
      <c r="C5287" s="59">
        <v>-16.466330308787352</v>
      </c>
      <c r="D5287" s="59">
        <v>-54.256246368338147</v>
      </c>
    </row>
    <row r="5288" spans="1:4" x14ac:dyDescent="0.3">
      <c r="A5288" s="58">
        <v>5107305</v>
      </c>
      <c r="B5288" s="58" t="s">
        <v>6046</v>
      </c>
      <c r="C5288" s="59">
        <v>-13.45206833741055</v>
      </c>
      <c r="D5288" s="59">
        <v>-56.721583760684851</v>
      </c>
    </row>
    <row r="5289" spans="1:4" x14ac:dyDescent="0.3">
      <c r="A5289" s="58">
        <v>5107354</v>
      </c>
      <c r="B5289" s="58" t="s">
        <v>6047</v>
      </c>
      <c r="C5289" s="59">
        <v>-10.800264163032551</v>
      </c>
      <c r="D5289" s="59">
        <v>-52.739793639872623</v>
      </c>
    </row>
    <row r="5290" spans="1:4" x14ac:dyDescent="0.3">
      <c r="A5290" s="58">
        <v>5107404</v>
      </c>
      <c r="B5290" s="58" t="s">
        <v>6048</v>
      </c>
      <c r="C5290" s="59">
        <v>-16.002708520526003</v>
      </c>
      <c r="D5290" s="59">
        <v>-54.918993183066668</v>
      </c>
    </row>
    <row r="5291" spans="1:4" x14ac:dyDescent="0.3">
      <c r="A5291" s="58">
        <v>5107578</v>
      </c>
      <c r="B5291" s="58" t="s">
        <v>6049</v>
      </c>
      <c r="C5291" s="59">
        <v>-10.844301974010202</v>
      </c>
      <c r="D5291" s="59">
        <v>-61.45967817199471</v>
      </c>
    </row>
    <row r="5292" spans="1:4" x14ac:dyDescent="0.3">
      <c r="A5292" s="58">
        <v>5107602</v>
      </c>
      <c r="B5292" s="58" t="s">
        <v>6050</v>
      </c>
      <c r="C5292" s="59">
        <v>-16.470162873499849</v>
      </c>
      <c r="D5292" s="59">
        <v>-54.633587040178377</v>
      </c>
    </row>
    <row r="5293" spans="1:4" x14ac:dyDescent="0.3">
      <c r="A5293" s="58">
        <v>5107701</v>
      </c>
      <c r="B5293" s="58" t="s">
        <v>6051</v>
      </c>
      <c r="C5293" s="59">
        <v>-14.826427571477202</v>
      </c>
      <c r="D5293" s="59">
        <v>-56.428293205405375</v>
      </c>
    </row>
    <row r="5294" spans="1:4" x14ac:dyDescent="0.3">
      <c r="A5294" s="58">
        <v>5107743</v>
      </c>
      <c r="B5294" s="58" t="s">
        <v>6052</v>
      </c>
      <c r="C5294" s="59">
        <v>-10.152449503633301</v>
      </c>
      <c r="D5294" s="59">
        <v>-52.398615965570215</v>
      </c>
    </row>
    <row r="5295" spans="1:4" x14ac:dyDescent="0.3">
      <c r="A5295" s="58">
        <v>5107750</v>
      </c>
      <c r="B5295" s="58" t="s">
        <v>6053</v>
      </c>
      <c r="C5295" s="59">
        <v>-15.135824574768749</v>
      </c>
      <c r="D5295" s="59">
        <v>-58.126751807016475</v>
      </c>
    </row>
    <row r="5296" spans="1:4" x14ac:dyDescent="0.3">
      <c r="A5296" s="58">
        <v>5107768</v>
      </c>
      <c r="B5296" s="58" t="s">
        <v>6054</v>
      </c>
      <c r="C5296" s="59">
        <v>-13.816189731956403</v>
      </c>
      <c r="D5296" s="59">
        <v>-55.277692881417941</v>
      </c>
    </row>
    <row r="5297" spans="1:4" x14ac:dyDescent="0.3">
      <c r="A5297" s="58">
        <v>5107776</v>
      </c>
      <c r="B5297" s="58" t="s">
        <v>2579</v>
      </c>
      <c r="C5297" s="59">
        <v>-10.466111619578252</v>
      </c>
      <c r="D5297" s="59">
        <v>-50.506266437902944</v>
      </c>
    </row>
    <row r="5298" spans="1:4" x14ac:dyDescent="0.3">
      <c r="A5298" s="58">
        <v>5107792</v>
      </c>
      <c r="B5298" s="58" t="s">
        <v>6055</v>
      </c>
      <c r="C5298" s="59">
        <v>-14.800813396551701</v>
      </c>
      <c r="D5298" s="59">
        <v>-53.611723852172162</v>
      </c>
    </row>
    <row r="5299" spans="1:4" x14ac:dyDescent="0.3">
      <c r="A5299" s="58">
        <v>5107800</v>
      </c>
      <c r="B5299" s="58" t="s">
        <v>6056</v>
      </c>
      <c r="C5299" s="59">
        <v>-15.86917904395745</v>
      </c>
      <c r="D5299" s="59">
        <v>-56.094162200756536</v>
      </c>
    </row>
    <row r="5300" spans="1:4" x14ac:dyDescent="0.3">
      <c r="A5300" s="58">
        <v>5107859</v>
      </c>
      <c r="B5300" s="58" t="s">
        <v>6057</v>
      </c>
      <c r="C5300" s="59">
        <v>-11.616082325938651</v>
      </c>
      <c r="D5300" s="59">
        <v>-50.661986369934382</v>
      </c>
    </row>
    <row r="5301" spans="1:4" x14ac:dyDescent="0.3">
      <c r="A5301" s="58">
        <v>5107875</v>
      </c>
      <c r="B5301" s="58" t="s">
        <v>6058</v>
      </c>
      <c r="C5301" s="59">
        <v>-13.538195353471052</v>
      </c>
      <c r="D5301" s="59">
        <v>-58.812138014175474</v>
      </c>
    </row>
    <row r="5302" spans="1:4" x14ac:dyDescent="0.3">
      <c r="A5302" s="58">
        <v>5107883</v>
      </c>
      <c r="B5302" s="58" t="s">
        <v>6059</v>
      </c>
      <c r="C5302" s="59">
        <v>-12.089271838885967</v>
      </c>
      <c r="D5302" s="59">
        <v>-51.399593407753891</v>
      </c>
    </row>
    <row r="5303" spans="1:4" x14ac:dyDescent="0.3">
      <c r="A5303" s="58">
        <v>5107909</v>
      </c>
      <c r="B5303" s="58" t="s">
        <v>6060</v>
      </c>
      <c r="C5303" s="59">
        <v>-11.858005308077601</v>
      </c>
      <c r="D5303" s="59">
        <v>-55.500922002386751</v>
      </c>
    </row>
    <row r="5304" spans="1:4" x14ac:dyDescent="0.3">
      <c r="A5304" s="58">
        <v>5107925</v>
      </c>
      <c r="B5304" s="58" t="s">
        <v>6061</v>
      </c>
      <c r="C5304" s="59">
        <v>-12.55177670784548</v>
      </c>
      <c r="D5304" s="59">
        <v>-55.725913675091292</v>
      </c>
    </row>
    <row r="5305" spans="1:4" x14ac:dyDescent="0.3">
      <c r="A5305" s="58">
        <v>5107941</v>
      </c>
      <c r="B5305" s="58" t="s">
        <v>6062</v>
      </c>
      <c r="C5305" s="59">
        <v>-11.307507957038252</v>
      </c>
      <c r="D5305" s="59">
        <v>-56.824833796270539</v>
      </c>
    </row>
    <row r="5306" spans="1:4" x14ac:dyDescent="0.3">
      <c r="A5306" s="58">
        <v>5107958</v>
      </c>
      <c r="B5306" s="58" t="s">
        <v>6063</v>
      </c>
      <c r="C5306" s="59">
        <v>-14.623784750468003</v>
      </c>
      <c r="D5306" s="59">
        <v>-57.491299153060268</v>
      </c>
    </row>
    <row r="5307" spans="1:4" x14ac:dyDescent="0.3">
      <c r="A5307" s="58">
        <v>5108006</v>
      </c>
      <c r="B5307" s="58" t="s">
        <v>6064</v>
      </c>
      <c r="C5307" s="59">
        <v>-12.732068631315652</v>
      </c>
      <c r="D5307" s="59">
        <v>-56.519485896473498</v>
      </c>
    </row>
    <row r="5308" spans="1:4" x14ac:dyDescent="0.3">
      <c r="A5308" s="58">
        <v>5108055</v>
      </c>
      <c r="B5308" s="58" t="s">
        <v>6065</v>
      </c>
      <c r="C5308" s="59">
        <v>-10.597128093149566</v>
      </c>
      <c r="D5308" s="59">
        <v>-55.115951488616489</v>
      </c>
    </row>
    <row r="5309" spans="1:4" x14ac:dyDescent="0.3">
      <c r="A5309" s="58">
        <v>5108105</v>
      </c>
      <c r="B5309" s="58" t="s">
        <v>6066</v>
      </c>
      <c r="C5309" s="59">
        <v>-16.075237401222385</v>
      </c>
      <c r="D5309" s="59">
        <v>-53.555843962029769</v>
      </c>
    </row>
    <row r="5310" spans="1:4" x14ac:dyDescent="0.3">
      <c r="A5310" s="58">
        <v>5108204</v>
      </c>
      <c r="B5310" s="58" t="s">
        <v>6067</v>
      </c>
      <c r="C5310" s="59">
        <v>-16.197526363935754</v>
      </c>
      <c r="D5310" s="59">
        <v>-52.558838635340905</v>
      </c>
    </row>
    <row r="5311" spans="1:4" x14ac:dyDescent="0.3">
      <c r="A5311" s="58">
        <v>5108303</v>
      </c>
      <c r="B5311" s="58" t="s">
        <v>6068</v>
      </c>
      <c r="C5311" s="59">
        <v>-11.5355107507237</v>
      </c>
      <c r="D5311" s="59">
        <v>-54.374844410585155</v>
      </c>
    </row>
    <row r="5312" spans="1:4" x14ac:dyDescent="0.3">
      <c r="A5312" s="58">
        <v>5108352</v>
      </c>
      <c r="B5312" s="58" t="s">
        <v>6069</v>
      </c>
      <c r="C5312" s="59">
        <v>-15.295897841830202</v>
      </c>
      <c r="D5312" s="59">
        <v>-59.064571157227029</v>
      </c>
    </row>
    <row r="5313" spans="1:4" x14ac:dyDescent="0.3">
      <c r="A5313" s="58">
        <v>5108402</v>
      </c>
      <c r="B5313" s="58" t="s">
        <v>1902</v>
      </c>
      <c r="C5313" s="59">
        <v>-15.658064824088502</v>
      </c>
      <c r="D5313" s="59">
        <v>-56.14466374018658</v>
      </c>
    </row>
    <row r="5314" spans="1:4" x14ac:dyDescent="0.3">
      <c r="A5314" s="58">
        <v>5108501</v>
      </c>
      <c r="B5314" s="58" t="s">
        <v>6070</v>
      </c>
      <c r="C5314" s="59">
        <v>-12.284048863176652</v>
      </c>
      <c r="D5314" s="59">
        <v>-55.300918574859992</v>
      </c>
    </row>
    <row r="5315" spans="1:4" x14ac:dyDescent="0.3">
      <c r="A5315" s="58">
        <v>5108600</v>
      </c>
      <c r="B5315" s="58" t="s">
        <v>6071</v>
      </c>
      <c r="C5315" s="59">
        <v>-10.013352181868852</v>
      </c>
      <c r="D5315" s="59">
        <v>-51.116822579004442</v>
      </c>
    </row>
    <row r="5316" spans="1:4" x14ac:dyDescent="0.3">
      <c r="A5316" s="58">
        <v>5108808</v>
      </c>
      <c r="B5316" s="58" t="s">
        <v>6072</v>
      </c>
      <c r="C5316" s="59">
        <v>-10.3088464293765</v>
      </c>
      <c r="D5316" s="59">
        <v>-55.403070138965852</v>
      </c>
    </row>
    <row r="5317" spans="1:4" x14ac:dyDescent="0.3">
      <c r="A5317" s="58">
        <v>5108857</v>
      </c>
      <c r="B5317" s="58" t="s">
        <v>6073</v>
      </c>
      <c r="C5317" s="59">
        <v>-14.362451271736552</v>
      </c>
      <c r="D5317" s="59">
        <v>-56.973176785896086</v>
      </c>
    </row>
    <row r="5318" spans="1:4" x14ac:dyDescent="0.3">
      <c r="A5318" s="58">
        <v>5108907</v>
      </c>
      <c r="B5318" s="58" t="s">
        <v>6074</v>
      </c>
      <c r="C5318" s="59">
        <v>-13.011426954134651</v>
      </c>
      <c r="D5318" s="59">
        <v>-57.098551665179897</v>
      </c>
    </row>
    <row r="5319" spans="1:4" x14ac:dyDescent="0.3">
      <c r="A5319" s="58">
        <v>5108956</v>
      </c>
      <c r="B5319" s="58" t="s">
        <v>6075</v>
      </c>
      <c r="C5319" s="59">
        <v>-9.9726169269349878</v>
      </c>
      <c r="D5319" s="59">
        <v>-57.472369306913237</v>
      </c>
    </row>
    <row r="5320" spans="1:4" x14ac:dyDescent="0.3">
      <c r="A5320" s="58">
        <v>5200050</v>
      </c>
      <c r="B5320" s="58" t="s">
        <v>6076</v>
      </c>
      <c r="C5320" s="59">
        <v>-16.758811894819605</v>
      </c>
      <c r="D5320" s="59">
        <v>-49.440547832657352</v>
      </c>
    </row>
    <row r="5321" spans="1:4" x14ac:dyDescent="0.3">
      <c r="A5321" s="58">
        <v>5200100</v>
      </c>
      <c r="B5321" s="58" t="s">
        <v>6077</v>
      </c>
      <c r="C5321" s="59">
        <v>-16.182671858004802</v>
      </c>
      <c r="D5321" s="59">
        <v>-48.71881214167518</v>
      </c>
    </row>
    <row r="5322" spans="1:4" x14ac:dyDescent="0.3">
      <c r="A5322" s="58">
        <v>5200134</v>
      </c>
      <c r="B5322" s="58" t="s">
        <v>6078</v>
      </c>
      <c r="C5322" s="59">
        <v>-17.398156219227619</v>
      </c>
      <c r="D5322" s="59">
        <v>-50.374973366655333</v>
      </c>
    </row>
    <row r="5323" spans="1:4" x14ac:dyDescent="0.3">
      <c r="A5323" s="58">
        <v>5200159</v>
      </c>
      <c r="B5323" s="58" t="s">
        <v>6079</v>
      </c>
      <c r="C5323" s="59">
        <v>-16.415001512018851</v>
      </c>
      <c r="D5323" s="59">
        <v>-50.163146676109442</v>
      </c>
    </row>
    <row r="5324" spans="1:4" x14ac:dyDescent="0.3">
      <c r="A5324" s="58">
        <v>5200175</v>
      </c>
      <c r="B5324" s="58" t="s">
        <v>6080</v>
      </c>
      <c r="C5324" s="59">
        <v>-14.985535268215203</v>
      </c>
      <c r="D5324" s="59">
        <v>-47.782212162398913</v>
      </c>
    </row>
    <row r="5325" spans="1:4" x14ac:dyDescent="0.3">
      <c r="A5325" s="58">
        <v>5200209</v>
      </c>
      <c r="B5325" s="58" t="s">
        <v>6081</v>
      </c>
      <c r="C5325" s="59">
        <v>-18.071406058837905</v>
      </c>
      <c r="D5325" s="59">
        <v>-48.761240959141162</v>
      </c>
    </row>
    <row r="5326" spans="1:4" x14ac:dyDescent="0.3">
      <c r="A5326" s="58">
        <v>5200258</v>
      </c>
      <c r="B5326" s="58" t="s">
        <v>6082</v>
      </c>
      <c r="C5326" s="59">
        <v>-15.737938856283154</v>
      </c>
      <c r="D5326" s="59">
        <v>-48.28344443621517</v>
      </c>
    </row>
    <row r="5327" spans="1:4" x14ac:dyDescent="0.3">
      <c r="A5327" s="58">
        <v>5200308</v>
      </c>
      <c r="B5327" s="58" t="s">
        <v>6083</v>
      </c>
      <c r="C5327" s="59">
        <v>-16.086167620566155</v>
      </c>
      <c r="D5327" s="59">
        <v>-48.509636391863403</v>
      </c>
    </row>
    <row r="5328" spans="1:4" x14ac:dyDescent="0.3">
      <c r="A5328" s="58">
        <v>5200506</v>
      </c>
      <c r="B5328" s="58" t="s">
        <v>6084</v>
      </c>
      <c r="C5328" s="59">
        <v>-17.724908854155601</v>
      </c>
      <c r="D5328" s="59">
        <v>-49.482321106640583</v>
      </c>
    </row>
    <row r="5329" spans="1:4" x14ac:dyDescent="0.3">
      <c r="A5329" s="58">
        <v>5200555</v>
      </c>
      <c r="B5329" s="58" t="s">
        <v>6085</v>
      </c>
      <c r="C5329" s="59">
        <v>-14.199226809933503</v>
      </c>
      <c r="D5329" s="59">
        <v>-49.332749156160688</v>
      </c>
    </row>
    <row r="5330" spans="1:4" x14ac:dyDescent="0.3">
      <c r="A5330" s="58">
        <v>5200605</v>
      </c>
      <c r="B5330" s="58" t="s">
        <v>6086</v>
      </c>
      <c r="C5330" s="59">
        <v>-14.136244637762502</v>
      </c>
      <c r="D5330" s="59">
        <v>-47.519093438278794</v>
      </c>
    </row>
    <row r="5331" spans="1:4" x14ac:dyDescent="0.3">
      <c r="A5331" s="58">
        <v>5200803</v>
      </c>
      <c r="B5331" s="58" t="s">
        <v>6087</v>
      </c>
      <c r="C5331" s="59">
        <v>-14.482839110533753</v>
      </c>
      <c r="D5331" s="59">
        <v>-46.515637691310047</v>
      </c>
    </row>
    <row r="5332" spans="1:4" x14ac:dyDescent="0.3">
      <c r="A5332" s="58">
        <v>5200829</v>
      </c>
      <c r="B5332" s="58" t="s">
        <v>6088</v>
      </c>
      <c r="C5332" s="59">
        <v>-13.925481859418603</v>
      </c>
      <c r="D5332" s="59">
        <v>-49.295377221903564</v>
      </c>
    </row>
    <row r="5333" spans="1:4" x14ac:dyDescent="0.3">
      <c r="A5333" s="58">
        <v>5200852</v>
      </c>
      <c r="B5333" s="58" t="s">
        <v>6089</v>
      </c>
      <c r="C5333" s="59">
        <v>-16.255100285246353</v>
      </c>
      <c r="D5333" s="59">
        <v>-49.983641533748049</v>
      </c>
    </row>
    <row r="5334" spans="1:4" x14ac:dyDescent="0.3">
      <c r="A5334" s="58">
        <v>5200902</v>
      </c>
      <c r="B5334" s="58" t="s">
        <v>6090</v>
      </c>
      <c r="C5334" s="59">
        <v>-16.617912124158867</v>
      </c>
      <c r="D5334" s="59">
        <v>-51.097167066995027</v>
      </c>
    </row>
    <row r="5335" spans="1:4" x14ac:dyDescent="0.3">
      <c r="A5335" s="58">
        <v>5201108</v>
      </c>
      <c r="B5335" s="58" t="s">
        <v>6091</v>
      </c>
      <c r="C5335" s="59">
        <v>-16.328825744649155</v>
      </c>
      <c r="D5335" s="59">
        <v>-48.957217902631328</v>
      </c>
    </row>
    <row r="5336" spans="1:4" x14ac:dyDescent="0.3">
      <c r="A5336" s="58">
        <v>5201207</v>
      </c>
      <c r="B5336" s="58" t="s">
        <v>6092</v>
      </c>
      <c r="C5336" s="59">
        <v>-18.334366032322954</v>
      </c>
      <c r="D5336" s="59">
        <v>-48.217403692094415</v>
      </c>
    </row>
    <row r="5337" spans="1:4" x14ac:dyDescent="0.3">
      <c r="A5337" s="58">
        <v>5201306</v>
      </c>
      <c r="B5337" s="58" t="s">
        <v>6093</v>
      </c>
      <c r="C5337" s="59">
        <v>-16.460740619249304</v>
      </c>
      <c r="D5337" s="59">
        <v>-49.9590680177593</v>
      </c>
    </row>
    <row r="5338" spans="1:4" x14ac:dyDescent="0.3">
      <c r="A5338" s="58">
        <v>5201405</v>
      </c>
      <c r="B5338" s="58" t="s">
        <v>6094</v>
      </c>
      <c r="C5338" s="59">
        <v>-16.822146500000002</v>
      </c>
      <c r="D5338" s="59">
        <v>-49.243325927701108</v>
      </c>
    </row>
    <row r="5339" spans="1:4" x14ac:dyDescent="0.3">
      <c r="A5339" s="58">
        <v>5201454</v>
      </c>
      <c r="B5339" s="58" t="s">
        <v>6095</v>
      </c>
      <c r="C5339" s="59">
        <v>-18.296984287847653</v>
      </c>
      <c r="D5339" s="59">
        <v>-51.151491627173257</v>
      </c>
    </row>
    <row r="5340" spans="1:4" x14ac:dyDescent="0.3">
      <c r="A5340" s="58">
        <v>5201504</v>
      </c>
      <c r="B5340" s="58" t="s">
        <v>6096</v>
      </c>
      <c r="C5340" s="59">
        <v>-18.958877447147053</v>
      </c>
      <c r="D5340" s="59">
        <v>-51.928072999928943</v>
      </c>
    </row>
    <row r="5341" spans="1:4" x14ac:dyDescent="0.3">
      <c r="A5341" s="58">
        <v>5201603</v>
      </c>
      <c r="B5341" s="58" t="s">
        <v>6097</v>
      </c>
      <c r="C5341" s="59">
        <v>-16.354334806530051</v>
      </c>
      <c r="D5341" s="59">
        <v>-49.681682050652547</v>
      </c>
    </row>
    <row r="5342" spans="1:4" x14ac:dyDescent="0.3">
      <c r="A5342" s="58">
        <v>5201702</v>
      </c>
      <c r="B5342" s="58" t="s">
        <v>6098</v>
      </c>
      <c r="C5342" s="59">
        <v>-15.897768165415204</v>
      </c>
      <c r="D5342" s="59">
        <v>-52.246854730781088</v>
      </c>
    </row>
    <row r="5343" spans="1:4" x14ac:dyDescent="0.3">
      <c r="A5343" s="58">
        <v>5201801</v>
      </c>
      <c r="B5343" s="58" t="s">
        <v>6099</v>
      </c>
      <c r="C5343" s="59">
        <v>-16.915639599374504</v>
      </c>
      <c r="D5343" s="59">
        <v>-49.450903054798395</v>
      </c>
    </row>
    <row r="5344" spans="1:4" x14ac:dyDescent="0.3">
      <c r="A5344" s="58">
        <v>5202155</v>
      </c>
      <c r="B5344" s="58" t="s">
        <v>6100</v>
      </c>
      <c r="C5344" s="59">
        <v>-15.088530370369901</v>
      </c>
      <c r="D5344" s="59">
        <v>-50.634742411713567</v>
      </c>
    </row>
    <row r="5345" spans="1:4" x14ac:dyDescent="0.3">
      <c r="A5345" s="58">
        <v>5202353</v>
      </c>
      <c r="B5345" s="58" t="s">
        <v>6101</v>
      </c>
      <c r="C5345" s="59">
        <v>-16.387545618878551</v>
      </c>
      <c r="D5345" s="59">
        <v>-51.560029491789649</v>
      </c>
    </row>
    <row r="5346" spans="1:4" x14ac:dyDescent="0.3">
      <c r="A5346" s="58">
        <v>5202502</v>
      </c>
      <c r="B5346" s="58" t="s">
        <v>6102</v>
      </c>
      <c r="C5346" s="59">
        <v>-14.903332380459954</v>
      </c>
      <c r="D5346" s="59">
        <v>-51.080885146697177</v>
      </c>
    </row>
    <row r="5347" spans="1:4" x14ac:dyDescent="0.3">
      <c r="A5347" s="58">
        <v>5202601</v>
      </c>
      <c r="B5347" s="58" t="s">
        <v>6103</v>
      </c>
      <c r="C5347" s="59">
        <v>-16.676725291723852</v>
      </c>
      <c r="D5347" s="59">
        <v>-50.464765758530213</v>
      </c>
    </row>
    <row r="5348" spans="1:4" x14ac:dyDescent="0.3">
      <c r="A5348" s="58">
        <v>5202809</v>
      </c>
      <c r="B5348" s="58" t="s">
        <v>6104</v>
      </c>
      <c r="C5348" s="59">
        <v>-16.461938694464504</v>
      </c>
      <c r="D5348" s="59">
        <v>-49.754225838210679</v>
      </c>
    </row>
    <row r="5349" spans="1:4" x14ac:dyDescent="0.3">
      <c r="A5349" s="58">
        <v>5203104</v>
      </c>
      <c r="B5349" s="58" t="s">
        <v>6105</v>
      </c>
      <c r="C5349" s="59">
        <v>-16.201636666434755</v>
      </c>
      <c r="D5349" s="59">
        <v>-52.54274494212968</v>
      </c>
    </row>
    <row r="5350" spans="1:4" x14ac:dyDescent="0.3">
      <c r="A5350" s="58">
        <v>5203203</v>
      </c>
      <c r="B5350" s="58" t="s">
        <v>2816</v>
      </c>
      <c r="C5350" s="59">
        <v>-14.973708596534301</v>
      </c>
      <c r="D5350" s="59">
        <v>-48.915707078823402</v>
      </c>
    </row>
    <row r="5351" spans="1:4" x14ac:dyDescent="0.3">
      <c r="A5351" s="58">
        <v>5203302</v>
      </c>
      <c r="B5351" s="58" t="s">
        <v>6106</v>
      </c>
      <c r="C5351" s="59">
        <v>-16.973121437300453</v>
      </c>
      <c r="D5351" s="59">
        <v>-48.952411597473429</v>
      </c>
    </row>
    <row r="5352" spans="1:4" x14ac:dyDescent="0.3">
      <c r="A5352" s="58">
        <v>5203401</v>
      </c>
      <c r="B5352" s="58" t="s">
        <v>6107</v>
      </c>
      <c r="C5352" s="59">
        <v>-16.200685033710815</v>
      </c>
      <c r="D5352" s="59">
        <v>-52.175367571371183</v>
      </c>
    </row>
    <row r="5353" spans="1:4" x14ac:dyDescent="0.3">
      <c r="A5353" s="58">
        <v>5203500</v>
      </c>
      <c r="B5353" s="58" t="s">
        <v>6108</v>
      </c>
      <c r="C5353" s="59">
        <v>-18.214766509183352</v>
      </c>
      <c r="D5353" s="59">
        <v>-49.73941065148729</v>
      </c>
    </row>
    <row r="5354" spans="1:4" x14ac:dyDescent="0.3">
      <c r="A5354" s="58">
        <v>5203559</v>
      </c>
      <c r="B5354" s="58" t="s">
        <v>6109</v>
      </c>
      <c r="C5354" s="59">
        <v>-16.617528434069801</v>
      </c>
      <c r="D5354" s="59">
        <v>-48.970579942565216</v>
      </c>
    </row>
    <row r="5355" spans="1:4" x14ac:dyDescent="0.3">
      <c r="A5355" s="58">
        <v>5203575</v>
      </c>
      <c r="B5355" s="58" t="s">
        <v>6110</v>
      </c>
      <c r="C5355" s="59">
        <v>-13.649746548567101</v>
      </c>
      <c r="D5355" s="59">
        <v>-49.837183801390232</v>
      </c>
    </row>
    <row r="5356" spans="1:4" x14ac:dyDescent="0.3">
      <c r="A5356" s="58">
        <v>5203609</v>
      </c>
      <c r="B5356" s="58" t="s">
        <v>6111</v>
      </c>
      <c r="C5356" s="59">
        <v>-16.425714936323306</v>
      </c>
      <c r="D5356" s="59">
        <v>-49.388667274665515</v>
      </c>
    </row>
    <row r="5357" spans="1:4" x14ac:dyDescent="0.3">
      <c r="A5357" s="58">
        <v>5203807</v>
      </c>
      <c r="B5357" s="58" t="s">
        <v>6112</v>
      </c>
      <c r="C5357" s="59">
        <v>-15.238586294378822</v>
      </c>
      <c r="D5357" s="59">
        <v>-51.167285101891608</v>
      </c>
    </row>
    <row r="5358" spans="1:4" x14ac:dyDescent="0.3">
      <c r="A5358" s="58">
        <v>5203906</v>
      </c>
      <c r="B5358" s="58" t="s">
        <v>6113</v>
      </c>
      <c r="C5358" s="59">
        <v>-18.133055049573905</v>
      </c>
      <c r="D5358" s="59">
        <v>-49.040065140877076</v>
      </c>
    </row>
    <row r="5359" spans="1:4" x14ac:dyDescent="0.3">
      <c r="A5359" s="58">
        <v>5203939</v>
      </c>
      <c r="B5359" s="58" t="s">
        <v>6114</v>
      </c>
      <c r="C5359" s="59">
        <v>-16.181396976478304</v>
      </c>
      <c r="D5359" s="59">
        <v>-50.434434756362059</v>
      </c>
    </row>
    <row r="5360" spans="1:4" x14ac:dyDescent="0.3">
      <c r="A5360" s="58">
        <v>5203962</v>
      </c>
      <c r="B5360" s="58" t="s">
        <v>6115</v>
      </c>
      <c r="C5360" s="59">
        <v>-14.456023027358151</v>
      </c>
      <c r="D5360" s="59">
        <v>-46.431077114891515</v>
      </c>
    </row>
    <row r="5361" spans="1:4" x14ac:dyDescent="0.3">
      <c r="A5361" s="58">
        <v>5204003</v>
      </c>
      <c r="B5361" s="58" t="s">
        <v>6116</v>
      </c>
      <c r="C5361" s="59">
        <v>-15.801155882235754</v>
      </c>
      <c r="D5361" s="59">
        <v>-46.929476186294551</v>
      </c>
    </row>
    <row r="5362" spans="1:4" x14ac:dyDescent="0.3">
      <c r="A5362" s="58">
        <v>5204102</v>
      </c>
      <c r="B5362" s="58" t="s">
        <v>6117</v>
      </c>
      <c r="C5362" s="59">
        <v>-18.751004461850602</v>
      </c>
      <c r="D5362" s="59">
        <v>-50.944707842478763</v>
      </c>
    </row>
    <row r="5363" spans="1:4" x14ac:dyDescent="0.3">
      <c r="A5363" s="58">
        <v>5204201</v>
      </c>
      <c r="B5363" s="58" t="s">
        <v>6118</v>
      </c>
      <c r="C5363" s="59">
        <v>-16.666732802455453</v>
      </c>
      <c r="D5363" s="59">
        <v>-50.643147838313062</v>
      </c>
    </row>
    <row r="5364" spans="1:4" x14ac:dyDescent="0.3">
      <c r="A5364" s="58">
        <v>5204250</v>
      </c>
      <c r="B5364" s="58" t="s">
        <v>3276</v>
      </c>
      <c r="C5364" s="59">
        <v>-18.489035613980253</v>
      </c>
      <c r="D5364" s="59">
        <v>-49.470917663581375</v>
      </c>
    </row>
    <row r="5365" spans="1:4" x14ac:dyDescent="0.3">
      <c r="A5365" s="58">
        <v>5204300</v>
      </c>
      <c r="B5365" s="58" t="s">
        <v>6119</v>
      </c>
      <c r="C5365" s="59">
        <v>-18.563050623903901</v>
      </c>
      <c r="D5365" s="59">
        <v>-51.133528613619951</v>
      </c>
    </row>
    <row r="5366" spans="1:4" x14ac:dyDescent="0.3">
      <c r="A5366" s="58">
        <v>5204409</v>
      </c>
      <c r="B5366" s="58" t="s">
        <v>6120</v>
      </c>
      <c r="C5366" s="59">
        <v>-16.953457670365655</v>
      </c>
      <c r="D5366" s="59">
        <v>-51.809479777131443</v>
      </c>
    </row>
    <row r="5367" spans="1:4" x14ac:dyDescent="0.3">
      <c r="A5367" s="58">
        <v>5204508</v>
      </c>
      <c r="B5367" s="58" t="s">
        <v>6121</v>
      </c>
      <c r="C5367" s="59">
        <v>-17.743538867672804</v>
      </c>
      <c r="D5367" s="59">
        <v>-48.621197474689026</v>
      </c>
    </row>
    <row r="5368" spans="1:4" x14ac:dyDescent="0.3">
      <c r="A5368" s="58">
        <v>5204557</v>
      </c>
      <c r="B5368" s="58" t="s">
        <v>6122</v>
      </c>
      <c r="C5368" s="59">
        <v>-16.714776943805905</v>
      </c>
      <c r="D5368" s="59">
        <v>-49.003373459028815</v>
      </c>
    </row>
    <row r="5369" spans="1:4" x14ac:dyDescent="0.3">
      <c r="A5369" s="58">
        <v>5204607</v>
      </c>
      <c r="B5369" s="58" t="s">
        <v>6123</v>
      </c>
      <c r="C5369" s="59">
        <v>-16.762309223964451</v>
      </c>
      <c r="D5369" s="59">
        <v>-49.695534261403793</v>
      </c>
    </row>
    <row r="5370" spans="1:4" x14ac:dyDescent="0.3">
      <c r="A5370" s="58">
        <v>5204656</v>
      </c>
      <c r="B5370" s="58" t="s">
        <v>6124</v>
      </c>
      <c r="C5370" s="59">
        <v>-13.78634858789775</v>
      </c>
      <c r="D5370" s="59">
        <v>-48.569834327765768</v>
      </c>
    </row>
    <row r="5371" spans="1:4" x14ac:dyDescent="0.3">
      <c r="A5371" s="58">
        <v>5204706</v>
      </c>
      <c r="B5371" s="58" t="s">
        <v>6125</v>
      </c>
      <c r="C5371" s="59">
        <v>-14.310597955988152</v>
      </c>
      <c r="D5371" s="59">
        <v>-49.156347294791424</v>
      </c>
    </row>
    <row r="5372" spans="1:4" x14ac:dyDescent="0.3">
      <c r="A5372" s="58">
        <v>5204805</v>
      </c>
      <c r="B5372" s="58" t="s">
        <v>6126</v>
      </c>
      <c r="C5372" s="59">
        <v>-17.640555136612551</v>
      </c>
      <c r="D5372" s="59">
        <v>-47.778225101337611</v>
      </c>
    </row>
    <row r="5373" spans="1:4" x14ac:dyDescent="0.3">
      <c r="A5373" s="58">
        <v>5204854</v>
      </c>
      <c r="B5373" s="58" t="s">
        <v>6127</v>
      </c>
      <c r="C5373" s="59">
        <v>-16.298623006700755</v>
      </c>
      <c r="D5373" s="59">
        <v>-49.089936520844795</v>
      </c>
    </row>
    <row r="5374" spans="1:4" x14ac:dyDescent="0.3">
      <c r="A5374" s="58">
        <v>5204904</v>
      </c>
      <c r="B5374" s="58" t="s">
        <v>6128</v>
      </c>
      <c r="C5374" s="59">
        <v>-13.036723986658403</v>
      </c>
      <c r="D5374" s="59">
        <v>-46.770783296607831</v>
      </c>
    </row>
    <row r="5375" spans="1:4" x14ac:dyDescent="0.3">
      <c r="A5375" s="58">
        <v>5204953</v>
      </c>
      <c r="B5375" s="58" t="s">
        <v>6129</v>
      </c>
      <c r="C5375" s="59">
        <v>-14.273266956218452</v>
      </c>
      <c r="D5375" s="59">
        <v>-49.663265112508704</v>
      </c>
    </row>
    <row r="5376" spans="1:4" x14ac:dyDescent="0.3">
      <c r="A5376" s="58">
        <v>5205000</v>
      </c>
      <c r="B5376" s="58" t="s">
        <v>6130</v>
      </c>
      <c r="C5376" s="59">
        <v>-15.357713663769754</v>
      </c>
      <c r="D5376" s="59">
        <v>-49.702864978014368</v>
      </c>
    </row>
    <row r="5377" spans="1:4" x14ac:dyDescent="0.3">
      <c r="A5377" s="58">
        <v>5205059</v>
      </c>
      <c r="B5377" s="58" t="s">
        <v>6131</v>
      </c>
      <c r="C5377" s="59">
        <v>-18.089845237321551</v>
      </c>
      <c r="D5377" s="59">
        <v>-50.229250451744676</v>
      </c>
    </row>
    <row r="5378" spans="1:4" x14ac:dyDescent="0.3">
      <c r="A5378" s="58">
        <v>5205109</v>
      </c>
      <c r="B5378" s="58" t="s">
        <v>6132</v>
      </c>
      <c r="C5378" s="59">
        <v>-18.169573363417904</v>
      </c>
      <c r="D5378" s="59">
        <v>-47.947703217215796</v>
      </c>
    </row>
    <row r="5379" spans="1:4" x14ac:dyDescent="0.3">
      <c r="A5379" s="58">
        <v>5205208</v>
      </c>
      <c r="B5379" s="58" t="s">
        <v>6133</v>
      </c>
      <c r="C5379" s="59">
        <v>-16.446761588430551</v>
      </c>
      <c r="D5379" s="59">
        <v>-49.502852999041423</v>
      </c>
    </row>
    <row r="5380" spans="1:4" x14ac:dyDescent="0.3">
      <c r="A5380" s="58">
        <v>5205307</v>
      </c>
      <c r="B5380" s="58" t="s">
        <v>6134</v>
      </c>
      <c r="C5380" s="59">
        <v>-13.799278514194501</v>
      </c>
      <c r="D5380" s="59">
        <v>-47.463436194172004</v>
      </c>
    </row>
    <row r="5381" spans="1:4" x14ac:dyDescent="0.3">
      <c r="A5381" s="58">
        <v>5205406</v>
      </c>
      <c r="B5381" s="58" t="s">
        <v>6135</v>
      </c>
      <c r="C5381" s="59">
        <v>-15.307028335400151</v>
      </c>
      <c r="D5381" s="59">
        <v>-49.603346231830848</v>
      </c>
    </row>
    <row r="5382" spans="1:4" x14ac:dyDescent="0.3">
      <c r="A5382" s="58">
        <v>5205455</v>
      </c>
      <c r="B5382" s="58" t="s">
        <v>6136</v>
      </c>
      <c r="C5382" s="59">
        <v>-16.967792282902604</v>
      </c>
      <c r="D5382" s="59">
        <v>-49.773168982068313</v>
      </c>
    </row>
    <row r="5383" spans="1:4" x14ac:dyDescent="0.3">
      <c r="A5383" s="58">
        <v>5205471</v>
      </c>
      <c r="B5383" s="58" t="s">
        <v>6137</v>
      </c>
      <c r="C5383" s="59">
        <v>-18.394032202715604</v>
      </c>
      <c r="D5383" s="59">
        <v>-52.670800598417898</v>
      </c>
    </row>
    <row r="5384" spans="1:4" x14ac:dyDescent="0.3">
      <c r="A5384" s="58">
        <v>5205497</v>
      </c>
      <c r="B5384" s="58" t="s">
        <v>6138</v>
      </c>
      <c r="C5384" s="59">
        <v>-16.11095919765005</v>
      </c>
      <c r="D5384" s="59">
        <v>-47.93713065394472</v>
      </c>
    </row>
    <row r="5385" spans="1:4" x14ac:dyDescent="0.3">
      <c r="A5385" s="58">
        <v>5205513</v>
      </c>
      <c r="B5385" s="58" t="s">
        <v>6139</v>
      </c>
      <c r="C5385" s="59">
        <v>-15.781737013514917</v>
      </c>
      <c r="D5385" s="59">
        <v>-48.768967447568983</v>
      </c>
    </row>
    <row r="5386" spans="1:4" x14ac:dyDescent="0.3">
      <c r="A5386" s="58">
        <v>5205521</v>
      </c>
      <c r="B5386" s="58" t="s">
        <v>6140</v>
      </c>
      <c r="C5386" s="59">
        <v>-14.1501851952808</v>
      </c>
      <c r="D5386" s="59">
        <v>-48.076843132558686</v>
      </c>
    </row>
    <row r="5387" spans="1:4" x14ac:dyDescent="0.3">
      <c r="A5387" s="58">
        <v>5205703</v>
      </c>
      <c r="B5387" s="58" t="s">
        <v>6141</v>
      </c>
      <c r="C5387" s="59">
        <v>-16.295357552138253</v>
      </c>
      <c r="D5387" s="59">
        <v>-50.555819073069081</v>
      </c>
    </row>
    <row r="5388" spans="1:4" x14ac:dyDescent="0.3">
      <c r="A5388" s="58">
        <v>5205802</v>
      </c>
      <c r="B5388" s="58" t="s">
        <v>6142</v>
      </c>
      <c r="C5388" s="59">
        <v>-15.927905154003202</v>
      </c>
      <c r="D5388" s="59">
        <v>-48.810345057161506</v>
      </c>
    </row>
    <row r="5389" spans="1:4" x14ac:dyDescent="0.3">
      <c r="A5389" s="58">
        <v>5205901</v>
      </c>
      <c r="B5389" s="58" t="s">
        <v>6143</v>
      </c>
      <c r="C5389" s="59">
        <v>-18.136906084845101</v>
      </c>
      <c r="D5389" s="59">
        <v>-48.556102069898778</v>
      </c>
    </row>
    <row r="5390" spans="1:4" x14ac:dyDescent="0.3">
      <c r="A5390" s="58">
        <v>5206206</v>
      </c>
      <c r="B5390" s="58" t="s">
        <v>6144</v>
      </c>
      <c r="C5390" s="59">
        <v>-16.769433663164204</v>
      </c>
      <c r="D5390" s="59">
        <v>-47.606817592232595</v>
      </c>
    </row>
    <row r="5391" spans="1:4" x14ac:dyDescent="0.3">
      <c r="A5391" s="58">
        <v>5206305</v>
      </c>
      <c r="B5391" s="58" t="s">
        <v>6145</v>
      </c>
      <c r="C5391" s="59">
        <v>-17.195588954385403</v>
      </c>
      <c r="D5391" s="59">
        <v>-48.712297653310166</v>
      </c>
    </row>
    <row r="5392" spans="1:4" x14ac:dyDescent="0.3">
      <c r="A5392" s="58">
        <v>5206404</v>
      </c>
      <c r="B5392" s="58" t="s">
        <v>6146</v>
      </c>
      <c r="C5392" s="59">
        <v>-14.537590255029153</v>
      </c>
      <c r="D5392" s="59">
        <v>-49.967203939242268</v>
      </c>
    </row>
    <row r="5393" spans="1:4" x14ac:dyDescent="0.3">
      <c r="A5393" s="58">
        <v>5206503</v>
      </c>
      <c r="B5393" s="58" t="s">
        <v>6147</v>
      </c>
      <c r="C5393" s="59">
        <v>-17.281854926821051</v>
      </c>
      <c r="D5393" s="59">
        <v>-49.380505479754753</v>
      </c>
    </row>
    <row r="5394" spans="1:4" x14ac:dyDescent="0.3">
      <c r="A5394" s="58">
        <v>5206602</v>
      </c>
      <c r="B5394" s="58" t="s">
        <v>6148</v>
      </c>
      <c r="C5394" s="59">
        <v>-18.261382298209902</v>
      </c>
      <c r="D5394" s="59">
        <v>-48.156676781034463</v>
      </c>
    </row>
    <row r="5395" spans="1:4" x14ac:dyDescent="0.3">
      <c r="A5395" s="58">
        <v>5206701</v>
      </c>
      <c r="B5395" s="58" t="s">
        <v>6149</v>
      </c>
      <c r="C5395" s="59">
        <v>-14.557435050889252</v>
      </c>
      <c r="D5395" s="59">
        <v>-46.173535809569429</v>
      </c>
    </row>
    <row r="5396" spans="1:4" x14ac:dyDescent="0.3">
      <c r="A5396" s="58">
        <v>5206800</v>
      </c>
      <c r="B5396" s="58" t="s">
        <v>6150</v>
      </c>
      <c r="C5396" s="59">
        <v>-16.254801619746001</v>
      </c>
      <c r="D5396" s="59">
        <v>-49.361105645483931</v>
      </c>
    </row>
    <row r="5397" spans="1:4" x14ac:dyDescent="0.3">
      <c r="A5397" s="58">
        <v>5206909</v>
      </c>
      <c r="B5397" s="58" t="s">
        <v>1532</v>
      </c>
      <c r="C5397" s="59">
        <v>-18.158564337890905</v>
      </c>
      <c r="D5397" s="59">
        <v>-47.559368392558632</v>
      </c>
    </row>
    <row r="5398" spans="1:4" x14ac:dyDescent="0.3">
      <c r="A5398" s="58">
        <v>5207105</v>
      </c>
      <c r="B5398" s="58" t="s">
        <v>6151</v>
      </c>
      <c r="C5398" s="59">
        <v>-16.231708520035603</v>
      </c>
      <c r="D5398" s="59">
        <v>-51.258893073176971</v>
      </c>
    </row>
    <row r="5399" spans="1:4" x14ac:dyDescent="0.3">
      <c r="A5399" s="58">
        <v>5207253</v>
      </c>
      <c r="B5399" s="58" t="s">
        <v>6152</v>
      </c>
      <c r="C5399" s="59">
        <v>-16.721037062464251</v>
      </c>
      <c r="D5399" s="59">
        <v>-52.31398042330958</v>
      </c>
    </row>
    <row r="5400" spans="1:4" x14ac:dyDescent="0.3">
      <c r="A5400" s="58">
        <v>5207352</v>
      </c>
      <c r="B5400" s="58" t="s">
        <v>6153</v>
      </c>
      <c r="C5400" s="59">
        <v>-17.422891698246602</v>
      </c>
      <c r="D5400" s="59">
        <v>-49.664695108895643</v>
      </c>
    </row>
    <row r="5401" spans="1:4" x14ac:dyDescent="0.3">
      <c r="A5401" s="58">
        <v>5207402</v>
      </c>
      <c r="B5401" s="58" t="s">
        <v>6154</v>
      </c>
      <c r="C5401" s="59">
        <v>-17.338080033119358</v>
      </c>
      <c r="D5401" s="59">
        <v>-49.934423955903583</v>
      </c>
    </row>
    <row r="5402" spans="1:4" x14ac:dyDescent="0.3">
      <c r="A5402" s="58">
        <v>5207501</v>
      </c>
      <c r="B5402" s="58" t="s">
        <v>4336</v>
      </c>
      <c r="C5402" s="59">
        <v>-13.867027395204754</v>
      </c>
      <c r="D5402" s="59">
        <v>-49.073401083599826</v>
      </c>
    </row>
    <row r="5403" spans="1:4" x14ac:dyDescent="0.3">
      <c r="A5403" s="58">
        <v>5207535</v>
      </c>
      <c r="B5403" s="58" t="s">
        <v>6155</v>
      </c>
      <c r="C5403" s="59">
        <v>-15.442868783232102</v>
      </c>
      <c r="D5403" s="59">
        <v>-50.368703659948601</v>
      </c>
    </row>
    <row r="5404" spans="1:4" x14ac:dyDescent="0.3">
      <c r="A5404" s="58">
        <v>5207600</v>
      </c>
      <c r="B5404" s="58" t="s">
        <v>850</v>
      </c>
      <c r="C5404" s="59">
        <v>-16.177514328968154</v>
      </c>
      <c r="D5404" s="59">
        <v>-50.787364400145599</v>
      </c>
    </row>
    <row r="5405" spans="1:4" x14ac:dyDescent="0.3">
      <c r="A5405" s="58">
        <v>5207808</v>
      </c>
      <c r="B5405" s="58" t="s">
        <v>6156</v>
      </c>
      <c r="C5405" s="59">
        <v>-16.576461233521574</v>
      </c>
      <c r="D5405" s="59">
        <v>-50.303634339417407</v>
      </c>
    </row>
    <row r="5406" spans="1:4" x14ac:dyDescent="0.3">
      <c r="A5406" s="58">
        <v>5207907</v>
      </c>
      <c r="B5406" s="58" t="s">
        <v>6157</v>
      </c>
      <c r="C5406" s="59">
        <v>-14.450174136692551</v>
      </c>
      <c r="D5406" s="59">
        <v>-47.045082924973087</v>
      </c>
    </row>
    <row r="5407" spans="1:4" x14ac:dyDescent="0.3">
      <c r="A5407" s="58">
        <v>5208004</v>
      </c>
      <c r="B5407" s="58" t="s">
        <v>6158</v>
      </c>
      <c r="C5407" s="59">
        <v>-15.540944627682952</v>
      </c>
      <c r="D5407" s="59">
        <v>-47.33581557646756</v>
      </c>
    </row>
    <row r="5408" spans="1:4" x14ac:dyDescent="0.3">
      <c r="A5408" s="58">
        <v>5208103</v>
      </c>
      <c r="B5408" s="58" t="s">
        <v>3458</v>
      </c>
      <c r="C5408" s="59">
        <v>-13.655780148582551</v>
      </c>
      <c r="D5408" s="59">
        <v>-48.888089672312432</v>
      </c>
    </row>
    <row r="5409" spans="1:4" x14ac:dyDescent="0.3">
      <c r="A5409" s="58">
        <v>5208152</v>
      </c>
      <c r="B5409" s="58" t="s">
        <v>6159</v>
      </c>
      <c r="C5409" s="59">
        <v>-16.482736632143801</v>
      </c>
      <c r="D5409" s="59">
        <v>-48.645705493061094</v>
      </c>
    </row>
    <row r="5410" spans="1:4" x14ac:dyDescent="0.3">
      <c r="A5410" s="58">
        <v>5208301</v>
      </c>
      <c r="B5410" s="58" t="s">
        <v>6160</v>
      </c>
      <c r="C5410" s="59">
        <v>-13.296813366895652</v>
      </c>
      <c r="D5410" s="59">
        <v>-46.393888751376814</v>
      </c>
    </row>
    <row r="5411" spans="1:4" x14ac:dyDescent="0.3">
      <c r="A5411" s="58">
        <v>5208400</v>
      </c>
      <c r="B5411" s="58" t="s">
        <v>6161</v>
      </c>
      <c r="C5411" s="59">
        <v>-16.500682166702102</v>
      </c>
      <c r="D5411" s="59">
        <v>-49.017342179032163</v>
      </c>
    </row>
    <row r="5412" spans="1:4" x14ac:dyDescent="0.3">
      <c r="A5412" s="58">
        <v>5208509</v>
      </c>
      <c r="B5412" s="58" t="s">
        <v>6162</v>
      </c>
      <c r="C5412" s="59">
        <v>-18.132624674377301</v>
      </c>
      <c r="D5412" s="59">
        <v>-48.088471374138507</v>
      </c>
    </row>
    <row r="5413" spans="1:4" x14ac:dyDescent="0.3">
      <c r="A5413" s="58">
        <v>5208608</v>
      </c>
      <c r="B5413" s="58" t="s">
        <v>6163</v>
      </c>
      <c r="C5413" s="59">
        <v>-15.3222887524883</v>
      </c>
      <c r="D5413" s="59">
        <v>-49.115810150774543</v>
      </c>
    </row>
    <row r="5414" spans="1:4" x14ac:dyDescent="0.3">
      <c r="A5414" s="58">
        <v>5208707</v>
      </c>
      <c r="B5414" s="58" t="s">
        <v>6164</v>
      </c>
      <c r="C5414" s="59">
        <v>-16.673309773838948</v>
      </c>
      <c r="D5414" s="59">
        <v>-49.255814275815766</v>
      </c>
    </row>
    <row r="5415" spans="1:4" x14ac:dyDescent="0.3">
      <c r="A5415" s="58">
        <v>5208806</v>
      </c>
      <c r="B5415" s="58" t="s">
        <v>6165</v>
      </c>
      <c r="C5415" s="59">
        <v>-16.503191559177456</v>
      </c>
      <c r="D5415" s="59">
        <v>-49.428777273610521</v>
      </c>
    </row>
    <row r="5416" spans="1:4" x14ac:dyDescent="0.3">
      <c r="A5416" s="58">
        <v>5208905</v>
      </c>
      <c r="B5416" s="58" t="s">
        <v>6166</v>
      </c>
      <c r="C5416" s="59">
        <v>-15.935742701073151</v>
      </c>
      <c r="D5416" s="59">
        <v>-50.141384144301838</v>
      </c>
    </row>
    <row r="5417" spans="1:4" x14ac:dyDescent="0.3">
      <c r="A5417" s="58">
        <v>5209101</v>
      </c>
      <c r="B5417" s="58" t="s">
        <v>6167</v>
      </c>
      <c r="C5417" s="59">
        <v>-18.01063324035665</v>
      </c>
      <c r="D5417" s="59">
        <v>-49.366643469563485</v>
      </c>
    </row>
    <row r="5418" spans="1:4" x14ac:dyDescent="0.3">
      <c r="A5418" s="58">
        <v>5209150</v>
      </c>
      <c r="B5418" s="58" t="s">
        <v>6168</v>
      </c>
      <c r="C5418" s="59">
        <v>-18.438278534391632</v>
      </c>
      <c r="D5418" s="59">
        <v>-50.137998797288297</v>
      </c>
    </row>
    <row r="5419" spans="1:4" x14ac:dyDescent="0.3">
      <c r="A5419" s="58">
        <v>5209200</v>
      </c>
      <c r="B5419" s="58" t="s">
        <v>6169</v>
      </c>
      <c r="C5419" s="59">
        <v>-16.831322758037405</v>
      </c>
      <c r="D5419" s="59">
        <v>-49.536733364301732</v>
      </c>
    </row>
    <row r="5420" spans="1:4" x14ac:dyDescent="0.3">
      <c r="A5420" s="58">
        <v>5209291</v>
      </c>
      <c r="B5420" s="58" t="s">
        <v>6170</v>
      </c>
      <c r="C5420" s="59">
        <v>-15.629427884608701</v>
      </c>
      <c r="D5420" s="59">
        <v>-50.031777984494695</v>
      </c>
    </row>
    <row r="5421" spans="1:4" x14ac:dyDescent="0.3">
      <c r="A5421" s="58">
        <v>5209408</v>
      </c>
      <c r="B5421" s="58" t="s">
        <v>6171</v>
      </c>
      <c r="C5421" s="59">
        <v>-13.938911496864302</v>
      </c>
      <c r="D5421" s="59">
        <v>-46.480375707466095</v>
      </c>
    </row>
    <row r="5422" spans="1:4" x14ac:dyDescent="0.3">
      <c r="A5422" s="58">
        <v>5209457</v>
      </c>
      <c r="B5422" s="58" t="s">
        <v>6172</v>
      </c>
      <c r="C5422" s="59">
        <v>-14.733740388743303</v>
      </c>
      <c r="D5422" s="59">
        <v>-49.701188130375982</v>
      </c>
    </row>
    <row r="5423" spans="1:4" x14ac:dyDescent="0.3">
      <c r="A5423" s="58">
        <v>5209606</v>
      </c>
      <c r="B5423" s="58" t="s">
        <v>6173</v>
      </c>
      <c r="C5423" s="59">
        <v>-15.720216421972555</v>
      </c>
      <c r="D5423" s="59">
        <v>-49.829339592429328</v>
      </c>
    </row>
    <row r="5424" spans="1:4" x14ac:dyDescent="0.3">
      <c r="A5424" s="58">
        <v>5209705</v>
      </c>
      <c r="B5424" s="58" t="s">
        <v>1975</v>
      </c>
      <c r="C5424" s="59">
        <v>-16.960944771412404</v>
      </c>
      <c r="D5424" s="59">
        <v>-49.229784043626267</v>
      </c>
    </row>
    <row r="5425" spans="1:4" x14ac:dyDescent="0.3">
      <c r="A5425" s="58">
        <v>5209804</v>
      </c>
      <c r="B5425" s="58" t="s">
        <v>6174</v>
      </c>
      <c r="C5425" s="59">
        <v>-14.727658289257553</v>
      </c>
      <c r="D5425" s="59">
        <v>-49.459897446622861</v>
      </c>
    </row>
    <row r="5426" spans="1:4" x14ac:dyDescent="0.3">
      <c r="A5426" s="58">
        <v>5209903</v>
      </c>
      <c r="B5426" s="58" t="s">
        <v>6175</v>
      </c>
      <c r="C5426" s="59">
        <v>-14.100817525321391</v>
      </c>
      <c r="D5426" s="59">
        <v>-46.631967793967</v>
      </c>
    </row>
    <row r="5427" spans="1:4" x14ac:dyDescent="0.3">
      <c r="A5427" s="58">
        <v>5209937</v>
      </c>
      <c r="B5427" s="58" t="s">
        <v>6176</v>
      </c>
      <c r="C5427" s="59">
        <v>-18.486354829740453</v>
      </c>
      <c r="D5427" s="59">
        <v>-49.987578450585943</v>
      </c>
    </row>
    <row r="5428" spans="1:4" x14ac:dyDescent="0.3">
      <c r="A5428" s="58">
        <v>5209952</v>
      </c>
      <c r="B5428" s="58" t="s">
        <v>6177</v>
      </c>
      <c r="C5428" s="59">
        <v>-17.137261310083101</v>
      </c>
      <c r="D5428" s="59">
        <v>-49.989053195028397</v>
      </c>
    </row>
    <row r="5429" spans="1:4" x14ac:dyDescent="0.3">
      <c r="A5429" s="58">
        <v>5210000</v>
      </c>
      <c r="B5429" s="58" t="s">
        <v>6178</v>
      </c>
      <c r="C5429" s="59">
        <v>-16.359960474042555</v>
      </c>
      <c r="D5429" s="59">
        <v>-49.500224506579904</v>
      </c>
    </row>
    <row r="5430" spans="1:4" x14ac:dyDescent="0.3">
      <c r="A5430" s="58">
        <v>5210109</v>
      </c>
      <c r="B5430" s="58" t="s">
        <v>6179</v>
      </c>
      <c r="C5430" s="59">
        <v>-17.722176812153354</v>
      </c>
      <c r="D5430" s="59">
        <v>-48.158667678256116</v>
      </c>
    </row>
    <row r="5431" spans="1:4" x14ac:dyDescent="0.3">
      <c r="A5431" s="58">
        <v>5210158</v>
      </c>
      <c r="B5431" s="58" t="s">
        <v>6180</v>
      </c>
      <c r="C5431" s="59">
        <v>-15.17201189407035</v>
      </c>
      <c r="D5431" s="59">
        <v>-49.667405120880041</v>
      </c>
    </row>
    <row r="5432" spans="1:4" x14ac:dyDescent="0.3">
      <c r="A5432" s="58">
        <v>5210208</v>
      </c>
      <c r="B5432" s="58" t="s">
        <v>4922</v>
      </c>
      <c r="C5432" s="59">
        <v>-16.440002670708154</v>
      </c>
      <c r="D5432" s="59">
        <v>-51.119595089215764</v>
      </c>
    </row>
    <row r="5433" spans="1:4" x14ac:dyDescent="0.3">
      <c r="A5433" s="58">
        <v>5210307</v>
      </c>
      <c r="B5433" s="58" t="s">
        <v>6181</v>
      </c>
      <c r="C5433" s="59">
        <v>-16.312801244890668</v>
      </c>
      <c r="D5433" s="59">
        <v>-50.903439714948654</v>
      </c>
    </row>
    <row r="5434" spans="1:4" x14ac:dyDescent="0.3">
      <c r="A5434" s="58">
        <v>5210406</v>
      </c>
      <c r="B5434" s="58" t="s">
        <v>6182</v>
      </c>
      <c r="C5434" s="59">
        <v>-16.021130207002699</v>
      </c>
      <c r="D5434" s="59">
        <v>-49.803479374021357</v>
      </c>
    </row>
    <row r="5435" spans="1:4" x14ac:dyDescent="0.3">
      <c r="A5435" s="58">
        <v>5210562</v>
      </c>
      <c r="B5435" s="58" t="s">
        <v>6183</v>
      </c>
      <c r="C5435" s="59">
        <v>-15.90909357060095</v>
      </c>
      <c r="D5435" s="59">
        <v>-49.60976004430519</v>
      </c>
    </row>
    <row r="5436" spans="1:4" x14ac:dyDescent="0.3">
      <c r="A5436" s="58">
        <v>5210604</v>
      </c>
      <c r="B5436" s="58" t="s">
        <v>6184</v>
      </c>
      <c r="C5436" s="59">
        <v>-15.76379438821945</v>
      </c>
      <c r="D5436" s="59">
        <v>-49.632051206422453</v>
      </c>
    </row>
    <row r="5437" spans="1:4" x14ac:dyDescent="0.3">
      <c r="A5437" s="58">
        <v>5210802</v>
      </c>
      <c r="B5437" s="58" t="s">
        <v>2138</v>
      </c>
      <c r="C5437" s="59">
        <v>-19.062235046485501</v>
      </c>
      <c r="D5437" s="59">
        <v>-51.544683959399308</v>
      </c>
    </row>
    <row r="5438" spans="1:4" x14ac:dyDescent="0.3">
      <c r="A5438" s="58">
        <v>5210901</v>
      </c>
      <c r="B5438" s="58" t="s">
        <v>6185</v>
      </c>
      <c r="C5438" s="59">
        <v>-14.950403217938701</v>
      </c>
      <c r="D5438" s="59">
        <v>-49.554156113613161</v>
      </c>
    </row>
    <row r="5439" spans="1:4" x14ac:dyDescent="0.3">
      <c r="A5439" s="58">
        <v>5211008</v>
      </c>
      <c r="B5439" s="58" t="s">
        <v>6186</v>
      </c>
      <c r="C5439" s="59">
        <v>-15.818862494156953</v>
      </c>
      <c r="D5439" s="59">
        <v>-50.60916282732888</v>
      </c>
    </row>
    <row r="5440" spans="1:4" x14ac:dyDescent="0.3">
      <c r="A5440" s="58">
        <v>5211206</v>
      </c>
      <c r="B5440" s="58" t="s">
        <v>6187</v>
      </c>
      <c r="C5440" s="59">
        <v>-15.562331245678537</v>
      </c>
      <c r="D5440" s="59">
        <v>-49.944493416790387</v>
      </c>
    </row>
    <row r="5441" spans="1:4" x14ac:dyDescent="0.3">
      <c r="A5441" s="58">
        <v>5211305</v>
      </c>
      <c r="B5441" s="58" t="s">
        <v>6188</v>
      </c>
      <c r="C5441" s="59">
        <v>-18.761660228442153</v>
      </c>
      <c r="D5441" s="59">
        <v>-51.348889900608008</v>
      </c>
    </row>
    <row r="5442" spans="1:4" x14ac:dyDescent="0.3">
      <c r="A5442" s="58">
        <v>5211404</v>
      </c>
      <c r="B5442" s="58" t="s">
        <v>6189</v>
      </c>
      <c r="C5442" s="59">
        <v>-16.203347231163502</v>
      </c>
      <c r="D5442" s="59">
        <v>-49.601134085273777</v>
      </c>
    </row>
    <row r="5443" spans="1:4" x14ac:dyDescent="0.3">
      <c r="A5443" s="58">
        <v>5211503</v>
      </c>
      <c r="B5443" s="58" t="s">
        <v>6190</v>
      </c>
      <c r="C5443" s="59">
        <v>-18.417682471534853</v>
      </c>
      <c r="D5443" s="59">
        <v>-49.220870075037986</v>
      </c>
    </row>
    <row r="5444" spans="1:4" x14ac:dyDescent="0.3">
      <c r="A5444" s="58">
        <v>5211602</v>
      </c>
      <c r="B5444" s="58" t="s">
        <v>6191</v>
      </c>
      <c r="C5444" s="59">
        <v>-16.603402761767203</v>
      </c>
      <c r="D5444" s="59">
        <v>-50.794701366351376</v>
      </c>
    </row>
    <row r="5445" spans="1:4" x14ac:dyDescent="0.3">
      <c r="A5445" s="58">
        <v>5211701</v>
      </c>
      <c r="B5445" s="58" t="s">
        <v>6192</v>
      </c>
      <c r="C5445" s="59">
        <v>-17.049421139548151</v>
      </c>
      <c r="D5445" s="59">
        <v>-50.148007636060498</v>
      </c>
    </row>
    <row r="5446" spans="1:4" x14ac:dyDescent="0.3">
      <c r="A5446" s="58">
        <v>5211800</v>
      </c>
      <c r="B5446" s="58" t="s">
        <v>6193</v>
      </c>
      <c r="C5446" s="59">
        <v>-15.753113782878252</v>
      </c>
      <c r="D5446" s="59">
        <v>-49.330143934236666</v>
      </c>
    </row>
    <row r="5447" spans="1:4" x14ac:dyDescent="0.3">
      <c r="A5447" s="58">
        <v>5211909</v>
      </c>
      <c r="B5447" s="58" t="s">
        <v>6194</v>
      </c>
      <c r="C5447" s="59">
        <v>-17.886232333840404</v>
      </c>
      <c r="D5447" s="59">
        <v>-51.720818037560498</v>
      </c>
    </row>
    <row r="5448" spans="1:4" x14ac:dyDescent="0.3">
      <c r="A5448" s="58">
        <v>5212006</v>
      </c>
      <c r="B5448" s="58" t="s">
        <v>6195</v>
      </c>
      <c r="C5448" s="59">
        <v>-16.1780359315247</v>
      </c>
      <c r="D5448" s="59">
        <v>-50.951719142487327</v>
      </c>
    </row>
    <row r="5449" spans="1:4" x14ac:dyDescent="0.3">
      <c r="A5449" s="58">
        <v>5212055</v>
      </c>
      <c r="B5449" s="58" t="s">
        <v>6196</v>
      </c>
      <c r="C5449" s="59">
        <v>-15.951597607831452</v>
      </c>
      <c r="D5449" s="59">
        <v>-49.37621892752729</v>
      </c>
    </row>
    <row r="5450" spans="1:4" x14ac:dyDescent="0.3">
      <c r="A5450" s="58">
        <v>5212105</v>
      </c>
      <c r="B5450" s="58" t="s">
        <v>6197</v>
      </c>
      <c r="C5450" s="59">
        <v>-17.807109452071654</v>
      </c>
      <c r="D5450" s="59">
        <v>-49.629939809588976</v>
      </c>
    </row>
    <row r="5451" spans="1:4" x14ac:dyDescent="0.3">
      <c r="A5451" s="58">
        <v>5212204</v>
      </c>
      <c r="B5451" s="58" t="s">
        <v>2990</v>
      </c>
      <c r="C5451" s="59">
        <v>-15.866348923333508</v>
      </c>
      <c r="D5451" s="59">
        <v>-50.866126589996696</v>
      </c>
    </row>
    <row r="5452" spans="1:4" x14ac:dyDescent="0.3">
      <c r="A5452" s="58">
        <v>5212253</v>
      </c>
      <c r="B5452" s="58" t="s">
        <v>3594</v>
      </c>
      <c r="C5452" s="59">
        <v>-19.183606980817302</v>
      </c>
      <c r="D5452" s="59">
        <v>-51.404615846918709</v>
      </c>
    </row>
    <row r="5453" spans="1:4" x14ac:dyDescent="0.3">
      <c r="A5453" s="58">
        <v>5212303</v>
      </c>
      <c r="B5453" s="58" t="s">
        <v>6198</v>
      </c>
      <c r="C5453" s="59">
        <v>-16.618964932913652</v>
      </c>
      <c r="D5453" s="59">
        <v>-48.746452336956288</v>
      </c>
    </row>
    <row r="5454" spans="1:4" x14ac:dyDescent="0.3">
      <c r="A5454" s="58">
        <v>5212501</v>
      </c>
      <c r="B5454" s="58" t="s">
        <v>6199</v>
      </c>
      <c r="C5454" s="59">
        <v>-16.258541000000005</v>
      </c>
      <c r="D5454" s="59">
        <v>-47.955720056759453</v>
      </c>
    </row>
    <row r="5455" spans="1:4" x14ac:dyDescent="0.3">
      <c r="A5455" s="58">
        <v>5212600</v>
      </c>
      <c r="B5455" s="58" t="s">
        <v>6200</v>
      </c>
      <c r="C5455" s="59">
        <v>-17.297395468858554</v>
      </c>
      <c r="D5455" s="59">
        <v>-49.5008802854382</v>
      </c>
    </row>
    <row r="5456" spans="1:4" x14ac:dyDescent="0.3">
      <c r="A5456" s="58">
        <v>5212709</v>
      </c>
      <c r="B5456" s="58" t="s">
        <v>6201</v>
      </c>
      <c r="C5456" s="59">
        <v>-14.487534264203703</v>
      </c>
      <c r="D5456" s="59">
        <v>-46.113947412674371</v>
      </c>
    </row>
    <row r="5457" spans="1:4" x14ac:dyDescent="0.3">
      <c r="A5457" s="58">
        <v>5212808</v>
      </c>
      <c r="B5457" s="58" t="s">
        <v>6202</v>
      </c>
      <c r="C5457" s="59">
        <v>-14.008568895669951</v>
      </c>
      <c r="D5457" s="59">
        <v>-49.179823143244256</v>
      </c>
    </row>
    <row r="5458" spans="1:4" x14ac:dyDescent="0.3">
      <c r="A5458" s="58">
        <v>5212907</v>
      </c>
      <c r="B5458" s="58" t="s">
        <v>6203</v>
      </c>
      <c r="C5458" s="59">
        <v>-17.981610255833854</v>
      </c>
      <c r="D5458" s="59">
        <v>-48.637173578867724</v>
      </c>
    </row>
    <row r="5459" spans="1:4" x14ac:dyDescent="0.3">
      <c r="A5459" s="58">
        <v>5212956</v>
      </c>
      <c r="B5459" s="58" t="s">
        <v>6204</v>
      </c>
      <c r="C5459" s="59">
        <v>-15.437188316996952</v>
      </c>
      <c r="D5459" s="59">
        <v>-50.746474343577738</v>
      </c>
    </row>
    <row r="5460" spans="1:4" x14ac:dyDescent="0.3">
      <c r="A5460" s="58">
        <v>5213004</v>
      </c>
      <c r="B5460" s="58" t="s">
        <v>6205</v>
      </c>
      <c r="C5460" s="59">
        <v>-17.972082988646203</v>
      </c>
      <c r="D5460" s="59">
        <v>-50.338911397153083</v>
      </c>
    </row>
    <row r="5461" spans="1:4" x14ac:dyDescent="0.3">
      <c r="A5461" s="58">
        <v>5213053</v>
      </c>
      <c r="B5461" s="58" t="s">
        <v>6206</v>
      </c>
      <c r="C5461" s="59">
        <v>-15.05929349156945</v>
      </c>
      <c r="D5461" s="59">
        <v>-48.163273115937699</v>
      </c>
    </row>
    <row r="5462" spans="1:4" x14ac:dyDescent="0.3">
      <c r="A5462" s="58">
        <v>5213087</v>
      </c>
      <c r="B5462" s="58" t="s">
        <v>6207</v>
      </c>
      <c r="C5462" s="59">
        <v>-13.5350936496024</v>
      </c>
      <c r="D5462" s="59">
        <v>-48.223907623800947</v>
      </c>
    </row>
    <row r="5463" spans="1:4" x14ac:dyDescent="0.3">
      <c r="A5463" s="58">
        <v>5213103</v>
      </c>
      <c r="B5463" s="58" t="s">
        <v>6208</v>
      </c>
      <c r="C5463" s="59">
        <v>-17.566167571487799</v>
      </c>
      <c r="D5463" s="59">
        <v>-52.554667187934925</v>
      </c>
    </row>
    <row r="5464" spans="1:4" x14ac:dyDescent="0.3">
      <c r="A5464" s="58">
        <v>5213400</v>
      </c>
      <c r="B5464" s="58" t="s">
        <v>6209</v>
      </c>
      <c r="C5464" s="59">
        <v>-16.546899884094003</v>
      </c>
      <c r="D5464" s="59">
        <v>-50.736097539874692</v>
      </c>
    </row>
    <row r="5465" spans="1:4" x14ac:dyDescent="0.3">
      <c r="A5465" s="58">
        <v>5213509</v>
      </c>
      <c r="B5465" s="58" t="s">
        <v>6210</v>
      </c>
      <c r="C5465" s="59">
        <v>-13.257326076706253</v>
      </c>
      <c r="D5465" s="59">
        <v>-46.885799138354812</v>
      </c>
    </row>
    <row r="5466" spans="1:4" x14ac:dyDescent="0.3">
      <c r="A5466" s="58">
        <v>5213707</v>
      </c>
      <c r="B5466" s="58" t="s">
        <v>6211</v>
      </c>
      <c r="C5466" s="59">
        <v>-16.004759910100557</v>
      </c>
      <c r="D5466" s="59">
        <v>-51.400498884688943</v>
      </c>
    </row>
    <row r="5467" spans="1:4" x14ac:dyDescent="0.3">
      <c r="A5467" s="58">
        <v>5213756</v>
      </c>
      <c r="B5467" s="58" t="s">
        <v>6212</v>
      </c>
      <c r="C5467" s="59">
        <v>-17.444462001721778</v>
      </c>
      <c r="D5467" s="59">
        <v>-51.175144598487471</v>
      </c>
    </row>
    <row r="5468" spans="1:4" x14ac:dyDescent="0.3">
      <c r="A5468" s="58">
        <v>5213772</v>
      </c>
      <c r="B5468" s="58" t="s">
        <v>6213</v>
      </c>
      <c r="C5468" s="59">
        <v>-13.353094256585955</v>
      </c>
      <c r="D5468" s="59">
        <v>-48.688822123884954</v>
      </c>
    </row>
    <row r="5469" spans="1:4" x14ac:dyDescent="0.3">
      <c r="A5469" s="58">
        <v>5213806</v>
      </c>
      <c r="B5469" s="58" t="s">
        <v>2022</v>
      </c>
      <c r="C5469" s="59">
        <v>-17.735271099944054</v>
      </c>
      <c r="D5469" s="59">
        <v>-49.110177071885495</v>
      </c>
    </row>
    <row r="5470" spans="1:4" x14ac:dyDescent="0.3">
      <c r="A5470" s="58">
        <v>5213855</v>
      </c>
      <c r="B5470" s="58" t="s">
        <v>6214</v>
      </c>
      <c r="C5470" s="59">
        <v>-15.312198148320851</v>
      </c>
      <c r="D5470" s="59">
        <v>-50.057447131942418</v>
      </c>
    </row>
    <row r="5471" spans="1:4" x14ac:dyDescent="0.3">
      <c r="A5471" s="58">
        <v>5213905</v>
      </c>
      <c r="B5471" s="58" t="s">
        <v>6215</v>
      </c>
      <c r="C5471" s="59">
        <v>-16.119654299322701</v>
      </c>
      <c r="D5471" s="59">
        <v>-50.218049671325119</v>
      </c>
    </row>
    <row r="5472" spans="1:4" x14ac:dyDescent="0.3">
      <c r="A5472" s="58">
        <v>5214002</v>
      </c>
      <c r="B5472" s="58" t="s">
        <v>6216</v>
      </c>
      <c r="C5472" s="59">
        <v>-14.74758947635585</v>
      </c>
      <c r="D5472" s="59">
        <v>-50.57021361235843</v>
      </c>
    </row>
    <row r="5473" spans="1:4" x14ac:dyDescent="0.3">
      <c r="A5473" s="58">
        <v>5214051</v>
      </c>
      <c r="B5473" s="58" t="s">
        <v>3036</v>
      </c>
      <c r="C5473" s="59">
        <v>-13.765576924048004</v>
      </c>
      <c r="D5473" s="59">
        <v>-50.285687722489584</v>
      </c>
    </row>
    <row r="5474" spans="1:4" x14ac:dyDescent="0.3">
      <c r="A5474" s="58">
        <v>5214101</v>
      </c>
      <c r="B5474" s="58" t="s">
        <v>6217</v>
      </c>
      <c r="C5474" s="59">
        <v>-13.723610581818852</v>
      </c>
      <c r="D5474" s="59">
        <v>-49.274445247358109</v>
      </c>
    </row>
    <row r="5475" spans="1:4" x14ac:dyDescent="0.3">
      <c r="A5475" s="58">
        <v>5214408</v>
      </c>
      <c r="B5475" s="58" t="s">
        <v>6218</v>
      </c>
      <c r="C5475" s="59">
        <v>-16.580528079671701</v>
      </c>
      <c r="D5475" s="59">
        <v>-49.881988231725124</v>
      </c>
    </row>
    <row r="5476" spans="1:4" x14ac:dyDescent="0.3">
      <c r="A5476" s="58">
        <v>5214507</v>
      </c>
      <c r="B5476" s="58" t="s">
        <v>6219</v>
      </c>
      <c r="C5476" s="59">
        <v>-16.404043684235504</v>
      </c>
      <c r="D5476" s="59">
        <v>-49.224462526185022</v>
      </c>
    </row>
    <row r="5477" spans="1:4" x14ac:dyDescent="0.3">
      <c r="A5477" s="58">
        <v>5214606</v>
      </c>
      <c r="B5477" s="58" t="s">
        <v>6220</v>
      </c>
      <c r="C5477" s="59">
        <v>-14.469110144177751</v>
      </c>
      <c r="D5477" s="59">
        <v>-48.458585149473322</v>
      </c>
    </row>
    <row r="5478" spans="1:4" x14ac:dyDescent="0.3">
      <c r="A5478" s="58">
        <v>5214705</v>
      </c>
      <c r="B5478" s="58" t="s">
        <v>6221</v>
      </c>
      <c r="C5478" s="59">
        <v>-15.018385859630254</v>
      </c>
      <c r="D5478" s="59">
        <v>-49.899315399329815</v>
      </c>
    </row>
    <row r="5479" spans="1:4" x14ac:dyDescent="0.3">
      <c r="A5479" s="58">
        <v>5214804</v>
      </c>
      <c r="B5479" s="58" t="s">
        <v>4996</v>
      </c>
      <c r="C5479" s="59">
        <v>-18.065102101210254</v>
      </c>
      <c r="D5479" s="59">
        <v>-48.260457906923335</v>
      </c>
    </row>
    <row r="5480" spans="1:4" x14ac:dyDescent="0.3">
      <c r="A5480" s="58">
        <v>5214838</v>
      </c>
      <c r="B5480" s="58" t="s">
        <v>6222</v>
      </c>
      <c r="C5480" s="59">
        <v>-14.095611430706802</v>
      </c>
      <c r="D5480" s="59">
        <v>-50.34200033191545</v>
      </c>
    </row>
    <row r="5481" spans="1:4" x14ac:dyDescent="0.3">
      <c r="A5481" s="58">
        <v>5214861</v>
      </c>
      <c r="B5481" s="58" t="s">
        <v>6223</v>
      </c>
      <c r="C5481" s="59">
        <v>-15.149276585362404</v>
      </c>
      <c r="D5481" s="59">
        <v>-49.578784700258097</v>
      </c>
    </row>
    <row r="5482" spans="1:4" x14ac:dyDescent="0.3">
      <c r="A5482" s="58">
        <v>5214879</v>
      </c>
      <c r="B5482" s="58" t="s">
        <v>6224</v>
      </c>
      <c r="C5482" s="59">
        <v>-14.283477414933603</v>
      </c>
      <c r="D5482" s="59">
        <v>-49.390770108740448</v>
      </c>
    </row>
    <row r="5483" spans="1:4" x14ac:dyDescent="0.3">
      <c r="A5483" s="58">
        <v>5214903</v>
      </c>
      <c r="B5483" s="58" t="s">
        <v>6225</v>
      </c>
      <c r="C5483" s="59">
        <v>-13.742905752092103</v>
      </c>
      <c r="D5483" s="59">
        <v>-46.890325970371897</v>
      </c>
    </row>
    <row r="5484" spans="1:4" x14ac:dyDescent="0.3">
      <c r="A5484" s="58">
        <v>5215009</v>
      </c>
      <c r="B5484" s="58" t="s">
        <v>5305</v>
      </c>
      <c r="C5484" s="59">
        <v>-16.365233193082702</v>
      </c>
      <c r="D5484" s="59">
        <v>-49.31089810420994</v>
      </c>
    </row>
    <row r="5485" spans="1:4" x14ac:dyDescent="0.3">
      <c r="A5485" s="58">
        <v>5215207</v>
      </c>
      <c r="B5485" s="58" t="s">
        <v>6226</v>
      </c>
      <c r="C5485" s="59">
        <v>-16.032670860266951</v>
      </c>
      <c r="D5485" s="59">
        <v>-50.716314453064641</v>
      </c>
    </row>
    <row r="5486" spans="1:4" x14ac:dyDescent="0.3">
      <c r="A5486" s="58">
        <v>5215231</v>
      </c>
      <c r="B5486" s="58" t="s">
        <v>6227</v>
      </c>
      <c r="C5486" s="59">
        <v>-16.056078214198152</v>
      </c>
      <c r="D5486" s="59">
        <v>-48.037211274124623</v>
      </c>
    </row>
    <row r="5487" spans="1:4" x14ac:dyDescent="0.3">
      <c r="A5487" s="58">
        <v>5215256</v>
      </c>
      <c r="B5487" s="58" t="s">
        <v>6228</v>
      </c>
      <c r="C5487" s="59">
        <v>-13.240951976579451</v>
      </c>
      <c r="D5487" s="59">
        <v>-49.512050299191969</v>
      </c>
    </row>
    <row r="5488" spans="1:4" x14ac:dyDescent="0.3">
      <c r="A5488" s="58">
        <v>5215306</v>
      </c>
      <c r="B5488" s="58" t="s">
        <v>6229</v>
      </c>
      <c r="C5488" s="59">
        <v>-17.034766017605552</v>
      </c>
      <c r="D5488" s="59">
        <v>-48.302147802984607</v>
      </c>
    </row>
    <row r="5489" spans="1:4" x14ac:dyDescent="0.3">
      <c r="A5489" s="58">
        <v>5215405</v>
      </c>
      <c r="B5489" s="58" t="s">
        <v>6230</v>
      </c>
      <c r="C5489" s="59">
        <v>-16.210827654498001</v>
      </c>
      <c r="D5489" s="59">
        <v>-49.203867602784648</v>
      </c>
    </row>
    <row r="5490" spans="1:4" x14ac:dyDescent="0.3">
      <c r="A5490" s="58">
        <v>5215504</v>
      </c>
      <c r="B5490" s="58" t="s">
        <v>6231</v>
      </c>
      <c r="C5490" s="59">
        <v>-18.225568712187904</v>
      </c>
      <c r="D5490" s="59">
        <v>-47.83260440402173</v>
      </c>
    </row>
    <row r="5491" spans="1:4" x14ac:dyDescent="0.3">
      <c r="A5491" s="58">
        <v>5215603</v>
      </c>
      <c r="B5491" s="58" t="s">
        <v>6232</v>
      </c>
      <c r="C5491" s="59">
        <v>-15.164355420000001</v>
      </c>
      <c r="D5491" s="59">
        <v>-48.285965616330564</v>
      </c>
    </row>
    <row r="5492" spans="1:4" x14ac:dyDescent="0.3">
      <c r="A5492" s="58">
        <v>5215652</v>
      </c>
      <c r="B5492" s="58" t="s">
        <v>6233</v>
      </c>
      <c r="C5492" s="59">
        <v>-16.741431772585255</v>
      </c>
      <c r="D5492" s="59">
        <v>-51.530032200692887</v>
      </c>
    </row>
    <row r="5493" spans="1:4" x14ac:dyDescent="0.3">
      <c r="A5493" s="58">
        <v>5215702</v>
      </c>
      <c r="B5493" s="58" t="s">
        <v>6234</v>
      </c>
      <c r="C5493" s="59">
        <v>-16.806988005921603</v>
      </c>
      <c r="D5493" s="59">
        <v>-49.922787129295727</v>
      </c>
    </row>
    <row r="5494" spans="1:4" x14ac:dyDescent="0.3">
      <c r="A5494" s="58">
        <v>5215801</v>
      </c>
      <c r="B5494" s="58" t="s">
        <v>6235</v>
      </c>
      <c r="C5494" s="59">
        <v>-17.323016851708601</v>
      </c>
      <c r="D5494" s="59">
        <v>-48.42309557642254</v>
      </c>
    </row>
    <row r="5495" spans="1:4" x14ac:dyDescent="0.3">
      <c r="A5495" s="58">
        <v>5215900</v>
      </c>
      <c r="B5495" s="58" t="s">
        <v>6236</v>
      </c>
      <c r="C5495" s="59">
        <v>-16.799135022556651</v>
      </c>
      <c r="D5495" s="59">
        <v>-50.165493751646473</v>
      </c>
    </row>
    <row r="5496" spans="1:4" x14ac:dyDescent="0.3">
      <c r="A5496" s="58">
        <v>5216007</v>
      </c>
      <c r="B5496" s="58" t="s">
        <v>6237</v>
      </c>
      <c r="C5496" s="59">
        <v>-18.182455275703152</v>
      </c>
      <c r="D5496" s="59">
        <v>-49.35348191592179</v>
      </c>
    </row>
    <row r="5497" spans="1:4" x14ac:dyDescent="0.3">
      <c r="A5497" s="58">
        <v>5216304</v>
      </c>
      <c r="B5497" s="58" t="s">
        <v>6238</v>
      </c>
      <c r="C5497" s="59">
        <v>-18.905159859907002</v>
      </c>
      <c r="D5497" s="59">
        <v>-50.652204359598564</v>
      </c>
    </row>
    <row r="5498" spans="1:4" x14ac:dyDescent="0.3">
      <c r="A5498" s="58">
        <v>5216403</v>
      </c>
      <c r="B5498" s="58" t="s">
        <v>6239</v>
      </c>
      <c r="C5498" s="59">
        <v>-16.946697009276601</v>
      </c>
      <c r="D5498" s="59">
        <v>-50.457640593057597</v>
      </c>
    </row>
    <row r="5499" spans="1:4" x14ac:dyDescent="0.3">
      <c r="A5499" s="58">
        <v>5216452</v>
      </c>
      <c r="B5499" s="58" t="s">
        <v>6240</v>
      </c>
      <c r="C5499" s="59">
        <v>-17.526453522864752</v>
      </c>
      <c r="D5499" s="59">
        <v>-52.066577249610013</v>
      </c>
    </row>
    <row r="5500" spans="1:4" x14ac:dyDescent="0.3">
      <c r="A5500" s="58">
        <v>5216809</v>
      </c>
      <c r="B5500" s="58" t="s">
        <v>6241</v>
      </c>
      <c r="C5500" s="59">
        <v>-16.097417574569402</v>
      </c>
      <c r="D5500" s="59">
        <v>-49.338797936091026</v>
      </c>
    </row>
    <row r="5501" spans="1:4" x14ac:dyDescent="0.3">
      <c r="A5501" s="58">
        <v>5216908</v>
      </c>
      <c r="B5501" s="58" t="s">
        <v>6242</v>
      </c>
      <c r="C5501" s="59">
        <v>-14.7660904485041</v>
      </c>
      <c r="D5501" s="59">
        <v>-49.575114312764981</v>
      </c>
    </row>
    <row r="5502" spans="1:4" x14ac:dyDescent="0.3">
      <c r="A5502" s="58">
        <v>5217104</v>
      </c>
      <c r="B5502" s="58" t="s">
        <v>6243</v>
      </c>
      <c r="C5502" s="59">
        <v>-17.301809715800854</v>
      </c>
      <c r="D5502" s="59">
        <v>-49.02456034712749</v>
      </c>
    </row>
    <row r="5503" spans="1:4" x14ac:dyDescent="0.3">
      <c r="A5503" s="58">
        <v>5217203</v>
      </c>
      <c r="B5503" s="58" t="s">
        <v>2685</v>
      </c>
      <c r="C5503" s="59">
        <v>-16.42070644048599</v>
      </c>
      <c r="D5503" s="59">
        <v>-51.821801335950809</v>
      </c>
    </row>
    <row r="5504" spans="1:4" x14ac:dyDescent="0.3">
      <c r="A5504" s="58">
        <v>5217302</v>
      </c>
      <c r="B5504" s="58" t="s">
        <v>6244</v>
      </c>
      <c r="C5504" s="59">
        <v>-15.853342297545352</v>
      </c>
      <c r="D5504" s="59">
        <v>-48.962527192617863</v>
      </c>
    </row>
    <row r="5505" spans="1:4" x14ac:dyDescent="0.3">
      <c r="A5505" s="58">
        <v>5217401</v>
      </c>
      <c r="B5505" s="58" t="s">
        <v>6245</v>
      </c>
      <c r="C5505" s="59">
        <v>-17.300581105515402</v>
      </c>
      <c r="D5505" s="59">
        <v>-48.280292553344594</v>
      </c>
    </row>
    <row r="5506" spans="1:4" x14ac:dyDescent="0.3">
      <c r="A5506" s="58">
        <v>5217609</v>
      </c>
      <c r="B5506" s="58" t="s">
        <v>6246</v>
      </c>
      <c r="C5506" s="59">
        <v>-15.453109564974401</v>
      </c>
      <c r="D5506" s="59">
        <v>-47.614846766150798</v>
      </c>
    </row>
    <row r="5507" spans="1:4" x14ac:dyDescent="0.3">
      <c r="A5507" s="58">
        <v>5217708</v>
      </c>
      <c r="B5507" s="58" t="s">
        <v>6247</v>
      </c>
      <c r="C5507" s="59">
        <v>-17.514984421486055</v>
      </c>
      <c r="D5507" s="59">
        <v>-49.448181016168981</v>
      </c>
    </row>
    <row r="5508" spans="1:4" x14ac:dyDescent="0.3">
      <c r="A5508" s="58">
        <v>5218003</v>
      </c>
      <c r="B5508" s="58" t="s">
        <v>6248</v>
      </c>
      <c r="C5508" s="59">
        <v>-13.442185946622404</v>
      </c>
      <c r="D5508" s="59">
        <v>-49.146226051887915</v>
      </c>
    </row>
    <row r="5509" spans="1:4" x14ac:dyDescent="0.3">
      <c r="A5509" s="58">
        <v>5218052</v>
      </c>
      <c r="B5509" s="58" t="s">
        <v>6249</v>
      </c>
      <c r="C5509" s="59">
        <v>-17.815400629888202</v>
      </c>
      <c r="D5509" s="59">
        <v>-50.164250416868313</v>
      </c>
    </row>
    <row r="5510" spans="1:4" x14ac:dyDescent="0.3">
      <c r="A5510" s="58">
        <v>5218102</v>
      </c>
      <c r="B5510" s="58" t="s">
        <v>6250</v>
      </c>
      <c r="C5510" s="59">
        <v>-17.352924104714255</v>
      </c>
      <c r="D5510" s="59">
        <v>-52.680683543853959</v>
      </c>
    </row>
    <row r="5511" spans="1:4" x14ac:dyDescent="0.3">
      <c r="A5511" s="58">
        <v>5218300</v>
      </c>
      <c r="B5511" s="58" t="s">
        <v>6251</v>
      </c>
      <c r="C5511" s="59">
        <v>-14.087733564224902</v>
      </c>
      <c r="D5511" s="59">
        <v>-46.362010442307714</v>
      </c>
    </row>
    <row r="5512" spans="1:4" x14ac:dyDescent="0.3">
      <c r="A5512" s="58">
        <v>5218391</v>
      </c>
      <c r="B5512" s="58" t="s">
        <v>6252</v>
      </c>
      <c r="C5512" s="59">
        <v>-17.247566683240354</v>
      </c>
      <c r="D5512" s="59">
        <v>-49.236697307333699</v>
      </c>
    </row>
    <row r="5513" spans="1:4" x14ac:dyDescent="0.3">
      <c r="A5513" s="58">
        <v>5218508</v>
      </c>
      <c r="B5513" s="58" t="s">
        <v>6253</v>
      </c>
      <c r="C5513" s="59">
        <v>-18.451507355884655</v>
      </c>
      <c r="D5513" s="59">
        <v>-50.452262521809068</v>
      </c>
    </row>
    <row r="5514" spans="1:4" x14ac:dyDescent="0.3">
      <c r="A5514" s="58">
        <v>5218607</v>
      </c>
      <c r="B5514" s="58" t="s">
        <v>6254</v>
      </c>
      <c r="C5514" s="59">
        <v>-15.315403973235851</v>
      </c>
      <c r="D5514" s="59">
        <v>-49.584369508683665</v>
      </c>
    </row>
    <row r="5515" spans="1:4" x14ac:dyDescent="0.3">
      <c r="A5515" s="58">
        <v>5218706</v>
      </c>
      <c r="B5515" s="58" t="s">
        <v>6255</v>
      </c>
      <c r="C5515" s="59">
        <v>-15.442466668260252</v>
      </c>
      <c r="D5515" s="59">
        <v>-49.510116994116608</v>
      </c>
    </row>
    <row r="5516" spans="1:4" x14ac:dyDescent="0.3">
      <c r="A5516" s="58">
        <v>5218789</v>
      </c>
      <c r="B5516" s="58" t="s">
        <v>6256</v>
      </c>
      <c r="C5516" s="59">
        <v>-17.767745812166105</v>
      </c>
      <c r="D5516" s="59">
        <v>-48.772668295832922</v>
      </c>
    </row>
    <row r="5517" spans="1:4" x14ac:dyDescent="0.3">
      <c r="A5517" s="58">
        <v>5218805</v>
      </c>
      <c r="B5517" s="58" t="s">
        <v>6257</v>
      </c>
      <c r="C5517" s="59">
        <v>-17.794543401905702</v>
      </c>
      <c r="D5517" s="59">
        <v>-50.929680930173213</v>
      </c>
    </row>
    <row r="5518" spans="1:4" x14ac:dyDescent="0.3">
      <c r="A5518" s="58">
        <v>5218904</v>
      </c>
      <c r="B5518" s="58" t="s">
        <v>6258</v>
      </c>
      <c r="C5518" s="59">
        <v>-15.164312753717203</v>
      </c>
      <c r="D5518" s="59">
        <v>-49.803409697144097</v>
      </c>
    </row>
    <row r="5519" spans="1:4" x14ac:dyDescent="0.3">
      <c r="A5519" s="58">
        <v>5219001</v>
      </c>
      <c r="B5519" s="58" t="s">
        <v>6259</v>
      </c>
      <c r="C5519" s="59">
        <v>-16.200663082872605</v>
      </c>
      <c r="D5519" s="59">
        <v>-50.315866933070588</v>
      </c>
    </row>
    <row r="5520" spans="1:4" x14ac:dyDescent="0.3">
      <c r="A5520" s="58">
        <v>5219100</v>
      </c>
      <c r="B5520" s="58" t="s">
        <v>6260</v>
      </c>
      <c r="C5520" s="59">
        <v>-16.577475928955753</v>
      </c>
      <c r="D5520" s="59">
        <v>-49.68978337711259</v>
      </c>
    </row>
    <row r="5521" spans="1:4" x14ac:dyDescent="0.3">
      <c r="A5521" s="58">
        <v>5219209</v>
      </c>
      <c r="B5521" s="58" t="s">
        <v>6261</v>
      </c>
      <c r="C5521" s="59">
        <v>-17.321553023146205</v>
      </c>
      <c r="D5521" s="59">
        <v>-48.47668975766701</v>
      </c>
    </row>
    <row r="5522" spans="1:4" x14ac:dyDescent="0.3">
      <c r="A5522" s="58">
        <v>5219258</v>
      </c>
      <c r="B5522" s="58" t="s">
        <v>6262</v>
      </c>
      <c r="C5522" s="59">
        <v>-15.770784562831901</v>
      </c>
      <c r="D5522" s="59">
        <v>-51.109415948025294</v>
      </c>
    </row>
    <row r="5523" spans="1:4" x14ac:dyDescent="0.3">
      <c r="A5523" s="58">
        <v>5219308</v>
      </c>
      <c r="B5523" s="58" t="s">
        <v>6263</v>
      </c>
      <c r="C5523" s="59">
        <v>-17.812355140138504</v>
      </c>
      <c r="D5523" s="59">
        <v>-50.598443262421434</v>
      </c>
    </row>
    <row r="5524" spans="1:4" x14ac:dyDescent="0.3">
      <c r="A5524" s="58">
        <v>5219357</v>
      </c>
      <c r="B5524" s="58" t="s">
        <v>4677</v>
      </c>
      <c r="C5524" s="59">
        <v>-15.302398242805303</v>
      </c>
      <c r="D5524" s="59">
        <v>-49.428177949579123</v>
      </c>
    </row>
    <row r="5525" spans="1:4" x14ac:dyDescent="0.3">
      <c r="A5525" s="58">
        <v>5219407</v>
      </c>
      <c r="B5525" s="58" t="s">
        <v>6264</v>
      </c>
      <c r="C5525" s="59">
        <v>-17.326350786319104</v>
      </c>
      <c r="D5525" s="59">
        <v>-53.205146510798571</v>
      </c>
    </row>
    <row r="5526" spans="1:4" x14ac:dyDescent="0.3">
      <c r="A5526" s="58">
        <v>5219456</v>
      </c>
      <c r="B5526" s="58" t="s">
        <v>6265</v>
      </c>
      <c r="C5526" s="59">
        <v>-15.135391097064202</v>
      </c>
      <c r="D5526" s="59">
        <v>-49.120125526338924</v>
      </c>
    </row>
    <row r="5527" spans="1:4" x14ac:dyDescent="0.3">
      <c r="A5527" s="58">
        <v>5219506</v>
      </c>
      <c r="B5527" s="58" t="s">
        <v>6266</v>
      </c>
      <c r="C5527" s="59">
        <v>-16.079890861453666</v>
      </c>
      <c r="D5527" s="59">
        <v>-49.491579173177961</v>
      </c>
    </row>
    <row r="5528" spans="1:4" x14ac:dyDescent="0.3">
      <c r="A5528" s="58">
        <v>5219605</v>
      </c>
      <c r="B5528" s="58" t="s">
        <v>6267</v>
      </c>
      <c r="C5528" s="59">
        <v>-13.712550867112054</v>
      </c>
      <c r="D5528" s="59">
        <v>-49.014996946443453</v>
      </c>
    </row>
    <row r="5529" spans="1:4" x14ac:dyDescent="0.3">
      <c r="A5529" s="58">
        <v>5219704</v>
      </c>
      <c r="B5529" s="58" t="s">
        <v>6268</v>
      </c>
      <c r="C5529" s="59">
        <v>-14.433476420299803</v>
      </c>
      <c r="D5529" s="59">
        <v>-49.70620224111606</v>
      </c>
    </row>
    <row r="5530" spans="1:4" x14ac:dyDescent="0.3">
      <c r="A5530" s="58">
        <v>5219712</v>
      </c>
      <c r="B5530" s="58" t="s">
        <v>6269</v>
      </c>
      <c r="C5530" s="59">
        <v>-17.556108296493502</v>
      </c>
      <c r="D5530" s="59">
        <v>-50.634053580807667</v>
      </c>
    </row>
    <row r="5531" spans="1:4" x14ac:dyDescent="0.3">
      <c r="A5531" s="58">
        <v>5219738</v>
      </c>
      <c r="B5531" s="58" t="s">
        <v>6270</v>
      </c>
      <c r="C5531" s="59">
        <v>-16.483121215036004</v>
      </c>
      <c r="D5531" s="59">
        <v>-49.310242856928269</v>
      </c>
    </row>
    <row r="5532" spans="1:4" x14ac:dyDescent="0.3">
      <c r="A5532" s="58">
        <v>5219753</v>
      </c>
      <c r="B5532" s="58" t="s">
        <v>6271</v>
      </c>
      <c r="C5532" s="59">
        <v>-15.944223510000004</v>
      </c>
      <c r="D5532" s="59">
        <v>-48.256006425840262</v>
      </c>
    </row>
    <row r="5533" spans="1:4" x14ac:dyDescent="0.3">
      <c r="A5533" s="58">
        <v>5219803</v>
      </c>
      <c r="B5533" s="58" t="s">
        <v>2408</v>
      </c>
      <c r="C5533" s="59">
        <v>-13.402013257212953</v>
      </c>
      <c r="D5533" s="59">
        <v>-46.315105242449214</v>
      </c>
    </row>
    <row r="5534" spans="1:4" x14ac:dyDescent="0.3">
      <c r="A5534" s="58">
        <v>5219902</v>
      </c>
      <c r="B5534" s="58" t="s">
        <v>6272</v>
      </c>
      <c r="C5534" s="59">
        <v>-15.922706436828854</v>
      </c>
      <c r="D5534" s="59">
        <v>-49.262008720418933</v>
      </c>
    </row>
    <row r="5535" spans="1:4" x14ac:dyDescent="0.3">
      <c r="A5535" s="58">
        <v>5220009</v>
      </c>
      <c r="B5535" s="58" t="s">
        <v>6273</v>
      </c>
      <c r="C5535" s="59">
        <v>-14.708216179663804</v>
      </c>
      <c r="D5535" s="59">
        <v>-47.518801712342295</v>
      </c>
    </row>
    <row r="5536" spans="1:4" x14ac:dyDescent="0.3">
      <c r="A5536" s="58">
        <v>5220058</v>
      </c>
      <c r="B5536" s="58" t="s">
        <v>6274</v>
      </c>
      <c r="C5536" s="59">
        <v>-16.814523553521401</v>
      </c>
      <c r="D5536" s="59">
        <v>-50.405062992540039</v>
      </c>
    </row>
    <row r="5537" spans="1:4" x14ac:dyDescent="0.3">
      <c r="A5537" s="58">
        <v>5220108</v>
      </c>
      <c r="B5537" s="58" t="s">
        <v>6275</v>
      </c>
      <c r="C5537" s="59">
        <v>-16.519810159779954</v>
      </c>
      <c r="D5537" s="59">
        <v>-50.374288002731312</v>
      </c>
    </row>
    <row r="5538" spans="1:4" x14ac:dyDescent="0.3">
      <c r="A5538" s="58">
        <v>5220157</v>
      </c>
      <c r="B5538" s="58" t="s">
        <v>6276</v>
      </c>
      <c r="C5538" s="59">
        <v>-14.862078911310302</v>
      </c>
      <c r="D5538" s="59">
        <v>-49.331935880578271</v>
      </c>
    </row>
    <row r="5539" spans="1:4" x14ac:dyDescent="0.3">
      <c r="A5539" s="58">
        <v>5220207</v>
      </c>
      <c r="B5539" s="58" t="s">
        <v>6277</v>
      </c>
      <c r="C5539" s="59">
        <v>-13.276024342964501</v>
      </c>
      <c r="D5539" s="59">
        <v>-50.16383827014252</v>
      </c>
    </row>
    <row r="5540" spans="1:4" x14ac:dyDescent="0.3">
      <c r="A5540" s="58">
        <v>5220264</v>
      </c>
      <c r="B5540" s="58" t="s">
        <v>6278</v>
      </c>
      <c r="C5540" s="59">
        <v>-17.050934349931204</v>
      </c>
      <c r="D5540" s="59">
        <v>-48.664717559375809</v>
      </c>
    </row>
    <row r="5541" spans="1:4" x14ac:dyDescent="0.3">
      <c r="A5541" s="58">
        <v>5220280</v>
      </c>
      <c r="B5541" s="58" t="s">
        <v>6279</v>
      </c>
      <c r="C5541" s="59">
        <v>-15.352489672203703</v>
      </c>
      <c r="D5541" s="59">
        <v>-49.816346040483076</v>
      </c>
    </row>
    <row r="5542" spans="1:4" x14ac:dyDescent="0.3">
      <c r="A5542" s="58">
        <v>5220405</v>
      </c>
      <c r="B5542" s="58" t="s">
        <v>4718</v>
      </c>
      <c r="C5542" s="59">
        <v>-18.989738599516304</v>
      </c>
      <c r="D5542" s="59">
        <v>-50.549699757656548</v>
      </c>
    </row>
    <row r="5543" spans="1:4" x14ac:dyDescent="0.3">
      <c r="A5543" s="58">
        <v>5220454</v>
      </c>
      <c r="B5543" s="58" t="s">
        <v>6280</v>
      </c>
      <c r="C5543" s="59">
        <v>-16.718575320000003</v>
      </c>
      <c r="D5543" s="59">
        <v>-49.087966832778882</v>
      </c>
    </row>
    <row r="5544" spans="1:4" x14ac:dyDescent="0.3">
      <c r="A5544" s="58">
        <v>5220504</v>
      </c>
      <c r="B5544" s="58" t="s">
        <v>6281</v>
      </c>
      <c r="C5544" s="59">
        <v>-18.307724397144952</v>
      </c>
      <c r="D5544" s="59">
        <v>-51.957777940175028</v>
      </c>
    </row>
    <row r="5545" spans="1:4" x14ac:dyDescent="0.3">
      <c r="A5545" s="58">
        <v>5220603</v>
      </c>
      <c r="B5545" s="58" t="s">
        <v>6282</v>
      </c>
      <c r="C5545" s="59">
        <v>-16.6646168096505</v>
      </c>
      <c r="D5545" s="59">
        <v>-48.61056991001815</v>
      </c>
    </row>
    <row r="5546" spans="1:4" x14ac:dyDescent="0.3">
      <c r="A5546" s="58">
        <v>5220686</v>
      </c>
      <c r="B5546" s="58" t="s">
        <v>6283</v>
      </c>
      <c r="C5546" s="59">
        <v>-14.47032298831215</v>
      </c>
      <c r="D5546" s="59">
        <v>-46.484284222500456</v>
      </c>
    </row>
    <row r="5547" spans="1:4" x14ac:dyDescent="0.3">
      <c r="A5547" s="58">
        <v>5220702</v>
      </c>
      <c r="B5547" s="58" t="s">
        <v>6284</v>
      </c>
      <c r="C5547" s="59">
        <v>-14.803993916154754</v>
      </c>
      <c r="D5547" s="59">
        <v>-46.252489842840099</v>
      </c>
    </row>
    <row r="5548" spans="1:4" x14ac:dyDescent="0.3">
      <c r="A5548" s="58">
        <v>5221007</v>
      </c>
      <c r="B5548" s="58" t="s">
        <v>6285</v>
      </c>
      <c r="C5548" s="59">
        <v>-16.0500187966169</v>
      </c>
      <c r="D5548" s="59">
        <v>-49.602219314357747</v>
      </c>
    </row>
    <row r="5549" spans="1:4" x14ac:dyDescent="0.3">
      <c r="A5549" s="58">
        <v>5221080</v>
      </c>
      <c r="B5549" s="58" t="s">
        <v>6286</v>
      </c>
      <c r="C5549" s="59">
        <v>-13.776863099648002</v>
      </c>
      <c r="D5549" s="59">
        <v>-47.263520321020842</v>
      </c>
    </row>
    <row r="5550" spans="1:4" x14ac:dyDescent="0.3">
      <c r="A5550" s="58">
        <v>5221197</v>
      </c>
      <c r="B5550" s="58" t="s">
        <v>6287</v>
      </c>
      <c r="C5550" s="59">
        <v>-16.478960461373703</v>
      </c>
      <c r="D5550" s="59">
        <v>-49.091784923092128</v>
      </c>
    </row>
    <row r="5551" spans="1:4" x14ac:dyDescent="0.3">
      <c r="A5551" s="58">
        <v>5221304</v>
      </c>
      <c r="B5551" s="58" t="s">
        <v>6288</v>
      </c>
      <c r="C5551" s="59">
        <v>-18.360798688417702</v>
      </c>
      <c r="D5551" s="59">
        <v>-47.779338510865621</v>
      </c>
    </row>
    <row r="5552" spans="1:4" x14ac:dyDescent="0.3">
      <c r="A5552" s="58">
        <v>5221403</v>
      </c>
      <c r="B5552" s="58" t="s">
        <v>2606</v>
      </c>
      <c r="C5552" s="59">
        <v>-16.655350428829355</v>
      </c>
      <c r="D5552" s="59">
        <v>-49.489099202577783</v>
      </c>
    </row>
    <row r="5553" spans="1:4" x14ac:dyDescent="0.3">
      <c r="A5553" s="58">
        <v>5221452</v>
      </c>
      <c r="B5553" s="58" t="s">
        <v>6289</v>
      </c>
      <c r="C5553" s="59">
        <v>-13.508467721269051</v>
      </c>
      <c r="D5553" s="59">
        <v>-48.744708610335216</v>
      </c>
    </row>
    <row r="5554" spans="1:4" x14ac:dyDescent="0.3">
      <c r="A5554" s="58">
        <v>5221502</v>
      </c>
      <c r="B5554" s="58" t="s">
        <v>6290</v>
      </c>
      <c r="C5554" s="59">
        <v>-16.609803780496552</v>
      </c>
      <c r="D5554" s="59">
        <v>-50.131953054649856</v>
      </c>
    </row>
    <row r="5555" spans="1:4" x14ac:dyDescent="0.3">
      <c r="A5555" s="58">
        <v>5221551</v>
      </c>
      <c r="B5555" s="58" t="s">
        <v>6291</v>
      </c>
      <c r="C5555" s="59">
        <v>-17.850952335415204</v>
      </c>
      <c r="D5555" s="59">
        <v>-50.307479343939598</v>
      </c>
    </row>
    <row r="5556" spans="1:4" x14ac:dyDescent="0.3">
      <c r="A5556" s="58">
        <v>5221577</v>
      </c>
      <c r="B5556" s="58" t="s">
        <v>6292</v>
      </c>
      <c r="C5556" s="59">
        <v>-14.288653538561951</v>
      </c>
      <c r="D5556" s="59">
        <v>-49.921075181780189</v>
      </c>
    </row>
    <row r="5557" spans="1:4" x14ac:dyDescent="0.3">
      <c r="A5557" s="58">
        <v>5221601</v>
      </c>
      <c r="B5557" s="58" t="s">
        <v>6293</v>
      </c>
      <c r="C5557" s="59">
        <v>-14.520219762824725</v>
      </c>
      <c r="D5557" s="59">
        <v>-49.14748562221812</v>
      </c>
    </row>
    <row r="5558" spans="1:4" x14ac:dyDescent="0.3">
      <c r="A5558" s="58">
        <v>5221700</v>
      </c>
      <c r="B5558" s="58" t="s">
        <v>6294</v>
      </c>
      <c r="C5558" s="59">
        <v>-15.501165233376604</v>
      </c>
      <c r="D5558" s="59">
        <v>-49.679480708768921</v>
      </c>
    </row>
    <row r="5559" spans="1:4" x14ac:dyDescent="0.3">
      <c r="A5559" s="58">
        <v>5221809</v>
      </c>
      <c r="B5559" s="58" t="s">
        <v>6295</v>
      </c>
      <c r="C5559" s="59">
        <v>-17.459753424557501</v>
      </c>
      <c r="D5559" s="59">
        <v>-48.204653131643951</v>
      </c>
    </row>
    <row r="5560" spans="1:4" x14ac:dyDescent="0.3">
      <c r="A5560" s="58">
        <v>5221858</v>
      </c>
      <c r="B5560" s="58" t="s">
        <v>6296</v>
      </c>
      <c r="C5560" s="59">
        <v>-16.069575257038455</v>
      </c>
      <c r="D5560" s="59">
        <v>-47.984111350553327</v>
      </c>
    </row>
    <row r="5561" spans="1:4" x14ac:dyDescent="0.3">
      <c r="A5561" s="58">
        <v>5221908</v>
      </c>
      <c r="B5561" s="58" t="s">
        <v>6297</v>
      </c>
      <c r="C5561" s="59">
        <v>-17.041224751758854</v>
      </c>
      <c r="D5561" s="59">
        <v>-49.628167487025912</v>
      </c>
    </row>
    <row r="5562" spans="1:4" x14ac:dyDescent="0.3">
      <c r="A5562" s="58">
        <v>5222005</v>
      </c>
      <c r="B5562" s="58" t="s">
        <v>6298</v>
      </c>
      <c r="C5562" s="59">
        <v>-16.742081438665803</v>
      </c>
      <c r="D5562" s="59">
        <v>-48.513470897057694</v>
      </c>
    </row>
    <row r="5563" spans="1:4" x14ac:dyDescent="0.3">
      <c r="A5563" s="58">
        <v>5222054</v>
      </c>
      <c r="B5563" s="58" t="s">
        <v>6299</v>
      </c>
      <c r="C5563" s="59">
        <v>-17.732662380298951</v>
      </c>
      <c r="D5563" s="59">
        <v>-49.807239013853987</v>
      </c>
    </row>
    <row r="5564" spans="1:4" x14ac:dyDescent="0.3">
      <c r="A5564" s="58">
        <v>5222203</v>
      </c>
      <c r="B5564" s="58" t="s">
        <v>6300</v>
      </c>
      <c r="C5564" s="59">
        <v>-15.03488879071015</v>
      </c>
      <c r="D5564" s="59">
        <v>-47.057360853683491</v>
      </c>
    </row>
    <row r="5565" spans="1:4" x14ac:dyDescent="0.3">
      <c r="A5565" s="58">
        <v>5222302</v>
      </c>
      <c r="B5565" s="58" t="s">
        <v>6301</v>
      </c>
      <c r="C5565" s="59">
        <v>-15.454634816775251</v>
      </c>
      <c r="D5565" s="59">
        <v>-48.882422076497924</v>
      </c>
    </row>
    <row r="5566" spans="1:4" x14ac:dyDescent="0.3">
      <c r="A5566" s="58">
        <v>5300108</v>
      </c>
      <c r="B5566" s="58" t="s">
        <v>6302</v>
      </c>
      <c r="C5566" s="59">
        <v>-15.794087361891002</v>
      </c>
      <c r="D5566" s="59">
        <v>-47.887905478031342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969B-1379-4F9E-8C70-F2A30BE6EB0E}">
  <dimension ref="A1:Y199"/>
  <sheetViews>
    <sheetView showGridLines="0" tabSelected="1" zoomScaleNormal="100" workbookViewId="0">
      <selection activeCell="C1" sqref="C1:Z1048576"/>
    </sheetView>
  </sheetViews>
  <sheetFormatPr defaultRowHeight="14.4" x14ac:dyDescent="0.3"/>
  <cols>
    <col min="1" max="1" width="25.6640625" customWidth="1"/>
    <col min="2" max="2" width="44.44140625" bestFit="1" customWidth="1"/>
    <col min="3" max="3" width="28" customWidth="1"/>
    <col min="4" max="5" width="24.33203125" bestFit="1" customWidth="1"/>
    <col min="6" max="6" width="10.109375" bestFit="1" customWidth="1"/>
    <col min="7" max="7" width="12" bestFit="1" customWidth="1"/>
    <col min="8" max="8" width="15.44140625" bestFit="1" customWidth="1"/>
    <col min="9" max="9" width="9.109375" customWidth="1"/>
    <col min="10" max="11" width="11.5546875" customWidth="1"/>
    <col min="12" max="13" width="9.109375" customWidth="1"/>
    <col min="14" max="14" width="15.44140625" customWidth="1"/>
    <col min="15" max="22" width="9.109375" customWidth="1"/>
  </cols>
  <sheetData>
    <row r="1" spans="1:25" ht="27" thickTop="1" x14ac:dyDescent="0.3">
      <c r="A1" s="38" t="s">
        <v>155</v>
      </c>
      <c r="B1" s="38" t="s">
        <v>156</v>
      </c>
      <c r="C1" s="38" t="s">
        <v>157</v>
      </c>
      <c r="D1" s="38" t="s">
        <v>158</v>
      </c>
      <c r="E1" s="38" t="s">
        <v>159</v>
      </c>
      <c r="F1" s="29" t="s">
        <v>142</v>
      </c>
      <c r="G1" s="29" t="s">
        <v>120</v>
      </c>
      <c r="H1" s="29" t="s">
        <v>143</v>
      </c>
      <c r="I1" s="30" t="s">
        <v>3</v>
      </c>
      <c r="J1" s="30" t="s">
        <v>4</v>
      </c>
      <c r="K1" s="31" t="s">
        <v>144</v>
      </c>
      <c r="L1" s="32" t="s">
        <v>145</v>
      </c>
      <c r="M1" s="32" t="s">
        <v>146</v>
      </c>
      <c r="N1" s="29" t="s">
        <v>147</v>
      </c>
      <c r="O1" s="29" t="s">
        <v>6</v>
      </c>
      <c r="P1" s="32" t="s">
        <v>148</v>
      </c>
      <c r="Q1" s="33" t="s">
        <v>149</v>
      </c>
      <c r="R1" s="33" t="s">
        <v>150</v>
      </c>
      <c r="S1" s="32" t="s">
        <v>151</v>
      </c>
      <c r="T1" s="32" t="s">
        <v>152</v>
      </c>
      <c r="U1" s="32" t="s">
        <v>153</v>
      </c>
      <c r="V1" s="31" t="s">
        <v>154</v>
      </c>
    </row>
    <row r="2" spans="1:25" ht="15.6" x14ac:dyDescent="0.3">
      <c r="A2" s="24" t="s">
        <v>162</v>
      </c>
      <c r="B2" s="39" t="s">
        <v>170</v>
      </c>
      <c r="C2" s="24" t="s">
        <v>78</v>
      </c>
      <c r="D2" s="24" t="s">
        <v>171</v>
      </c>
      <c r="E2" s="24" t="s">
        <v>172</v>
      </c>
      <c r="F2" s="24">
        <v>2274000</v>
      </c>
      <c r="G2" s="24" t="s">
        <v>20</v>
      </c>
      <c r="H2" s="24" t="s">
        <v>73</v>
      </c>
      <c r="L2">
        <v>1</v>
      </c>
      <c r="M2">
        <v>1</v>
      </c>
      <c r="N2" s="24" t="s">
        <v>73</v>
      </c>
      <c r="W2" t="e">
        <f>VLOOKUP(H2,Grupo!$B$2:$E$7,3,0)</f>
        <v>#N/A</v>
      </c>
      <c r="X2" t="e">
        <f>VLOOKUP(H2,Grupo!$B$2:$E$7,4,0)</f>
        <v>#N/A</v>
      </c>
      <c r="Y2" t="e">
        <f>6371*ACOS(COS(PI()*(90-W2)/180)*COS((90-D2)*PI()/180)+SIN((90-W2)*PI()/180)*SIN((90-D2)*PI()/180)*COS((X2-E2)*PI()/180))</f>
        <v>#N/A</v>
      </c>
    </row>
    <row r="3" spans="1:25" ht="15.6" x14ac:dyDescent="0.3">
      <c r="A3" s="24" t="s">
        <v>173</v>
      </c>
      <c r="B3" s="39" t="s">
        <v>174</v>
      </c>
      <c r="C3" s="24" t="s">
        <v>78</v>
      </c>
      <c r="D3" s="24" t="s">
        <v>175</v>
      </c>
      <c r="E3" s="24" t="s">
        <v>176</v>
      </c>
      <c r="F3" s="24">
        <v>2272571</v>
      </c>
      <c r="G3" s="24" t="s">
        <v>21</v>
      </c>
      <c r="H3" s="24" t="s">
        <v>73</v>
      </c>
      <c r="L3">
        <v>1</v>
      </c>
      <c r="M3">
        <v>1</v>
      </c>
      <c r="N3" s="24" t="s">
        <v>73</v>
      </c>
      <c r="W3" t="e">
        <f>VLOOKUP(H3,Grupo!$B$2:$E$7,3,0)</f>
        <v>#N/A</v>
      </c>
      <c r="X3" t="e">
        <f>VLOOKUP(H3,Grupo!$B$2:$E$7,4,0)</f>
        <v>#N/A</v>
      </c>
      <c r="Y3" t="e">
        <f t="shared" ref="Y3:Y66" si="0">6371*ACOS(COS(PI()*(90-W3)/180)*COS((90-D3)*PI()/180)+SIN((90-W3)*PI()/180)*SIN((90-D3)*PI()/180)*COS((X3-E3)*PI()/180))</f>
        <v>#N/A</v>
      </c>
    </row>
    <row r="4" spans="1:25" ht="15.6" x14ac:dyDescent="0.3">
      <c r="A4" s="24" t="s">
        <v>177</v>
      </c>
      <c r="B4" s="39" t="s">
        <v>178</v>
      </c>
      <c r="C4" s="24" t="s">
        <v>79</v>
      </c>
      <c r="D4" s="24" t="s">
        <v>179</v>
      </c>
      <c r="E4" s="24" t="s">
        <v>180</v>
      </c>
      <c r="F4" s="24">
        <v>2271559</v>
      </c>
      <c r="G4" s="24" t="s">
        <v>22</v>
      </c>
      <c r="H4" s="24" t="s">
        <v>74</v>
      </c>
      <c r="L4">
        <v>1</v>
      </c>
      <c r="M4">
        <v>1</v>
      </c>
      <c r="N4" s="24" t="s">
        <v>74</v>
      </c>
      <c r="W4" t="e">
        <f>VLOOKUP(H4,Grupo!$B$2:$E$7,3,0)</f>
        <v>#N/A</v>
      </c>
      <c r="X4" t="e">
        <f>VLOOKUP(H4,Grupo!$B$2:$E$7,4,0)</f>
        <v>#N/A</v>
      </c>
      <c r="Y4" t="e">
        <f t="shared" si="0"/>
        <v>#N/A</v>
      </c>
    </row>
    <row r="5" spans="1:25" ht="15.6" x14ac:dyDescent="0.3">
      <c r="A5" s="24" t="s">
        <v>181</v>
      </c>
      <c r="B5" s="39" t="s">
        <v>178</v>
      </c>
      <c r="C5" s="24" t="s">
        <v>79</v>
      </c>
      <c r="D5" s="24" t="s">
        <v>182</v>
      </c>
      <c r="E5" s="24" t="s">
        <v>183</v>
      </c>
      <c r="F5" s="24">
        <v>2270447</v>
      </c>
      <c r="G5" s="24" t="s">
        <v>23</v>
      </c>
      <c r="H5" s="24" t="s">
        <v>75</v>
      </c>
      <c r="L5">
        <v>1</v>
      </c>
      <c r="M5">
        <v>1</v>
      </c>
      <c r="N5" s="24" t="s">
        <v>75</v>
      </c>
      <c r="W5" t="e">
        <f>VLOOKUP(H5,Grupo!$B$2:$E$7,3,0)</f>
        <v>#N/A</v>
      </c>
      <c r="X5" t="e">
        <f>VLOOKUP(H5,Grupo!$B$2:$E$7,4,0)</f>
        <v>#N/A</v>
      </c>
      <c r="Y5" t="e">
        <f t="shared" si="0"/>
        <v>#N/A</v>
      </c>
    </row>
    <row r="6" spans="1:25" ht="15.6" x14ac:dyDescent="0.3">
      <c r="A6" s="24" t="s">
        <v>184</v>
      </c>
      <c r="B6" s="39" t="s">
        <v>185</v>
      </c>
      <c r="C6" s="24" t="s">
        <v>79</v>
      </c>
      <c r="D6" s="40" t="s">
        <v>186</v>
      </c>
      <c r="E6" s="40" t="s">
        <v>187</v>
      </c>
      <c r="F6" s="24">
        <v>2274153</v>
      </c>
      <c r="G6" s="24" t="s">
        <v>24</v>
      </c>
      <c r="H6" s="24" t="s">
        <v>76</v>
      </c>
      <c r="L6">
        <v>1</v>
      </c>
      <c r="M6">
        <v>1</v>
      </c>
      <c r="N6" s="24" t="s">
        <v>76</v>
      </c>
      <c r="W6" t="e">
        <f>VLOOKUP(H6,Grupo!$B$2:$E$7,3,0)</f>
        <v>#N/A</v>
      </c>
      <c r="X6" t="e">
        <f>VLOOKUP(H6,Grupo!$B$2:$E$7,4,0)</f>
        <v>#N/A</v>
      </c>
      <c r="Y6" t="e">
        <f t="shared" si="0"/>
        <v>#N/A</v>
      </c>
    </row>
    <row r="7" spans="1:25" ht="15.6" x14ac:dyDescent="0.3">
      <c r="A7" s="24" t="s">
        <v>188</v>
      </c>
      <c r="B7" s="39" t="s">
        <v>185</v>
      </c>
      <c r="C7" s="24" t="s">
        <v>79</v>
      </c>
      <c r="D7" s="40" t="s">
        <v>189</v>
      </c>
      <c r="E7" s="40" t="s">
        <v>190</v>
      </c>
      <c r="F7" s="24">
        <v>2274125</v>
      </c>
      <c r="G7" s="24" t="s">
        <v>25</v>
      </c>
      <c r="H7" s="24" t="s">
        <v>74</v>
      </c>
      <c r="L7">
        <v>1</v>
      </c>
      <c r="M7">
        <v>1</v>
      </c>
      <c r="N7" s="24" t="s">
        <v>74</v>
      </c>
      <c r="W7" t="e">
        <f>VLOOKUP(H7,Grupo!$B$2:$E$7,3,0)</f>
        <v>#N/A</v>
      </c>
      <c r="X7" t="e">
        <f>VLOOKUP(H7,Grupo!$B$2:$E$7,4,0)</f>
        <v>#N/A</v>
      </c>
      <c r="Y7" t="e">
        <f t="shared" si="0"/>
        <v>#N/A</v>
      </c>
    </row>
    <row r="8" spans="1:25" ht="15.6" x14ac:dyDescent="0.3">
      <c r="A8" s="24" t="s">
        <v>191</v>
      </c>
      <c r="B8" s="39" t="s">
        <v>185</v>
      </c>
      <c r="C8" s="24" t="s">
        <v>79</v>
      </c>
      <c r="D8" s="24" t="s">
        <v>192</v>
      </c>
      <c r="E8" s="24" t="s">
        <v>193</v>
      </c>
      <c r="F8" s="24">
        <v>2274035</v>
      </c>
      <c r="G8" s="24" t="s">
        <v>26</v>
      </c>
      <c r="H8" s="24" t="s">
        <v>75</v>
      </c>
      <c r="L8">
        <v>1</v>
      </c>
      <c r="M8">
        <v>1</v>
      </c>
      <c r="N8" s="24" t="s">
        <v>75</v>
      </c>
      <c r="W8" t="e">
        <f>VLOOKUP(H8,Grupo!$B$2:$E$7,3,0)</f>
        <v>#N/A</v>
      </c>
      <c r="X8" t="e">
        <f>VLOOKUP(H8,Grupo!$B$2:$E$7,4,0)</f>
        <v>#N/A</v>
      </c>
      <c r="Y8" t="e">
        <f t="shared" si="0"/>
        <v>#N/A</v>
      </c>
    </row>
    <row r="9" spans="1:25" ht="15.6" x14ac:dyDescent="0.3">
      <c r="A9" s="24" t="s">
        <v>194</v>
      </c>
      <c r="B9" s="39" t="s">
        <v>195</v>
      </c>
      <c r="C9" s="24" t="s">
        <v>78</v>
      </c>
      <c r="D9" s="24" t="s">
        <v>196</v>
      </c>
      <c r="E9" s="24" t="s">
        <v>197</v>
      </c>
      <c r="F9" s="24">
        <v>2189739</v>
      </c>
      <c r="G9" s="24" t="s">
        <v>27</v>
      </c>
      <c r="H9" s="24" t="s">
        <v>72</v>
      </c>
      <c r="L9">
        <v>1</v>
      </c>
      <c r="M9">
        <v>1</v>
      </c>
      <c r="N9" s="24" t="s">
        <v>73</v>
      </c>
      <c r="W9" s="24" t="e">
        <f>VLOOKUP(H9,Grupo!$B$2:$E$7,3,0)</f>
        <v>#N/A</v>
      </c>
      <c r="X9" s="24" t="e">
        <f>VLOOKUP(H9,Grupo!$B$2:$E$7,4,0)</f>
        <v>#N/A</v>
      </c>
      <c r="Y9" t="e">
        <f t="shared" si="0"/>
        <v>#N/A</v>
      </c>
    </row>
    <row r="10" spans="1:25" ht="15.6" x14ac:dyDescent="0.3">
      <c r="A10" s="24" t="s">
        <v>161</v>
      </c>
      <c r="B10" s="39" t="s">
        <v>198</v>
      </c>
      <c r="C10" s="24" t="s">
        <v>78</v>
      </c>
      <c r="D10" s="24" t="s">
        <v>199</v>
      </c>
      <c r="E10" s="24" t="s">
        <v>200</v>
      </c>
      <c r="F10" s="24">
        <v>2269171</v>
      </c>
      <c r="G10" s="24" t="s">
        <v>28</v>
      </c>
      <c r="H10" s="24" t="s">
        <v>72</v>
      </c>
      <c r="L10">
        <v>1</v>
      </c>
      <c r="M10">
        <v>1</v>
      </c>
      <c r="N10" s="24" t="s">
        <v>73</v>
      </c>
      <c r="W10" t="e">
        <f>VLOOKUP(H10,Grupo!$B$2:$E$7,3,0)</f>
        <v>#N/A</v>
      </c>
      <c r="X10" t="e">
        <f>VLOOKUP(H10,Grupo!$B$2:$E$7,4,0)</f>
        <v>#N/A</v>
      </c>
      <c r="Y10" t="e">
        <f t="shared" si="0"/>
        <v>#N/A</v>
      </c>
    </row>
    <row r="11" spans="1:25" ht="15.6" x14ac:dyDescent="0.3">
      <c r="A11" s="24" t="s">
        <v>201</v>
      </c>
      <c r="B11" s="39" t="s">
        <v>202</v>
      </c>
      <c r="C11" s="24" t="s">
        <v>78</v>
      </c>
      <c r="D11" s="24" t="s">
        <v>203</v>
      </c>
      <c r="E11" s="24" t="s">
        <v>204</v>
      </c>
      <c r="F11" s="24">
        <v>2269147</v>
      </c>
      <c r="G11" s="24" t="s">
        <v>29</v>
      </c>
      <c r="H11" s="24" t="s">
        <v>72</v>
      </c>
      <c r="L11">
        <v>1</v>
      </c>
      <c r="M11">
        <v>1</v>
      </c>
      <c r="N11" s="24" t="s">
        <v>73</v>
      </c>
      <c r="W11" t="e">
        <f>VLOOKUP(H11,Grupo!$B$2:$E$7,3,0)</f>
        <v>#N/A</v>
      </c>
      <c r="X11" t="e">
        <f>VLOOKUP(H11,Grupo!$B$2:$E$7,4,0)</f>
        <v>#N/A</v>
      </c>
      <c r="Y11" t="e">
        <f t="shared" si="0"/>
        <v>#N/A</v>
      </c>
    </row>
    <row r="12" spans="1:25" ht="15.6" x14ac:dyDescent="0.3">
      <c r="A12" s="24" t="s">
        <v>162</v>
      </c>
      <c r="B12" s="39" t="s">
        <v>205</v>
      </c>
      <c r="C12" s="24" t="s">
        <v>78</v>
      </c>
      <c r="D12" s="24" t="s">
        <v>206</v>
      </c>
      <c r="E12" s="24" t="s">
        <v>207</v>
      </c>
      <c r="F12" s="24">
        <v>2268140</v>
      </c>
      <c r="G12" s="24" t="s">
        <v>30</v>
      </c>
      <c r="H12" s="24" t="s">
        <v>73</v>
      </c>
      <c r="L12">
        <v>1</v>
      </c>
      <c r="M12">
        <v>1</v>
      </c>
      <c r="N12" s="24" t="s">
        <v>73</v>
      </c>
      <c r="W12" t="e">
        <f>VLOOKUP(H12,Grupo!$B$2:$E$7,3,0)</f>
        <v>#N/A</v>
      </c>
      <c r="X12" t="e">
        <f>VLOOKUP(H12,Grupo!$B$2:$E$7,4,0)</f>
        <v>#N/A</v>
      </c>
      <c r="Y12" t="e">
        <f t="shared" si="0"/>
        <v>#N/A</v>
      </c>
    </row>
    <row r="13" spans="1:25" ht="15.6" x14ac:dyDescent="0.3">
      <c r="A13" s="24" t="s">
        <v>208</v>
      </c>
      <c r="B13" s="39" t="s">
        <v>209</v>
      </c>
      <c r="C13" s="24" t="s">
        <v>78</v>
      </c>
      <c r="D13" s="24" t="s">
        <v>210</v>
      </c>
      <c r="E13" s="24" t="s">
        <v>211</v>
      </c>
      <c r="F13" s="24">
        <v>2268000</v>
      </c>
      <c r="G13" s="24" t="s">
        <v>31</v>
      </c>
      <c r="H13" s="24" t="s">
        <v>73</v>
      </c>
      <c r="L13">
        <v>1</v>
      </c>
      <c r="M13">
        <v>1</v>
      </c>
      <c r="N13" s="24" t="s">
        <v>73</v>
      </c>
      <c r="W13" t="e">
        <f>VLOOKUP(H13,Grupo!$B$2:$E$7,3,0)</f>
        <v>#N/A</v>
      </c>
      <c r="X13" t="e">
        <f>VLOOKUP(H13,Grupo!$B$2:$E$7,4,0)</f>
        <v>#N/A</v>
      </c>
      <c r="Y13" t="e">
        <f t="shared" si="0"/>
        <v>#N/A</v>
      </c>
    </row>
    <row r="14" spans="1:25" ht="15.6" x14ac:dyDescent="0.3">
      <c r="A14" s="24" t="s">
        <v>212</v>
      </c>
      <c r="B14" s="39" t="s">
        <v>213</v>
      </c>
      <c r="C14" s="24" t="s">
        <v>78</v>
      </c>
      <c r="D14" s="24" t="s">
        <v>214</v>
      </c>
      <c r="E14" s="24" t="s">
        <v>215</v>
      </c>
      <c r="F14" s="24">
        <v>2270099</v>
      </c>
      <c r="G14" s="24" t="s">
        <v>32</v>
      </c>
      <c r="H14" s="24" t="s">
        <v>73</v>
      </c>
      <c r="L14">
        <v>1</v>
      </c>
      <c r="M14">
        <v>1</v>
      </c>
      <c r="N14" s="24" t="s">
        <v>73</v>
      </c>
      <c r="W14" t="e">
        <f>VLOOKUP(H14,Grupo!$B$2:$E$7,3,0)</f>
        <v>#N/A</v>
      </c>
      <c r="X14" t="e">
        <f>VLOOKUP(H14,Grupo!$B$2:$E$7,4,0)</f>
        <v>#N/A</v>
      </c>
      <c r="Y14" t="e">
        <f t="shared" si="0"/>
        <v>#N/A</v>
      </c>
    </row>
    <row r="15" spans="1:25" ht="15.6" x14ac:dyDescent="0.3">
      <c r="A15" s="24" t="s">
        <v>216</v>
      </c>
      <c r="B15" s="39" t="s">
        <v>217</v>
      </c>
      <c r="C15" s="24" t="s">
        <v>78</v>
      </c>
      <c r="D15" s="24" t="s">
        <v>218</v>
      </c>
      <c r="E15" s="24" t="s">
        <v>219</v>
      </c>
      <c r="F15" s="24">
        <v>2265125</v>
      </c>
      <c r="G15" s="24" t="s">
        <v>33</v>
      </c>
      <c r="H15" s="24" t="s">
        <v>73</v>
      </c>
      <c r="L15">
        <v>1</v>
      </c>
      <c r="M15">
        <v>1</v>
      </c>
      <c r="N15" s="24" t="s">
        <v>73</v>
      </c>
      <c r="W15" t="e">
        <f>VLOOKUP(H15,Grupo!$B$2:$E$7,3,0)</f>
        <v>#N/A</v>
      </c>
      <c r="X15" t="e">
        <f>VLOOKUP(H15,Grupo!$B$2:$E$7,4,0)</f>
        <v>#N/A</v>
      </c>
      <c r="Y15" t="e">
        <f t="shared" si="0"/>
        <v>#N/A</v>
      </c>
    </row>
    <row r="16" spans="1:25" ht="15.6" x14ac:dyDescent="0.3">
      <c r="A16" s="24" t="s">
        <v>160</v>
      </c>
      <c r="B16" s="39" t="s">
        <v>220</v>
      </c>
      <c r="C16" s="24" t="s">
        <v>78</v>
      </c>
      <c r="D16" s="24" t="s">
        <v>221</v>
      </c>
      <c r="E16" s="24" t="s">
        <v>222</v>
      </c>
      <c r="F16" s="24">
        <v>2259028</v>
      </c>
      <c r="G16" s="24" t="s">
        <v>34</v>
      </c>
      <c r="H16" s="24" t="s">
        <v>72</v>
      </c>
      <c r="L16">
        <v>1</v>
      </c>
      <c r="M16">
        <v>1</v>
      </c>
      <c r="N16" s="24" t="s">
        <v>73</v>
      </c>
      <c r="W16" t="e">
        <f>VLOOKUP(H16,Grupo!$B$2:$E$7,3,0)</f>
        <v>#N/A</v>
      </c>
      <c r="X16" t="e">
        <f>VLOOKUP(H16,Grupo!$B$2:$E$7,4,0)</f>
        <v>#N/A</v>
      </c>
      <c r="Y16" t="e">
        <f t="shared" si="0"/>
        <v>#N/A</v>
      </c>
    </row>
    <row r="17" spans="1:25" ht="15.6" x14ac:dyDescent="0.3">
      <c r="A17" s="24" t="s">
        <v>223</v>
      </c>
      <c r="B17" s="39" t="s">
        <v>224</v>
      </c>
      <c r="C17" s="24" t="s">
        <v>78</v>
      </c>
      <c r="D17" s="24" t="s">
        <v>225</v>
      </c>
      <c r="E17" s="24" t="s">
        <v>226</v>
      </c>
      <c r="F17" s="24">
        <v>2252694</v>
      </c>
      <c r="G17" s="24" t="s">
        <v>35</v>
      </c>
      <c r="H17" s="24" t="s">
        <v>73</v>
      </c>
      <c r="L17">
        <v>1</v>
      </c>
      <c r="M17">
        <v>1</v>
      </c>
      <c r="N17" s="24" t="s">
        <v>73</v>
      </c>
      <c r="W17" t="e">
        <f>VLOOKUP(H17,Grupo!$B$2:$E$7,3,0)</f>
        <v>#N/A</v>
      </c>
      <c r="X17" t="e">
        <f>VLOOKUP(H17,Grupo!$B$2:$E$7,4,0)</f>
        <v>#N/A</v>
      </c>
      <c r="Y17" t="e">
        <f t="shared" si="0"/>
        <v>#N/A</v>
      </c>
    </row>
    <row r="18" spans="1:25" ht="15.6" x14ac:dyDescent="0.3">
      <c r="A18" s="24" t="s">
        <v>227</v>
      </c>
      <c r="B18" s="39" t="s">
        <v>228</v>
      </c>
      <c r="C18" s="24" t="s">
        <v>78</v>
      </c>
      <c r="D18" s="24" t="s">
        <v>229</v>
      </c>
      <c r="E18" s="24" t="s">
        <v>230</v>
      </c>
      <c r="F18" s="24">
        <v>1855255</v>
      </c>
      <c r="G18" s="24" t="s">
        <v>36</v>
      </c>
      <c r="H18" s="24" t="s">
        <v>72</v>
      </c>
      <c r="L18">
        <v>1</v>
      </c>
      <c r="M18">
        <v>1</v>
      </c>
      <c r="N18" s="24" t="s">
        <v>73</v>
      </c>
      <c r="W18" t="e">
        <f>VLOOKUP(H18,Grupo!$B$2:$E$7,3,0)</f>
        <v>#N/A</v>
      </c>
      <c r="X18" t="e">
        <f>VLOOKUP(H18,Grupo!$B$2:$E$7,4,0)</f>
        <v>#N/A</v>
      </c>
      <c r="Y18" t="e">
        <f t="shared" si="0"/>
        <v>#N/A</v>
      </c>
    </row>
    <row r="19" spans="1:25" ht="15.6" x14ac:dyDescent="0.3">
      <c r="A19" s="24" t="s">
        <v>231</v>
      </c>
      <c r="B19" s="39" t="s">
        <v>185</v>
      </c>
      <c r="C19" s="24" t="s">
        <v>79</v>
      </c>
      <c r="D19" s="24" t="s">
        <v>232</v>
      </c>
      <c r="E19" s="24" t="s">
        <v>233</v>
      </c>
      <c r="F19" s="24">
        <v>2248875</v>
      </c>
      <c r="G19" s="24" t="s">
        <v>37</v>
      </c>
      <c r="H19" s="24" t="s">
        <v>74</v>
      </c>
      <c r="L19">
        <v>1</v>
      </c>
      <c r="M19">
        <v>1</v>
      </c>
      <c r="N19" s="24" t="s">
        <v>74</v>
      </c>
      <c r="W19" t="e">
        <f>VLOOKUP(H19,Grupo!$B$2:$E$7,3,0)</f>
        <v>#N/A</v>
      </c>
      <c r="X19" t="e">
        <f>VLOOKUP(H19,Grupo!$B$2:$E$7,4,0)</f>
        <v>#N/A</v>
      </c>
      <c r="Y19" t="e">
        <f t="shared" si="0"/>
        <v>#N/A</v>
      </c>
    </row>
    <row r="20" spans="1:25" ht="15.6" x14ac:dyDescent="0.3">
      <c r="A20" s="24" t="s">
        <v>234</v>
      </c>
      <c r="B20" s="39" t="s">
        <v>185</v>
      </c>
      <c r="C20" s="24" t="s">
        <v>79</v>
      </c>
      <c r="D20" s="24" t="s">
        <v>235</v>
      </c>
      <c r="E20" s="24" t="s">
        <v>236</v>
      </c>
      <c r="F20" s="24">
        <v>2248883</v>
      </c>
      <c r="G20" s="24" t="s">
        <v>38</v>
      </c>
      <c r="H20" s="24" t="s">
        <v>72</v>
      </c>
      <c r="L20">
        <v>1</v>
      </c>
      <c r="M20">
        <v>1</v>
      </c>
      <c r="N20" s="24" t="s">
        <v>73</v>
      </c>
      <c r="W20" t="e">
        <f>VLOOKUP(H20,Grupo!$B$2:$E$7,3,0)</f>
        <v>#N/A</v>
      </c>
      <c r="X20" t="e">
        <f>VLOOKUP(H20,Grupo!$B$2:$E$7,4,0)</f>
        <v>#N/A</v>
      </c>
      <c r="Y20" t="e">
        <f t="shared" si="0"/>
        <v>#N/A</v>
      </c>
    </row>
    <row r="21" spans="1:25" ht="15.6" x14ac:dyDescent="0.3">
      <c r="A21" s="24" t="s">
        <v>237</v>
      </c>
      <c r="B21" s="39" t="s">
        <v>238</v>
      </c>
      <c r="C21" s="24" t="s">
        <v>78</v>
      </c>
      <c r="D21" s="24" t="s">
        <v>239</v>
      </c>
      <c r="E21" s="24" t="s">
        <v>240</v>
      </c>
      <c r="F21" s="24">
        <v>2248310</v>
      </c>
      <c r="G21" s="24" t="s">
        <v>39</v>
      </c>
      <c r="H21" s="24" t="s">
        <v>73</v>
      </c>
      <c r="L21">
        <v>1</v>
      </c>
      <c r="M21">
        <v>1</v>
      </c>
      <c r="N21" s="24" t="s">
        <v>73</v>
      </c>
      <c r="W21" t="e">
        <f>VLOOKUP(H21,Grupo!$B$2:$E$7,3,0)</f>
        <v>#N/A</v>
      </c>
      <c r="X21" t="e">
        <f>VLOOKUP(H21,Grupo!$B$2:$E$7,4,0)</f>
        <v>#N/A</v>
      </c>
      <c r="Y21" t="e">
        <f t="shared" si="0"/>
        <v>#N/A</v>
      </c>
    </row>
    <row r="22" spans="1:25" ht="15.6" x14ac:dyDescent="0.3">
      <c r="A22" s="24" t="s">
        <v>241</v>
      </c>
      <c r="B22" s="39" t="s">
        <v>185</v>
      </c>
      <c r="C22" s="24" t="s">
        <v>79</v>
      </c>
      <c r="D22" s="24" t="s">
        <v>242</v>
      </c>
      <c r="E22" s="24" t="s">
        <v>243</v>
      </c>
      <c r="F22" s="24">
        <v>2103427</v>
      </c>
      <c r="G22" s="24" t="s">
        <v>40</v>
      </c>
      <c r="H22" s="24" t="s">
        <v>76</v>
      </c>
      <c r="L22">
        <v>1</v>
      </c>
      <c r="M22">
        <v>1</v>
      </c>
      <c r="N22" s="24" t="s">
        <v>76</v>
      </c>
      <c r="W22" t="e">
        <f>VLOOKUP(H22,Grupo!$B$2:$E$7,3,0)</f>
        <v>#N/A</v>
      </c>
      <c r="X22" t="e">
        <f>VLOOKUP(H22,Grupo!$B$2:$E$7,4,0)</f>
        <v>#N/A</v>
      </c>
      <c r="Y22" t="e">
        <f t="shared" si="0"/>
        <v>#N/A</v>
      </c>
    </row>
    <row r="23" spans="1:25" ht="15.6" x14ac:dyDescent="0.3">
      <c r="A23" s="24" t="s">
        <v>244</v>
      </c>
      <c r="B23" s="39" t="s">
        <v>185</v>
      </c>
      <c r="C23" s="24" t="s">
        <v>79</v>
      </c>
      <c r="D23" s="24" t="s">
        <v>245</v>
      </c>
      <c r="E23" s="24" t="s">
        <v>246</v>
      </c>
      <c r="F23" s="24">
        <v>2103419</v>
      </c>
      <c r="G23" s="24" t="s">
        <v>41</v>
      </c>
      <c r="H23" s="24" t="s">
        <v>76</v>
      </c>
      <c r="L23">
        <v>1</v>
      </c>
      <c r="M23">
        <v>1</v>
      </c>
      <c r="N23" s="24" t="s">
        <v>76</v>
      </c>
      <c r="W23" t="e">
        <f>VLOOKUP(H23,Grupo!$B$2:$E$7,3,0)</f>
        <v>#N/A</v>
      </c>
      <c r="X23" t="e">
        <f>VLOOKUP(H23,Grupo!$B$2:$E$7,4,0)</f>
        <v>#N/A</v>
      </c>
      <c r="Y23" t="e">
        <f t="shared" si="0"/>
        <v>#N/A</v>
      </c>
    </row>
    <row r="24" spans="1:25" ht="15.6" x14ac:dyDescent="0.3">
      <c r="A24" s="24" t="s">
        <v>247</v>
      </c>
      <c r="B24" s="39" t="s">
        <v>185</v>
      </c>
      <c r="C24" s="24" t="s">
        <v>79</v>
      </c>
      <c r="D24" s="24" t="s">
        <v>248</v>
      </c>
      <c r="E24" s="24" t="s">
        <v>249</v>
      </c>
      <c r="F24" s="24">
        <v>2103400</v>
      </c>
      <c r="G24" s="24" t="s">
        <v>42</v>
      </c>
      <c r="H24" s="24" t="s">
        <v>77</v>
      </c>
      <c r="L24">
        <v>1</v>
      </c>
      <c r="M24">
        <v>1</v>
      </c>
      <c r="N24" s="24" t="s">
        <v>75</v>
      </c>
      <c r="W24" t="e">
        <f>VLOOKUP(H24,Grupo!$B$2:$E$7,3,0)</f>
        <v>#N/A</v>
      </c>
      <c r="X24" t="e">
        <f>VLOOKUP(H24,Grupo!$B$2:$E$7,4,0)</f>
        <v>#N/A</v>
      </c>
      <c r="Y24" t="e">
        <f t="shared" si="0"/>
        <v>#N/A</v>
      </c>
    </row>
    <row r="25" spans="1:25" ht="15.6" x14ac:dyDescent="0.3">
      <c r="A25" s="24" t="s">
        <v>250</v>
      </c>
      <c r="B25" s="39" t="s">
        <v>185</v>
      </c>
      <c r="C25" s="24" t="s">
        <v>79</v>
      </c>
      <c r="D25" s="24" t="s">
        <v>251</v>
      </c>
      <c r="E25" s="24" t="s">
        <v>252</v>
      </c>
      <c r="F25" s="24">
        <v>2103397</v>
      </c>
      <c r="G25" s="24" t="s">
        <v>43</v>
      </c>
      <c r="H25" s="24" t="s">
        <v>74</v>
      </c>
      <c r="L25">
        <v>1</v>
      </c>
      <c r="M25">
        <v>1</v>
      </c>
      <c r="N25" s="24" t="s">
        <v>74</v>
      </c>
      <c r="W25" t="e">
        <f>VLOOKUP(H25,Grupo!$B$2:$E$7,3,0)</f>
        <v>#N/A</v>
      </c>
      <c r="X25" t="e">
        <f>VLOOKUP(H25,Grupo!$B$2:$E$7,4,0)</f>
        <v>#N/A</v>
      </c>
      <c r="Y25" t="e">
        <f t="shared" si="0"/>
        <v>#N/A</v>
      </c>
    </row>
    <row r="26" spans="1:25" ht="15.6" x14ac:dyDescent="0.3">
      <c r="A26" s="24" t="s">
        <v>253</v>
      </c>
      <c r="B26" s="39" t="s">
        <v>185</v>
      </c>
      <c r="C26" s="24" t="s">
        <v>79</v>
      </c>
      <c r="D26" s="24" t="s">
        <v>254</v>
      </c>
      <c r="E26" s="24" t="s">
        <v>255</v>
      </c>
      <c r="F26" s="24">
        <v>2103370</v>
      </c>
      <c r="G26" s="24" t="s">
        <v>44</v>
      </c>
      <c r="H26" s="24" t="s">
        <v>74</v>
      </c>
      <c r="L26">
        <v>1</v>
      </c>
      <c r="M26">
        <v>1</v>
      </c>
      <c r="N26" s="24" t="s">
        <v>74</v>
      </c>
      <c r="W26" t="e">
        <f>VLOOKUP(H26,Grupo!$B$2:$E$7,3,0)</f>
        <v>#N/A</v>
      </c>
      <c r="X26" t="e">
        <f>VLOOKUP(H26,Grupo!$B$2:$E$7,4,0)</f>
        <v>#N/A</v>
      </c>
      <c r="Y26" t="e">
        <f t="shared" si="0"/>
        <v>#N/A</v>
      </c>
    </row>
    <row r="27" spans="1:25" ht="15.6" x14ac:dyDescent="0.3">
      <c r="A27" s="24" t="s">
        <v>256</v>
      </c>
      <c r="B27" s="39" t="s">
        <v>185</v>
      </c>
      <c r="C27" s="24" t="s">
        <v>79</v>
      </c>
      <c r="D27" s="24" t="s">
        <v>257</v>
      </c>
      <c r="E27" s="24" t="s">
        <v>258</v>
      </c>
      <c r="F27" s="24">
        <v>2235510</v>
      </c>
      <c r="G27" s="24" t="s">
        <v>45</v>
      </c>
      <c r="H27" s="24" t="s">
        <v>74</v>
      </c>
      <c r="L27">
        <v>1</v>
      </c>
      <c r="M27">
        <v>1</v>
      </c>
      <c r="N27" s="24" t="s">
        <v>74</v>
      </c>
      <c r="W27" t="e">
        <f>VLOOKUP(H27,Grupo!$B$2:$E$7,3,0)</f>
        <v>#N/A</v>
      </c>
      <c r="X27" t="e">
        <f>VLOOKUP(H27,Grupo!$B$2:$E$7,4,0)</f>
        <v>#N/A</v>
      </c>
      <c r="Y27" t="e">
        <f t="shared" si="0"/>
        <v>#N/A</v>
      </c>
    </row>
    <row r="28" spans="1:25" ht="15.6" x14ac:dyDescent="0.3">
      <c r="A28" s="24" t="s">
        <v>259</v>
      </c>
      <c r="B28" s="39" t="s">
        <v>260</v>
      </c>
      <c r="C28" s="24" t="s">
        <v>80</v>
      </c>
      <c r="D28" s="40" t="s">
        <v>261</v>
      </c>
      <c r="E28" s="40" t="s">
        <v>262</v>
      </c>
      <c r="F28" s="24">
        <v>2231115</v>
      </c>
      <c r="G28" s="24" t="s">
        <v>46</v>
      </c>
      <c r="H28" s="24" t="s">
        <v>72</v>
      </c>
      <c r="L28">
        <v>1</v>
      </c>
      <c r="M28">
        <v>1</v>
      </c>
      <c r="N28" s="41" t="s">
        <v>73</v>
      </c>
      <c r="W28" t="e">
        <f>VLOOKUP(H28,Grupo!$B$2:$E$7,3,0)</f>
        <v>#N/A</v>
      </c>
      <c r="X28" t="e">
        <f>VLOOKUP(H28,Grupo!$B$2:$E$7,4,0)</f>
        <v>#N/A</v>
      </c>
      <c r="Y28" t="e">
        <f t="shared" si="0"/>
        <v>#N/A</v>
      </c>
    </row>
    <row r="29" spans="1:25" ht="15.6" x14ac:dyDescent="0.3">
      <c r="A29" s="24" t="s">
        <v>263</v>
      </c>
      <c r="B29" s="39" t="s">
        <v>264</v>
      </c>
      <c r="C29" s="24" t="s">
        <v>79</v>
      </c>
      <c r="D29" s="24" t="s">
        <v>265</v>
      </c>
      <c r="E29" s="24" t="s">
        <v>266</v>
      </c>
      <c r="F29" s="24">
        <v>2245159</v>
      </c>
      <c r="G29" s="24" t="s">
        <v>47</v>
      </c>
      <c r="H29" s="24" t="s">
        <v>74</v>
      </c>
      <c r="L29">
        <v>1</v>
      </c>
      <c r="M29">
        <v>1</v>
      </c>
      <c r="N29" s="24" t="s">
        <v>74</v>
      </c>
      <c r="W29" t="e">
        <f>VLOOKUP(H29,Grupo!$B$2:$E$7,3,0)</f>
        <v>#N/A</v>
      </c>
      <c r="X29" t="e">
        <f>VLOOKUP(H29,Grupo!$B$2:$E$7,4,0)</f>
        <v>#N/A</v>
      </c>
      <c r="Y29" t="e">
        <f t="shared" si="0"/>
        <v>#N/A</v>
      </c>
    </row>
    <row r="30" spans="1:25" ht="15.6" x14ac:dyDescent="0.3">
      <c r="A30" s="24" t="s">
        <v>208</v>
      </c>
      <c r="B30" s="39" t="s">
        <v>267</v>
      </c>
      <c r="C30" s="24" t="s">
        <v>78</v>
      </c>
      <c r="D30" s="24" t="s">
        <v>268</v>
      </c>
      <c r="E30" s="24" t="s">
        <v>269</v>
      </c>
      <c r="F30" s="24">
        <v>2066092</v>
      </c>
      <c r="G30" s="24" t="s">
        <v>48</v>
      </c>
      <c r="H30" s="24" t="s">
        <v>73</v>
      </c>
      <c r="L30">
        <v>1</v>
      </c>
      <c r="M30">
        <v>1</v>
      </c>
      <c r="N30" s="24" t="s">
        <v>73</v>
      </c>
      <c r="W30" t="e">
        <f>VLOOKUP(H30,Grupo!$B$2:$E$7,3,0)</f>
        <v>#N/A</v>
      </c>
      <c r="X30" t="e">
        <f>VLOOKUP(H30,Grupo!$B$2:$E$7,4,0)</f>
        <v>#N/A</v>
      </c>
      <c r="Y30" t="e">
        <f t="shared" si="0"/>
        <v>#N/A</v>
      </c>
    </row>
    <row r="31" spans="1:25" ht="15.6" x14ac:dyDescent="0.3">
      <c r="A31" s="24" t="s">
        <v>212</v>
      </c>
      <c r="B31" s="39" t="s">
        <v>270</v>
      </c>
      <c r="C31" s="24" t="s">
        <v>78</v>
      </c>
      <c r="D31" s="24" t="s">
        <v>271</v>
      </c>
      <c r="E31" s="24" t="s">
        <v>272</v>
      </c>
      <c r="F31" s="24">
        <v>2213486</v>
      </c>
      <c r="G31" s="24" t="s">
        <v>49</v>
      </c>
      <c r="H31" s="24" t="s">
        <v>72</v>
      </c>
      <c r="L31">
        <v>1</v>
      </c>
      <c r="M31">
        <v>1</v>
      </c>
      <c r="N31" s="24" t="s">
        <v>73</v>
      </c>
      <c r="W31" t="e">
        <f>VLOOKUP(H31,Grupo!$B$2:$E$7,3,0)</f>
        <v>#N/A</v>
      </c>
      <c r="X31" t="e">
        <f>VLOOKUP(H31,Grupo!$B$2:$E$7,4,0)</f>
        <v>#N/A</v>
      </c>
      <c r="Y31" t="e">
        <f t="shared" si="0"/>
        <v>#N/A</v>
      </c>
    </row>
    <row r="32" spans="1:25" ht="15.6" x14ac:dyDescent="0.3">
      <c r="A32" s="24" t="s">
        <v>273</v>
      </c>
      <c r="B32" s="39" t="s">
        <v>274</v>
      </c>
      <c r="C32" s="24" t="s">
        <v>78</v>
      </c>
      <c r="D32" s="24" t="s">
        <v>275</v>
      </c>
      <c r="E32" s="24" t="s">
        <v>276</v>
      </c>
      <c r="F32" s="24">
        <v>2211890</v>
      </c>
      <c r="G32" s="24" t="s">
        <v>50</v>
      </c>
      <c r="H32" s="24" t="s">
        <v>73</v>
      </c>
      <c r="L32">
        <v>1</v>
      </c>
      <c r="M32">
        <v>1</v>
      </c>
      <c r="N32" s="24" t="s">
        <v>73</v>
      </c>
      <c r="W32" t="e">
        <f>VLOOKUP(H32,Grupo!$B$2:$E$7,3,0)</f>
        <v>#N/A</v>
      </c>
      <c r="X32" t="e">
        <f>VLOOKUP(H32,Grupo!$B$2:$E$7,4,0)</f>
        <v>#N/A</v>
      </c>
      <c r="Y32" t="e">
        <f t="shared" si="0"/>
        <v>#N/A</v>
      </c>
    </row>
    <row r="33" spans="1:25" ht="15.6" x14ac:dyDescent="0.3">
      <c r="A33" s="24" t="s">
        <v>277</v>
      </c>
      <c r="B33" s="39" t="s">
        <v>278</v>
      </c>
      <c r="C33" s="24" t="s">
        <v>78</v>
      </c>
      <c r="D33" s="24" t="s">
        <v>279</v>
      </c>
      <c r="E33" s="24" t="s">
        <v>280</v>
      </c>
      <c r="F33" s="24">
        <v>2213702</v>
      </c>
      <c r="G33" s="24" t="s">
        <v>51</v>
      </c>
      <c r="H33" s="24" t="s">
        <v>72</v>
      </c>
      <c r="L33">
        <v>1</v>
      </c>
      <c r="M33">
        <v>1</v>
      </c>
      <c r="N33" s="24" t="s">
        <v>73</v>
      </c>
      <c r="W33" t="e">
        <f>VLOOKUP(H33,Grupo!$B$2:$E$7,3,0)</f>
        <v>#N/A</v>
      </c>
      <c r="X33" t="e">
        <f>VLOOKUP(H33,Grupo!$B$2:$E$7,4,0)</f>
        <v>#N/A</v>
      </c>
      <c r="Y33" t="e">
        <f t="shared" si="0"/>
        <v>#N/A</v>
      </c>
    </row>
    <row r="34" spans="1:25" ht="15.6" x14ac:dyDescent="0.3">
      <c r="A34" s="24" t="s">
        <v>281</v>
      </c>
      <c r="B34" s="39" t="s">
        <v>282</v>
      </c>
      <c r="C34" s="24" t="s">
        <v>78</v>
      </c>
      <c r="D34" s="24" t="s">
        <v>283</v>
      </c>
      <c r="E34" s="24" t="s">
        <v>284</v>
      </c>
      <c r="F34" s="24">
        <v>2213842</v>
      </c>
      <c r="G34" s="24" t="s">
        <v>52</v>
      </c>
      <c r="H34" s="24" t="s">
        <v>72</v>
      </c>
      <c r="L34">
        <v>1</v>
      </c>
      <c r="M34">
        <v>1</v>
      </c>
      <c r="N34" s="24" t="s">
        <v>73</v>
      </c>
      <c r="W34" t="e">
        <f>VLOOKUP(H34,Grupo!$B$2:$E$7,3,0)</f>
        <v>#N/A</v>
      </c>
      <c r="X34" t="e">
        <f>VLOOKUP(H34,Grupo!$B$2:$E$7,4,0)</f>
        <v>#N/A</v>
      </c>
      <c r="Y34" t="e">
        <f t="shared" si="0"/>
        <v>#N/A</v>
      </c>
    </row>
    <row r="35" spans="1:25" ht="15.6" x14ac:dyDescent="0.3">
      <c r="A35" s="24" t="s">
        <v>161</v>
      </c>
      <c r="B35" s="39" t="s">
        <v>285</v>
      </c>
      <c r="C35" s="24" t="s">
        <v>78</v>
      </c>
      <c r="D35" s="24" t="s">
        <v>286</v>
      </c>
      <c r="E35" s="24" t="s">
        <v>287</v>
      </c>
      <c r="F35" s="24">
        <v>1854739</v>
      </c>
      <c r="G35" s="24" t="s">
        <v>53</v>
      </c>
      <c r="H35" s="24" t="s">
        <v>72</v>
      </c>
      <c r="L35">
        <v>1</v>
      </c>
      <c r="M35">
        <v>1</v>
      </c>
      <c r="N35" s="24" t="s">
        <v>73</v>
      </c>
      <c r="W35" t="e">
        <f>VLOOKUP(H35,Grupo!$B$2:$E$7,3,0)</f>
        <v>#N/A</v>
      </c>
      <c r="X35" t="e">
        <f>VLOOKUP(H35,Grupo!$B$2:$E$7,4,0)</f>
        <v>#N/A</v>
      </c>
      <c r="Y35" t="e">
        <f t="shared" si="0"/>
        <v>#N/A</v>
      </c>
    </row>
    <row r="36" spans="1:25" ht="15.6" x14ac:dyDescent="0.3">
      <c r="A36" s="24" t="s">
        <v>288</v>
      </c>
      <c r="B36" s="39" t="s">
        <v>289</v>
      </c>
      <c r="C36" s="24" t="s">
        <v>78</v>
      </c>
      <c r="D36" s="24" t="s">
        <v>290</v>
      </c>
      <c r="E36" s="24" t="s">
        <v>291</v>
      </c>
      <c r="F36" s="24">
        <v>2212005</v>
      </c>
      <c r="G36" s="24" t="s">
        <v>54</v>
      </c>
      <c r="H36" s="24" t="s">
        <v>72</v>
      </c>
      <c r="L36">
        <v>1</v>
      </c>
      <c r="M36">
        <v>1</v>
      </c>
      <c r="N36" s="24" t="s">
        <v>73</v>
      </c>
      <c r="W36" t="e">
        <f>VLOOKUP(H36,Grupo!$B$2:$E$7,3,0)</f>
        <v>#N/A</v>
      </c>
      <c r="X36" t="e">
        <f>VLOOKUP(H36,Grupo!$B$2:$E$7,4,0)</f>
        <v>#N/A</v>
      </c>
      <c r="Y36" t="e">
        <f t="shared" si="0"/>
        <v>#N/A</v>
      </c>
    </row>
    <row r="37" spans="1:25" ht="15.6" x14ac:dyDescent="0.3">
      <c r="A37" s="24" t="s">
        <v>164</v>
      </c>
      <c r="B37" s="39" t="s">
        <v>292</v>
      </c>
      <c r="C37" s="24" t="s">
        <v>78</v>
      </c>
      <c r="D37" s="24" t="s">
        <v>293</v>
      </c>
      <c r="E37" s="24" t="s">
        <v>294</v>
      </c>
      <c r="F37" s="24">
        <v>2213508</v>
      </c>
      <c r="G37" s="24" t="s">
        <v>55</v>
      </c>
      <c r="H37" s="24" t="s">
        <v>72</v>
      </c>
      <c r="L37">
        <v>1</v>
      </c>
      <c r="M37">
        <v>1</v>
      </c>
      <c r="N37" s="24" t="s">
        <v>73</v>
      </c>
      <c r="W37" t="e">
        <f>VLOOKUP(H37,Grupo!$B$2:$E$7,3,0)</f>
        <v>#N/A</v>
      </c>
      <c r="X37" t="e">
        <f>VLOOKUP(H37,Grupo!$B$2:$E$7,4,0)</f>
        <v>#N/A</v>
      </c>
      <c r="Y37" t="e">
        <f t="shared" si="0"/>
        <v>#N/A</v>
      </c>
    </row>
    <row r="38" spans="1:25" ht="15.6" x14ac:dyDescent="0.3">
      <c r="A38" s="24" t="s">
        <v>295</v>
      </c>
      <c r="B38" s="39" t="s">
        <v>296</v>
      </c>
      <c r="C38" s="24" t="s">
        <v>78</v>
      </c>
      <c r="D38" s="24" t="s">
        <v>297</v>
      </c>
      <c r="E38" s="24" t="s">
        <v>169</v>
      </c>
      <c r="F38" s="24">
        <v>2214199</v>
      </c>
      <c r="G38" s="24" t="s">
        <v>56</v>
      </c>
      <c r="H38" s="24" t="s">
        <v>73</v>
      </c>
      <c r="L38">
        <v>1</v>
      </c>
      <c r="M38">
        <v>1</v>
      </c>
      <c r="N38" s="24" t="s">
        <v>73</v>
      </c>
      <c r="W38" t="e">
        <f>VLOOKUP(H38,Grupo!$B$2:$E$7,3,0)</f>
        <v>#N/A</v>
      </c>
      <c r="X38" t="e">
        <f>VLOOKUP(H38,Grupo!$B$2:$E$7,4,0)</f>
        <v>#N/A</v>
      </c>
      <c r="Y38" t="e">
        <f t="shared" si="0"/>
        <v>#N/A</v>
      </c>
    </row>
    <row r="39" spans="1:25" ht="15.6" x14ac:dyDescent="0.3">
      <c r="A39" s="24" t="s">
        <v>298</v>
      </c>
      <c r="B39" s="39" t="s">
        <v>299</v>
      </c>
      <c r="C39" s="24" t="s">
        <v>78</v>
      </c>
      <c r="D39" s="24" t="s">
        <v>300</v>
      </c>
      <c r="E39" s="24" t="s">
        <v>301</v>
      </c>
      <c r="F39" s="24">
        <v>2211912</v>
      </c>
      <c r="G39" s="24" t="s">
        <v>57</v>
      </c>
      <c r="H39" s="24" t="s">
        <v>72</v>
      </c>
      <c r="L39">
        <v>1</v>
      </c>
      <c r="M39">
        <v>1</v>
      </c>
      <c r="N39" s="24" t="s">
        <v>73</v>
      </c>
      <c r="W39" t="e">
        <f>VLOOKUP(H39,Grupo!$B$2:$E$7,3,0)</f>
        <v>#N/A</v>
      </c>
      <c r="X39" t="e">
        <f>VLOOKUP(H39,Grupo!$B$2:$E$7,4,0)</f>
        <v>#N/A</v>
      </c>
      <c r="Y39" t="e">
        <f t="shared" si="0"/>
        <v>#N/A</v>
      </c>
    </row>
    <row r="40" spans="1:25" ht="15.6" x14ac:dyDescent="0.3">
      <c r="A40" s="24" t="s">
        <v>163</v>
      </c>
      <c r="B40" s="39" t="s">
        <v>302</v>
      </c>
      <c r="C40" s="24" t="s">
        <v>78</v>
      </c>
      <c r="D40" s="40" t="s">
        <v>303</v>
      </c>
      <c r="E40" s="40" t="s">
        <v>304</v>
      </c>
      <c r="F40" s="24">
        <v>2213532</v>
      </c>
      <c r="G40" s="24" t="s">
        <v>58</v>
      </c>
      <c r="H40" s="24" t="s">
        <v>73</v>
      </c>
      <c r="L40">
        <v>1</v>
      </c>
      <c r="M40">
        <v>1</v>
      </c>
      <c r="N40" s="24" t="s">
        <v>73</v>
      </c>
      <c r="W40" t="e">
        <f>VLOOKUP(H40,Grupo!$B$2:$E$7,3,0)</f>
        <v>#N/A</v>
      </c>
      <c r="X40" t="e">
        <f>VLOOKUP(H40,Grupo!$B$2:$E$7,4,0)</f>
        <v>#N/A</v>
      </c>
      <c r="Y40" t="e">
        <f t="shared" si="0"/>
        <v>#N/A</v>
      </c>
    </row>
    <row r="41" spans="1:25" ht="15.6" x14ac:dyDescent="0.3">
      <c r="A41" s="24" t="s">
        <v>201</v>
      </c>
      <c r="B41" s="39" t="s">
        <v>305</v>
      </c>
      <c r="C41" s="24" t="s">
        <v>78</v>
      </c>
      <c r="D41" s="24" t="s">
        <v>306</v>
      </c>
      <c r="E41" s="24" t="s">
        <v>307</v>
      </c>
      <c r="F41" s="24">
        <v>1900102</v>
      </c>
      <c r="G41" s="24" t="s">
        <v>59</v>
      </c>
      <c r="H41" s="24" t="s">
        <v>72</v>
      </c>
      <c r="L41">
        <v>1</v>
      </c>
      <c r="M41">
        <v>1</v>
      </c>
      <c r="N41" s="24" t="s">
        <v>73</v>
      </c>
      <c r="W41" t="e">
        <f>VLOOKUP(H41,Grupo!$B$2:$E$7,3,0)</f>
        <v>#N/A</v>
      </c>
      <c r="X41" t="e">
        <f>VLOOKUP(H41,Grupo!$B$2:$E$7,4,0)</f>
        <v>#N/A</v>
      </c>
      <c r="Y41" t="e">
        <f t="shared" si="0"/>
        <v>#N/A</v>
      </c>
    </row>
    <row r="42" spans="1:25" ht="15.6" x14ac:dyDescent="0.3">
      <c r="A42" s="24" t="s">
        <v>162</v>
      </c>
      <c r="B42" s="39" t="s">
        <v>308</v>
      </c>
      <c r="C42" s="24" t="s">
        <v>78</v>
      </c>
      <c r="D42" s="24" t="s">
        <v>309</v>
      </c>
      <c r="E42" s="24" t="s">
        <v>310</v>
      </c>
      <c r="F42" s="24">
        <v>2211220</v>
      </c>
      <c r="G42" s="24" t="s">
        <v>60</v>
      </c>
      <c r="H42" s="24" t="s">
        <v>73</v>
      </c>
      <c r="L42">
        <v>1</v>
      </c>
      <c r="M42">
        <v>1</v>
      </c>
      <c r="N42" s="24" t="s">
        <v>73</v>
      </c>
      <c r="W42" t="e">
        <f>VLOOKUP(H42,Grupo!$B$2:$E$7,3,0)</f>
        <v>#N/A</v>
      </c>
      <c r="X42" t="e">
        <f>VLOOKUP(H42,Grupo!$B$2:$E$7,4,0)</f>
        <v>#N/A</v>
      </c>
      <c r="Y42" t="e">
        <f t="shared" si="0"/>
        <v>#N/A</v>
      </c>
    </row>
    <row r="43" spans="1:25" ht="15.6" x14ac:dyDescent="0.3">
      <c r="A43" s="24" t="s">
        <v>311</v>
      </c>
      <c r="B43" s="39" t="s">
        <v>312</v>
      </c>
      <c r="C43" s="24" t="s">
        <v>79</v>
      </c>
      <c r="D43" s="24" t="s">
        <v>313</v>
      </c>
      <c r="E43" s="24" t="s">
        <v>314</v>
      </c>
      <c r="F43" s="24">
        <v>2088630</v>
      </c>
      <c r="G43" s="24" t="s">
        <v>61</v>
      </c>
      <c r="H43" s="24" t="s">
        <v>77</v>
      </c>
      <c r="L43">
        <v>1</v>
      </c>
      <c r="M43">
        <v>1</v>
      </c>
      <c r="N43" s="24" t="s">
        <v>75</v>
      </c>
      <c r="W43" t="e">
        <f>VLOOKUP(H43,Grupo!$B$2:$E$7,3,0)</f>
        <v>#N/A</v>
      </c>
      <c r="X43" t="e">
        <f>VLOOKUP(H43,Grupo!$B$2:$E$7,4,0)</f>
        <v>#N/A</v>
      </c>
      <c r="Y43" t="e">
        <f t="shared" si="0"/>
        <v>#N/A</v>
      </c>
    </row>
    <row r="44" spans="1:25" ht="15.6" x14ac:dyDescent="0.3">
      <c r="A44" s="24" t="s">
        <v>315</v>
      </c>
      <c r="B44" s="39" t="s">
        <v>316</v>
      </c>
      <c r="C44" s="24" t="s">
        <v>79</v>
      </c>
      <c r="D44" s="24" t="s">
        <v>317</v>
      </c>
      <c r="E44" s="24" t="s">
        <v>318</v>
      </c>
      <c r="F44" s="24">
        <v>2088606</v>
      </c>
      <c r="G44" s="24" t="s">
        <v>62</v>
      </c>
      <c r="H44" s="24" t="s">
        <v>76</v>
      </c>
      <c r="L44">
        <v>1</v>
      </c>
      <c r="M44">
        <v>1</v>
      </c>
      <c r="N44" s="24" t="s">
        <v>76</v>
      </c>
      <c r="W44" t="e">
        <f>VLOOKUP(H44,Grupo!$B$2:$E$7,3,0)</f>
        <v>#N/A</v>
      </c>
      <c r="X44" t="e">
        <f>VLOOKUP(H44,Grupo!$B$2:$E$7,4,0)</f>
        <v>#N/A</v>
      </c>
      <c r="Y44" t="e">
        <f t="shared" si="0"/>
        <v>#N/A</v>
      </c>
    </row>
    <row r="45" spans="1:25" ht="15.6" x14ac:dyDescent="0.3">
      <c r="A45" s="24" t="s">
        <v>319</v>
      </c>
      <c r="B45" s="39" t="s">
        <v>312</v>
      </c>
      <c r="C45" s="24" t="s">
        <v>79</v>
      </c>
      <c r="D45" s="24" t="s">
        <v>320</v>
      </c>
      <c r="E45" s="24" t="s">
        <v>321</v>
      </c>
      <c r="F45" s="24">
        <v>2088649</v>
      </c>
      <c r="G45" s="24" t="s">
        <v>63</v>
      </c>
      <c r="H45" s="24" t="s">
        <v>74</v>
      </c>
      <c r="L45">
        <v>1</v>
      </c>
      <c r="M45">
        <v>1</v>
      </c>
      <c r="N45" s="24" t="s">
        <v>74</v>
      </c>
      <c r="W45" t="e">
        <f>VLOOKUP(H45,Grupo!$B$2:$E$7,3,0)</f>
        <v>#N/A</v>
      </c>
      <c r="X45" t="e">
        <f>VLOOKUP(H45,Grupo!$B$2:$E$7,4,0)</f>
        <v>#N/A</v>
      </c>
      <c r="Y45" t="e">
        <f t="shared" si="0"/>
        <v>#N/A</v>
      </c>
    </row>
    <row r="46" spans="1:25" ht="15.6" x14ac:dyDescent="0.3">
      <c r="A46" s="24" t="s">
        <v>322</v>
      </c>
      <c r="B46" s="39" t="s">
        <v>323</v>
      </c>
      <c r="C46" s="24" t="s">
        <v>78</v>
      </c>
      <c r="D46" s="24" t="s">
        <v>324</v>
      </c>
      <c r="E46" s="24" t="s">
        <v>325</v>
      </c>
      <c r="F46" s="24">
        <v>2071304</v>
      </c>
      <c r="G46" s="24" t="s">
        <v>64</v>
      </c>
      <c r="H46" s="24" t="s">
        <v>73</v>
      </c>
      <c r="L46">
        <v>1</v>
      </c>
      <c r="M46">
        <v>1</v>
      </c>
      <c r="N46" s="24" t="s">
        <v>73</v>
      </c>
      <c r="W46" t="e">
        <f>VLOOKUP(H46,Grupo!$B$2:$E$7,3,0)</f>
        <v>#N/A</v>
      </c>
      <c r="X46" t="e">
        <f>VLOOKUP(H46,Grupo!$B$2:$E$7,4,0)</f>
        <v>#N/A</v>
      </c>
      <c r="Y46" t="e">
        <f t="shared" si="0"/>
        <v>#N/A</v>
      </c>
    </row>
    <row r="47" spans="1:25" ht="15.6" x14ac:dyDescent="0.3">
      <c r="A47" s="24" t="s">
        <v>326</v>
      </c>
      <c r="B47" s="39" t="s">
        <v>327</v>
      </c>
      <c r="C47" s="24" t="s">
        <v>78</v>
      </c>
      <c r="D47" s="24" t="s">
        <v>328</v>
      </c>
      <c r="E47" s="24" t="s">
        <v>329</v>
      </c>
      <c r="F47" s="24">
        <v>1911740</v>
      </c>
      <c r="G47" s="24" t="s">
        <v>65</v>
      </c>
      <c r="H47" s="24" t="s">
        <v>73</v>
      </c>
      <c r="L47">
        <v>1</v>
      </c>
      <c r="M47">
        <v>1</v>
      </c>
      <c r="N47" s="24" t="s">
        <v>73</v>
      </c>
      <c r="W47" t="e">
        <f>VLOOKUP(H47,Grupo!$B$2:$E$7,3,0)</f>
        <v>#N/A</v>
      </c>
      <c r="X47" t="e">
        <f>VLOOKUP(H47,Grupo!$B$2:$E$7,4,0)</f>
        <v>#N/A</v>
      </c>
      <c r="Y47" t="e">
        <f t="shared" si="0"/>
        <v>#N/A</v>
      </c>
    </row>
    <row r="48" spans="1:25" ht="15.6" x14ac:dyDescent="0.3">
      <c r="A48" s="24" t="s">
        <v>173</v>
      </c>
      <c r="B48" s="39" t="s">
        <v>330</v>
      </c>
      <c r="C48" s="24" t="s">
        <v>78</v>
      </c>
      <c r="D48" s="24" t="s">
        <v>331</v>
      </c>
      <c r="E48" s="24" t="s">
        <v>332</v>
      </c>
      <c r="F48" s="24">
        <v>2085348</v>
      </c>
      <c r="G48" s="24" t="s">
        <v>66</v>
      </c>
      <c r="H48" s="24" t="s">
        <v>73</v>
      </c>
      <c r="L48">
        <v>1</v>
      </c>
      <c r="M48">
        <v>1</v>
      </c>
      <c r="N48" s="24" t="s">
        <v>73</v>
      </c>
      <c r="W48" t="e">
        <f>VLOOKUP(H48,Grupo!$B$2:$E$7,3,0)</f>
        <v>#N/A</v>
      </c>
      <c r="X48" t="e">
        <f>VLOOKUP(H48,Grupo!$B$2:$E$7,4,0)</f>
        <v>#N/A</v>
      </c>
      <c r="Y48" t="e">
        <f t="shared" si="0"/>
        <v>#N/A</v>
      </c>
    </row>
    <row r="49" spans="1:25" ht="15.6" x14ac:dyDescent="0.3">
      <c r="A49" s="24" t="s">
        <v>295</v>
      </c>
      <c r="B49" s="39" t="s">
        <v>333</v>
      </c>
      <c r="C49" s="24" t="s">
        <v>78</v>
      </c>
      <c r="D49" s="24" t="s">
        <v>334</v>
      </c>
      <c r="E49" s="24" t="s">
        <v>335</v>
      </c>
      <c r="F49" s="24">
        <v>1818783</v>
      </c>
      <c r="G49" s="24" t="s">
        <v>67</v>
      </c>
      <c r="H49" s="24" t="s">
        <v>73</v>
      </c>
      <c r="L49">
        <v>1</v>
      </c>
      <c r="M49">
        <v>1</v>
      </c>
      <c r="N49" s="24" t="s">
        <v>73</v>
      </c>
      <c r="W49" t="e">
        <f>VLOOKUP(H49,Grupo!$B$2:$E$7,3,0)</f>
        <v>#N/A</v>
      </c>
      <c r="X49" t="e">
        <f>VLOOKUP(H49,Grupo!$B$2:$E$7,4,0)</f>
        <v>#N/A</v>
      </c>
      <c r="Y49" t="e">
        <f t="shared" si="0"/>
        <v>#N/A</v>
      </c>
    </row>
    <row r="50" spans="1:25" ht="15.6" x14ac:dyDescent="0.3">
      <c r="A50" s="24" t="s">
        <v>164</v>
      </c>
      <c r="B50" s="39" t="s">
        <v>336</v>
      </c>
      <c r="C50" s="24" t="s">
        <v>78</v>
      </c>
      <c r="D50" s="24" t="s">
        <v>337</v>
      </c>
      <c r="E50" s="24" t="s">
        <v>338</v>
      </c>
      <c r="F50" s="24">
        <v>1822772</v>
      </c>
      <c r="G50" s="24" t="s">
        <v>68</v>
      </c>
      <c r="H50" s="24" t="s">
        <v>73</v>
      </c>
      <c r="L50">
        <v>1</v>
      </c>
      <c r="M50">
        <v>1</v>
      </c>
      <c r="N50" s="24" t="s">
        <v>73</v>
      </c>
      <c r="W50" t="e">
        <f>VLOOKUP(H50,Grupo!$B$2:$E$7,3,0)</f>
        <v>#N/A</v>
      </c>
      <c r="X50" t="e">
        <f>VLOOKUP(H50,Grupo!$B$2:$E$7,4,0)</f>
        <v>#N/A</v>
      </c>
      <c r="Y50" t="e">
        <f t="shared" si="0"/>
        <v>#N/A</v>
      </c>
    </row>
    <row r="51" spans="1:25" ht="15.6" x14ac:dyDescent="0.3">
      <c r="A51" s="24" t="s">
        <v>273</v>
      </c>
      <c r="B51" s="39" t="s">
        <v>339</v>
      </c>
      <c r="C51" s="24" t="s">
        <v>78</v>
      </c>
      <c r="D51" s="24" t="s">
        <v>340</v>
      </c>
      <c r="E51" s="24" t="s">
        <v>341</v>
      </c>
      <c r="F51" s="24">
        <v>1824252</v>
      </c>
      <c r="G51" s="24" t="s">
        <v>69</v>
      </c>
      <c r="H51" s="24" t="s">
        <v>73</v>
      </c>
      <c r="L51">
        <v>1</v>
      </c>
      <c r="M51">
        <v>1</v>
      </c>
      <c r="N51" s="24" t="s">
        <v>73</v>
      </c>
      <c r="W51" t="e">
        <f>VLOOKUP(H51,Grupo!$B$2:$E$7,3,0)</f>
        <v>#N/A</v>
      </c>
      <c r="X51" t="e">
        <f>VLOOKUP(H51,Grupo!$B$2:$E$7,4,0)</f>
        <v>#N/A</v>
      </c>
      <c r="Y51" t="e">
        <f t="shared" si="0"/>
        <v>#N/A</v>
      </c>
    </row>
    <row r="52" spans="1:25" ht="15.6" x14ac:dyDescent="0.3">
      <c r="A52" s="24" t="s">
        <v>208</v>
      </c>
      <c r="B52" s="39" t="s">
        <v>342</v>
      </c>
      <c r="C52" s="24" t="s">
        <v>78</v>
      </c>
      <c r="D52" s="24" t="s">
        <v>343</v>
      </c>
      <c r="E52" s="24" t="s">
        <v>344</v>
      </c>
      <c r="F52" s="24">
        <v>2066238</v>
      </c>
      <c r="G52" s="24" t="s">
        <v>70</v>
      </c>
      <c r="H52" s="24" t="s">
        <v>73</v>
      </c>
      <c r="L52">
        <v>1</v>
      </c>
      <c r="M52">
        <v>1</v>
      </c>
      <c r="N52" s="24" t="s">
        <v>73</v>
      </c>
      <c r="W52" t="e">
        <f>VLOOKUP(H52,Grupo!$B$2:$E$7,3,0)</f>
        <v>#N/A</v>
      </c>
      <c r="X52" t="e">
        <f>VLOOKUP(H52,Grupo!$B$2:$E$7,4,0)</f>
        <v>#N/A</v>
      </c>
      <c r="Y52" t="e">
        <f t="shared" si="0"/>
        <v>#N/A</v>
      </c>
    </row>
    <row r="53" spans="1:25" ht="15.6" x14ac:dyDescent="0.3">
      <c r="A53" s="24" t="s">
        <v>298</v>
      </c>
      <c r="B53" s="39" t="s">
        <v>345</v>
      </c>
      <c r="C53" s="24" t="s">
        <v>79</v>
      </c>
      <c r="D53" s="24" t="s">
        <v>346</v>
      </c>
      <c r="E53" s="24" t="s">
        <v>347</v>
      </c>
      <c r="F53" s="24">
        <v>2064812</v>
      </c>
      <c r="G53" s="24" t="s">
        <v>71</v>
      </c>
      <c r="H53" s="24" t="s">
        <v>72</v>
      </c>
      <c r="L53">
        <v>1</v>
      </c>
      <c r="M53">
        <v>1</v>
      </c>
      <c r="N53" s="24" t="s">
        <v>73</v>
      </c>
      <c r="W53" t="e">
        <f>VLOOKUP(H53,Grupo!$B$2:$E$7,3,0)</f>
        <v>#N/A</v>
      </c>
      <c r="X53" t="e">
        <f>VLOOKUP(H53,Grupo!$B$2:$E$7,4,0)</f>
        <v>#N/A</v>
      </c>
      <c r="Y53" t="e">
        <f t="shared" si="0"/>
        <v>#N/A</v>
      </c>
    </row>
    <row r="54" spans="1:25" ht="15.6" x14ac:dyDescent="0.3">
      <c r="A54" s="24" t="s">
        <v>227</v>
      </c>
      <c r="B54" s="39" t="s">
        <v>228</v>
      </c>
      <c r="C54" s="24" t="s">
        <v>78</v>
      </c>
      <c r="D54" s="24" t="s">
        <v>348</v>
      </c>
      <c r="E54" s="24" t="s">
        <v>349</v>
      </c>
      <c r="F54" s="24">
        <v>1855263</v>
      </c>
      <c r="G54" s="24" t="s">
        <v>36</v>
      </c>
      <c r="H54" s="24" t="s">
        <v>72</v>
      </c>
      <c r="L54">
        <v>1</v>
      </c>
      <c r="M54">
        <v>1</v>
      </c>
      <c r="N54" s="24" t="s">
        <v>73</v>
      </c>
      <c r="W54" t="e">
        <f>VLOOKUP(H54,Grupo!$B$2:$E$7,3,0)</f>
        <v>#N/A</v>
      </c>
      <c r="X54" t="e">
        <f>VLOOKUP(H54,Grupo!$B$2:$E$7,4,0)</f>
        <v>#N/A</v>
      </c>
      <c r="Y54" t="e">
        <f t="shared" si="0"/>
        <v>#N/A</v>
      </c>
    </row>
    <row r="55" spans="1:25" ht="15.6" x14ac:dyDescent="0.3">
      <c r="A55" s="24" t="s">
        <v>237</v>
      </c>
      <c r="B55" s="39" t="s">
        <v>350</v>
      </c>
      <c r="C55" s="24" t="s">
        <v>78</v>
      </c>
      <c r="D55" s="24" t="s">
        <v>351</v>
      </c>
      <c r="E55" s="24" t="s">
        <v>352</v>
      </c>
      <c r="F55" s="24">
        <v>2248328</v>
      </c>
      <c r="G55" s="24" t="s">
        <v>39</v>
      </c>
      <c r="H55" s="24" t="s">
        <v>73</v>
      </c>
      <c r="L55">
        <v>1</v>
      </c>
      <c r="M55">
        <v>1</v>
      </c>
      <c r="N55" s="24" t="s">
        <v>73</v>
      </c>
      <c r="W55" t="e">
        <f>VLOOKUP(H55,Grupo!$B$2:$E$7,3,0)</f>
        <v>#N/A</v>
      </c>
      <c r="X55" t="e">
        <f>VLOOKUP(H55,Grupo!$B$2:$E$7,4,0)</f>
        <v>#N/A</v>
      </c>
      <c r="Y55" t="e">
        <f t="shared" si="0"/>
        <v>#N/A</v>
      </c>
    </row>
    <row r="56" spans="1:25" ht="15.6" x14ac:dyDescent="0.3">
      <c r="A56" s="24" t="s">
        <v>244</v>
      </c>
      <c r="B56" s="39" t="s">
        <v>185</v>
      </c>
      <c r="C56" s="24" t="s">
        <v>79</v>
      </c>
      <c r="D56" s="24" t="s">
        <v>353</v>
      </c>
      <c r="E56" s="24" t="s">
        <v>354</v>
      </c>
      <c r="F56" s="24">
        <v>2104202</v>
      </c>
      <c r="G56" s="24" t="s">
        <v>41</v>
      </c>
      <c r="H56" s="24" t="s">
        <v>76</v>
      </c>
      <c r="L56">
        <v>1</v>
      </c>
      <c r="M56">
        <v>1</v>
      </c>
      <c r="N56" s="24" t="s">
        <v>76</v>
      </c>
      <c r="W56" t="e">
        <f>VLOOKUP(H56,Grupo!$B$2:$E$7,3,0)</f>
        <v>#N/A</v>
      </c>
      <c r="X56" t="e">
        <f>VLOOKUP(H56,Grupo!$B$2:$E$7,4,0)</f>
        <v>#N/A</v>
      </c>
      <c r="Y56" t="e">
        <f t="shared" si="0"/>
        <v>#N/A</v>
      </c>
    </row>
    <row r="57" spans="1:25" ht="15.6" x14ac:dyDescent="0.3">
      <c r="A57" s="24" t="s">
        <v>250</v>
      </c>
      <c r="B57" s="39" t="s">
        <v>185</v>
      </c>
      <c r="C57" s="24" t="s">
        <v>79</v>
      </c>
      <c r="D57" s="24" t="s">
        <v>355</v>
      </c>
      <c r="E57" s="24" t="s">
        <v>356</v>
      </c>
      <c r="F57" s="24">
        <v>2104105</v>
      </c>
      <c r="G57" s="24" t="s">
        <v>43</v>
      </c>
      <c r="H57" s="24" t="s">
        <v>74</v>
      </c>
      <c r="L57">
        <v>1</v>
      </c>
      <c r="M57">
        <v>1</v>
      </c>
      <c r="N57" s="24" t="s">
        <v>74</v>
      </c>
      <c r="W57" t="e">
        <f>VLOOKUP(H57,Grupo!$B$2:$E$7,3,0)</f>
        <v>#N/A</v>
      </c>
      <c r="X57" t="e">
        <f>VLOOKUP(H57,Grupo!$B$2:$E$7,4,0)</f>
        <v>#N/A</v>
      </c>
      <c r="Y57" t="e">
        <f t="shared" si="0"/>
        <v>#N/A</v>
      </c>
    </row>
    <row r="58" spans="1:25" ht="15.6" x14ac:dyDescent="0.3">
      <c r="A58" s="24" t="s">
        <v>256</v>
      </c>
      <c r="B58" s="39" t="s">
        <v>185</v>
      </c>
      <c r="C58" s="24" t="s">
        <v>79</v>
      </c>
      <c r="D58" s="24" t="s">
        <v>357</v>
      </c>
      <c r="E58" s="24" t="s">
        <v>358</v>
      </c>
      <c r="F58" s="24">
        <v>2104113</v>
      </c>
      <c r="G58" s="24" t="s">
        <v>45</v>
      </c>
      <c r="H58" s="24" t="s">
        <v>74</v>
      </c>
      <c r="L58">
        <v>1</v>
      </c>
      <c r="M58">
        <v>1</v>
      </c>
      <c r="N58" s="24" t="s">
        <v>74</v>
      </c>
      <c r="W58" t="e">
        <f>VLOOKUP(H58,Grupo!$B$2:$E$7,3,0)</f>
        <v>#N/A</v>
      </c>
      <c r="X58" t="e">
        <f>VLOOKUP(H58,Grupo!$B$2:$E$7,4,0)</f>
        <v>#N/A</v>
      </c>
      <c r="Y58" t="e">
        <f t="shared" si="0"/>
        <v>#N/A</v>
      </c>
    </row>
    <row r="59" spans="1:25" ht="15.6" x14ac:dyDescent="0.3">
      <c r="A59" s="24" t="s">
        <v>259</v>
      </c>
      <c r="B59" s="39" t="s">
        <v>359</v>
      </c>
      <c r="C59" s="24" t="s">
        <v>80</v>
      </c>
      <c r="D59" s="40" t="s">
        <v>360</v>
      </c>
      <c r="E59" s="40" t="s">
        <v>361</v>
      </c>
      <c r="F59" s="24">
        <v>2231085</v>
      </c>
      <c r="G59" s="24" t="s">
        <v>46</v>
      </c>
      <c r="H59" s="24" t="s">
        <v>72</v>
      </c>
      <c r="L59">
        <v>1</v>
      </c>
      <c r="M59">
        <v>1</v>
      </c>
      <c r="N59" s="41" t="s">
        <v>73</v>
      </c>
      <c r="W59" t="e">
        <f>VLOOKUP(H59,Grupo!$B$2:$E$7,3,0)</f>
        <v>#N/A</v>
      </c>
      <c r="X59" t="e">
        <f>VLOOKUP(H59,Grupo!$B$2:$E$7,4,0)</f>
        <v>#N/A</v>
      </c>
      <c r="Y59" t="e">
        <f t="shared" si="0"/>
        <v>#N/A</v>
      </c>
    </row>
    <row r="60" spans="1:25" ht="15.6" x14ac:dyDescent="0.3">
      <c r="A60" s="24" t="s">
        <v>362</v>
      </c>
      <c r="B60" s="39" t="s">
        <v>264</v>
      </c>
      <c r="C60" s="24" t="s">
        <v>79</v>
      </c>
      <c r="D60" s="24" t="s">
        <v>363</v>
      </c>
      <c r="E60" s="24" t="s">
        <v>364</v>
      </c>
      <c r="F60" s="24">
        <v>2245167</v>
      </c>
      <c r="G60" s="24" t="s">
        <v>47</v>
      </c>
      <c r="H60" s="24" t="s">
        <v>74</v>
      </c>
      <c r="L60">
        <v>1</v>
      </c>
      <c r="M60">
        <v>1</v>
      </c>
      <c r="N60" s="24" t="s">
        <v>74</v>
      </c>
      <c r="W60" t="e">
        <f>VLOOKUP(H60,Grupo!$B$2:$E$7,3,0)</f>
        <v>#N/A</v>
      </c>
      <c r="X60" t="e">
        <f>VLOOKUP(H60,Grupo!$B$2:$E$7,4,0)</f>
        <v>#N/A</v>
      </c>
      <c r="Y60" t="e">
        <f t="shared" si="0"/>
        <v>#N/A</v>
      </c>
    </row>
    <row r="61" spans="1:25" ht="15.6" x14ac:dyDescent="0.3">
      <c r="A61" s="24" t="s">
        <v>208</v>
      </c>
      <c r="B61" s="39" t="s">
        <v>365</v>
      </c>
      <c r="C61" s="24" t="s">
        <v>79</v>
      </c>
      <c r="D61" s="24" t="s">
        <v>366</v>
      </c>
      <c r="E61" s="24" t="s">
        <v>367</v>
      </c>
      <c r="F61" s="24">
        <v>2211483</v>
      </c>
      <c r="G61" s="24" t="s">
        <v>48</v>
      </c>
      <c r="H61" s="24" t="s">
        <v>73</v>
      </c>
      <c r="L61">
        <v>1</v>
      </c>
      <c r="M61">
        <v>1</v>
      </c>
      <c r="N61" s="24" t="s">
        <v>73</v>
      </c>
      <c r="W61" t="e">
        <f>VLOOKUP(H61,Grupo!$B$2:$E$7,3,0)</f>
        <v>#N/A</v>
      </c>
      <c r="X61" t="e">
        <f>VLOOKUP(H61,Grupo!$B$2:$E$7,4,0)</f>
        <v>#N/A</v>
      </c>
      <c r="Y61" t="e">
        <f t="shared" si="0"/>
        <v>#N/A</v>
      </c>
    </row>
    <row r="62" spans="1:25" ht="15.6" x14ac:dyDescent="0.3">
      <c r="A62" s="24" t="s">
        <v>212</v>
      </c>
      <c r="B62" s="39" t="s">
        <v>368</v>
      </c>
      <c r="C62" s="24" t="s">
        <v>78</v>
      </c>
      <c r="D62" s="24" t="s">
        <v>369</v>
      </c>
      <c r="E62" s="24" t="s">
        <v>370</v>
      </c>
      <c r="F62" s="24">
        <v>2213451</v>
      </c>
      <c r="G62" s="24" t="s">
        <v>49</v>
      </c>
      <c r="H62" s="24" t="s">
        <v>72</v>
      </c>
      <c r="L62">
        <v>1</v>
      </c>
      <c r="M62">
        <v>1</v>
      </c>
      <c r="N62" s="24" t="s">
        <v>73</v>
      </c>
      <c r="W62" t="e">
        <f>VLOOKUP(H62,Grupo!$B$2:$E$7,3,0)</f>
        <v>#N/A</v>
      </c>
      <c r="X62" t="e">
        <f>VLOOKUP(H62,Grupo!$B$2:$E$7,4,0)</f>
        <v>#N/A</v>
      </c>
      <c r="Y62" t="e">
        <f t="shared" si="0"/>
        <v>#N/A</v>
      </c>
    </row>
    <row r="63" spans="1:25" ht="15.6" x14ac:dyDescent="0.3">
      <c r="A63" s="24" t="s">
        <v>273</v>
      </c>
      <c r="B63" s="39" t="s">
        <v>371</v>
      </c>
      <c r="C63" s="24" t="s">
        <v>78</v>
      </c>
      <c r="D63" s="24" t="s">
        <v>372</v>
      </c>
      <c r="E63" s="24" t="s">
        <v>373</v>
      </c>
      <c r="F63" s="24">
        <v>2211904</v>
      </c>
      <c r="G63" s="24" t="s">
        <v>50</v>
      </c>
      <c r="H63" s="24" t="s">
        <v>73</v>
      </c>
      <c r="L63">
        <v>1</v>
      </c>
      <c r="M63">
        <v>1</v>
      </c>
      <c r="N63" s="24" t="s">
        <v>73</v>
      </c>
      <c r="W63" t="e">
        <f>VLOOKUP(H63,Grupo!$B$2:$E$7,3,0)</f>
        <v>#N/A</v>
      </c>
      <c r="X63" t="e">
        <f>VLOOKUP(H63,Grupo!$B$2:$E$7,4,0)</f>
        <v>#N/A</v>
      </c>
      <c r="Y63" t="e">
        <f t="shared" si="0"/>
        <v>#N/A</v>
      </c>
    </row>
    <row r="64" spans="1:25" ht="15.6" x14ac:dyDescent="0.3">
      <c r="A64" s="24" t="s">
        <v>277</v>
      </c>
      <c r="B64" s="39" t="s">
        <v>374</v>
      </c>
      <c r="C64" s="24" t="s">
        <v>78</v>
      </c>
      <c r="D64" s="24" t="s">
        <v>375</v>
      </c>
      <c r="E64" s="24" t="s">
        <v>376</v>
      </c>
      <c r="F64" s="24">
        <v>2213710</v>
      </c>
      <c r="G64" s="24" t="s">
        <v>51</v>
      </c>
      <c r="H64" s="24" t="s">
        <v>72</v>
      </c>
      <c r="L64">
        <v>1</v>
      </c>
      <c r="M64">
        <v>1</v>
      </c>
      <c r="N64" s="24" t="s">
        <v>73</v>
      </c>
      <c r="W64" t="e">
        <f>VLOOKUP(H64,Grupo!$B$2:$E$7,3,0)</f>
        <v>#N/A</v>
      </c>
      <c r="X64" t="e">
        <f>VLOOKUP(H64,Grupo!$B$2:$E$7,4,0)</f>
        <v>#N/A</v>
      </c>
      <c r="Y64" t="e">
        <f t="shared" si="0"/>
        <v>#N/A</v>
      </c>
    </row>
    <row r="65" spans="1:25" ht="15.6" x14ac:dyDescent="0.3">
      <c r="A65" s="24" t="s">
        <v>281</v>
      </c>
      <c r="B65" s="39" t="s">
        <v>377</v>
      </c>
      <c r="C65" s="24" t="s">
        <v>78</v>
      </c>
      <c r="D65" s="24" t="s">
        <v>378</v>
      </c>
      <c r="E65" s="24" t="s">
        <v>165</v>
      </c>
      <c r="F65" s="24">
        <v>2214130</v>
      </c>
      <c r="G65" s="24" t="s">
        <v>52</v>
      </c>
      <c r="H65" s="24" t="s">
        <v>72</v>
      </c>
      <c r="L65">
        <v>1</v>
      </c>
      <c r="M65">
        <v>1</v>
      </c>
      <c r="N65" s="24" t="s">
        <v>73</v>
      </c>
      <c r="W65" t="e">
        <f>VLOOKUP(H65,Grupo!$B$2:$E$7,3,0)</f>
        <v>#N/A</v>
      </c>
      <c r="X65" t="e">
        <f>VLOOKUP(H65,Grupo!$B$2:$E$7,4,0)</f>
        <v>#N/A</v>
      </c>
      <c r="Y65" t="e">
        <f t="shared" si="0"/>
        <v>#N/A</v>
      </c>
    </row>
    <row r="66" spans="1:25" ht="15.6" x14ac:dyDescent="0.3">
      <c r="A66" s="24" t="s">
        <v>161</v>
      </c>
      <c r="B66" s="39" t="s">
        <v>379</v>
      </c>
      <c r="C66" s="24" t="s">
        <v>78</v>
      </c>
      <c r="D66" s="24" t="s">
        <v>380</v>
      </c>
      <c r="E66" s="24" t="s">
        <v>381</v>
      </c>
      <c r="F66" s="24">
        <v>2211971</v>
      </c>
      <c r="G66" s="24" t="s">
        <v>53</v>
      </c>
      <c r="H66" s="24" t="s">
        <v>72</v>
      </c>
      <c r="L66">
        <v>1</v>
      </c>
      <c r="M66">
        <v>1</v>
      </c>
      <c r="N66" s="24" t="s">
        <v>73</v>
      </c>
      <c r="W66" t="e">
        <f>VLOOKUP(H66,Grupo!$B$2:$E$7,3,0)</f>
        <v>#N/A</v>
      </c>
      <c r="X66" t="e">
        <f>VLOOKUP(H66,Grupo!$B$2:$E$7,4,0)</f>
        <v>#N/A</v>
      </c>
      <c r="Y66" t="e">
        <f t="shared" si="0"/>
        <v>#N/A</v>
      </c>
    </row>
    <row r="67" spans="1:25" ht="15.6" x14ac:dyDescent="0.3">
      <c r="A67" s="24" t="s">
        <v>288</v>
      </c>
      <c r="B67" s="39" t="s">
        <v>382</v>
      </c>
      <c r="C67" s="24" t="s">
        <v>79</v>
      </c>
      <c r="D67" s="24" t="s">
        <v>383</v>
      </c>
      <c r="E67" s="24" t="s">
        <v>384</v>
      </c>
      <c r="F67" s="24">
        <v>2212013</v>
      </c>
      <c r="G67" s="24" t="s">
        <v>54</v>
      </c>
      <c r="H67" s="24" t="s">
        <v>72</v>
      </c>
      <c r="L67">
        <v>1</v>
      </c>
      <c r="M67">
        <v>1</v>
      </c>
      <c r="N67" s="24" t="s">
        <v>73</v>
      </c>
      <c r="W67" t="e">
        <f>VLOOKUP(H67,Grupo!$B$2:$E$7,3,0)</f>
        <v>#N/A</v>
      </c>
      <c r="X67" t="e">
        <f>VLOOKUP(H67,Grupo!$B$2:$E$7,4,0)</f>
        <v>#N/A</v>
      </c>
      <c r="Y67" t="e">
        <f t="shared" ref="Y67:Y130" si="1">6371*ACOS(COS(PI()*(90-W67)/180)*COS((90-D67)*PI()/180)+SIN((90-W67)*PI()/180)*SIN((90-D67)*PI()/180)*COS((X67-E67)*PI()/180))</f>
        <v>#N/A</v>
      </c>
    </row>
    <row r="68" spans="1:25" ht="15.6" x14ac:dyDescent="0.3">
      <c r="A68" s="24" t="s">
        <v>295</v>
      </c>
      <c r="B68" s="39" t="s">
        <v>385</v>
      </c>
      <c r="C68" s="24" t="s">
        <v>78</v>
      </c>
      <c r="D68" s="24" t="s">
        <v>386</v>
      </c>
      <c r="E68" s="24" t="s">
        <v>387</v>
      </c>
      <c r="F68" s="24">
        <v>2214172</v>
      </c>
      <c r="G68" s="24" t="s">
        <v>56</v>
      </c>
      <c r="H68" s="24" t="s">
        <v>73</v>
      </c>
      <c r="L68">
        <v>1</v>
      </c>
      <c r="M68">
        <v>1</v>
      </c>
      <c r="N68" s="24" t="s">
        <v>73</v>
      </c>
      <c r="W68" t="e">
        <f>VLOOKUP(H68,Grupo!$B$2:$E$7,3,0)</f>
        <v>#N/A</v>
      </c>
      <c r="X68" t="e">
        <f>VLOOKUP(H68,Grupo!$B$2:$E$7,4,0)</f>
        <v>#N/A</v>
      </c>
      <c r="Y68" t="e">
        <f t="shared" si="1"/>
        <v>#N/A</v>
      </c>
    </row>
    <row r="69" spans="1:25" ht="15.6" x14ac:dyDescent="0.3">
      <c r="A69" s="24" t="s">
        <v>298</v>
      </c>
      <c r="B69" s="39" t="s">
        <v>388</v>
      </c>
      <c r="C69" s="24" t="s">
        <v>78</v>
      </c>
      <c r="D69" s="24" t="s">
        <v>389</v>
      </c>
      <c r="E69" s="24" t="s">
        <v>390</v>
      </c>
      <c r="F69" s="24">
        <v>2211939</v>
      </c>
      <c r="G69" s="24" t="s">
        <v>57</v>
      </c>
      <c r="H69" s="24" t="s">
        <v>72</v>
      </c>
      <c r="L69">
        <v>1</v>
      </c>
      <c r="M69">
        <v>1</v>
      </c>
      <c r="N69" s="24" t="s">
        <v>73</v>
      </c>
      <c r="W69" t="e">
        <f>VLOOKUP(H69,Grupo!$B$2:$E$7,3,0)</f>
        <v>#N/A</v>
      </c>
      <c r="X69" t="e">
        <f>VLOOKUP(H69,Grupo!$B$2:$E$7,4,0)</f>
        <v>#N/A</v>
      </c>
      <c r="Y69" t="e">
        <f t="shared" si="1"/>
        <v>#N/A</v>
      </c>
    </row>
    <row r="70" spans="1:25" ht="15.6" x14ac:dyDescent="0.3">
      <c r="A70" s="24" t="s">
        <v>163</v>
      </c>
      <c r="B70" s="39" t="s">
        <v>391</v>
      </c>
      <c r="C70" s="24" t="s">
        <v>78</v>
      </c>
      <c r="D70" s="24" t="s">
        <v>392</v>
      </c>
      <c r="E70" s="24" t="s">
        <v>393</v>
      </c>
      <c r="F70" s="24">
        <v>2213540</v>
      </c>
      <c r="G70" s="24" t="s">
        <v>58</v>
      </c>
      <c r="H70" s="24" t="s">
        <v>73</v>
      </c>
      <c r="L70">
        <v>1</v>
      </c>
      <c r="M70">
        <v>1</v>
      </c>
      <c r="N70" s="24" t="s">
        <v>73</v>
      </c>
      <c r="W70" t="e">
        <f>VLOOKUP(H70,Grupo!$B$2:$E$7,3,0)</f>
        <v>#N/A</v>
      </c>
      <c r="X70" t="e">
        <f>VLOOKUP(H70,Grupo!$B$2:$E$7,4,0)</f>
        <v>#N/A</v>
      </c>
      <c r="Y70" t="e">
        <f t="shared" si="1"/>
        <v>#N/A</v>
      </c>
    </row>
    <row r="71" spans="1:25" ht="15.6" x14ac:dyDescent="0.3">
      <c r="A71" s="24" t="s">
        <v>201</v>
      </c>
      <c r="B71" s="39" t="s">
        <v>394</v>
      </c>
      <c r="C71" s="24" t="s">
        <v>78</v>
      </c>
      <c r="D71" s="24" t="s">
        <v>395</v>
      </c>
      <c r="E71" s="24" t="s">
        <v>396</v>
      </c>
      <c r="F71" s="24">
        <v>2213010</v>
      </c>
      <c r="G71" s="24" t="s">
        <v>59</v>
      </c>
      <c r="H71" s="24" t="s">
        <v>72</v>
      </c>
      <c r="L71">
        <v>1</v>
      </c>
      <c r="M71">
        <v>1</v>
      </c>
      <c r="N71" s="24" t="s">
        <v>73</v>
      </c>
      <c r="W71" t="e">
        <f>VLOOKUP(H71,Grupo!$B$2:$E$7,3,0)</f>
        <v>#N/A</v>
      </c>
      <c r="X71" t="e">
        <f>VLOOKUP(H71,Grupo!$B$2:$E$7,4,0)</f>
        <v>#N/A</v>
      </c>
      <c r="Y71" t="e">
        <f t="shared" si="1"/>
        <v>#N/A</v>
      </c>
    </row>
    <row r="72" spans="1:25" ht="15.6" x14ac:dyDescent="0.3">
      <c r="A72" s="24" t="s">
        <v>162</v>
      </c>
      <c r="B72" s="39" t="s">
        <v>166</v>
      </c>
      <c r="C72" s="24" t="s">
        <v>79</v>
      </c>
      <c r="D72" s="24" t="s">
        <v>397</v>
      </c>
      <c r="E72" s="24" t="s">
        <v>398</v>
      </c>
      <c r="F72" s="24">
        <v>2212170</v>
      </c>
      <c r="G72" s="24" t="s">
        <v>60</v>
      </c>
      <c r="H72" s="24" t="s">
        <v>73</v>
      </c>
      <c r="L72">
        <v>1</v>
      </c>
      <c r="M72">
        <v>1</v>
      </c>
      <c r="N72" s="24" t="s">
        <v>73</v>
      </c>
      <c r="W72" t="e">
        <f>VLOOKUP(H72,Grupo!$B$2:$E$7,3,0)</f>
        <v>#N/A</v>
      </c>
      <c r="X72" t="e">
        <f>VLOOKUP(H72,Grupo!$B$2:$E$7,4,0)</f>
        <v>#N/A</v>
      </c>
      <c r="Y72" t="e">
        <f t="shared" si="1"/>
        <v>#N/A</v>
      </c>
    </row>
    <row r="73" spans="1:25" ht="15.6" x14ac:dyDescent="0.3">
      <c r="A73" s="24" t="s">
        <v>399</v>
      </c>
      <c r="B73" s="39" t="s">
        <v>316</v>
      </c>
      <c r="C73" s="24" t="s">
        <v>79</v>
      </c>
      <c r="D73" s="24" t="s">
        <v>400</v>
      </c>
      <c r="E73" s="24" t="s">
        <v>401</v>
      </c>
      <c r="F73" s="24">
        <v>2088622</v>
      </c>
      <c r="G73" s="24" t="s">
        <v>63</v>
      </c>
      <c r="H73" s="24" t="s">
        <v>74</v>
      </c>
      <c r="L73">
        <v>1</v>
      </c>
      <c r="M73">
        <v>1</v>
      </c>
      <c r="N73" s="24" t="s">
        <v>74</v>
      </c>
      <c r="W73" t="e">
        <f>VLOOKUP(H73,Grupo!$B$2:$E$7,3,0)</f>
        <v>#N/A</v>
      </c>
      <c r="X73" t="e">
        <f>VLOOKUP(H73,Grupo!$B$2:$E$7,4,0)</f>
        <v>#N/A</v>
      </c>
      <c r="Y73" t="e">
        <f t="shared" si="1"/>
        <v>#N/A</v>
      </c>
    </row>
    <row r="74" spans="1:25" ht="15.6" x14ac:dyDescent="0.3">
      <c r="A74" s="24" t="s">
        <v>322</v>
      </c>
      <c r="B74" s="39" t="s">
        <v>402</v>
      </c>
      <c r="C74" s="24" t="s">
        <v>78</v>
      </c>
      <c r="D74" s="24" t="s">
        <v>403</v>
      </c>
      <c r="E74" s="40" t="s">
        <v>404</v>
      </c>
      <c r="F74" s="24">
        <v>2071312</v>
      </c>
      <c r="G74" s="24" t="s">
        <v>64</v>
      </c>
      <c r="H74" s="24" t="s">
        <v>73</v>
      </c>
      <c r="L74">
        <v>1</v>
      </c>
      <c r="M74">
        <v>1</v>
      </c>
      <c r="N74" s="24" t="s">
        <v>73</v>
      </c>
      <c r="W74" t="e">
        <f>VLOOKUP(H74,Grupo!$B$2:$E$7,3,0)</f>
        <v>#N/A</v>
      </c>
      <c r="X74" t="e">
        <f>VLOOKUP(H74,Grupo!$B$2:$E$7,4,0)</f>
        <v>#N/A</v>
      </c>
      <c r="Y74" t="e">
        <f t="shared" si="1"/>
        <v>#N/A</v>
      </c>
    </row>
    <row r="75" spans="1:25" ht="15.6" x14ac:dyDescent="0.3">
      <c r="A75" s="24" t="s">
        <v>326</v>
      </c>
      <c r="B75" s="39" t="s">
        <v>405</v>
      </c>
      <c r="C75" s="24" t="s">
        <v>78</v>
      </c>
      <c r="D75" s="24" t="s">
        <v>406</v>
      </c>
      <c r="E75" s="24" t="s">
        <v>407</v>
      </c>
      <c r="F75" s="24">
        <v>1911724</v>
      </c>
      <c r="G75" s="24" t="s">
        <v>65</v>
      </c>
      <c r="H75" s="24" t="s">
        <v>73</v>
      </c>
      <c r="L75">
        <v>1</v>
      </c>
      <c r="M75">
        <v>1</v>
      </c>
      <c r="N75" s="24" t="s">
        <v>73</v>
      </c>
      <c r="W75" t="e">
        <f>VLOOKUP(H75,Grupo!$B$2:$E$7,3,0)</f>
        <v>#N/A</v>
      </c>
      <c r="X75" t="e">
        <f>VLOOKUP(H75,Grupo!$B$2:$E$7,4,0)</f>
        <v>#N/A</v>
      </c>
      <c r="Y75" t="e">
        <f t="shared" si="1"/>
        <v>#N/A</v>
      </c>
    </row>
    <row r="76" spans="1:25" ht="15.6" x14ac:dyDescent="0.3">
      <c r="A76" s="24" t="s">
        <v>173</v>
      </c>
      <c r="B76" s="39" t="s">
        <v>408</v>
      </c>
      <c r="C76" s="24" t="s">
        <v>78</v>
      </c>
      <c r="D76" s="24" t="s">
        <v>409</v>
      </c>
      <c r="E76" s="24" t="s">
        <v>410</v>
      </c>
      <c r="F76" s="24">
        <v>2071355</v>
      </c>
      <c r="G76" s="24" t="s">
        <v>66</v>
      </c>
      <c r="H76" s="24" t="s">
        <v>73</v>
      </c>
      <c r="L76">
        <v>1</v>
      </c>
      <c r="M76">
        <v>1</v>
      </c>
      <c r="N76" s="24" t="s">
        <v>73</v>
      </c>
      <c r="W76" t="e">
        <f>VLOOKUP(H76,Grupo!$B$2:$E$7,3,0)</f>
        <v>#N/A</v>
      </c>
      <c r="X76" t="e">
        <f>VLOOKUP(H76,Grupo!$B$2:$E$7,4,0)</f>
        <v>#N/A</v>
      </c>
      <c r="Y76" t="e">
        <f t="shared" si="1"/>
        <v>#N/A</v>
      </c>
    </row>
    <row r="77" spans="1:25" ht="15.6" x14ac:dyDescent="0.3">
      <c r="A77" s="24" t="s">
        <v>295</v>
      </c>
      <c r="B77" s="39" t="s">
        <v>411</v>
      </c>
      <c r="C77" s="24" t="s">
        <v>78</v>
      </c>
      <c r="D77" s="40" t="s">
        <v>412</v>
      </c>
      <c r="E77" s="40" t="s">
        <v>413</v>
      </c>
      <c r="F77" s="24">
        <v>18187775</v>
      </c>
      <c r="G77" s="24" t="s">
        <v>67</v>
      </c>
      <c r="H77" s="24" t="s">
        <v>73</v>
      </c>
      <c r="L77">
        <v>1</v>
      </c>
      <c r="M77">
        <v>1</v>
      </c>
      <c r="N77" s="24" t="s">
        <v>73</v>
      </c>
      <c r="W77" t="e">
        <f>VLOOKUP(H77,Grupo!$B$2:$E$7,3,0)</f>
        <v>#N/A</v>
      </c>
      <c r="X77" t="e">
        <f>VLOOKUP(H77,Grupo!$B$2:$E$7,4,0)</f>
        <v>#N/A</v>
      </c>
      <c r="Y77" t="e">
        <f t="shared" si="1"/>
        <v>#N/A</v>
      </c>
    </row>
    <row r="78" spans="1:25" ht="15.6" x14ac:dyDescent="0.3">
      <c r="A78" s="24" t="s">
        <v>295</v>
      </c>
      <c r="B78" s="39" t="s">
        <v>414</v>
      </c>
      <c r="C78" s="24" t="s">
        <v>78</v>
      </c>
      <c r="D78" s="24" t="s">
        <v>415</v>
      </c>
      <c r="E78" s="24" t="s">
        <v>416</v>
      </c>
      <c r="F78" s="24">
        <v>1822810</v>
      </c>
      <c r="G78" s="24" t="s">
        <v>68</v>
      </c>
      <c r="H78" s="24" t="s">
        <v>73</v>
      </c>
      <c r="L78">
        <v>1</v>
      </c>
      <c r="M78">
        <v>1</v>
      </c>
      <c r="N78" s="24" t="s">
        <v>73</v>
      </c>
      <c r="W78" t="e">
        <f>VLOOKUP(H78,Grupo!$B$2:$E$7,3,0)</f>
        <v>#N/A</v>
      </c>
      <c r="X78" t="e">
        <f>VLOOKUP(H78,Grupo!$B$2:$E$7,4,0)</f>
        <v>#N/A</v>
      </c>
      <c r="Y78" t="e">
        <f t="shared" si="1"/>
        <v>#N/A</v>
      </c>
    </row>
    <row r="79" spans="1:25" ht="15.6" x14ac:dyDescent="0.3">
      <c r="A79" s="24" t="s">
        <v>295</v>
      </c>
      <c r="B79" s="39" t="s">
        <v>417</v>
      </c>
      <c r="C79" s="24" t="s">
        <v>78</v>
      </c>
      <c r="D79" s="24" t="s">
        <v>418</v>
      </c>
      <c r="E79" s="24" t="s">
        <v>419</v>
      </c>
      <c r="F79" s="24">
        <v>1824287</v>
      </c>
      <c r="G79" s="24" t="s">
        <v>69</v>
      </c>
      <c r="H79" s="24" t="s">
        <v>73</v>
      </c>
      <c r="L79">
        <v>1</v>
      </c>
      <c r="M79">
        <v>1</v>
      </c>
      <c r="N79" s="24" t="s">
        <v>73</v>
      </c>
      <c r="W79" t="e">
        <f>VLOOKUP(H79,Grupo!$B$2:$E$7,3,0)</f>
        <v>#N/A</v>
      </c>
      <c r="X79" t="e">
        <f>VLOOKUP(H79,Grupo!$B$2:$E$7,4,0)</f>
        <v>#N/A</v>
      </c>
      <c r="Y79" t="e">
        <f t="shared" si="1"/>
        <v>#N/A</v>
      </c>
    </row>
    <row r="80" spans="1:25" ht="15.6" x14ac:dyDescent="0.3">
      <c r="A80" s="24" t="s">
        <v>295</v>
      </c>
      <c r="B80" s="39" t="s">
        <v>420</v>
      </c>
      <c r="C80" s="24" t="s">
        <v>78</v>
      </c>
      <c r="D80" s="24" t="s">
        <v>421</v>
      </c>
      <c r="E80" s="24" t="s">
        <v>422</v>
      </c>
      <c r="F80" s="24">
        <v>2090988</v>
      </c>
      <c r="G80" s="24" t="s">
        <v>70</v>
      </c>
      <c r="H80" s="24" t="s">
        <v>73</v>
      </c>
      <c r="L80">
        <v>1</v>
      </c>
      <c r="M80">
        <v>1</v>
      </c>
      <c r="N80" s="24" t="s">
        <v>73</v>
      </c>
      <c r="W80" t="e">
        <f>VLOOKUP(H80,Grupo!$B$2:$E$7,3,0)</f>
        <v>#N/A</v>
      </c>
      <c r="X80" t="e">
        <f>VLOOKUP(H80,Grupo!$B$2:$E$7,4,0)</f>
        <v>#N/A</v>
      </c>
      <c r="Y80" t="e">
        <f t="shared" si="1"/>
        <v>#N/A</v>
      </c>
    </row>
    <row r="81" spans="1:25" ht="15.6" x14ac:dyDescent="0.3">
      <c r="A81" s="24" t="s">
        <v>295</v>
      </c>
      <c r="B81" s="39" t="s">
        <v>345</v>
      </c>
      <c r="C81" s="24" t="s">
        <v>79</v>
      </c>
      <c r="D81" s="24" t="s">
        <v>423</v>
      </c>
      <c r="E81" s="24" t="s">
        <v>424</v>
      </c>
      <c r="F81" s="24">
        <v>2064804</v>
      </c>
      <c r="G81" s="24" t="s">
        <v>71</v>
      </c>
      <c r="H81" s="24" t="s">
        <v>73</v>
      </c>
      <c r="L81">
        <v>1</v>
      </c>
      <c r="M81">
        <v>1</v>
      </c>
      <c r="N81" s="24" t="s">
        <v>73</v>
      </c>
      <c r="W81" t="e">
        <f>VLOOKUP(H81,Grupo!$B$2:$E$7,3,0)</f>
        <v>#N/A</v>
      </c>
      <c r="X81" t="e">
        <f>VLOOKUP(H81,Grupo!$B$2:$E$7,4,0)</f>
        <v>#N/A</v>
      </c>
      <c r="Y81" t="e">
        <f t="shared" si="1"/>
        <v>#N/A</v>
      </c>
    </row>
    <row r="82" spans="1:25" ht="15.6" x14ac:dyDescent="0.3">
      <c r="A82" s="24" t="s">
        <v>295</v>
      </c>
      <c r="B82" s="39" t="s">
        <v>425</v>
      </c>
      <c r="C82" s="24" t="s">
        <v>78</v>
      </c>
      <c r="D82" s="24" t="s">
        <v>426</v>
      </c>
      <c r="E82" s="24" t="s">
        <v>427</v>
      </c>
      <c r="F82" s="24">
        <v>1855247</v>
      </c>
      <c r="G82" s="24" t="s">
        <v>36</v>
      </c>
      <c r="H82" s="24" t="s">
        <v>73</v>
      </c>
      <c r="L82">
        <v>1</v>
      </c>
      <c r="M82">
        <v>1</v>
      </c>
      <c r="N82" s="24" t="s">
        <v>73</v>
      </c>
      <c r="W82" t="e">
        <f>VLOOKUP(H82,Grupo!$B$2:$E$7,3,0)</f>
        <v>#N/A</v>
      </c>
      <c r="X82" t="e">
        <f>VLOOKUP(H82,Grupo!$B$2:$E$7,4,0)</f>
        <v>#N/A</v>
      </c>
      <c r="Y82" t="e">
        <f t="shared" si="1"/>
        <v>#N/A</v>
      </c>
    </row>
    <row r="83" spans="1:25" ht="15.6" x14ac:dyDescent="0.3">
      <c r="A83" s="24" t="s">
        <v>295</v>
      </c>
      <c r="B83" s="39" t="s">
        <v>264</v>
      </c>
      <c r="C83" s="24" t="s">
        <v>79</v>
      </c>
      <c r="D83" s="24" t="s">
        <v>428</v>
      </c>
      <c r="E83" s="24" t="s">
        <v>429</v>
      </c>
      <c r="F83" s="24">
        <v>2245183</v>
      </c>
      <c r="G83" s="24" t="s">
        <v>47</v>
      </c>
      <c r="H83" s="24" t="s">
        <v>73</v>
      </c>
      <c r="L83">
        <v>1</v>
      </c>
      <c r="M83">
        <v>1</v>
      </c>
      <c r="N83" s="24" t="s">
        <v>73</v>
      </c>
      <c r="W83" t="e">
        <f>VLOOKUP(H83,Grupo!$B$2:$E$7,3,0)</f>
        <v>#N/A</v>
      </c>
      <c r="X83" t="e">
        <f>VLOOKUP(H83,Grupo!$B$2:$E$7,4,0)</f>
        <v>#N/A</v>
      </c>
      <c r="Y83" t="e">
        <f t="shared" si="1"/>
        <v>#N/A</v>
      </c>
    </row>
    <row r="84" spans="1:25" ht="15.6" x14ac:dyDescent="0.3">
      <c r="A84" s="24" t="s">
        <v>295</v>
      </c>
      <c r="B84" s="39" t="s">
        <v>430</v>
      </c>
      <c r="C84" s="24" t="s">
        <v>78</v>
      </c>
      <c r="D84" s="24" t="s">
        <v>431</v>
      </c>
      <c r="E84" s="24" t="s">
        <v>432</v>
      </c>
      <c r="F84" s="24">
        <v>2212021</v>
      </c>
      <c r="G84" s="24" t="s">
        <v>48</v>
      </c>
      <c r="H84" s="24" t="s">
        <v>73</v>
      </c>
      <c r="L84">
        <v>1</v>
      </c>
      <c r="M84">
        <v>1</v>
      </c>
      <c r="N84" s="24" t="s">
        <v>73</v>
      </c>
      <c r="W84" t="e">
        <f>VLOOKUP(H84,Grupo!$B$2:$E$7,3,0)</f>
        <v>#N/A</v>
      </c>
      <c r="X84" t="e">
        <f>VLOOKUP(H84,Grupo!$B$2:$E$7,4,0)</f>
        <v>#N/A</v>
      </c>
      <c r="Y84" t="e">
        <f t="shared" si="1"/>
        <v>#N/A</v>
      </c>
    </row>
    <row r="85" spans="1:25" ht="15.6" x14ac:dyDescent="0.3">
      <c r="A85" s="24" t="s">
        <v>295</v>
      </c>
      <c r="B85" s="39" t="s">
        <v>433</v>
      </c>
      <c r="C85" s="24" t="s">
        <v>79</v>
      </c>
      <c r="D85" s="24" t="s">
        <v>434</v>
      </c>
      <c r="E85" s="24" t="s">
        <v>435</v>
      </c>
      <c r="F85" s="24">
        <v>2222256</v>
      </c>
      <c r="G85" s="24" t="s">
        <v>50</v>
      </c>
      <c r="H85" s="24" t="s">
        <v>73</v>
      </c>
      <c r="L85">
        <v>1</v>
      </c>
      <c r="M85">
        <v>1</v>
      </c>
      <c r="N85" s="24" t="s">
        <v>73</v>
      </c>
      <c r="W85" t="e">
        <f>VLOOKUP(H85,Grupo!$B$2:$E$7,3,0)</f>
        <v>#N/A</v>
      </c>
      <c r="X85" t="e">
        <f>VLOOKUP(H85,Grupo!$B$2:$E$7,4,0)</f>
        <v>#N/A</v>
      </c>
      <c r="Y85" t="e">
        <f t="shared" si="1"/>
        <v>#N/A</v>
      </c>
    </row>
    <row r="86" spans="1:25" ht="15.6" x14ac:dyDescent="0.3">
      <c r="A86" s="24" t="s">
        <v>295</v>
      </c>
      <c r="B86" s="39" t="s">
        <v>436</v>
      </c>
      <c r="C86" s="24" t="s">
        <v>78</v>
      </c>
      <c r="D86" s="24" t="s">
        <v>437</v>
      </c>
      <c r="E86" s="24" t="s">
        <v>438</v>
      </c>
      <c r="F86" s="24">
        <v>2213753</v>
      </c>
      <c r="G86" s="24" t="s">
        <v>51</v>
      </c>
      <c r="H86" s="24" t="s">
        <v>73</v>
      </c>
      <c r="L86">
        <v>1</v>
      </c>
      <c r="M86">
        <v>1</v>
      </c>
      <c r="N86" s="24" t="s">
        <v>73</v>
      </c>
      <c r="W86" t="e">
        <f>VLOOKUP(H86,Grupo!$B$2:$E$7,3,0)</f>
        <v>#N/A</v>
      </c>
      <c r="X86" t="e">
        <f>VLOOKUP(H86,Grupo!$B$2:$E$7,4,0)</f>
        <v>#N/A</v>
      </c>
      <c r="Y86" t="e">
        <f t="shared" si="1"/>
        <v>#N/A</v>
      </c>
    </row>
    <row r="87" spans="1:25" ht="15.6" x14ac:dyDescent="0.3">
      <c r="A87" s="24" t="s">
        <v>295</v>
      </c>
      <c r="B87" s="39" t="s">
        <v>439</v>
      </c>
      <c r="C87" s="24" t="s">
        <v>78</v>
      </c>
      <c r="D87" s="24" t="s">
        <v>440</v>
      </c>
      <c r="E87" s="24" t="s">
        <v>168</v>
      </c>
      <c r="F87" s="24">
        <v>2213869</v>
      </c>
      <c r="G87" s="24" t="s">
        <v>52</v>
      </c>
      <c r="H87" s="24" t="s">
        <v>73</v>
      </c>
      <c r="L87">
        <v>1</v>
      </c>
      <c r="M87">
        <v>1</v>
      </c>
      <c r="N87" s="24" t="s">
        <v>73</v>
      </c>
      <c r="W87" t="e">
        <f>VLOOKUP(H87,Grupo!$B$2:$E$7,3,0)</f>
        <v>#N/A</v>
      </c>
      <c r="X87" t="e">
        <f>VLOOKUP(H87,Grupo!$B$2:$E$7,4,0)</f>
        <v>#N/A</v>
      </c>
      <c r="Y87" t="e">
        <f t="shared" si="1"/>
        <v>#N/A</v>
      </c>
    </row>
    <row r="88" spans="1:25" ht="15.6" x14ac:dyDescent="0.3">
      <c r="A88" s="24" t="s">
        <v>295</v>
      </c>
      <c r="B88" s="39" t="s">
        <v>441</v>
      </c>
      <c r="C88" s="24" t="s">
        <v>80</v>
      </c>
      <c r="D88" s="40" t="s">
        <v>442</v>
      </c>
      <c r="E88" s="40" t="s">
        <v>443</v>
      </c>
      <c r="F88" s="24">
        <v>2211998</v>
      </c>
      <c r="G88" s="24" t="s">
        <v>53</v>
      </c>
      <c r="H88" s="24" t="s">
        <v>73</v>
      </c>
      <c r="L88">
        <v>1</v>
      </c>
      <c r="M88">
        <v>1</v>
      </c>
      <c r="N88" s="24" t="s">
        <v>73</v>
      </c>
      <c r="W88" t="e">
        <f>VLOOKUP(H88,Grupo!$B$2:$E$7,3,0)</f>
        <v>#N/A</v>
      </c>
      <c r="X88" t="e">
        <f>VLOOKUP(H88,Grupo!$B$2:$E$7,4,0)</f>
        <v>#N/A</v>
      </c>
      <c r="Y88" t="e">
        <f t="shared" si="1"/>
        <v>#N/A</v>
      </c>
    </row>
    <row r="89" spans="1:25" ht="15.6" x14ac:dyDescent="0.3">
      <c r="A89" s="24" t="s">
        <v>295</v>
      </c>
      <c r="B89" s="39" t="s">
        <v>444</v>
      </c>
      <c r="C89" s="24" t="s">
        <v>78</v>
      </c>
      <c r="D89" s="40" t="s">
        <v>445</v>
      </c>
      <c r="E89" s="40" t="s">
        <v>446</v>
      </c>
      <c r="F89" s="24">
        <v>2214145</v>
      </c>
      <c r="G89" s="24" t="s">
        <v>56</v>
      </c>
      <c r="H89" s="24" t="s">
        <v>73</v>
      </c>
      <c r="L89">
        <v>1</v>
      </c>
      <c r="M89">
        <v>1</v>
      </c>
      <c r="N89" s="24" t="s">
        <v>73</v>
      </c>
      <c r="W89" t="e">
        <f>VLOOKUP(H89,Grupo!$B$2:$E$7,3,0)</f>
        <v>#N/A</v>
      </c>
      <c r="X89" t="e">
        <f>VLOOKUP(H89,Grupo!$B$2:$E$7,4,0)</f>
        <v>#N/A</v>
      </c>
      <c r="Y89" t="e">
        <f t="shared" si="1"/>
        <v>#N/A</v>
      </c>
    </row>
    <row r="90" spans="1:25" ht="15.6" x14ac:dyDescent="0.3">
      <c r="A90" s="24" t="s">
        <v>295</v>
      </c>
      <c r="B90" s="39" t="s">
        <v>447</v>
      </c>
      <c r="C90" s="24" t="s">
        <v>78</v>
      </c>
      <c r="D90" s="24" t="s">
        <v>448</v>
      </c>
      <c r="E90" s="24" t="s">
        <v>449</v>
      </c>
      <c r="F90" s="24">
        <v>2211955</v>
      </c>
      <c r="G90" s="24" t="s">
        <v>57</v>
      </c>
      <c r="H90" s="24" t="s">
        <v>73</v>
      </c>
      <c r="L90">
        <v>1</v>
      </c>
      <c r="M90">
        <v>1</v>
      </c>
      <c r="N90" s="24" t="s">
        <v>73</v>
      </c>
      <c r="W90" t="e">
        <f>VLOOKUP(H90,Grupo!$B$2:$E$7,3,0)</f>
        <v>#N/A</v>
      </c>
      <c r="X90" t="e">
        <f>VLOOKUP(H90,Grupo!$B$2:$E$7,4,0)</f>
        <v>#N/A</v>
      </c>
      <c r="Y90" t="e">
        <f t="shared" si="1"/>
        <v>#N/A</v>
      </c>
    </row>
    <row r="91" spans="1:25" ht="15.6" x14ac:dyDescent="0.3">
      <c r="A91" s="24" t="s">
        <v>295</v>
      </c>
      <c r="B91" s="39" t="s">
        <v>450</v>
      </c>
      <c r="C91" s="24" t="s">
        <v>78</v>
      </c>
      <c r="D91" s="24" t="s">
        <v>451</v>
      </c>
      <c r="E91" s="24" t="s">
        <v>452</v>
      </c>
      <c r="F91" s="24">
        <v>2213559</v>
      </c>
      <c r="G91" s="24" t="s">
        <v>58</v>
      </c>
      <c r="H91" s="24" t="s">
        <v>73</v>
      </c>
      <c r="L91">
        <v>1</v>
      </c>
      <c r="M91">
        <v>1</v>
      </c>
      <c r="N91" s="24" t="s">
        <v>73</v>
      </c>
      <c r="W91" t="e">
        <f>VLOOKUP(H91,Grupo!$B$2:$E$7,3,0)</f>
        <v>#N/A</v>
      </c>
      <c r="X91" t="e">
        <f>VLOOKUP(H91,Grupo!$B$2:$E$7,4,0)</f>
        <v>#N/A</v>
      </c>
      <c r="Y91" t="e">
        <f t="shared" si="1"/>
        <v>#N/A</v>
      </c>
    </row>
    <row r="92" spans="1:25" ht="15.6" x14ac:dyDescent="0.3">
      <c r="A92" s="24" t="s">
        <v>295</v>
      </c>
      <c r="B92" s="39" t="s">
        <v>453</v>
      </c>
      <c r="C92" s="24" t="s">
        <v>78</v>
      </c>
      <c r="D92" s="24" t="s">
        <v>454</v>
      </c>
      <c r="E92" s="24" t="s">
        <v>455</v>
      </c>
      <c r="F92" s="24">
        <v>1900170</v>
      </c>
      <c r="G92" s="24" t="s">
        <v>59</v>
      </c>
      <c r="H92" s="24" t="s">
        <v>73</v>
      </c>
      <c r="L92">
        <v>1</v>
      </c>
      <c r="M92">
        <v>1</v>
      </c>
      <c r="N92" s="24" t="s">
        <v>73</v>
      </c>
      <c r="W92" t="e">
        <f>VLOOKUP(H92,Grupo!$B$2:$E$7,3,0)</f>
        <v>#N/A</v>
      </c>
      <c r="X92" t="e">
        <f>VLOOKUP(H92,Grupo!$B$2:$E$7,4,0)</f>
        <v>#N/A</v>
      </c>
      <c r="Y92" t="e">
        <f t="shared" si="1"/>
        <v>#N/A</v>
      </c>
    </row>
    <row r="93" spans="1:25" ht="15.6" x14ac:dyDescent="0.3">
      <c r="A93" s="24" t="s">
        <v>295</v>
      </c>
      <c r="B93" s="39" t="s">
        <v>456</v>
      </c>
      <c r="C93" s="24" t="s">
        <v>78</v>
      </c>
      <c r="D93" s="24" t="s">
        <v>457</v>
      </c>
      <c r="E93" s="24" t="s">
        <v>458</v>
      </c>
      <c r="F93" s="24">
        <v>1904469</v>
      </c>
      <c r="G93" s="24" t="s">
        <v>60</v>
      </c>
      <c r="H93" s="24" t="s">
        <v>73</v>
      </c>
      <c r="L93">
        <v>1</v>
      </c>
      <c r="M93">
        <v>1</v>
      </c>
      <c r="N93" s="24" t="s">
        <v>73</v>
      </c>
      <c r="W93" t="e">
        <f>VLOOKUP(H93,Grupo!$B$2:$E$7,3,0)</f>
        <v>#N/A</v>
      </c>
      <c r="X93" t="e">
        <f>VLOOKUP(H93,Grupo!$B$2:$E$7,4,0)</f>
        <v>#N/A</v>
      </c>
      <c r="Y93" t="e">
        <f t="shared" si="1"/>
        <v>#N/A</v>
      </c>
    </row>
    <row r="94" spans="1:25" ht="15.6" x14ac:dyDescent="0.3">
      <c r="A94" s="24" t="s">
        <v>295</v>
      </c>
      <c r="B94" s="39" t="s">
        <v>316</v>
      </c>
      <c r="C94" s="24" t="s">
        <v>79</v>
      </c>
      <c r="D94" s="24" t="s">
        <v>459</v>
      </c>
      <c r="E94" s="24" t="s">
        <v>460</v>
      </c>
      <c r="F94" s="24">
        <v>2103389</v>
      </c>
      <c r="G94" s="24" t="s">
        <v>63</v>
      </c>
      <c r="H94" s="24" t="s">
        <v>73</v>
      </c>
      <c r="L94">
        <v>1</v>
      </c>
      <c r="M94">
        <v>1</v>
      </c>
      <c r="N94" s="24" t="s">
        <v>73</v>
      </c>
      <c r="W94" t="e">
        <f>VLOOKUP(H94,Grupo!$B$2:$E$7,3,0)</f>
        <v>#N/A</v>
      </c>
      <c r="X94" t="e">
        <f>VLOOKUP(H94,Grupo!$B$2:$E$7,4,0)</f>
        <v>#N/A</v>
      </c>
      <c r="Y94" t="e">
        <f t="shared" si="1"/>
        <v>#N/A</v>
      </c>
    </row>
    <row r="95" spans="1:25" ht="15.6" x14ac:dyDescent="0.3">
      <c r="A95" s="24" t="s">
        <v>295</v>
      </c>
      <c r="B95" s="39" t="s">
        <v>461</v>
      </c>
      <c r="C95" s="24" t="s">
        <v>78</v>
      </c>
      <c r="D95" s="24" t="s">
        <v>462</v>
      </c>
      <c r="E95" s="24" t="s">
        <v>404</v>
      </c>
      <c r="F95" s="24">
        <v>2071320</v>
      </c>
      <c r="G95" s="24" t="s">
        <v>64</v>
      </c>
      <c r="H95" s="24" t="s">
        <v>73</v>
      </c>
      <c r="L95">
        <v>1</v>
      </c>
      <c r="M95">
        <v>1</v>
      </c>
      <c r="N95" s="24" t="s">
        <v>73</v>
      </c>
      <c r="W95" t="e">
        <f>VLOOKUP(H95,Grupo!$B$2:$E$7,3,0)</f>
        <v>#N/A</v>
      </c>
      <c r="X95" t="e">
        <f>VLOOKUP(H95,Grupo!$B$2:$E$7,4,0)</f>
        <v>#N/A</v>
      </c>
      <c r="Y95" t="e">
        <f t="shared" si="1"/>
        <v>#N/A</v>
      </c>
    </row>
    <row r="96" spans="1:25" ht="15.6" x14ac:dyDescent="0.3">
      <c r="A96" s="24" t="s">
        <v>295</v>
      </c>
      <c r="B96" s="39" t="s">
        <v>463</v>
      </c>
      <c r="C96" s="24" t="s">
        <v>78</v>
      </c>
      <c r="D96" s="24" t="s">
        <v>464</v>
      </c>
      <c r="E96" s="24" t="s">
        <v>465</v>
      </c>
      <c r="F96" s="24">
        <v>1911597</v>
      </c>
      <c r="G96" s="24" t="s">
        <v>65</v>
      </c>
      <c r="H96" s="24" t="s">
        <v>73</v>
      </c>
      <c r="L96">
        <v>1</v>
      </c>
      <c r="M96">
        <v>1</v>
      </c>
      <c r="N96" s="24" t="s">
        <v>73</v>
      </c>
      <c r="W96" t="e">
        <f>VLOOKUP(H96,Grupo!$B$2:$E$7,3,0)</f>
        <v>#N/A</v>
      </c>
      <c r="X96" t="e">
        <f>VLOOKUP(H96,Grupo!$B$2:$E$7,4,0)</f>
        <v>#N/A</v>
      </c>
      <c r="Y96" t="e">
        <f t="shared" si="1"/>
        <v>#N/A</v>
      </c>
    </row>
    <row r="97" spans="1:25" ht="15.6" x14ac:dyDescent="0.3">
      <c r="A97" s="24" t="s">
        <v>295</v>
      </c>
      <c r="B97" s="39" t="s">
        <v>466</v>
      </c>
      <c r="C97" s="24" t="s">
        <v>79</v>
      </c>
      <c r="D97" s="24" t="s">
        <v>467</v>
      </c>
      <c r="E97" s="24" t="s">
        <v>468</v>
      </c>
      <c r="F97" s="24">
        <v>2071401</v>
      </c>
      <c r="G97" s="24" t="s">
        <v>66</v>
      </c>
      <c r="H97" s="24" t="s">
        <v>73</v>
      </c>
      <c r="L97">
        <v>1</v>
      </c>
      <c r="M97">
        <v>1</v>
      </c>
      <c r="N97" s="24" t="s">
        <v>73</v>
      </c>
      <c r="W97" t="e">
        <f>VLOOKUP(H97,Grupo!$B$2:$E$7,3,0)</f>
        <v>#N/A</v>
      </c>
      <c r="X97" t="e">
        <f>VLOOKUP(H97,Grupo!$B$2:$E$7,4,0)</f>
        <v>#N/A</v>
      </c>
      <c r="Y97" t="e">
        <f t="shared" si="1"/>
        <v>#N/A</v>
      </c>
    </row>
    <row r="98" spans="1:25" ht="15.6" x14ac:dyDescent="0.3">
      <c r="A98" s="24" t="s">
        <v>295</v>
      </c>
      <c r="B98" s="39" t="s">
        <v>469</v>
      </c>
      <c r="C98" s="24" t="s">
        <v>78</v>
      </c>
      <c r="D98" s="24" t="s">
        <v>470</v>
      </c>
      <c r="E98" s="24" t="s">
        <v>471</v>
      </c>
      <c r="F98" s="24">
        <v>22226332</v>
      </c>
      <c r="G98" s="24" t="s">
        <v>67</v>
      </c>
      <c r="H98" s="24" t="s">
        <v>73</v>
      </c>
      <c r="L98">
        <v>1</v>
      </c>
      <c r="M98">
        <v>1</v>
      </c>
      <c r="N98" s="24" t="s">
        <v>73</v>
      </c>
      <c r="W98" t="e">
        <f>VLOOKUP(H98,Grupo!$B$2:$E$7,3,0)</f>
        <v>#N/A</v>
      </c>
      <c r="X98" t="e">
        <f>VLOOKUP(H98,Grupo!$B$2:$E$7,4,0)</f>
        <v>#N/A</v>
      </c>
      <c r="Y98" t="e">
        <f t="shared" si="1"/>
        <v>#N/A</v>
      </c>
    </row>
    <row r="99" spans="1:25" ht="15.6" x14ac:dyDescent="0.3">
      <c r="A99" s="24" t="s">
        <v>295</v>
      </c>
      <c r="B99" s="39" t="s">
        <v>472</v>
      </c>
      <c r="C99" s="24" t="s">
        <v>78</v>
      </c>
      <c r="D99" s="24" t="s">
        <v>473</v>
      </c>
      <c r="E99" s="24" t="s">
        <v>474</v>
      </c>
      <c r="F99" s="24">
        <v>1822853</v>
      </c>
      <c r="G99" s="24" t="s">
        <v>68</v>
      </c>
      <c r="H99" s="24" t="s">
        <v>73</v>
      </c>
      <c r="L99">
        <v>1</v>
      </c>
      <c r="M99">
        <v>1</v>
      </c>
      <c r="N99" s="24" t="s">
        <v>73</v>
      </c>
      <c r="W99" t="e">
        <f>VLOOKUP(H99,Grupo!$B$2:$E$7,3,0)</f>
        <v>#N/A</v>
      </c>
      <c r="X99" t="e">
        <f>VLOOKUP(H99,Grupo!$B$2:$E$7,4,0)</f>
        <v>#N/A</v>
      </c>
      <c r="Y99" t="e">
        <f t="shared" si="1"/>
        <v>#N/A</v>
      </c>
    </row>
    <row r="100" spans="1:25" ht="15.6" x14ac:dyDescent="0.3">
      <c r="A100" s="24" t="s">
        <v>295</v>
      </c>
      <c r="B100" s="39" t="s">
        <v>475</v>
      </c>
      <c r="C100" s="24" t="s">
        <v>78</v>
      </c>
      <c r="D100" s="24" t="s">
        <v>476</v>
      </c>
      <c r="E100" s="24" t="s">
        <v>477</v>
      </c>
      <c r="F100" s="24">
        <v>1824627</v>
      </c>
      <c r="G100" s="24" t="s">
        <v>69</v>
      </c>
      <c r="H100" s="24" t="s">
        <v>73</v>
      </c>
      <c r="L100">
        <v>1</v>
      </c>
      <c r="M100">
        <v>1</v>
      </c>
      <c r="N100" s="24" t="s">
        <v>73</v>
      </c>
      <c r="W100" t="e">
        <f>VLOOKUP(H100,Grupo!$B$2:$E$7,3,0)</f>
        <v>#N/A</v>
      </c>
      <c r="X100" t="e">
        <f>VLOOKUP(H100,Grupo!$B$2:$E$7,4,0)</f>
        <v>#N/A</v>
      </c>
      <c r="Y100" t="e">
        <f t="shared" si="1"/>
        <v>#N/A</v>
      </c>
    </row>
    <row r="101" spans="1:25" ht="15.6" x14ac:dyDescent="0.3">
      <c r="A101" s="24" t="s">
        <v>295</v>
      </c>
      <c r="B101" s="39" t="s">
        <v>478</v>
      </c>
      <c r="C101" s="24" t="s">
        <v>78</v>
      </c>
      <c r="D101" s="24" t="s">
        <v>479</v>
      </c>
      <c r="E101" s="24" t="s">
        <v>480</v>
      </c>
      <c r="F101" s="24">
        <v>2066050</v>
      </c>
      <c r="G101" s="24" t="s">
        <v>70</v>
      </c>
      <c r="H101" s="24" t="s">
        <v>73</v>
      </c>
      <c r="L101">
        <v>1</v>
      </c>
      <c r="M101">
        <v>1</v>
      </c>
      <c r="N101" s="24" t="s">
        <v>73</v>
      </c>
      <c r="W101" t="e">
        <f>VLOOKUP(H101,Grupo!$B$2:$E$7,3,0)</f>
        <v>#N/A</v>
      </c>
      <c r="X101" t="e">
        <f>VLOOKUP(H101,Grupo!$B$2:$E$7,4,0)</f>
        <v>#N/A</v>
      </c>
      <c r="Y101" t="e">
        <f t="shared" si="1"/>
        <v>#N/A</v>
      </c>
    </row>
    <row r="102" spans="1:25" ht="15.6" x14ac:dyDescent="0.3">
      <c r="A102" s="24" t="s">
        <v>295</v>
      </c>
      <c r="B102" s="39" t="s">
        <v>481</v>
      </c>
      <c r="C102" s="24" t="s">
        <v>78</v>
      </c>
      <c r="D102" s="24" t="s">
        <v>482</v>
      </c>
      <c r="E102" s="24" t="s">
        <v>483</v>
      </c>
      <c r="F102" s="24">
        <v>1903187</v>
      </c>
      <c r="G102" s="24" t="s">
        <v>71</v>
      </c>
      <c r="H102" s="24" t="s">
        <v>73</v>
      </c>
      <c r="L102">
        <v>1</v>
      </c>
      <c r="M102">
        <v>1</v>
      </c>
      <c r="N102" s="24" t="s">
        <v>73</v>
      </c>
      <c r="W102" t="e">
        <f>VLOOKUP(H102,Grupo!$B$2:$E$7,3,0)</f>
        <v>#N/A</v>
      </c>
      <c r="X102" t="e">
        <f>VLOOKUP(H102,Grupo!$B$2:$E$7,4,0)</f>
        <v>#N/A</v>
      </c>
      <c r="Y102" t="e">
        <f t="shared" si="1"/>
        <v>#N/A</v>
      </c>
    </row>
    <row r="103" spans="1:25" ht="15.6" x14ac:dyDescent="0.3">
      <c r="A103" s="24" t="s">
        <v>295</v>
      </c>
      <c r="B103" s="39" t="s">
        <v>484</v>
      </c>
      <c r="C103" s="24" t="s">
        <v>78</v>
      </c>
      <c r="D103" s="24" t="s">
        <v>485</v>
      </c>
      <c r="E103" s="24" t="s">
        <v>486</v>
      </c>
      <c r="F103" s="24">
        <v>2266148</v>
      </c>
      <c r="G103" s="24" t="s">
        <v>36</v>
      </c>
      <c r="H103" s="24" t="s">
        <v>73</v>
      </c>
      <c r="L103">
        <v>1</v>
      </c>
      <c r="M103">
        <v>1</v>
      </c>
      <c r="N103" s="24" t="s">
        <v>73</v>
      </c>
      <c r="W103" t="e">
        <f>VLOOKUP(H103,Grupo!$B$2:$E$7,3,0)</f>
        <v>#N/A</v>
      </c>
      <c r="X103" t="e">
        <f>VLOOKUP(H103,Grupo!$B$2:$E$7,4,0)</f>
        <v>#N/A</v>
      </c>
      <c r="Y103" t="e">
        <f t="shared" si="1"/>
        <v>#N/A</v>
      </c>
    </row>
    <row r="104" spans="1:25" ht="15.6" x14ac:dyDescent="0.3">
      <c r="A104" s="24" t="s">
        <v>295</v>
      </c>
      <c r="B104" s="39" t="s">
        <v>264</v>
      </c>
      <c r="C104" s="24" t="s">
        <v>79</v>
      </c>
      <c r="D104" s="24" t="s">
        <v>487</v>
      </c>
      <c r="E104" s="24" t="s">
        <v>488</v>
      </c>
      <c r="F104" s="24">
        <v>2245191</v>
      </c>
      <c r="G104" s="24" t="s">
        <v>47</v>
      </c>
      <c r="H104" s="24" t="s">
        <v>73</v>
      </c>
      <c r="L104">
        <v>1</v>
      </c>
      <c r="M104">
        <v>1</v>
      </c>
      <c r="N104" s="24" t="s">
        <v>73</v>
      </c>
      <c r="W104" t="e">
        <f>VLOOKUP(H104,Grupo!$B$2:$E$7,3,0)</f>
        <v>#N/A</v>
      </c>
      <c r="X104" t="e">
        <f>VLOOKUP(H104,Grupo!$B$2:$E$7,4,0)</f>
        <v>#N/A</v>
      </c>
      <c r="Y104" t="e">
        <f t="shared" si="1"/>
        <v>#N/A</v>
      </c>
    </row>
    <row r="105" spans="1:25" ht="15.6" x14ac:dyDescent="0.3">
      <c r="A105" s="24" t="s">
        <v>295</v>
      </c>
      <c r="B105" s="39" t="s">
        <v>489</v>
      </c>
      <c r="C105" s="24" t="s">
        <v>78</v>
      </c>
      <c r="D105" s="24" t="s">
        <v>490</v>
      </c>
      <c r="E105" s="24" t="s">
        <v>491</v>
      </c>
      <c r="F105" s="24">
        <v>2211491</v>
      </c>
      <c r="G105" s="24" t="s">
        <v>48</v>
      </c>
      <c r="H105" s="24" t="s">
        <v>73</v>
      </c>
      <c r="L105">
        <v>1</v>
      </c>
      <c r="M105">
        <v>1</v>
      </c>
      <c r="N105" s="24" t="s">
        <v>73</v>
      </c>
      <c r="W105" t="e">
        <f>VLOOKUP(H105,Grupo!$B$2:$E$7,3,0)</f>
        <v>#N/A</v>
      </c>
      <c r="X105" t="e">
        <f>VLOOKUP(H105,Grupo!$B$2:$E$7,4,0)</f>
        <v>#N/A</v>
      </c>
      <c r="Y105" t="e">
        <f t="shared" si="1"/>
        <v>#N/A</v>
      </c>
    </row>
    <row r="106" spans="1:25" ht="15.6" x14ac:dyDescent="0.3">
      <c r="A106" s="24" t="s">
        <v>295</v>
      </c>
      <c r="B106" s="39" t="s">
        <v>492</v>
      </c>
      <c r="C106" s="24" t="s">
        <v>78</v>
      </c>
      <c r="D106" s="24" t="s">
        <v>493</v>
      </c>
      <c r="E106" s="24" t="s">
        <v>494</v>
      </c>
      <c r="F106" s="24">
        <v>2213761</v>
      </c>
      <c r="G106" s="24" t="s">
        <v>51</v>
      </c>
      <c r="H106" s="24" t="s">
        <v>73</v>
      </c>
      <c r="L106">
        <v>1</v>
      </c>
      <c r="M106">
        <v>1</v>
      </c>
      <c r="N106" s="24" t="s">
        <v>73</v>
      </c>
      <c r="W106" t="e">
        <f>VLOOKUP(H106,Grupo!$B$2:$E$7,3,0)</f>
        <v>#N/A</v>
      </c>
      <c r="X106" t="e">
        <f>VLOOKUP(H106,Grupo!$B$2:$E$7,4,0)</f>
        <v>#N/A</v>
      </c>
      <c r="Y106" t="e">
        <f t="shared" si="1"/>
        <v>#N/A</v>
      </c>
    </row>
    <row r="107" spans="1:25" ht="15.6" x14ac:dyDescent="0.3">
      <c r="A107" s="24" t="s">
        <v>295</v>
      </c>
      <c r="B107" s="39" t="s">
        <v>495</v>
      </c>
      <c r="C107" s="24" t="s">
        <v>78</v>
      </c>
      <c r="D107" s="24" t="s">
        <v>496</v>
      </c>
      <c r="E107" s="24" t="s">
        <v>497</v>
      </c>
      <c r="F107" s="24">
        <v>2213877</v>
      </c>
      <c r="G107" s="24" t="s">
        <v>52</v>
      </c>
      <c r="H107" s="24" t="s">
        <v>73</v>
      </c>
      <c r="L107">
        <v>1</v>
      </c>
      <c r="M107">
        <v>1</v>
      </c>
      <c r="N107" s="24" t="s">
        <v>73</v>
      </c>
      <c r="W107" t="e">
        <f>VLOOKUP(H107,Grupo!$B$2:$E$7,3,0)</f>
        <v>#N/A</v>
      </c>
      <c r="X107" t="e">
        <f>VLOOKUP(H107,Grupo!$B$2:$E$7,4,0)</f>
        <v>#N/A</v>
      </c>
      <c r="Y107" t="e">
        <f t="shared" si="1"/>
        <v>#N/A</v>
      </c>
    </row>
    <row r="108" spans="1:25" ht="15.6" x14ac:dyDescent="0.3">
      <c r="A108" s="24" t="s">
        <v>295</v>
      </c>
      <c r="B108" s="39" t="s">
        <v>498</v>
      </c>
      <c r="C108" s="24" t="s">
        <v>78</v>
      </c>
      <c r="D108" s="24" t="s">
        <v>499</v>
      </c>
      <c r="E108" s="24" t="s">
        <v>500</v>
      </c>
      <c r="F108" s="24">
        <v>2230801</v>
      </c>
      <c r="G108" s="24" t="s">
        <v>53</v>
      </c>
      <c r="H108" s="24" t="s">
        <v>73</v>
      </c>
      <c r="L108">
        <v>1</v>
      </c>
      <c r="M108">
        <v>1</v>
      </c>
      <c r="N108" s="24" t="s">
        <v>73</v>
      </c>
      <c r="W108" t="e">
        <f>VLOOKUP(H108,Grupo!$B$2:$E$7,3,0)</f>
        <v>#N/A</v>
      </c>
      <c r="X108" t="e">
        <f>VLOOKUP(H108,Grupo!$B$2:$E$7,4,0)</f>
        <v>#N/A</v>
      </c>
      <c r="Y108" t="e">
        <f t="shared" si="1"/>
        <v>#N/A</v>
      </c>
    </row>
    <row r="109" spans="1:25" ht="15.6" x14ac:dyDescent="0.3">
      <c r="A109" s="24" t="s">
        <v>295</v>
      </c>
      <c r="B109" s="39" t="s">
        <v>501</v>
      </c>
      <c r="C109" s="24" t="s">
        <v>78</v>
      </c>
      <c r="D109" s="40" t="s">
        <v>502</v>
      </c>
      <c r="E109" s="40" t="s">
        <v>503</v>
      </c>
      <c r="F109" s="24">
        <v>2214118</v>
      </c>
      <c r="G109" s="24" t="s">
        <v>56</v>
      </c>
      <c r="H109" s="24" t="s">
        <v>73</v>
      </c>
      <c r="L109">
        <v>1</v>
      </c>
      <c r="M109">
        <v>1</v>
      </c>
      <c r="N109" s="24" t="s">
        <v>73</v>
      </c>
      <c r="W109" t="e">
        <f>VLOOKUP(H109,Grupo!$B$2:$E$7,3,0)</f>
        <v>#N/A</v>
      </c>
      <c r="X109" t="e">
        <f>VLOOKUP(H109,Grupo!$B$2:$E$7,4,0)</f>
        <v>#N/A</v>
      </c>
      <c r="Y109" t="e">
        <f t="shared" si="1"/>
        <v>#N/A</v>
      </c>
    </row>
    <row r="110" spans="1:25" ht="15.6" x14ac:dyDescent="0.3">
      <c r="A110" s="24" t="s">
        <v>295</v>
      </c>
      <c r="B110" s="39" t="s">
        <v>504</v>
      </c>
      <c r="C110" s="24" t="s">
        <v>78</v>
      </c>
      <c r="D110" s="24" t="s">
        <v>505</v>
      </c>
      <c r="E110" s="24" t="s">
        <v>506</v>
      </c>
      <c r="F110" s="24">
        <v>2213567</v>
      </c>
      <c r="G110" s="24" t="s">
        <v>58</v>
      </c>
      <c r="H110" s="24" t="s">
        <v>73</v>
      </c>
      <c r="L110">
        <v>1</v>
      </c>
      <c r="M110">
        <v>1</v>
      </c>
      <c r="N110" s="24" t="s">
        <v>73</v>
      </c>
      <c r="W110" t="e">
        <f>VLOOKUP(H110,Grupo!$B$2:$E$7,3,0)</f>
        <v>#N/A</v>
      </c>
      <c r="X110" t="e">
        <f>VLOOKUP(H110,Grupo!$B$2:$E$7,4,0)</f>
        <v>#N/A</v>
      </c>
      <c r="Y110" t="e">
        <f t="shared" si="1"/>
        <v>#N/A</v>
      </c>
    </row>
    <row r="111" spans="1:25" ht="15.6" x14ac:dyDescent="0.3">
      <c r="A111" s="24" t="s">
        <v>295</v>
      </c>
      <c r="B111" s="39" t="s">
        <v>507</v>
      </c>
      <c r="C111" s="24" t="s">
        <v>78</v>
      </c>
      <c r="D111" s="24" t="s">
        <v>508</v>
      </c>
      <c r="E111" s="24" t="s">
        <v>509</v>
      </c>
      <c r="F111" s="24">
        <v>2213060</v>
      </c>
      <c r="G111" s="24" t="s">
        <v>59</v>
      </c>
      <c r="H111" s="24" t="s">
        <v>73</v>
      </c>
      <c r="L111">
        <v>1</v>
      </c>
      <c r="M111">
        <v>1</v>
      </c>
      <c r="N111" s="24" t="s">
        <v>73</v>
      </c>
      <c r="W111" t="e">
        <f>VLOOKUP(H111,Grupo!$B$2:$E$7,3,0)</f>
        <v>#N/A</v>
      </c>
      <c r="X111" t="e">
        <f>VLOOKUP(H111,Grupo!$B$2:$E$7,4,0)</f>
        <v>#N/A</v>
      </c>
      <c r="Y111" t="e">
        <f t="shared" si="1"/>
        <v>#N/A</v>
      </c>
    </row>
    <row r="112" spans="1:25" ht="15.6" x14ac:dyDescent="0.3">
      <c r="A112" s="24" t="s">
        <v>295</v>
      </c>
      <c r="B112" s="39" t="s">
        <v>510</v>
      </c>
      <c r="C112" s="24" t="s">
        <v>78</v>
      </c>
      <c r="D112" s="24" t="s">
        <v>511</v>
      </c>
      <c r="E112" s="24" t="s">
        <v>512</v>
      </c>
      <c r="F112" s="24">
        <v>2212048</v>
      </c>
      <c r="G112" s="24" t="s">
        <v>60</v>
      </c>
      <c r="H112" s="24" t="s">
        <v>73</v>
      </c>
      <c r="L112">
        <v>1</v>
      </c>
      <c r="M112">
        <v>1</v>
      </c>
      <c r="N112" s="24" t="s">
        <v>73</v>
      </c>
      <c r="W112" t="e">
        <f>VLOOKUP(H112,Grupo!$B$2:$E$7,3,0)</f>
        <v>#N/A</v>
      </c>
      <c r="X112" t="e">
        <f>VLOOKUP(H112,Grupo!$B$2:$E$7,4,0)</f>
        <v>#N/A</v>
      </c>
      <c r="Y112" t="e">
        <f t="shared" si="1"/>
        <v>#N/A</v>
      </c>
    </row>
    <row r="113" spans="1:25" ht="15.6" x14ac:dyDescent="0.3">
      <c r="A113" s="24" t="s">
        <v>295</v>
      </c>
      <c r="B113" s="39" t="s">
        <v>513</v>
      </c>
      <c r="C113" s="24" t="s">
        <v>79</v>
      </c>
      <c r="D113" s="24" t="s">
        <v>514</v>
      </c>
      <c r="E113" s="24" t="s">
        <v>515</v>
      </c>
      <c r="F113" s="24">
        <v>2086212</v>
      </c>
      <c r="G113" s="24" t="s">
        <v>66</v>
      </c>
      <c r="H113" s="24" t="s">
        <v>73</v>
      </c>
      <c r="L113">
        <v>1</v>
      </c>
      <c r="M113">
        <v>1</v>
      </c>
      <c r="N113" s="24" t="s">
        <v>73</v>
      </c>
      <c r="W113" t="e">
        <f>VLOOKUP(H113,Grupo!$B$2:$E$7,3,0)</f>
        <v>#N/A</v>
      </c>
      <c r="X113" t="e">
        <f>VLOOKUP(H113,Grupo!$B$2:$E$7,4,0)</f>
        <v>#N/A</v>
      </c>
      <c r="Y113" t="e">
        <f t="shared" si="1"/>
        <v>#N/A</v>
      </c>
    </row>
    <row r="114" spans="1:25" ht="15.6" x14ac:dyDescent="0.3">
      <c r="A114" s="24" t="s">
        <v>295</v>
      </c>
      <c r="B114" s="39" t="s">
        <v>516</v>
      </c>
      <c r="C114" s="24" t="s">
        <v>78</v>
      </c>
      <c r="D114" s="24" t="s">
        <v>517</v>
      </c>
      <c r="E114" s="24" t="s">
        <v>518</v>
      </c>
      <c r="F114" s="24">
        <v>18187559</v>
      </c>
      <c r="G114" s="24" t="s">
        <v>67</v>
      </c>
      <c r="H114" s="24" t="s">
        <v>73</v>
      </c>
      <c r="L114">
        <v>1</v>
      </c>
      <c r="M114">
        <v>1</v>
      </c>
      <c r="N114" s="24" t="s">
        <v>73</v>
      </c>
      <c r="W114" t="e">
        <f>VLOOKUP(H114,Grupo!$B$2:$E$7,3,0)</f>
        <v>#N/A</v>
      </c>
      <c r="X114" t="e">
        <f>VLOOKUP(H114,Grupo!$B$2:$E$7,4,0)</f>
        <v>#N/A</v>
      </c>
      <c r="Y114" t="e">
        <f t="shared" si="1"/>
        <v>#N/A</v>
      </c>
    </row>
    <row r="115" spans="1:25" ht="15.6" x14ac:dyDescent="0.3">
      <c r="A115" s="24" t="s">
        <v>295</v>
      </c>
      <c r="B115" s="39" t="s">
        <v>519</v>
      </c>
      <c r="C115" s="24" t="s">
        <v>78</v>
      </c>
      <c r="D115" s="24" t="s">
        <v>520</v>
      </c>
      <c r="E115" s="24" t="s">
        <v>521</v>
      </c>
      <c r="F115" s="24">
        <v>2063336</v>
      </c>
      <c r="G115" s="24" t="s">
        <v>68</v>
      </c>
      <c r="H115" s="24" t="s">
        <v>73</v>
      </c>
      <c r="L115">
        <v>1</v>
      </c>
      <c r="M115">
        <v>1</v>
      </c>
      <c r="N115" s="24" t="s">
        <v>73</v>
      </c>
      <c r="W115" t="e">
        <f>VLOOKUP(H115,Grupo!$B$2:$E$7,3,0)</f>
        <v>#N/A</v>
      </c>
      <c r="X115" t="e">
        <f>VLOOKUP(H115,Grupo!$B$2:$E$7,4,0)</f>
        <v>#N/A</v>
      </c>
      <c r="Y115" t="e">
        <f t="shared" si="1"/>
        <v>#N/A</v>
      </c>
    </row>
    <row r="116" spans="1:25" ht="15.6" x14ac:dyDescent="0.3">
      <c r="A116" s="24" t="s">
        <v>295</v>
      </c>
      <c r="B116" s="39" t="s">
        <v>522</v>
      </c>
      <c r="C116" s="24" t="s">
        <v>78</v>
      </c>
      <c r="D116" s="24" t="s">
        <v>523</v>
      </c>
      <c r="E116" s="24" t="s">
        <v>524</v>
      </c>
      <c r="F116" s="24">
        <v>1824317</v>
      </c>
      <c r="G116" s="24" t="s">
        <v>69</v>
      </c>
      <c r="H116" s="24" t="s">
        <v>73</v>
      </c>
      <c r="L116">
        <v>1</v>
      </c>
      <c r="M116">
        <v>1</v>
      </c>
      <c r="N116" s="24" t="s">
        <v>73</v>
      </c>
      <c r="W116" t="e">
        <f>VLOOKUP(H116,Grupo!$B$2:$E$7,3,0)</f>
        <v>#N/A</v>
      </c>
      <c r="X116" t="e">
        <f>VLOOKUP(H116,Grupo!$B$2:$E$7,4,0)</f>
        <v>#N/A</v>
      </c>
      <c r="Y116" t="e">
        <f t="shared" si="1"/>
        <v>#N/A</v>
      </c>
    </row>
    <row r="117" spans="1:25" ht="15.6" x14ac:dyDescent="0.3">
      <c r="A117" s="24" t="s">
        <v>295</v>
      </c>
      <c r="B117" s="39" t="s">
        <v>525</v>
      </c>
      <c r="C117" s="24" t="s">
        <v>78</v>
      </c>
      <c r="D117" s="24" t="s">
        <v>526</v>
      </c>
      <c r="E117" s="24" t="s">
        <v>527</v>
      </c>
      <c r="F117" s="24">
        <v>2066068</v>
      </c>
      <c r="G117" s="24" t="s">
        <v>70</v>
      </c>
      <c r="H117" s="24" t="s">
        <v>73</v>
      </c>
      <c r="L117">
        <v>1</v>
      </c>
      <c r="M117">
        <v>1</v>
      </c>
      <c r="N117" s="24" t="s">
        <v>73</v>
      </c>
      <c r="W117" t="e">
        <f>VLOOKUP(H117,Grupo!$B$2:$E$7,3,0)</f>
        <v>#N/A</v>
      </c>
      <c r="X117" t="e">
        <f>VLOOKUP(H117,Grupo!$B$2:$E$7,4,0)</f>
        <v>#N/A</v>
      </c>
      <c r="Y117" t="e">
        <f t="shared" si="1"/>
        <v>#N/A</v>
      </c>
    </row>
    <row r="118" spans="1:25" ht="15.6" x14ac:dyDescent="0.3">
      <c r="A118" s="24" t="s">
        <v>295</v>
      </c>
      <c r="B118" s="39" t="s">
        <v>528</v>
      </c>
      <c r="C118" s="24" t="s">
        <v>78</v>
      </c>
      <c r="D118" s="24" t="s">
        <v>529</v>
      </c>
      <c r="E118" s="24" t="s">
        <v>530</v>
      </c>
      <c r="F118" s="24">
        <v>1903179</v>
      </c>
      <c r="G118" s="24" t="s">
        <v>71</v>
      </c>
      <c r="H118" s="24" t="s">
        <v>73</v>
      </c>
      <c r="L118">
        <v>1</v>
      </c>
      <c r="M118">
        <v>1</v>
      </c>
      <c r="N118" s="24" t="s">
        <v>73</v>
      </c>
      <c r="W118" t="e">
        <f>VLOOKUP(H118,Grupo!$B$2:$E$7,3,0)</f>
        <v>#N/A</v>
      </c>
      <c r="X118" t="e">
        <f>VLOOKUP(H118,Grupo!$B$2:$E$7,4,0)</f>
        <v>#N/A</v>
      </c>
      <c r="Y118" t="e">
        <f t="shared" si="1"/>
        <v>#N/A</v>
      </c>
    </row>
    <row r="119" spans="1:25" ht="15.6" x14ac:dyDescent="0.3">
      <c r="A119" s="24" t="s">
        <v>295</v>
      </c>
      <c r="B119" s="39" t="s">
        <v>264</v>
      </c>
      <c r="C119" s="24" t="s">
        <v>79</v>
      </c>
      <c r="D119" s="24" t="s">
        <v>531</v>
      </c>
      <c r="E119" s="24" t="s">
        <v>532</v>
      </c>
      <c r="F119" s="24">
        <v>2245205</v>
      </c>
      <c r="G119" s="24" t="s">
        <v>47</v>
      </c>
      <c r="H119" s="24" t="s">
        <v>73</v>
      </c>
      <c r="L119">
        <v>1</v>
      </c>
      <c r="M119">
        <v>1</v>
      </c>
      <c r="N119" s="24" t="s">
        <v>73</v>
      </c>
      <c r="W119" t="e">
        <f>VLOOKUP(H119,Grupo!$B$2:$E$7,3,0)</f>
        <v>#N/A</v>
      </c>
      <c r="X119" t="e">
        <f>VLOOKUP(H119,Grupo!$B$2:$E$7,4,0)</f>
        <v>#N/A</v>
      </c>
      <c r="Y119" t="e">
        <f t="shared" si="1"/>
        <v>#N/A</v>
      </c>
    </row>
    <row r="120" spans="1:25" ht="15.6" x14ac:dyDescent="0.3">
      <c r="A120" s="24" t="s">
        <v>295</v>
      </c>
      <c r="B120" s="39" t="s">
        <v>533</v>
      </c>
      <c r="C120" s="24" t="s">
        <v>78</v>
      </c>
      <c r="D120" s="24" t="s">
        <v>534</v>
      </c>
      <c r="E120" s="24" t="s">
        <v>535</v>
      </c>
      <c r="F120" s="24">
        <v>2213770</v>
      </c>
      <c r="G120" s="24" t="s">
        <v>51</v>
      </c>
      <c r="H120" s="24" t="s">
        <v>73</v>
      </c>
      <c r="L120">
        <v>1</v>
      </c>
      <c r="M120">
        <v>1</v>
      </c>
      <c r="N120" s="24" t="s">
        <v>73</v>
      </c>
      <c r="W120" t="e">
        <f>VLOOKUP(H120,Grupo!$B$2:$E$7,3,0)</f>
        <v>#N/A</v>
      </c>
      <c r="X120" t="e">
        <f>VLOOKUP(H120,Grupo!$B$2:$E$7,4,0)</f>
        <v>#N/A</v>
      </c>
      <c r="Y120" t="e">
        <f t="shared" si="1"/>
        <v>#N/A</v>
      </c>
    </row>
    <row r="121" spans="1:25" ht="15.6" x14ac:dyDescent="0.3">
      <c r="A121" s="24" t="s">
        <v>295</v>
      </c>
      <c r="B121" s="39" t="s">
        <v>536</v>
      </c>
      <c r="C121" s="24" t="s">
        <v>78</v>
      </c>
      <c r="D121" s="40" t="s">
        <v>537</v>
      </c>
      <c r="E121" s="40" t="s">
        <v>538</v>
      </c>
      <c r="F121" s="24">
        <v>2214091</v>
      </c>
      <c r="G121" s="24" t="s">
        <v>56</v>
      </c>
      <c r="H121" s="24" t="s">
        <v>73</v>
      </c>
      <c r="L121">
        <v>1</v>
      </c>
      <c r="M121">
        <v>1</v>
      </c>
      <c r="N121" s="24" t="s">
        <v>73</v>
      </c>
      <c r="W121" t="e">
        <f>VLOOKUP(H121,Grupo!$B$2:$E$7,3,0)</f>
        <v>#N/A</v>
      </c>
      <c r="X121" t="e">
        <f>VLOOKUP(H121,Grupo!$B$2:$E$7,4,0)</f>
        <v>#N/A</v>
      </c>
      <c r="Y121" t="e">
        <f t="shared" si="1"/>
        <v>#N/A</v>
      </c>
    </row>
    <row r="122" spans="1:25" ht="15.6" x14ac:dyDescent="0.3">
      <c r="A122" s="24" t="s">
        <v>295</v>
      </c>
      <c r="B122" s="39" t="s">
        <v>539</v>
      </c>
      <c r="C122" s="24" t="s">
        <v>78</v>
      </c>
      <c r="D122" s="24" t="s">
        <v>540</v>
      </c>
      <c r="E122" s="24" t="s">
        <v>541</v>
      </c>
      <c r="F122" s="24">
        <v>1900366</v>
      </c>
      <c r="G122" s="24" t="s">
        <v>59</v>
      </c>
      <c r="H122" s="24" t="s">
        <v>73</v>
      </c>
      <c r="L122">
        <v>1</v>
      </c>
      <c r="M122">
        <v>1</v>
      </c>
      <c r="N122" s="24" t="s">
        <v>73</v>
      </c>
      <c r="W122" t="e">
        <f>VLOOKUP(H122,Grupo!$B$2:$E$7,3,0)</f>
        <v>#N/A</v>
      </c>
      <c r="X122" t="e">
        <f>VLOOKUP(H122,Grupo!$B$2:$E$7,4,0)</f>
        <v>#N/A</v>
      </c>
      <c r="Y122" t="e">
        <f t="shared" si="1"/>
        <v>#N/A</v>
      </c>
    </row>
    <row r="123" spans="1:25" ht="15.6" x14ac:dyDescent="0.3">
      <c r="A123" s="24" t="s">
        <v>295</v>
      </c>
      <c r="B123" s="39" t="s">
        <v>542</v>
      </c>
      <c r="C123" s="24" t="s">
        <v>78</v>
      </c>
      <c r="D123" s="24" t="s">
        <v>543</v>
      </c>
      <c r="E123" s="24" t="s">
        <v>544</v>
      </c>
      <c r="F123" s="24">
        <v>2211238</v>
      </c>
      <c r="G123" s="24" t="s">
        <v>60</v>
      </c>
      <c r="H123" s="24" t="s">
        <v>73</v>
      </c>
      <c r="L123">
        <v>1</v>
      </c>
      <c r="M123">
        <v>1</v>
      </c>
      <c r="N123" s="24" t="s">
        <v>73</v>
      </c>
      <c r="W123" t="e">
        <f>VLOOKUP(H123,Grupo!$B$2:$E$7,3,0)</f>
        <v>#N/A</v>
      </c>
      <c r="X123" t="e">
        <f>VLOOKUP(H123,Grupo!$B$2:$E$7,4,0)</f>
        <v>#N/A</v>
      </c>
      <c r="Y123" t="e">
        <f t="shared" si="1"/>
        <v>#N/A</v>
      </c>
    </row>
    <row r="124" spans="1:25" ht="15.6" x14ac:dyDescent="0.3">
      <c r="A124" s="24" t="s">
        <v>295</v>
      </c>
      <c r="B124" s="39" t="s">
        <v>545</v>
      </c>
      <c r="C124" s="24" t="s">
        <v>78</v>
      </c>
      <c r="D124" s="24" t="s">
        <v>546</v>
      </c>
      <c r="E124" s="24" t="s">
        <v>547</v>
      </c>
      <c r="F124" s="24">
        <v>2071371</v>
      </c>
      <c r="G124" s="24" t="s">
        <v>66</v>
      </c>
      <c r="H124" s="24" t="s">
        <v>73</v>
      </c>
      <c r="L124">
        <v>1</v>
      </c>
      <c r="M124">
        <v>1</v>
      </c>
      <c r="N124" s="24" t="s">
        <v>73</v>
      </c>
      <c r="W124" t="e">
        <f>VLOOKUP(H124,Grupo!$B$2:$E$7,3,0)</f>
        <v>#N/A</v>
      </c>
      <c r="X124" t="e">
        <f>VLOOKUP(H124,Grupo!$B$2:$E$7,4,0)</f>
        <v>#N/A</v>
      </c>
      <c r="Y124" t="e">
        <f t="shared" si="1"/>
        <v>#N/A</v>
      </c>
    </row>
    <row r="125" spans="1:25" ht="15.6" x14ac:dyDescent="0.3">
      <c r="A125" s="24" t="s">
        <v>295</v>
      </c>
      <c r="B125" s="39" t="s">
        <v>548</v>
      </c>
      <c r="C125" s="24" t="s">
        <v>78</v>
      </c>
      <c r="D125" s="24" t="s">
        <v>549</v>
      </c>
      <c r="E125" s="24" t="s">
        <v>550</v>
      </c>
      <c r="F125" s="24">
        <v>18187440</v>
      </c>
      <c r="G125" s="24" t="s">
        <v>67</v>
      </c>
      <c r="H125" s="24" t="s">
        <v>73</v>
      </c>
      <c r="L125">
        <v>1</v>
      </c>
      <c r="M125">
        <v>1</v>
      </c>
      <c r="N125" s="24" t="s">
        <v>73</v>
      </c>
      <c r="W125" t="e">
        <f>VLOOKUP(H125,Grupo!$B$2:$E$7,3,0)</f>
        <v>#N/A</v>
      </c>
      <c r="X125" t="e">
        <f>VLOOKUP(H125,Grupo!$B$2:$E$7,4,0)</f>
        <v>#N/A</v>
      </c>
      <c r="Y125" t="e">
        <f t="shared" si="1"/>
        <v>#N/A</v>
      </c>
    </row>
    <row r="126" spans="1:25" ht="15.6" x14ac:dyDescent="0.3">
      <c r="A126" s="24" t="s">
        <v>295</v>
      </c>
      <c r="B126" s="39" t="s">
        <v>551</v>
      </c>
      <c r="C126" s="24" t="s">
        <v>78</v>
      </c>
      <c r="D126" s="24" t="s">
        <v>552</v>
      </c>
      <c r="E126" s="24" t="s">
        <v>553</v>
      </c>
      <c r="F126" s="24">
        <v>2063344</v>
      </c>
      <c r="G126" s="24" t="s">
        <v>68</v>
      </c>
      <c r="H126" s="24" t="s">
        <v>73</v>
      </c>
      <c r="L126">
        <v>1</v>
      </c>
      <c r="M126">
        <v>1</v>
      </c>
      <c r="N126" s="24" t="s">
        <v>73</v>
      </c>
      <c r="W126" t="e">
        <f>VLOOKUP(H126,Grupo!$B$2:$E$7,3,0)</f>
        <v>#N/A</v>
      </c>
      <c r="X126" t="e">
        <f>VLOOKUP(H126,Grupo!$B$2:$E$7,4,0)</f>
        <v>#N/A</v>
      </c>
      <c r="Y126" t="e">
        <f t="shared" si="1"/>
        <v>#N/A</v>
      </c>
    </row>
    <row r="127" spans="1:25" ht="15.6" x14ac:dyDescent="0.3">
      <c r="A127" s="24" t="s">
        <v>295</v>
      </c>
      <c r="B127" s="39" t="s">
        <v>554</v>
      </c>
      <c r="C127" s="24" t="s">
        <v>78</v>
      </c>
      <c r="D127" s="24" t="s">
        <v>555</v>
      </c>
      <c r="E127" s="24" t="s">
        <v>556</v>
      </c>
      <c r="F127" s="24">
        <v>1824333</v>
      </c>
      <c r="G127" s="24" t="s">
        <v>69</v>
      </c>
      <c r="H127" s="24" t="s">
        <v>73</v>
      </c>
      <c r="L127">
        <v>1</v>
      </c>
      <c r="M127">
        <v>1</v>
      </c>
      <c r="N127" s="24" t="s">
        <v>73</v>
      </c>
      <c r="W127" t="e">
        <f>VLOOKUP(H127,Grupo!$B$2:$E$7,3,0)</f>
        <v>#N/A</v>
      </c>
      <c r="X127" t="e">
        <f>VLOOKUP(H127,Grupo!$B$2:$E$7,4,0)</f>
        <v>#N/A</v>
      </c>
      <c r="Y127" t="e">
        <f t="shared" si="1"/>
        <v>#N/A</v>
      </c>
    </row>
    <row r="128" spans="1:25" ht="15.6" x14ac:dyDescent="0.3">
      <c r="A128" s="24" t="s">
        <v>295</v>
      </c>
      <c r="B128" s="39" t="s">
        <v>557</v>
      </c>
      <c r="C128" s="24" t="s">
        <v>78</v>
      </c>
      <c r="D128" s="24" t="s">
        <v>558</v>
      </c>
      <c r="E128" s="24" t="s">
        <v>559</v>
      </c>
      <c r="F128" s="24">
        <v>2078201</v>
      </c>
      <c r="G128" s="24" t="s">
        <v>70</v>
      </c>
      <c r="H128" s="24" t="s">
        <v>73</v>
      </c>
      <c r="L128">
        <v>1</v>
      </c>
      <c r="M128">
        <v>1</v>
      </c>
      <c r="N128" s="24" t="s">
        <v>73</v>
      </c>
      <c r="W128" t="e">
        <f>VLOOKUP(H128,Grupo!$B$2:$E$7,3,0)</f>
        <v>#N/A</v>
      </c>
      <c r="X128" t="e">
        <f>VLOOKUP(H128,Grupo!$B$2:$E$7,4,0)</f>
        <v>#N/A</v>
      </c>
      <c r="Y128" t="e">
        <f t="shared" si="1"/>
        <v>#N/A</v>
      </c>
    </row>
    <row r="129" spans="1:25" ht="15.6" x14ac:dyDescent="0.3">
      <c r="A129" s="24" t="s">
        <v>295</v>
      </c>
      <c r="B129" s="39" t="s">
        <v>560</v>
      </c>
      <c r="C129" s="24" t="s">
        <v>78</v>
      </c>
      <c r="D129" s="24" t="s">
        <v>561</v>
      </c>
      <c r="E129" s="24" t="s">
        <v>562</v>
      </c>
      <c r="F129" s="24">
        <v>1903152</v>
      </c>
      <c r="G129" s="24" t="s">
        <v>71</v>
      </c>
      <c r="H129" s="24" t="s">
        <v>73</v>
      </c>
      <c r="L129">
        <v>1</v>
      </c>
      <c r="M129">
        <v>1</v>
      </c>
      <c r="N129" s="24" t="s">
        <v>73</v>
      </c>
      <c r="W129" t="e">
        <f>VLOOKUP(H129,Grupo!$B$2:$E$7,3,0)</f>
        <v>#N/A</v>
      </c>
      <c r="X129" t="e">
        <f>VLOOKUP(H129,Grupo!$B$2:$E$7,4,0)</f>
        <v>#N/A</v>
      </c>
      <c r="Y129" t="e">
        <f t="shared" si="1"/>
        <v>#N/A</v>
      </c>
    </row>
    <row r="130" spans="1:25" ht="15.6" x14ac:dyDescent="0.3">
      <c r="A130" s="24" t="s">
        <v>295</v>
      </c>
      <c r="B130" s="39" t="s">
        <v>264</v>
      </c>
      <c r="C130" s="24" t="s">
        <v>79</v>
      </c>
      <c r="D130" s="24" t="s">
        <v>563</v>
      </c>
      <c r="E130" s="24" t="s">
        <v>564</v>
      </c>
      <c r="F130" s="24">
        <v>2245213</v>
      </c>
      <c r="G130" s="24" t="s">
        <v>47</v>
      </c>
      <c r="H130" s="24" t="s">
        <v>73</v>
      </c>
      <c r="L130">
        <v>1</v>
      </c>
      <c r="M130">
        <v>1</v>
      </c>
      <c r="N130" s="24" t="s">
        <v>73</v>
      </c>
      <c r="W130" t="e">
        <f>VLOOKUP(H130,Grupo!$B$2:$E$7,3,0)</f>
        <v>#N/A</v>
      </c>
      <c r="X130" t="e">
        <f>VLOOKUP(H130,Grupo!$B$2:$E$7,4,0)</f>
        <v>#N/A</v>
      </c>
      <c r="Y130" t="e">
        <f t="shared" si="1"/>
        <v>#N/A</v>
      </c>
    </row>
    <row r="131" spans="1:25" ht="15.6" x14ac:dyDescent="0.3">
      <c r="A131" s="24" t="s">
        <v>295</v>
      </c>
      <c r="B131" s="39" t="s">
        <v>565</v>
      </c>
      <c r="C131" s="24" t="s">
        <v>78</v>
      </c>
      <c r="D131" s="24" t="s">
        <v>566</v>
      </c>
      <c r="E131" s="24" t="s">
        <v>567</v>
      </c>
      <c r="F131" s="24">
        <v>2231166</v>
      </c>
      <c r="G131" s="24" t="s">
        <v>51</v>
      </c>
      <c r="H131" s="24" t="s">
        <v>73</v>
      </c>
      <c r="L131">
        <v>1</v>
      </c>
      <c r="M131">
        <v>1</v>
      </c>
      <c r="N131" s="24" t="s">
        <v>73</v>
      </c>
      <c r="W131" t="e">
        <f>VLOOKUP(H131,Grupo!$B$2:$E$7,3,0)</f>
        <v>#N/A</v>
      </c>
      <c r="X131" t="e">
        <f>VLOOKUP(H131,Grupo!$B$2:$E$7,4,0)</f>
        <v>#N/A</v>
      </c>
      <c r="Y131" t="e">
        <f t="shared" ref="Y131:Y194" si="2">6371*ACOS(COS(PI()*(90-W131)/180)*COS((90-D131)*PI()/180)+SIN((90-W131)*PI()/180)*SIN((90-D131)*PI()/180)*COS((X131-E131)*PI()/180))</f>
        <v>#N/A</v>
      </c>
    </row>
    <row r="132" spans="1:25" ht="15.6" x14ac:dyDescent="0.3">
      <c r="A132" s="24" t="s">
        <v>295</v>
      </c>
      <c r="B132" s="39" t="s">
        <v>568</v>
      </c>
      <c r="C132" s="24" t="s">
        <v>78</v>
      </c>
      <c r="D132" s="24" t="s">
        <v>569</v>
      </c>
      <c r="E132" s="24" t="s">
        <v>570</v>
      </c>
      <c r="F132" s="24">
        <v>2213192</v>
      </c>
      <c r="G132" s="24" t="s">
        <v>59</v>
      </c>
      <c r="H132" s="24" t="s">
        <v>73</v>
      </c>
      <c r="L132">
        <v>1</v>
      </c>
      <c r="M132">
        <v>1</v>
      </c>
      <c r="N132" s="24" t="s">
        <v>73</v>
      </c>
      <c r="W132" t="e">
        <f>VLOOKUP(H132,Grupo!$B$2:$E$7,3,0)</f>
        <v>#N/A</v>
      </c>
      <c r="X132" t="e">
        <f>VLOOKUP(H132,Grupo!$B$2:$E$7,4,0)</f>
        <v>#N/A</v>
      </c>
      <c r="Y132" t="e">
        <f t="shared" si="2"/>
        <v>#N/A</v>
      </c>
    </row>
    <row r="133" spans="1:25" ht="15.6" x14ac:dyDescent="0.3">
      <c r="A133" s="24" t="s">
        <v>295</v>
      </c>
      <c r="B133" s="39" t="s">
        <v>571</v>
      </c>
      <c r="C133" s="24" t="s">
        <v>78</v>
      </c>
      <c r="D133" s="24" t="s">
        <v>572</v>
      </c>
      <c r="E133" s="24" t="s">
        <v>573</v>
      </c>
      <c r="F133" s="24">
        <v>2212056</v>
      </c>
      <c r="G133" s="24" t="s">
        <v>60</v>
      </c>
      <c r="H133" s="24" t="s">
        <v>73</v>
      </c>
      <c r="L133">
        <v>1</v>
      </c>
      <c r="M133">
        <v>1</v>
      </c>
      <c r="N133" s="24" t="s">
        <v>73</v>
      </c>
      <c r="W133" t="e">
        <f>VLOOKUP(H133,Grupo!$B$2:$E$7,3,0)</f>
        <v>#N/A</v>
      </c>
      <c r="X133" t="e">
        <f>VLOOKUP(H133,Grupo!$B$2:$E$7,4,0)</f>
        <v>#N/A</v>
      </c>
      <c r="Y133" t="e">
        <f t="shared" si="2"/>
        <v>#N/A</v>
      </c>
    </row>
    <row r="134" spans="1:25" ht="15.6" x14ac:dyDescent="0.3">
      <c r="A134" s="24" t="s">
        <v>295</v>
      </c>
      <c r="B134" s="39" t="s">
        <v>574</v>
      </c>
      <c r="C134" s="24" t="s">
        <v>78</v>
      </c>
      <c r="D134" s="24" t="s">
        <v>575</v>
      </c>
      <c r="E134" s="24" t="s">
        <v>576</v>
      </c>
      <c r="F134" s="24">
        <v>2071380</v>
      </c>
      <c r="G134" s="24" t="s">
        <v>66</v>
      </c>
      <c r="H134" s="24" t="s">
        <v>73</v>
      </c>
      <c r="L134">
        <v>1</v>
      </c>
      <c r="M134">
        <v>1</v>
      </c>
      <c r="N134" s="24" t="s">
        <v>73</v>
      </c>
      <c r="W134" t="e">
        <f>VLOOKUP(H134,Grupo!$B$2:$E$7,3,0)</f>
        <v>#N/A</v>
      </c>
      <c r="X134" t="e">
        <f>VLOOKUP(H134,Grupo!$B$2:$E$7,4,0)</f>
        <v>#N/A</v>
      </c>
      <c r="Y134" t="e">
        <f t="shared" si="2"/>
        <v>#N/A</v>
      </c>
    </row>
    <row r="135" spans="1:25" ht="15.6" x14ac:dyDescent="0.3">
      <c r="A135" s="24" t="s">
        <v>295</v>
      </c>
      <c r="B135" s="39" t="s">
        <v>577</v>
      </c>
      <c r="C135" s="24" t="s">
        <v>78</v>
      </c>
      <c r="D135" s="24" t="s">
        <v>578</v>
      </c>
      <c r="E135" s="24" t="s">
        <v>579</v>
      </c>
      <c r="F135" s="24">
        <v>18187224</v>
      </c>
      <c r="G135" s="24" t="s">
        <v>67</v>
      </c>
      <c r="H135" s="24" t="s">
        <v>73</v>
      </c>
      <c r="L135">
        <v>1</v>
      </c>
      <c r="M135">
        <v>1</v>
      </c>
      <c r="N135" s="24" t="s">
        <v>73</v>
      </c>
      <c r="W135" t="e">
        <f>VLOOKUP(H135,Grupo!$B$2:$E$7,3,0)</f>
        <v>#N/A</v>
      </c>
      <c r="X135" t="e">
        <f>VLOOKUP(H135,Grupo!$B$2:$E$7,4,0)</f>
        <v>#N/A</v>
      </c>
      <c r="Y135" t="e">
        <f t="shared" si="2"/>
        <v>#N/A</v>
      </c>
    </row>
    <row r="136" spans="1:25" ht="15.6" x14ac:dyDescent="0.3">
      <c r="A136" s="24" t="s">
        <v>295</v>
      </c>
      <c r="B136" s="39" t="s">
        <v>580</v>
      </c>
      <c r="C136" s="24" t="s">
        <v>78</v>
      </c>
      <c r="D136" s="24" t="s">
        <v>581</v>
      </c>
      <c r="E136" s="24" t="s">
        <v>582</v>
      </c>
      <c r="F136" s="24">
        <v>2063352</v>
      </c>
      <c r="G136" s="24" t="s">
        <v>68</v>
      </c>
      <c r="H136" s="24" t="s">
        <v>73</v>
      </c>
      <c r="L136">
        <v>1</v>
      </c>
      <c r="M136">
        <v>1</v>
      </c>
      <c r="N136" s="24" t="s">
        <v>73</v>
      </c>
      <c r="W136" t="e">
        <f>VLOOKUP(H136,Grupo!$B$2:$E$7,3,0)</f>
        <v>#N/A</v>
      </c>
      <c r="X136" t="e">
        <f>VLOOKUP(H136,Grupo!$B$2:$E$7,4,0)</f>
        <v>#N/A</v>
      </c>
      <c r="Y136" t="e">
        <f t="shared" si="2"/>
        <v>#N/A</v>
      </c>
    </row>
    <row r="137" spans="1:25" ht="15.6" x14ac:dyDescent="0.3">
      <c r="A137" s="24" t="s">
        <v>295</v>
      </c>
      <c r="B137" s="39" t="s">
        <v>583</v>
      </c>
      <c r="C137" s="24" t="s">
        <v>78</v>
      </c>
      <c r="D137" s="24" t="s">
        <v>584</v>
      </c>
      <c r="E137" s="24" t="s">
        <v>585</v>
      </c>
      <c r="F137" s="24">
        <v>1824341</v>
      </c>
      <c r="G137" s="24" t="s">
        <v>69</v>
      </c>
      <c r="H137" s="24" t="s">
        <v>73</v>
      </c>
      <c r="L137">
        <v>1</v>
      </c>
      <c r="M137">
        <v>1</v>
      </c>
      <c r="N137" s="24" t="s">
        <v>73</v>
      </c>
      <c r="W137" t="e">
        <f>VLOOKUP(H137,Grupo!$B$2:$E$7,3,0)</f>
        <v>#N/A</v>
      </c>
      <c r="X137" t="e">
        <f>VLOOKUP(H137,Grupo!$B$2:$E$7,4,0)</f>
        <v>#N/A</v>
      </c>
      <c r="Y137" t="e">
        <f t="shared" si="2"/>
        <v>#N/A</v>
      </c>
    </row>
    <row r="138" spans="1:25" ht="15.6" x14ac:dyDescent="0.3">
      <c r="A138" s="24" t="s">
        <v>295</v>
      </c>
      <c r="B138" s="39" t="s">
        <v>586</v>
      </c>
      <c r="C138" s="24" t="s">
        <v>78</v>
      </c>
      <c r="D138" s="24" t="s">
        <v>587</v>
      </c>
      <c r="E138" s="40" t="s">
        <v>588</v>
      </c>
      <c r="F138" s="24">
        <v>2066076</v>
      </c>
      <c r="G138" s="24" t="s">
        <v>70</v>
      </c>
      <c r="H138" s="24" t="s">
        <v>73</v>
      </c>
      <c r="L138">
        <v>1</v>
      </c>
      <c r="M138">
        <v>1</v>
      </c>
      <c r="N138" s="24" t="s">
        <v>73</v>
      </c>
      <c r="W138" t="e">
        <f>VLOOKUP(H138,Grupo!$B$2:$E$7,3,0)</f>
        <v>#N/A</v>
      </c>
      <c r="X138" t="e">
        <f>VLOOKUP(H138,Grupo!$B$2:$E$7,4,0)</f>
        <v>#N/A</v>
      </c>
      <c r="Y138" t="e">
        <f t="shared" si="2"/>
        <v>#N/A</v>
      </c>
    </row>
    <row r="139" spans="1:25" ht="15.6" x14ac:dyDescent="0.3">
      <c r="A139" s="24" t="s">
        <v>295</v>
      </c>
      <c r="B139" s="39" t="s">
        <v>589</v>
      </c>
      <c r="C139" s="24" t="s">
        <v>78</v>
      </c>
      <c r="D139" s="24" t="s">
        <v>590</v>
      </c>
      <c r="E139" s="24" t="s">
        <v>591</v>
      </c>
      <c r="F139" s="24">
        <v>1903144</v>
      </c>
      <c r="G139" s="24" t="s">
        <v>71</v>
      </c>
      <c r="H139" s="24" t="s">
        <v>73</v>
      </c>
      <c r="L139">
        <v>1</v>
      </c>
      <c r="M139">
        <v>1</v>
      </c>
      <c r="N139" s="24" t="s">
        <v>73</v>
      </c>
      <c r="W139" t="e">
        <f>VLOOKUP(H139,Grupo!$B$2:$E$7,3,0)</f>
        <v>#N/A</v>
      </c>
      <c r="X139" t="e">
        <f>VLOOKUP(H139,Grupo!$B$2:$E$7,4,0)</f>
        <v>#N/A</v>
      </c>
      <c r="Y139" t="e">
        <f t="shared" si="2"/>
        <v>#N/A</v>
      </c>
    </row>
    <row r="140" spans="1:25" ht="15.6" x14ac:dyDescent="0.3">
      <c r="A140" s="24" t="s">
        <v>295</v>
      </c>
      <c r="B140" s="39" t="s">
        <v>592</v>
      </c>
      <c r="C140" s="24" t="s">
        <v>79</v>
      </c>
      <c r="D140" s="24" t="s">
        <v>593</v>
      </c>
      <c r="E140" s="24" t="s">
        <v>594</v>
      </c>
      <c r="F140" s="24">
        <v>1901842</v>
      </c>
      <c r="G140" s="24" t="s">
        <v>59</v>
      </c>
      <c r="H140" s="24" t="s">
        <v>73</v>
      </c>
      <c r="L140">
        <v>1</v>
      </c>
      <c r="M140">
        <v>1</v>
      </c>
      <c r="N140" s="24" t="s">
        <v>73</v>
      </c>
      <c r="W140" t="e">
        <f>VLOOKUP(H140,Grupo!$B$2:$E$7,3,0)</f>
        <v>#N/A</v>
      </c>
      <c r="X140" t="e">
        <f>VLOOKUP(H140,Grupo!$B$2:$E$7,4,0)</f>
        <v>#N/A</v>
      </c>
      <c r="Y140" t="e">
        <f t="shared" si="2"/>
        <v>#N/A</v>
      </c>
    </row>
    <row r="141" spans="1:25" ht="15.6" x14ac:dyDescent="0.3">
      <c r="A141" s="24" t="s">
        <v>295</v>
      </c>
      <c r="B141" s="39" t="s">
        <v>595</v>
      </c>
      <c r="C141" s="24" t="s">
        <v>78</v>
      </c>
      <c r="D141" s="24" t="s">
        <v>596</v>
      </c>
      <c r="E141" s="24" t="s">
        <v>597</v>
      </c>
      <c r="F141" s="24">
        <v>2211289</v>
      </c>
      <c r="G141" s="24" t="s">
        <v>60</v>
      </c>
      <c r="H141" s="24" t="s">
        <v>73</v>
      </c>
      <c r="L141">
        <v>1</v>
      </c>
      <c r="M141">
        <v>1</v>
      </c>
      <c r="N141" s="24" t="s">
        <v>73</v>
      </c>
      <c r="W141" t="e">
        <f>VLOOKUP(H141,Grupo!$B$2:$E$7,3,0)</f>
        <v>#N/A</v>
      </c>
      <c r="X141" t="e">
        <f>VLOOKUP(H141,Grupo!$B$2:$E$7,4,0)</f>
        <v>#N/A</v>
      </c>
      <c r="Y141" t="e">
        <f t="shared" si="2"/>
        <v>#N/A</v>
      </c>
    </row>
    <row r="142" spans="1:25" ht="15.6" x14ac:dyDescent="0.3">
      <c r="A142" s="24" t="s">
        <v>295</v>
      </c>
      <c r="B142" s="39" t="s">
        <v>598</v>
      </c>
      <c r="C142" s="24" t="s">
        <v>78</v>
      </c>
      <c r="D142" s="24" t="s">
        <v>599</v>
      </c>
      <c r="E142" s="24" t="s">
        <v>600</v>
      </c>
      <c r="F142" s="24">
        <v>2071460</v>
      </c>
      <c r="G142" s="24" t="s">
        <v>66</v>
      </c>
      <c r="H142" s="24" t="s">
        <v>73</v>
      </c>
      <c r="L142">
        <v>1</v>
      </c>
      <c r="M142">
        <v>1</v>
      </c>
      <c r="N142" s="24" t="s">
        <v>73</v>
      </c>
      <c r="W142" t="e">
        <f>VLOOKUP(H142,Grupo!$B$2:$E$7,3,0)</f>
        <v>#N/A</v>
      </c>
      <c r="X142" t="e">
        <f>VLOOKUP(H142,Grupo!$B$2:$E$7,4,0)</f>
        <v>#N/A</v>
      </c>
      <c r="Y142" t="e">
        <f t="shared" si="2"/>
        <v>#N/A</v>
      </c>
    </row>
    <row r="143" spans="1:25" ht="15.6" x14ac:dyDescent="0.3">
      <c r="A143" s="24" t="s">
        <v>295</v>
      </c>
      <c r="B143" s="39" t="s">
        <v>601</v>
      </c>
      <c r="C143" s="24" t="s">
        <v>78</v>
      </c>
      <c r="D143" s="24" t="s">
        <v>602</v>
      </c>
      <c r="E143" s="24" t="s">
        <v>603</v>
      </c>
      <c r="F143" s="24">
        <v>18187116</v>
      </c>
      <c r="G143" s="24" t="s">
        <v>67</v>
      </c>
      <c r="H143" s="24" t="s">
        <v>73</v>
      </c>
      <c r="L143">
        <v>1</v>
      </c>
      <c r="M143">
        <v>1</v>
      </c>
      <c r="N143" s="24" t="s">
        <v>73</v>
      </c>
      <c r="W143" t="e">
        <f>VLOOKUP(H143,Grupo!$B$2:$E$7,3,0)</f>
        <v>#N/A</v>
      </c>
      <c r="X143" t="e">
        <f>VLOOKUP(H143,Grupo!$B$2:$E$7,4,0)</f>
        <v>#N/A</v>
      </c>
      <c r="Y143" t="e">
        <f t="shared" si="2"/>
        <v>#N/A</v>
      </c>
    </row>
    <row r="144" spans="1:25" ht="15.6" x14ac:dyDescent="0.3">
      <c r="A144" s="24" t="s">
        <v>295</v>
      </c>
      <c r="B144" s="39" t="s">
        <v>604</v>
      </c>
      <c r="C144" s="24" t="s">
        <v>78</v>
      </c>
      <c r="D144" s="24" t="s">
        <v>605</v>
      </c>
      <c r="E144" s="24" t="s">
        <v>588</v>
      </c>
      <c r="F144" s="24">
        <v>2063360</v>
      </c>
      <c r="G144" s="24" t="s">
        <v>68</v>
      </c>
      <c r="H144" s="24" t="s">
        <v>73</v>
      </c>
      <c r="L144">
        <v>1</v>
      </c>
      <c r="M144">
        <v>1</v>
      </c>
      <c r="N144" s="24" t="s">
        <v>73</v>
      </c>
      <c r="W144" t="e">
        <f>VLOOKUP(H144,Grupo!$B$2:$E$7,3,0)</f>
        <v>#N/A</v>
      </c>
      <c r="X144" t="e">
        <f>VLOOKUP(H144,Grupo!$B$2:$E$7,4,0)</f>
        <v>#N/A</v>
      </c>
      <c r="Y144" t="e">
        <f t="shared" si="2"/>
        <v>#N/A</v>
      </c>
    </row>
    <row r="145" spans="1:25" ht="15.6" x14ac:dyDescent="0.3">
      <c r="A145" s="24" t="s">
        <v>295</v>
      </c>
      <c r="B145" s="39" t="s">
        <v>606</v>
      </c>
      <c r="C145" s="24" t="s">
        <v>78</v>
      </c>
      <c r="D145" s="24" t="s">
        <v>607</v>
      </c>
      <c r="E145" s="24" t="s">
        <v>608</v>
      </c>
      <c r="F145" s="24">
        <v>1824368</v>
      </c>
      <c r="G145" s="24" t="s">
        <v>69</v>
      </c>
      <c r="H145" s="24" t="s">
        <v>73</v>
      </c>
      <c r="L145">
        <v>1</v>
      </c>
      <c r="M145">
        <v>1</v>
      </c>
      <c r="N145" s="24" t="s">
        <v>73</v>
      </c>
      <c r="W145" t="e">
        <f>VLOOKUP(H145,Grupo!$B$2:$E$7,3,0)</f>
        <v>#N/A</v>
      </c>
      <c r="X145" t="e">
        <f>VLOOKUP(H145,Grupo!$B$2:$E$7,4,0)</f>
        <v>#N/A</v>
      </c>
      <c r="Y145" t="e">
        <f t="shared" si="2"/>
        <v>#N/A</v>
      </c>
    </row>
    <row r="146" spans="1:25" ht="15.6" x14ac:dyDescent="0.3">
      <c r="A146" s="24" t="s">
        <v>295</v>
      </c>
      <c r="B146" s="39" t="s">
        <v>609</v>
      </c>
      <c r="C146" s="24" t="s">
        <v>78</v>
      </c>
      <c r="D146" s="24" t="s">
        <v>610</v>
      </c>
      <c r="E146" s="24" t="s">
        <v>611</v>
      </c>
      <c r="F146" s="24">
        <v>2066211</v>
      </c>
      <c r="G146" s="24" t="s">
        <v>70</v>
      </c>
      <c r="H146" s="24" t="s">
        <v>73</v>
      </c>
      <c r="L146">
        <v>1</v>
      </c>
      <c r="M146">
        <v>1</v>
      </c>
      <c r="N146" s="24" t="s">
        <v>73</v>
      </c>
      <c r="W146" t="e">
        <f>VLOOKUP(H146,Grupo!$B$2:$E$7,3,0)</f>
        <v>#N/A</v>
      </c>
      <c r="X146" t="e">
        <f>VLOOKUP(H146,Grupo!$B$2:$E$7,4,0)</f>
        <v>#N/A</v>
      </c>
      <c r="Y146" t="e">
        <f t="shared" si="2"/>
        <v>#N/A</v>
      </c>
    </row>
    <row r="147" spans="1:25" ht="15.6" x14ac:dyDescent="0.3">
      <c r="A147" s="24" t="s">
        <v>295</v>
      </c>
      <c r="B147" s="39" t="s">
        <v>612</v>
      </c>
      <c r="C147" s="24" t="s">
        <v>78</v>
      </c>
      <c r="D147" s="24" t="s">
        <v>613</v>
      </c>
      <c r="E147" s="24" t="s">
        <v>614</v>
      </c>
      <c r="F147" s="24">
        <v>1903128</v>
      </c>
      <c r="G147" s="24" t="s">
        <v>71</v>
      </c>
      <c r="H147" s="24" t="s">
        <v>73</v>
      </c>
      <c r="L147">
        <v>1</v>
      </c>
      <c r="M147">
        <v>1</v>
      </c>
      <c r="N147" s="24" t="s">
        <v>73</v>
      </c>
      <c r="W147" t="e">
        <f>VLOOKUP(H147,Grupo!$B$2:$E$7,3,0)</f>
        <v>#N/A</v>
      </c>
      <c r="X147" t="e">
        <f>VLOOKUP(H147,Grupo!$B$2:$E$7,4,0)</f>
        <v>#N/A</v>
      </c>
      <c r="Y147" t="e">
        <f t="shared" si="2"/>
        <v>#N/A</v>
      </c>
    </row>
    <row r="148" spans="1:25" ht="15.6" x14ac:dyDescent="0.3">
      <c r="A148" s="24" t="s">
        <v>295</v>
      </c>
      <c r="B148" s="39" t="s">
        <v>615</v>
      </c>
      <c r="C148" s="24" t="s">
        <v>78</v>
      </c>
      <c r="D148" s="24" t="s">
        <v>616</v>
      </c>
      <c r="E148" s="24" t="s">
        <v>617</v>
      </c>
      <c r="F148" s="24">
        <v>1900129</v>
      </c>
      <c r="G148" s="24" t="s">
        <v>59</v>
      </c>
      <c r="H148" s="24" t="s">
        <v>73</v>
      </c>
      <c r="L148">
        <v>1</v>
      </c>
      <c r="M148">
        <v>1</v>
      </c>
      <c r="N148" s="24" t="s">
        <v>73</v>
      </c>
      <c r="W148" t="e">
        <f>VLOOKUP(H148,Grupo!$B$2:$E$7,3,0)</f>
        <v>#N/A</v>
      </c>
      <c r="X148" t="e">
        <f>VLOOKUP(H148,Grupo!$B$2:$E$7,4,0)</f>
        <v>#N/A</v>
      </c>
      <c r="Y148" t="e">
        <f t="shared" si="2"/>
        <v>#N/A</v>
      </c>
    </row>
    <row r="149" spans="1:25" ht="15.6" x14ac:dyDescent="0.3">
      <c r="A149" s="24" t="s">
        <v>295</v>
      </c>
      <c r="B149" s="39" t="s">
        <v>618</v>
      </c>
      <c r="C149" s="24" t="s">
        <v>79</v>
      </c>
      <c r="D149" s="24" t="s">
        <v>619</v>
      </c>
      <c r="E149" s="24" t="s">
        <v>620</v>
      </c>
      <c r="F149" s="24">
        <v>2212030</v>
      </c>
      <c r="G149" s="24" t="s">
        <v>60</v>
      </c>
      <c r="H149" s="24" t="s">
        <v>73</v>
      </c>
      <c r="L149">
        <v>1</v>
      </c>
      <c r="M149">
        <v>1</v>
      </c>
      <c r="N149" s="24" t="s">
        <v>73</v>
      </c>
      <c r="W149" t="e">
        <f>VLOOKUP(H149,Grupo!$B$2:$E$7,3,0)</f>
        <v>#N/A</v>
      </c>
      <c r="X149" t="e">
        <f>VLOOKUP(H149,Grupo!$B$2:$E$7,4,0)</f>
        <v>#N/A</v>
      </c>
      <c r="Y149" t="e">
        <f t="shared" si="2"/>
        <v>#N/A</v>
      </c>
    </row>
    <row r="150" spans="1:25" ht="15.6" x14ac:dyDescent="0.3">
      <c r="A150" s="24" t="s">
        <v>295</v>
      </c>
      <c r="B150" s="39" t="s">
        <v>621</v>
      </c>
      <c r="C150" s="24" t="s">
        <v>79</v>
      </c>
      <c r="D150" s="24" t="s">
        <v>622</v>
      </c>
      <c r="E150" s="24" t="s">
        <v>623</v>
      </c>
      <c r="F150" s="24">
        <v>2071410</v>
      </c>
      <c r="G150" s="24" t="s">
        <v>66</v>
      </c>
      <c r="H150" s="24" t="s">
        <v>73</v>
      </c>
      <c r="L150">
        <v>1</v>
      </c>
      <c r="M150">
        <v>1</v>
      </c>
      <c r="N150" s="24" t="s">
        <v>73</v>
      </c>
      <c r="W150" t="e">
        <f>VLOOKUP(H150,Grupo!$B$2:$E$7,3,0)</f>
        <v>#N/A</v>
      </c>
      <c r="X150" t="e">
        <f>VLOOKUP(H150,Grupo!$B$2:$E$7,4,0)</f>
        <v>#N/A</v>
      </c>
      <c r="Y150" t="e">
        <f t="shared" si="2"/>
        <v>#N/A</v>
      </c>
    </row>
    <row r="151" spans="1:25" ht="15.6" x14ac:dyDescent="0.3">
      <c r="A151" s="24" t="s">
        <v>295</v>
      </c>
      <c r="B151" s="39" t="s">
        <v>624</v>
      </c>
      <c r="C151" s="24" t="s">
        <v>78</v>
      </c>
      <c r="D151" s="24" t="s">
        <v>625</v>
      </c>
      <c r="E151" s="24" t="s">
        <v>626</v>
      </c>
      <c r="F151" s="24">
        <v>18186994</v>
      </c>
      <c r="G151" s="24" t="s">
        <v>67</v>
      </c>
      <c r="H151" s="24" t="s">
        <v>73</v>
      </c>
      <c r="L151">
        <v>1</v>
      </c>
      <c r="M151">
        <v>1</v>
      </c>
      <c r="N151" s="24" t="s">
        <v>73</v>
      </c>
      <c r="W151" t="e">
        <f>VLOOKUP(H151,Grupo!$B$2:$E$7,3,0)</f>
        <v>#N/A</v>
      </c>
      <c r="X151" t="e">
        <f>VLOOKUP(H151,Grupo!$B$2:$E$7,4,0)</f>
        <v>#N/A</v>
      </c>
      <c r="Y151" t="e">
        <f t="shared" si="2"/>
        <v>#N/A</v>
      </c>
    </row>
    <row r="152" spans="1:25" ht="15.6" x14ac:dyDescent="0.3">
      <c r="A152" s="24" t="s">
        <v>295</v>
      </c>
      <c r="B152" s="39" t="s">
        <v>170</v>
      </c>
      <c r="C152" s="24" t="s">
        <v>78</v>
      </c>
      <c r="D152" s="24" t="s">
        <v>627</v>
      </c>
      <c r="E152" s="24" t="s">
        <v>628</v>
      </c>
      <c r="F152" s="24">
        <v>1824406</v>
      </c>
      <c r="G152" s="24" t="s">
        <v>69</v>
      </c>
      <c r="H152" s="24" t="s">
        <v>73</v>
      </c>
      <c r="L152">
        <v>1</v>
      </c>
      <c r="M152">
        <v>1</v>
      </c>
      <c r="N152" s="24" t="s">
        <v>73</v>
      </c>
      <c r="W152" t="e">
        <f>VLOOKUP(H152,Grupo!$B$2:$E$7,3,0)</f>
        <v>#N/A</v>
      </c>
      <c r="X152" t="e">
        <f>VLOOKUP(H152,Grupo!$B$2:$E$7,4,0)</f>
        <v>#N/A</v>
      </c>
      <c r="Y152" t="e">
        <f t="shared" si="2"/>
        <v>#N/A</v>
      </c>
    </row>
    <row r="153" spans="1:25" ht="15.6" x14ac:dyDescent="0.3">
      <c r="A153" s="24" t="s">
        <v>295</v>
      </c>
      <c r="B153" s="39" t="s">
        <v>629</v>
      </c>
      <c r="C153" s="24" t="s">
        <v>79</v>
      </c>
      <c r="D153" s="24" t="s">
        <v>630</v>
      </c>
      <c r="E153" s="24" t="s">
        <v>491</v>
      </c>
      <c r="F153" s="24">
        <v>2066939</v>
      </c>
      <c r="G153" s="24" t="s">
        <v>70</v>
      </c>
      <c r="H153" s="24" t="s">
        <v>73</v>
      </c>
      <c r="L153">
        <v>1</v>
      </c>
      <c r="M153">
        <v>1</v>
      </c>
      <c r="N153" s="24" t="s">
        <v>73</v>
      </c>
      <c r="W153" t="e">
        <f>VLOOKUP(H153,Grupo!$B$2:$E$7,3,0)</f>
        <v>#N/A</v>
      </c>
      <c r="X153" t="e">
        <f>VLOOKUP(H153,Grupo!$B$2:$E$7,4,0)</f>
        <v>#N/A</v>
      </c>
      <c r="Y153" t="e">
        <f t="shared" si="2"/>
        <v>#N/A</v>
      </c>
    </row>
    <row r="154" spans="1:25" ht="15.6" x14ac:dyDescent="0.3">
      <c r="A154" s="24" t="s">
        <v>295</v>
      </c>
      <c r="B154" s="39" t="s">
        <v>631</v>
      </c>
      <c r="C154" s="24" t="s">
        <v>79</v>
      </c>
      <c r="D154" s="24" t="s">
        <v>632</v>
      </c>
      <c r="E154" s="24" t="s">
        <v>633</v>
      </c>
      <c r="F154" s="24">
        <v>1903110</v>
      </c>
      <c r="G154" s="24" t="s">
        <v>71</v>
      </c>
      <c r="H154" s="24" t="s">
        <v>73</v>
      </c>
      <c r="L154">
        <v>1</v>
      </c>
      <c r="M154">
        <v>1</v>
      </c>
      <c r="N154" s="24" t="s">
        <v>73</v>
      </c>
      <c r="W154" t="e">
        <f>VLOOKUP(H154,Grupo!$B$2:$E$7,3,0)</f>
        <v>#N/A</v>
      </c>
      <c r="X154" t="e">
        <f>VLOOKUP(H154,Grupo!$B$2:$E$7,4,0)</f>
        <v>#N/A</v>
      </c>
      <c r="Y154" t="e">
        <f t="shared" si="2"/>
        <v>#N/A</v>
      </c>
    </row>
    <row r="155" spans="1:25" ht="15.6" x14ac:dyDescent="0.3">
      <c r="A155" s="24" t="s">
        <v>295</v>
      </c>
      <c r="B155" s="39" t="s">
        <v>634</v>
      </c>
      <c r="C155" s="24" t="s">
        <v>78</v>
      </c>
      <c r="D155" s="24" t="s">
        <v>635</v>
      </c>
      <c r="E155" s="24" t="s">
        <v>636</v>
      </c>
      <c r="F155" s="24">
        <v>1901826</v>
      </c>
      <c r="G155" s="24" t="s">
        <v>59</v>
      </c>
      <c r="H155" s="24" t="s">
        <v>73</v>
      </c>
      <c r="L155">
        <v>1</v>
      </c>
      <c r="M155">
        <v>1</v>
      </c>
      <c r="N155" s="24" t="s">
        <v>73</v>
      </c>
      <c r="W155" t="e">
        <f>VLOOKUP(H155,Grupo!$B$2:$E$7,3,0)</f>
        <v>#N/A</v>
      </c>
      <c r="X155" t="e">
        <f>VLOOKUP(H155,Grupo!$B$2:$E$7,4,0)</f>
        <v>#N/A</v>
      </c>
      <c r="Y155" t="e">
        <f t="shared" si="2"/>
        <v>#N/A</v>
      </c>
    </row>
    <row r="156" spans="1:25" ht="15.6" x14ac:dyDescent="0.3">
      <c r="A156" s="24" t="s">
        <v>295</v>
      </c>
      <c r="B156" s="39" t="s">
        <v>637</v>
      </c>
      <c r="C156" s="24" t="s">
        <v>78</v>
      </c>
      <c r="D156" s="24" t="s">
        <v>638</v>
      </c>
      <c r="E156" s="24" t="s">
        <v>639</v>
      </c>
      <c r="F156" s="24">
        <v>2211319</v>
      </c>
      <c r="G156" s="24" t="s">
        <v>60</v>
      </c>
      <c r="H156" s="24" t="s">
        <v>73</v>
      </c>
      <c r="L156">
        <v>1</v>
      </c>
      <c r="M156">
        <v>1</v>
      </c>
      <c r="N156" s="24" t="s">
        <v>73</v>
      </c>
      <c r="W156" t="e">
        <f>VLOOKUP(H156,Grupo!$B$2:$E$7,3,0)</f>
        <v>#N/A</v>
      </c>
      <c r="X156" t="e">
        <f>VLOOKUP(H156,Grupo!$B$2:$E$7,4,0)</f>
        <v>#N/A</v>
      </c>
      <c r="Y156" t="e">
        <f t="shared" si="2"/>
        <v>#N/A</v>
      </c>
    </row>
    <row r="157" spans="1:25" ht="15.6" x14ac:dyDescent="0.3">
      <c r="A157" s="24" t="s">
        <v>295</v>
      </c>
      <c r="B157" s="39" t="s">
        <v>640</v>
      </c>
      <c r="C157" s="24" t="s">
        <v>78</v>
      </c>
      <c r="D157" s="24" t="s">
        <v>641</v>
      </c>
      <c r="E157" s="24" t="s">
        <v>167</v>
      </c>
      <c r="F157" s="24">
        <v>18186886</v>
      </c>
      <c r="G157" s="24" t="s">
        <v>67</v>
      </c>
      <c r="H157" s="24" t="s">
        <v>73</v>
      </c>
      <c r="L157">
        <v>1</v>
      </c>
      <c r="M157">
        <v>1</v>
      </c>
      <c r="N157" s="24" t="s">
        <v>73</v>
      </c>
      <c r="W157" t="e">
        <f>VLOOKUP(H157,Grupo!$B$2:$E$7,3,0)</f>
        <v>#N/A</v>
      </c>
      <c r="X157" t="e">
        <f>VLOOKUP(H157,Grupo!$B$2:$E$7,4,0)</f>
        <v>#N/A</v>
      </c>
      <c r="Y157" t="e">
        <f t="shared" si="2"/>
        <v>#N/A</v>
      </c>
    </row>
    <row r="158" spans="1:25" ht="15.6" x14ac:dyDescent="0.3">
      <c r="A158" s="24" t="s">
        <v>273</v>
      </c>
      <c r="B158" s="39" t="s">
        <v>642</v>
      </c>
      <c r="C158" s="24" t="s">
        <v>78</v>
      </c>
      <c r="D158" s="24" t="s">
        <v>643</v>
      </c>
      <c r="E158" s="24" t="s">
        <v>644</v>
      </c>
      <c r="F158" s="24">
        <v>2063174</v>
      </c>
      <c r="G158" s="24" t="s">
        <v>69</v>
      </c>
      <c r="H158" s="24" t="s">
        <v>73</v>
      </c>
      <c r="L158">
        <v>1</v>
      </c>
      <c r="M158">
        <v>1</v>
      </c>
      <c r="N158" s="24" t="s">
        <v>73</v>
      </c>
      <c r="W158" t="e">
        <f>VLOOKUP(H158,Grupo!$B$2:$E$7,3,0)</f>
        <v>#N/A</v>
      </c>
      <c r="X158" t="e">
        <f>VLOOKUP(H158,Grupo!$B$2:$E$7,4,0)</f>
        <v>#N/A</v>
      </c>
      <c r="Y158" t="e">
        <f t="shared" si="2"/>
        <v>#N/A</v>
      </c>
    </row>
    <row r="159" spans="1:25" ht="15.6" x14ac:dyDescent="0.3">
      <c r="A159" s="24" t="s">
        <v>208</v>
      </c>
      <c r="B159" s="39" t="s">
        <v>645</v>
      </c>
      <c r="C159" s="24" t="s">
        <v>78</v>
      </c>
      <c r="D159" s="24" t="s">
        <v>646</v>
      </c>
      <c r="E159" s="24" t="s">
        <v>647</v>
      </c>
      <c r="F159" s="24">
        <v>2070502</v>
      </c>
      <c r="G159" s="24" t="s">
        <v>70</v>
      </c>
      <c r="H159" s="24" t="s">
        <v>73</v>
      </c>
      <c r="L159">
        <v>1</v>
      </c>
      <c r="M159">
        <v>1</v>
      </c>
      <c r="N159" s="24" t="s">
        <v>73</v>
      </c>
      <c r="W159" t="e">
        <f>VLOOKUP(H159,Grupo!$B$2:$E$7,3,0)</f>
        <v>#N/A</v>
      </c>
      <c r="X159" t="e">
        <f>VLOOKUP(H159,Grupo!$B$2:$E$7,4,0)</f>
        <v>#N/A</v>
      </c>
      <c r="Y159" t="e">
        <f t="shared" si="2"/>
        <v>#N/A</v>
      </c>
    </row>
    <row r="160" spans="1:25" ht="15.6" x14ac:dyDescent="0.3">
      <c r="A160" s="24" t="s">
        <v>298</v>
      </c>
      <c r="B160" s="39" t="s">
        <v>648</v>
      </c>
      <c r="C160" s="24" t="s">
        <v>78</v>
      </c>
      <c r="D160" s="24" t="s">
        <v>649</v>
      </c>
      <c r="E160" s="24" t="s">
        <v>650</v>
      </c>
      <c r="F160" s="24">
        <v>1903101</v>
      </c>
      <c r="G160" s="24" t="s">
        <v>71</v>
      </c>
      <c r="H160" s="24" t="s">
        <v>72</v>
      </c>
      <c r="L160">
        <v>1</v>
      </c>
      <c r="M160">
        <v>1</v>
      </c>
      <c r="N160" s="24" t="s">
        <v>73</v>
      </c>
      <c r="W160" t="e">
        <f>VLOOKUP(H160,Grupo!$B$2:$E$7,3,0)</f>
        <v>#N/A</v>
      </c>
      <c r="X160" t="e">
        <f>VLOOKUP(H160,Grupo!$B$2:$E$7,4,0)</f>
        <v>#N/A</v>
      </c>
      <c r="Y160" t="e">
        <f t="shared" si="2"/>
        <v>#N/A</v>
      </c>
    </row>
    <row r="161" spans="1:25" ht="15.6" x14ac:dyDescent="0.3">
      <c r="A161" s="24" t="s">
        <v>201</v>
      </c>
      <c r="B161" s="39" t="s">
        <v>651</v>
      </c>
      <c r="C161" s="24" t="s">
        <v>79</v>
      </c>
      <c r="D161" s="24" t="s">
        <v>652</v>
      </c>
      <c r="E161" s="24" t="s">
        <v>653</v>
      </c>
      <c r="F161" s="24">
        <v>1900137</v>
      </c>
      <c r="G161" s="24" t="s">
        <v>59</v>
      </c>
      <c r="H161" s="24" t="s">
        <v>72</v>
      </c>
      <c r="L161">
        <v>1</v>
      </c>
      <c r="M161">
        <v>1</v>
      </c>
      <c r="N161" s="24" t="s">
        <v>73</v>
      </c>
      <c r="W161" t="e">
        <f>VLOOKUP(H161,Grupo!$B$2:$E$7,3,0)</f>
        <v>#N/A</v>
      </c>
      <c r="X161" t="e">
        <f>VLOOKUP(H161,Grupo!$B$2:$E$7,4,0)</f>
        <v>#N/A</v>
      </c>
      <c r="Y161" t="e">
        <f t="shared" si="2"/>
        <v>#N/A</v>
      </c>
    </row>
    <row r="162" spans="1:25" ht="15.6" x14ac:dyDescent="0.3">
      <c r="A162" s="24" t="s">
        <v>162</v>
      </c>
      <c r="B162" s="39" t="s">
        <v>654</v>
      </c>
      <c r="C162" s="24" t="s">
        <v>78</v>
      </c>
      <c r="D162" s="24" t="s">
        <v>655</v>
      </c>
      <c r="E162" s="24" t="s">
        <v>656</v>
      </c>
      <c r="F162" s="24">
        <v>2211327</v>
      </c>
      <c r="G162" s="24" t="s">
        <v>60</v>
      </c>
      <c r="H162" s="24" t="s">
        <v>73</v>
      </c>
      <c r="L162">
        <v>1</v>
      </c>
      <c r="M162">
        <v>1</v>
      </c>
      <c r="N162" s="24" t="s">
        <v>73</v>
      </c>
      <c r="W162" t="e">
        <f>VLOOKUP(H162,Grupo!$B$2:$E$7,3,0)</f>
        <v>#N/A</v>
      </c>
      <c r="X162" t="e">
        <f>VLOOKUP(H162,Grupo!$B$2:$E$7,4,0)</f>
        <v>#N/A</v>
      </c>
      <c r="Y162" t="e">
        <f t="shared" si="2"/>
        <v>#N/A</v>
      </c>
    </row>
    <row r="163" spans="1:25" ht="15.6" x14ac:dyDescent="0.3">
      <c r="A163" s="24" t="s">
        <v>273</v>
      </c>
      <c r="B163" s="39" t="s">
        <v>657</v>
      </c>
      <c r="C163" s="24" t="s">
        <v>78</v>
      </c>
      <c r="D163" s="24" t="s">
        <v>658</v>
      </c>
      <c r="E163" s="24" t="s">
        <v>659</v>
      </c>
      <c r="F163" s="24">
        <v>2063140</v>
      </c>
      <c r="G163" s="24" t="s">
        <v>69</v>
      </c>
      <c r="H163" s="24" t="s">
        <v>73</v>
      </c>
      <c r="K163" s="42"/>
      <c r="L163">
        <v>1</v>
      </c>
      <c r="M163">
        <v>1</v>
      </c>
      <c r="N163" s="24" t="s">
        <v>73</v>
      </c>
      <c r="W163" t="e">
        <f>VLOOKUP(H163,Grupo!$B$2:$E$7,3,0)</f>
        <v>#N/A</v>
      </c>
      <c r="X163" t="e">
        <f>VLOOKUP(H163,Grupo!$B$2:$E$7,4,0)</f>
        <v>#N/A</v>
      </c>
      <c r="Y163" t="e">
        <f t="shared" si="2"/>
        <v>#N/A</v>
      </c>
    </row>
    <row r="164" spans="1:25" ht="15.6" x14ac:dyDescent="0.3">
      <c r="A164" s="24" t="s">
        <v>208</v>
      </c>
      <c r="B164" s="39" t="s">
        <v>660</v>
      </c>
      <c r="C164" s="24" t="s">
        <v>78</v>
      </c>
      <c r="D164" s="24" t="s">
        <v>661</v>
      </c>
      <c r="E164" s="24" t="s">
        <v>662</v>
      </c>
      <c r="F164" s="24">
        <v>2066106</v>
      </c>
      <c r="G164" s="24" t="s">
        <v>70</v>
      </c>
      <c r="H164" s="24" t="s">
        <v>73</v>
      </c>
      <c r="L164">
        <v>1</v>
      </c>
      <c r="M164">
        <v>1</v>
      </c>
      <c r="N164" s="24" t="s">
        <v>73</v>
      </c>
      <c r="W164" t="e">
        <f>VLOOKUP(H164,Grupo!$B$2:$E$7,3,0)</f>
        <v>#N/A</v>
      </c>
      <c r="X164" t="e">
        <f>VLOOKUP(H164,Grupo!$B$2:$E$7,4,0)</f>
        <v>#N/A</v>
      </c>
      <c r="Y164" t="e">
        <f t="shared" si="2"/>
        <v>#N/A</v>
      </c>
    </row>
    <row r="165" spans="1:25" ht="15.6" x14ac:dyDescent="0.3">
      <c r="A165" s="24" t="s">
        <v>298</v>
      </c>
      <c r="B165" s="39" t="s">
        <v>663</v>
      </c>
      <c r="C165" s="24" t="s">
        <v>78</v>
      </c>
      <c r="D165" s="24" t="s">
        <v>664</v>
      </c>
      <c r="E165" s="24" t="s">
        <v>665</v>
      </c>
      <c r="F165" s="24">
        <v>1903080</v>
      </c>
      <c r="G165" s="24" t="s">
        <v>71</v>
      </c>
      <c r="H165" s="24" t="s">
        <v>72</v>
      </c>
      <c r="L165">
        <v>1</v>
      </c>
      <c r="M165">
        <v>1</v>
      </c>
      <c r="N165" s="24" t="s">
        <v>73</v>
      </c>
      <c r="W165" t="e">
        <f>VLOOKUP(H165,Grupo!$B$2:$E$7,3,0)</f>
        <v>#N/A</v>
      </c>
      <c r="X165" t="e">
        <f>VLOOKUP(H165,Grupo!$B$2:$E$7,4,0)</f>
        <v>#N/A</v>
      </c>
      <c r="Y165" t="e">
        <f t="shared" si="2"/>
        <v>#N/A</v>
      </c>
    </row>
    <row r="166" spans="1:25" ht="15.6" x14ac:dyDescent="0.3">
      <c r="A166" s="24" t="s">
        <v>201</v>
      </c>
      <c r="B166" s="39" t="s">
        <v>666</v>
      </c>
      <c r="C166" s="24" t="s">
        <v>78</v>
      </c>
      <c r="D166" s="24" t="s">
        <v>667</v>
      </c>
      <c r="E166" s="24" t="s">
        <v>668</v>
      </c>
      <c r="F166" s="24">
        <v>1900145</v>
      </c>
      <c r="G166" s="24" t="s">
        <v>59</v>
      </c>
      <c r="H166" s="24" t="s">
        <v>72</v>
      </c>
      <c r="L166">
        <v>1</v>
      </c>
      <c r="M166">
        <v>1</v>
      </c>
      <c r="N166" s="24" t="s">
        <v>73</v>
      </c>
      <c r="W166" t="e">
        <f>VLOOKUP(H166,Grupo!$B$2:$E$7,3,0)</f>
        <v>#N/A</v>
      </c>
      <c r="X166" t="e">
        <f>VLOOKUP(H166,Grupo!$B$2:$E$7,4,0)</f>
        <v>#N/A</v>
      </c>
      <c r="Y166" t="e">
        <f t="shared" si="2"/>
        <v>#N/A</v>
      </c>
    </row>
    <row r="167" spans="1:25" ht="15.6" x14ac:dyDescent="0.3">
      <c r="A167" s="24" t="s">
        <v>162</v>
      </c>
      <c r="B167" s="39" t="s">
        <v>669</v>
      </c>
      <c r="C167" s="24" t="s">
        <v>78</v>
      </c>
      <c r="D167" s="24" t="s">
        <v>670</v>
      </c>
      <c r="E167" s="24" t="s">
        <v>671</v>
      </c>
      <c r="F167" s="24">
        <v>2212145</v>
      </c>
      <c r="G167" s="24" t="s">
        <v>60</v>
      </c>
      <c r="H167" s="24" t="s">
        <v>73</v>
      </c>
      <c r="L167">
        <v>1</v>
      </c>
      <c r="M167">
        <v>1</v>
      </c>
      <c r="N167" s="24" t="s">
        <v>73</v>
      </c>
      <c r="W167" t="e">
        <f>VLOOKUP(H167,Grupo!$B$2:$E$7,3,0)</f>
        <v>#N/A</v>
      </c>
      <c r="X167" t="e">
        <f>VLOOKUP(H167,Grupo!$B$2:$E$7,4,0)</f>
        <v>#N/A</v>
      </c>
      <c r="Y167" t="e">
        <f t="shared" si="2"/>
        <v>#N/A</v>
      </c>
    </row>
    <row r="168" spans="1:25" ht="15.6" x14ac:dyDescent="0.3">
      <c r="A168" s="24" t="s">
        <v>273</v>
      </c>
      <c r="B168" s="39" t="s">
        <v>672</v>
      </c>
      <c r="C168" s="24" t="s">
        <v>78</v>
      </c>
      <c r="D168" s="24" t="s">
        <v>673</v>
      </c>
      <c r="E168" s="24" t="s">
        <v>674</v>
      </c>
      <c r="F168" s="24">
        <v>1824422</v>
      </c>
      <c r="G168" s="24" t="s">
        <v>69</v>
      </c>
      <c r="H168" s="24" t="s">
        <v>73</v>
      </c>
      <c r="L168">
        <v>1</v>
      </c>
      <c r="M168">
        <v>1</v>
      </c>
      <c r="N168" s="24" t="s">
        <v>73</v>
      </c>
      <c r="W168" t="e">
        <f>VLOOKUP(H168,Grupo!$B$2:$E$7,3,0)</f>
        <v>#N/A</v>
      </c>
      <c r="X168" t="e">
        <f>VLOOKUP(H168,Grupo!$B$2:$E$7,4,0)</f>
        <v>#N/A</v>
      </c>
      <c r="Y168" t="e">
        <f t="shared" si="2"/>
        <v>#N/A</v>
      </c>
    </row>
    <row r="169" spans="1:25" ht="15.6" x14ac:dyDescent="0.3">
      <c r="A169" s="24" t="s">
        <v>208</v>
      </c>
      <c r="B169" s="39" t="s">
        <v>675</v>
      </c>
      <c r="C169" s="24" t="s">
        <v>78</v>
      </c>
      <c r="D169" s="24" t="s">
        <v>676</v>
      </c>
      <c r="E169" s="24" t="s">
        <v>677</v>
      </c>
      <c r="F169" s="24">
        <v>2066157</v>
      </c>
      <c r="G169" s="24" t="s">
        <v>70</v>
      </c>
      <c r="H169" s="24" t="s">
        <v>73</v>
      </c>
      <c r="L169">
        <v>1</v>
      </c>
      <c r="M169">
        <v>1</v>
      </c>
      <c r="N169" s="24" t="s">
        <v>73</v>
      </c>
      <c r="W169" t="e">
        <f>VLOOKUP(H169,Grupo!$B$2:$E$7,3,0)</f>
        <v>#N/A</v>
      </c>
      <c r="X169" t="e">
        <f>VLOOKUP(H169,Grupo!$B$2:$E$7,4,0)</f>
        <v>#N/A</v>
      </c>
      <c r="Y169" t="e">
        <f t="shared" si="2"/>
        <v>#N/A</v>
      </c>
    </row>
    <row r="170" spans="1:25" ht="15.6" x14ac:dyDescent="0.3">
      <c r="A170" s="24" t="s">
        <v>298</v>
      </c>
      <c r="B170" s="39" t="s">
        <v>629</v>
      </c>
      <c r="C170" s="24" t="s">
        <v>79</v>
      </c>
      <c r="D170" s="24" t="s">
        <v>678</v>
      </c>
      <c r="E170" s="24" t="s">
        <v>679</v>
      </c>
      <c r="F170" s="24">
        <v>1903268</v>
      </c>
      <c r="G170" s="24" t="s">
        <v>71</v>
      </c>
      <c r="H170" s="24" t="s">
        <v>72</v>
      </c>
      <c r="L170">
        <v>1</v>
      </c>
      <c r="M170">
        <v>1</v>
      </c>
      <c r="N170" s="24" t="s">
        <v>73</v>
      </c>
      <c r="W170" t="e">
        <f>VLOOKUP(H170,Grupo!$B$2:$E$7,3,0)</f>
        <v>#N/A</v>
      </c>
      <c r="X170" t="e">
        <f>VLOOKUP(H170,Grupo!$B$2:$E$7,4,0)</f>
        <v>#N/A</v>
      </c>
      <c r="Y170" t="e">
        <f t="shared" si="2"/>
        <v>#N/A</v>
      </c>
    </row>
    <row r="171" spans="1:25" ht="15.6" x14ac:dyDescent="0.3">
      <c r="A171" s="24" t="s">
        <v>201</v>
      </c>
      <c r="B171" s="39" t="s">
        <v>680</v>
      </c>
      <c r="C171" s="24" t="s">
        <v>78</v>
      </c>
      <c r="D171" s="24" t="s">
        <v>681</v>
      </c>
      <c r="E171" s="24" t="s">
        <v>682</v>
      </c>
      <c r="F171" s="24">
        <v>1900161</v>
      </c>
      <c r="G171" s="24" t="s">
        <v>59</v>
      </c>
      <c r="H171" s="24" t="s">
        <v>72</v>
      </c>
      <c r="L171">
        <v>1</v>
      </c>
      <c r="M171">
        <v>1</v>
      </c>
      <c r="N171" s="24" t="s">
        <v>73</v>
      </c>
      <c r="W171" t="e">
        <f>VLOOKUP(H171,Grupo!$B$2:$E$7,3,0)</f>
        <v>#N/A</v>
      </c>
      <c r="X171" t="e">
        <f>VLOOKUP(H171,Grupo!$B$2:$E$7,4,0)</f>
        <v>#N/A</v>
      </c>
      <c r="Y171" t="e">
        <f t="shared" si="2"/>
        <v>#N/A</v>
      </c>
    </row>
    <row r="172" spans="1:25" ht="15.6" x14ac:dyDescent="0.3">
      <c r="A172" s="24" t="s">
        <v>162</v>
      </c>
      <c r="B172" s="39" t="s">
        <v>683</v>
      </c>
      <c r="C172" s="24" t="s">
        <v>78</v>
      </c>
      <c r="D172" s="24" t="s">
        <v>684</v>
      </c>
      <c r="E172" s="24" t="s">
        <v>685</v>
      </c>
      <c r="F172" s="24">
        <v>2211335</v>
      </c>
      <c r="G172" s="24" t="s">
        <v>60</v>
      </c>
      <c r="H172" s="24" t="s">
        <v>73</v>
      </c>
      <c r="L172">
        <v>1</v>
      </c>
      <c r="M172">
        <v>1</v>
      </c>
      <c r="N172" s="24" t="s">
        <v>73</v>
      </c>
      <c r="W172" t="e">
        <f>VLOOKUP(H172,Grupo!$B$2:$E$7,3,0)</f>
        <v>#N/A</v>
      </c>
      <c r="X172" t="e">
        <f>VLOOKUP(H172,Grupo!$B$2:$E$7,4,0)</f>
        <v>#N/A</v>
      </c>
      <c r="Y172" t="e">
        <f t="shared" si="2"/>
        <v>#N/A</v>
      </c>
    </row>
    <row r="173" spans="1:25" ht="15.6" x14ac:dyDescent="0.3">
      <c r="A173" s="24" t="s">
        <v>273</v>
      </c>
      <c r="B173" s="39" t="s">
        <v>686</v>
      </c>
      <c r="C173" s="24" t="s">
        <v>78</v>
      </c>
      <c r="D173" s="24" t="s">
        <v>687</v>
      </c>
      <c r="E173" s="24" t="s">
        <v>688</v>
      </c>
      <c r="F173" s="24">
        <v>2063310</v>
      </c>
      <c r="G173" s="24" t="s">
        <v>69</v>
      </c>
      <c r="H173" s="24" t="s">
        <v>73</v>
      </c>
      <c r="L173">
        <v>1</v>
      </c>
      <c r="M173">
        <v>1</v>
      </c>
      <c r="N173" s="24" t="s">
        <v>73</v>
      </c>
      <c r="W173" t="e">
        <f>VLOOKUP(H173,Grupo!$B$2:$E$7,3,0)</f>
        <v>#N/A</v>
      </c>
      <c r="X173" t="e">
        <f>VLOOKUP(H173,Grupo!$B$2:$E$7,4,0)</f>
        <v>#N/A</v>
      </c>
      <c r="Y173" t="e">
        <f t="shared" si="2"/>
        <v>#N/A</v>
      </c>
    </row>
    <row r="174" spans="1:25" ht="15.6" x14ac:dyDescent="0.3">
      <c r="A174" s="24" t="s">
        <v>208</v>
      </c>
      <c r="B174" s="39" t="s">
        <v>689</v>
      </c>
      <c r="C174" s="24" t="s">
        <v>79</v>
      </c>
      <c r="D174" s="24" t="s">
        <v>690</v>
      </c>
      <c r="E174" s="24" t="s">
        <v>691</v>
      </c>
      <c r="F174" s="24">
        <v>2066114</v>
      </c>
      <c r="G174" s="24" t="s">
        <v>70</v>
      </c>
      <c r="H174" s="24" t="s">
        <v>73</v>
      </c>
      <c r="L174">
        <v>1</v>
      </c>
      <c r="M174">
        <v>1</v>
      </c>
      <c r="N174" s="24" t="s">
        <v>73</v>
      </c>
      <c r="W174" t="e">
        <f>VLOOKUP(H174,Grupo!$B$2:$E$7,3,0)</f>
        <v>#N/A</v>
      </c>
      <c r="X174" t="e">
        <f>VLOOKUP(H174,Grupo!$B$2:$E$7,4,0)</f>
        <v>#N/A</v>
      </c>
      <c r="Y174" t="e">
        <f t="shared" si="2"/>
        <v>#N/A</v>
      </c>
    </row>
    <row r="175" spans="1:25" ht="15.6" x14ac:dyDescent="0.3">
      <c r="A175" s="24" t="s">
        <v>298</v>
      </c>
      <c r="B175" s="39" t="s">
        <v>692</v>
      </c>
      <c r="C175" s="24" t="s">
        <v>78</v>
      </c>
      <c r="D175" s="24" t="s">
        <v>693</v>
      </c>
      <c r="E175" s="24" t="s">
        <v>694</v>
      </c>
      <c r="F175" s="24">
        <v>1903250</v>
      </c>
      <c r="G175" s="24" t="s">
        <v>71</v>
      </c>
      <c r="H175" s="24" t="s">
        <v>72</v>
      </c>
      <c r="L175">
        <v>1</v>
      </c>
      <c r="M175">
        <v>1</v>
      </c>
      <c r="N175" s="24" t="s">
        <v>73</v>
      </c>
      <c r="W175" t="e">
        <f>VLOOKUP(H175,Grupo!$B$2:$E$7,3,0)</f>
        <v>#N/A</v>
      </c>
      <c r="X175" t="e">
        <f>VLOOKUP(H175,Grupo!$B$2:$E$7,4,0)</f>
        <v>#N/A</v>
      </c>
      <c r="Y175" t="e">
        <f t="shared" si="2"/>
        <v>#N/A</v>
      </c>
    </row>
    <row r="176" spans="1:25" ht="15.6" x14ac:dyDescent="0.3">
      <c r="A176" s="24" t="s">
        <v>201</v>
      </c>
      <c r="B176" s="39" t="s">
        <v>695</v>
      </c>
      <c r="C176" s="24" t="s">
        <v>78</v>
      </c>
      <c r="D176" s="24" t="s">
        <v>696</v>
      </c>
      <c r="E176" s="24" t="s">
        <v>697</v>
      </c>
      <c r="F176" s="24">
        <v>2213184</v>
      </c>
      <c r="G176" s="24" t="s">
        <v>59</v>
      </c>
      <c r="H176" s="24" t="s">
        <v>72</v>
      </c>
      <c r="L176">
        <v>1</v>
      </c>
      <c r="M176">
        <v>1</v>
      </c>
      <c r="N176" s="24" t="s">
        <v>73</v>
      </c>
      <c r="W176" t="e">
        <f>VLOOKUP(H176,Grupo!$B$2:$E$7,3,0)</f>
        <v>#N/A</v>
      </c>
      <c r="X176" t="e">
        <f>VLOOKUP(H176,Grupo!$B$2:$E$7,4,0)</f>
        <v>#N/A</v>
      </c>
      <c r="Y176" t="e">
        <f t="shared" si="2"/>
        <v>#N/A</v>
      </c>
    </row>
    <row r="177" spans="1:25" ht="15.6" x14ac:dyDescent="0.3">
      <c r="A177" s="24" t="s">
        <v>273</v>
      </c>
      <c r="B177" s="39" t="s">
        <v>475</v>
      </c>
      <c r="C177" s="24" t="s">
        <v>78</v>
      </c>
      <c r="D177" s="24" t="s">
        <v>698</v>
      </c>
      <c r="E177" s="24" t="s">
        <v>699</v>
      </c>
      <c r="F177" s="24">
        <v>2063166</v>
      </c>
      <c r="G177" s="24" t="s">
        <v>69</v>
      </c>
      <c r="H177" s="24" t="s">
        <v>73</v>
      </c>
      <c r="L177">
        <v>1</v>
      </c>
      <c r="M177">
        <v>1</v>
      </c>
      <c r="N177" s="24" t="s">
        <v>73</v>
      </c>
      <c r="W177" t="e">
        <f>VLOOKUP(H177,Grupo!$B$2:$E$7,3,0)</f>
        <v>#N/A</v>
      </c>
      <c r="X177" t="e">
        <f>VLOOKUP(H177,Grupo!$B$2:$E$7,4,0)</f>
        <v>#N/A</v>
      </c>
      <c r="Y177" t="e">
        <f t="shared" si="2"/>
        <v>#N/A</v>
      </c>
    </row>
    <row r="178" spans="1:25" ht="15.6" x14ac:dyDescent="0.3">
      <c r="A178" s="24" t="s">
        <v>208</v>
      </c>
      <c r="B178" s="39" t="s">
        <v>700</v>
      </c>
      <c r="C178" s="24" t="s">
        <v>78</v>
      </c>
      <c r="D178" s="24" t="s">
        <v>701</v>
      </c>
      <c r="E178" s="24" t="s">
        <v>702</v>
      </c>
      <c r="F178" s="24">
        <v>2066173</v>
      </c>
      <c r="G178" s="24" t="s">
        <v>70</v>
      </c>
      <c r="H178" s="24" t="s">
        <v>73</v>
      </c>
      <c r="L178">
        <v>1</v>
      </c>
      <c r="M178">
        <v>1</v>
      </c>
      <c r="N178" s="24" t="s">
        <v>73</v>
      </c>
      <c r="W178" t="e">
        <f>VLOOKUP(H178,Grupo!$B$2:$E$7,3,0)</f>
        <v>#N/A</v>
      </c>
      <c r="X178" t="e">
        <f>VLOOKUP(H178,Grupo!$B$2:$E$7,4,0)</f>
        <v>#N/A</v>
      </c>
      <c r="Y178" t="e">
        <f t="shared" si="2"/>
        <v>#N/A</v>
      </c>
    </row>
    <row r="179" spans="1:25" ht="15.6" x14ac:dyDescent="0.3">
      <c r="A179" s="24" t="s">
        <v>298</v>
      </c>
      <c r="B179" s="39" t="s">
        <v>703</v>
      </c>
      <c r="C179" s="24" t="s">
        <v>78</v>
      </c>
      <c r="D179" s="24" t="s">
        <v>704</v>
      </c>
      <c r="E179" s="24" t="s">
        <v>705</v>
      </c>
      <c r="F179" s="24">
        <v>1903039</v>
      </c>
      <c r="G179" s="24" t="s">
        <v>71</v>
      </c>
      <c r="H179" s="24" t="s">
        <v>72</v>
      </c>
      <c r="L179">
        <v>1</v>
      </c>
      <c r="M179">
        <v>1</v>
      </c>
      <c r="N179" s="24" t="s">
        <v>73</v>
      </c>
      <c r="W179" t="e">
        <f>VLOOKUP(H179,Grupo!$B$2:$E$7,3,0)</f>
        <v>#N/A</v>
      </c>
      <c r="X179" t="e">
        <f>VLOOKUP(H179,Grupo!$B$2:$E$7,4,0)</f>
        <v>#N/A</v>
      </c>
      <c r="Y179" t="e">
        <f t="shared" si="2"/>
        <v>#N/A</v>
      </c>
    </row>
    <row r="180" spans="1:25" ht="15.6" x14ac:dyDescent="0.3">
      <c r="A180" s="24" t="s">
        <v>273</v>
      </c>
      <c r="B180" s="39" t="s">
        <v>706</v>
      </c>
      <c r="C180" s="24" t="s">
        <v>78</v>
      </c>
      <c r="D180" s="24" t="s">
        <v>707</v>
      </c>
      <c r="E180" s="24" t="s">
        <v>708</v>
      </c>
      <c r="F180" s="24">
        <v>1824309</v>
      </c>
      <c r="G180" s="24" t="s">
        <v>69</v>
      </c>
      <c r="H180" s="24" t="s">
        <v>73</v>
      </c>
      <c r="L180">
        <v>1</v>
      </c>
      <c r="M180">
        <v>1</v>
      </c>
      <c r="N180" s="24" t="s">
        <v>73</v>
      </c>
      <c r="W180" t="e">
        <f>VLOOKUP(H180,Grupo!$B$2:$E$7,3,0)</f>
        <v>#N/A</v>
      </c>
      <c r="X180" t="e">
        <f>VLOOKUP(H180,Grupo!$B$2:$E$7,4,0)</f>
        <v>#N/A</v>
      </c>
      <c r="Y180" t="e">
        <f t="shared" si="2"/>
        <v>#N/A</v>
      </c>
    </row>
    <row r="181" spans="1:25" ht="15.6" x14ac:dyDescent="0.3">
      <c r="A181" s="24" t="s">
        <v>208</v>
      </c>
      <c r="B181" s="39" t="s">
        <v>709</v>
      </c>
      <c r="C181" s="24" t="s">
        <v>78</v>
      </c>
      <c r="D181" s="24" t="s">
        <v>710</v>
      </c>
      <c r="E181" s="24" t="s">
        <v>711</v>
      </c>
      <c r="F181" s="24">
        <v>2066181</v>
      </c>
      <c r="G181" s="24" t="s">
        <v>70</v>
      </c>
      <c r="H181" s="24" t="s">
        <v>73</v>
      </c>
      <c r="L181">
        <v>1</v>
      </c>
      <c r="M181">
        <v>1</v>
      </c>
      <c r="N181" s="24" t="s">
        <v>73</v>
      </c>
      <c r="W181" t="e">
        <f>VLOOKUP(H181,Grupo!$B$2:$E$7,3,0)</f>
        <v>#N/A</v>
      </c>
      <c r="X181" t="e">
        <f>VLOOKUP(H181,Grupo!$B$2:$E$7,4,0)</f>
        <v>#N/A</v>
      </c>
      <c r="Y181" t="e">
        <f t="shared" si="2"/>
        <v>#N/A</v>
      </c>
    </row>
    <row r="182" spans="1:25" ht="15.6" x14ac:dyDescent="0.3">
      <c r="A182" s="24" t="s">
        <v>298</v>
      </c>
      <c r="B182" s="39" t="s">
        <v>712</v>
      </c>
      <c r="C182" s="24" t="s">
        <v>79</v>
      </c>
      <c r="D182" s="24" t="s">
        <v>713</v>
      </c>
      <c r="E182" s="24" t="s">
        <v>714</v>
      </c>
      <c r="F182" s="24">
        <v>1903020</v>
      </c>
      <c r="G182" s="24" t="s">
        <v>71</v>
      </c>
      <c r="H182" s="24" t="s">
        <v>72</v>
      </c>
      <c r="L182">
        <v>1</v>
      </c>
      <c r="M182">
        <v>1</v>
      </c>
      <c r="N182" s="24" t="s">
        <v>73</v>
      </c>
      <c r="W182" t="e">
        <f>VLOOKUP(H182,Grupo!$B$2:$E$7,3,0)</f>
        <v>#N/A</v>
      </c>
      <c r="X182" t="e">
        <f>VLOOKUP(H182,Grupo!$B$2:$E$7,4,0)</f>
        <v>#N/A</v>
      </c>
      <c r="Y182" t="e">
        <f t="shared" si="2"/>
        <v>#N/A</v>
      </c>
    </row>
    <row r="183" spans="1:25" ht="15.6" x14ac:dyDescent="0.3">
      <c r="A183" s="24" t="s">
        <v>208</v>
      </c>
      <c r="B183" s="39" t="s">
        <v>715</v>
      </c>
      <c r="C183" s="24" t="s">
        <v>78</v>
      </c>
      <c r="D183" s="24" t="s">
        <v>716</v>
      </c>
      <c r="E183" s="24" t="s">
        <v>717</v>
      </c>
      <c r="F183" s="24">
        <v>2066190</v>
      </c>
      <c r="G183" s="24" t="s">
        <v>70</v>
      </c>
      <c r="H183" s="24" t="s">
        <v>73</v>
      </c>
      <c r="L183">
        <v>1</v>
      </c>
      <c r="M183">
        <v>1</v>
      </c>
      <c r="N183" s="24" t="s">
        <v>73</v>
      </c>
      <c r="W183" t="e">
        <f>VLOOKUP(H183,Grupo!$B$2:$E$7,3,0)</f>
        <v>#N/A</v>
      </c>
      <c r="X183" t="e">
        <f>VLOOKUP(H183,Grupo!$B$2:$E$7,4,0)</f>
        <v>#N/A</v>
      </c>
      <c r="Y183" t="e">
        <f t="shared" si="2"/>
        <v>#N/A</v>
      </c>
    </row>
    <row r="184" spans="1:25" ht="15.6" x14ac:dyDescent="0.3">
      <c r="A184" s="24" t="s">
        <v>298</v>
      </c>
      <c r="B184" s="39" t="s">
        <v>718</v>
      </c>
      <c r="C184" s="24" t="s">
        <v>78</v>
      </c>
      <c r="D184" s="24" t="s">
        <v>719</v>
      </c>
      <c r="E184" s="24" t="s">
        <v>720</v>
      </c>
      <c r="F184" s="24">
        <v>1903276</v>
      </c>
      <c r="G184" s="24" t="s">
        <v>71</v>
      </c>
      <c r="H184" s="24" t="s">
        <v>72</v>
      </c>
      <c r="L184">
        <v>1</v>
      </c>
      <c r="M184">
        <v>1</v>
      </c>
      <c r="N184" s="24" t="s">
        <v>73</v>
      </c>
      <c r="W184" t="e">
        <f>VLOOKUP(H184,Grupo!$B$2:$E$7,3,0)</f>
        <v>#N/A</v>
      </c>
      <c r="X184" t="e">
        <f>VLOOKUP(H184,Grupo!$B$2:$E$7,4,0)</f>
        <v>#N/A</v>
      </c>
      <c r="Y184" t="e">
        <f t="shared" si="2"/>
        <v>#N/A</v>
      </c>
    </row>
    <row r="185" spans="1:25" ht="15.6" x14ac:dyDescent="0.3">
      <c r="A185" s="24" t="s">
        <v>208</v>
      </c>
      <c r="B185" s="39" t="s">
        <v>721</v>
      </c>
      <c r="C185" s="24" t="s">
        <v>78</v>
      </c>
      <c r="D185" s="24" t="s">
        <v>722</v>
      </c>
      <c r="E185" s="24" t="s">
        <v>723</v>
      </c>
      <c r="F185" s="24">
        <v>2066203</v>
      </c>
      <c r="G185" s="24" t="s">
        <v>70</v>
      </c>
      <c r="H185" s="24" t="s">
        <v>73</v>
      </c>
      <c r="L185">
        <v>1</v>
      </c>
      <c r="M185">
        <v>1</v>
      </c>
      <c r="N185" s="24" t="s">
        <v>73</v>
      </c>
      <c r="W185" t="e">
        <f>VLOOKUP(H185,Grupo!$B$2:$E$7,3,0)</f>
        <v>#N/A</v>
      </c>
      <c r="X185" t="e">
        <f>VLOOKUP(H185,Grupo!$B$2:$E$7,4,0)</f>
        <v>#N/A</v>
      </c>
      <c r="Y185" t="e">
        <f t="shared" si="2"/>
        <v>#N/A</v>
      </c>
    </row>
    <row r="186" spans="1:25" ht="15.6" x14ac:dyDescent="0.3">
      <c r="A186" s="24" t="s">
        <v>298</v>
      </c>
      <c r="B186" s="39" t="s">
        <v>724</v>
      </c>
      <c r="C186" s="24" t="s">
        <v>78</v>
      </c>
      <c r="D186" s="24" t="s">
        <v>725</v>
      </c>
      <c r="E186" s="24" t="s">
        <v>726</v>
      </c>
      <c r="F186" s="24">
        <v>1902989</v>
      </c>
      <c r="G186" s="24" t="s">
        <v>71</v>
      </c>
      <c r="H186" s="24" t="s">
        <v>72</v>
      </c>
      <c r="L186">
        <v>1</v>
      </c>
      <c r="M186">
        <v>1</v>
      </c>
      <c r="N186" s="24" t="s">
        <v>73</v>
      </c>
      <c r="W186" t="e">
        <f>VLOOKUP(H186,Grupo!$B$2:$E$7,3,0)</f>
        <v>#N/A</v>
      </c>
      <c r="X186" t="e">
        <f>VLOOKUP(H186,Grupo!$B$2:$E$7,4,0)</f>
        <v>#N/A</v>
      </c>
      <c r="Y186" t="e">
        <f t="shared" si="2"/>
        <v>#N/A</v>
      </c>
    </row>
    <row r="187" spans="1:25" ht="15.6" x14ac:dyDescent="0.3">
      <c r="A187" s="24" t="s">
        <v>208</v>
      </c>
      <c r="B187" s="39" t="s">
        <v>727</v>
      </c>
      <c r="C187" s="24" t="s">
        <v>78</v>
      </c>
      <c r="D187" s="24" t="s">
        <v>728</v>
      </c>
      <c r="E187" s="24" t="s">
        <v>729</v>
      </c>
      <c r="F187" s="24">
        <v>2066890</v>
      </c>
      <c r="G187" s="24" t="s">
        <v>70</v>
      </c>
      <c r="H187" s="24" t="s">
        <v>73</v>
      </c>
      <c r="L187">
        <v>1</v>
      </c>
      <c r="M187">
        <v>1</v>
      </c>
      <c r="N187" s="24" t="s">
        <v>73</v>
      </c>
      <c r="W187" t="e">
        <f>VLOOKUP(H187,Grupo!$B$2:$E$7,3,0)</f>
        <v>#N/A</v>
      </c>
      <c r="X187" t="e">
        <f>VLOOKUP(H187,Grupo!$B$2:$E$7,4,0)</f>
        <v>#N/A</v>
      </c>
      <c r="Y187" t="e">
        <f t="shared" si="2"/>
        <v>#N/A</v>
      </c>
    </row>
    <row r="188" spans="1:25" ht="15.6" x14ac:dyDescent="0.3">
      <c r="A188" s="24" t="s">
        <v>298</v>
      </c>
      <c r="B188" s="39" t="s">
        <v>730</v>
      </c>
      <c r="C188" s="24" t="s">
        <v>79</v>
      </c>
      <c r="D188" s="24" t="s">
        <v>731</v>
      </c>
      <c r="E188" s="24" t="s">
        <v>732</v>
      </c>
      <c r="F188" s="24">
        <v>1903292</v>
      </c>
      <c r="G188" s="24" t="s">
        <v>71</v>
      </c>
      <c r="H188" s="24" t="s">
        <v>72</v>
      </c>
      <c r="L188">
        <v>1</v>
      </c>
      <c r="M188">
        <v>1</v>
      </c>
      <c r="N188" s="24" t="s">
        <v>73</v>
      </c>
      <c r="W188" t="e">
        <f>VLOOKUP(H188,Grupo!$B$2:$E$7,3,0)</f>
        <v>#N/A</v>
      </c>
      <c r="X188" t="e">
        <f>VLOOKUP(H188,Grupo!$B$2:$E$7,4,0)</f>
        <v>#N/A</v>
      </c>
      <c r="Y188" t="e">
        <f t="shared" si="2"/>
        <v>#N/A</v>
      </c>
    </row>
    <row r="189" spans="1:25" ht="15.6" x14ac:dyDescent="0.3">
      <c r="A189" s="24" t="s">
        <v>298</v>
      </c>
      <c r="B189" s="39" t="s">
        <v>733</v>
      </c>
      <c r="C189" s="24" t="s">
        <v>78</v>
      </c>
      <c r="D189" s="24" t="s">
        <v>734</v>
      </c>
      <c r="E189" s="24" t="s">
        <v>735</v>
      </c>
      <c r="F189" s="24">
        <v>1903306</v>
      </c>
      <c r="G189" s="24" t="s">
        <v>71</v>
      </c>
      <c r="H189" s="24" t="s">
        <v>72</v>
      </c>
      <c r="L189">
        <v>1</v>
      </c>
      <c r="M189">
        <v>1</v>
      </c>
      <c r="N189" s="24" t="s">
        <v>73</v>
      </c>
      <c r="W189" t="e">
        <f>VLOOKUP(H189,Grupo!$B$2:$E$7,3,0)</f>
        <v>#N/A</v>
      </c>
      <c r="X189" t="e">
        <f>VLOOKUP(H189,Grupo!$B$2:$E$7,4,0)</f>
        <v>#N/A</v>
      </c>
      <c r="Y189" t="e">
        <f t="shared" si="2"/>
        <v>#N/A</v>
      </c>
    </row>
    <row r="190" spans="1:25" ht="15.6" x14ac:dyDescent="0.3">
      <c r="A190" s="24" t="s">
        <v>298</v>
      </c>
      <c r="B190" s="39" t="s">
        <v>736</v>
      </c>
      <c r="C190" s="24" t="s">
        <v>78</v>
      </c>
      <c r="D190" s="24" t="s">
        <v>737</v>
      </c>
      <c r="E190" s="24" t="s">
        <v>738</v>
      </c>
      <c r="F190" s="24">
        <v>1902962</v>
      </c>
      <c r="G190" s="24" t="s">
        <v>71</v>
      </c>
      <c r="H190" s="24" t="s">
        <v>72</v>
      </c>
      <c r="L190">
        <v>1</v>
      </c>
      <c r="M190">
        <v>1</v>
      </c>
      <c r="N190" s="24" t="s">
        <v>73</v>
      </c>
      <c r="W190" t="e">
        <f>VLOOKUP(H190,Grupo!$B$2:$E$7,3,0)</f>
        <v>#N/A</v>
      </c>
      <c r="X190" t="e">
        <f>VLOOKUP(H190,Grupo!$B$2:$E$7,4,0)</f>
        <v>#N/A</v>
      </c>
      <c r="Y190" t="e">
        <f t="shared" si="2"/>
        <v>#N/A</v>
      </c>
    </row>
    <row r="191" spans="1:25" ht="15.6" x14ac:dyDescent="0.3">
      <c r="A191" s="24" t="s">
        <v>298</v>
      </c>
      <c r="B191" s="39" t="s">
        <v>739</v>
      </c>
      <c r="C191" s="24" t="s">
        <v>78</v>
      </c>
      <c r="D191" s="24" t="s">
        <v>740</v>
      </c>
      <c r="E191" s="24" t="s">
        <v>741</v>
      </c>
      <c r="F191" s="24">
        <v>1902911</v>
      </c>
      <c r="G191" s="24" t="s">
        <v>71</v>
      </c>
      <c r="H191" s="24" t="s">
        <v>72</v>
      </c>
      <c r="L191">
        <v>1</v>
      </c>
      <c r="M191">
        <v>1</v>
      </c>
      <c r="N191" s="24" t="s">
        <v>73</v>
      </c>
      <c r="W191" t="e">
        <f>VLOOKUP(H191,Grupo!$B$2:$E$7,3,0)</f>
        <v>#N/A</v>
      </c>
      <c r="X191" t="e">
        <f>VLOOKUP(H191,Grupo!$B$2:$E$7,4,0)</f>
        <v>#N/A</v>
      </c>
      <c r="Y191" t="e">
        <f t="shared" si="2"/>
        <v>#N/A</v>
      </c>
    </row>
    <row r="192" spans="1:25" ht="15.6" x14ac:dyDescent="0.3">
      <c r="A192" s="24" t="s">
        <v>298</v>
      </c>
      <c r="B192" s="39" t="s">
        <v>742</v>
      </c>
      <c r="C192" s="24" t="s">
        <v>78</v>
      </c>
      <c r="D192" s="24" t="s">
        <v>743</v>
      </c>
      <c r="E192" s="24" t="s">
        <v>744</v>
      </c>
      <c r="F192" s="24">
        <v>2064260</v>
      </c>
      <c r="G192" s="24" t="s">
        <v>71</v>
      </c>
      <c r="H192" s="24" t="s">
        <v>72</v>
      </c>
      <c r="L192">
        <v>1</v>
      </c>
      <c r="M192">
        <v>1</v>
      </c>
      <c r="N192" s="24" t="s">
        <v>73</v>
      </c>
      <c r="W192" t="e">
        <f>VLOOKUP(H192,Grupo!$B$2:$E$7,3,0)</f>
        <v>#N/A</v>
      </c>
      <c r="X192" t="e">
        <f>VLOOKUP(H192,Grupo!$B$2:$E$7,4,0)</f>
        <v>#N/A</v>
      </c>
      <c r="Y192" t="e">
        <f t="shared" si="2"/>
        <v>#N/A</v>
      </c>
    </row>
    <row r="193" spans="1:25" ht="15.6" x14ac:dyDescent="0.3">
      <c r="A193" s="24" t="s">
        <v>298</v>
      </c>
      <c r="B193" s="39" t="s">
        <v>745</v>
      </c>
      <c r="C193" s="24" t="s">
        <v>78</v>
      </c>
      <c r="D193" s="24" t="s">
        <v>746</v>
      </c>
      <c r="E193" s="24" t="s">
        <v>747</v>
      </c>
      <c r="F193" s="24">
        <v>2064251</v>
      </c>
      <c r="G193" s="24" t="s">
        <v>71</v>
      </c>
      <c r="H193" s="24" t="s">
        <v>72</v>
      </c>
      <c r="L193">
        <v>1</v>
      </c>
      <c r="M193">
        <v>1</v>
      </c>
      <c r="N193" s="24" t="s">
        <v>73</v>
      </c>
      <c r="W193" t="e">
        <f>VLOOKUP(H193,Grupo!$B$2:$E$7,3,0)</f>
        <v>#N/A</v>
      </c>
      <c r="X193" t="e">
        <f>VLOOKUP(H193,Grupo!$B$2:$E$7,4,0)</f>
        <v>#N/A</v>
      </c>
      <c r="Y193" t="e">
        <f t="shared" si="2"/>
        <v>#N/A</v>
      </c>
    </row>
    <row r="194" spans="1:25" ht="15.6" x14ac:dyDescent="0.3">
      <c r="A194" s="24" t="s">
        <v>298</v>
      </c>
      <c r="B194" s="39" t="s">
        <v>213</v>
      </c>
      <c r="C194" s="24" t="s">
        <v>78</v>
      </c>
      <c r="D194" s="24" t="s">
        <v>748</v>
      </c>
      <c r="E194" s="24" t="s">
        <v>749</v>
      </c>
      <c r="F194" s="24">
        <v>2064235</v>
      </c>
      <c r="G194" s="24" t="s">
        <v>71</v>
      </c>
      <c r="H194" s="24" t="s">
        <v>72</v>
      </c>
      <c r="L194">
        <v>1</v>
      </c>
      <c r="M194">
        <v>1</v>
      </c>
      <c r="N194" s="24" t="s">
        <v>73</v>
      </c>
      <c r="W194" t="e">
        <f>VLOOKUP(H194,Grupo!$B$2:$E$7,3,0)</f>
        <v>#N/A</v>
      </c>
      <c r="X194" t="e">
        <f>VLOOKUP(H194,Grupo!$B$2:$E$7,4,0)</f>
        <v>#N/A</v>
      </c>
      <c r="Y194" t="e">
        <f t="shared" si="2"/>
        <v>#N/A</v>
      </c>
    </row>
    <row r="195" spans="1:25" ht="15.6" x14ac:dyDescent="0.3">
      <c r="A195" s="24" t="s">
        <v>298</v>
      </c>
      <c r="B195" s="39" t="s">
        <v>750</v>
      </c>
      <c r="C195" s="24" t="s">
        <v>78</v>
      </c>
      <c r="D195" s="24" t="s">
        <v>751</v>
      </c>
      <c r="E195" s="24" t="s">
        <v>752</v>
      </c>
      <c r="F195" s="24">
        <v>2064197</v>
      </c>
      <c r="G195" s="24" t="s">
        <v>71</v>
      </c>
      <c r="H195" s="24" t="s">
        <v>72</v>
      </c>
      <c r="L195">
        <v>1</v>
      </c>
      <c r="M195">
        <v>1</v>
      </c>
      <c r="N195" s="24" t="s">
        <v>73</v>
      </c>
      <c r="W195" t="e">
        <f>VLOOKUP(H195,Grupo!$B$2:$E$7,3,0)</f>
        <v>#N/A</v>
      </c>
      <c r="X195" t="e">
        <f>VLOOKUP(H195,Grupo!$B$2:$E$7,4,0)</f>
        <v>#N/A</v>
      </c>
      <c r="Y195" t="e">
        <f t="shared" ref="Y195:Y198" si="3">6371*ACOS(COS(PI()*(90-W195)/180)*COS((90-D195)*PI()/180)+SIN((90-W195)*PI()/180)*SIN((90-D195)*PI()/180)*COS((X195-E195)*PI()/180))</f>
        <v>#N/A</v>
      </c>
    </row>
    <row r="196" spans="1:25" ht="15.6" x14ac:dyDescent="0.3">
      <c r="A196" s="24" t="s">
        <v>298</v>
      </c>
      <c r="B196" s="39" t="s">
        <v>753</v>
      </c>
      <c r="C196" s="24" t="s">
        <v>78</v>
      </c>
      <c r="D196" s="24" t="s">
        <v>754</v>
      </c>
      <c r="E196" s="24" t="s">
        <v>755</v>
      </c>
      <c r="F196" s="24">
        <v>2072688</v>
      </c>
      <c r="G196" s="24" t="s">
        <v>71</v>
      </c>
      <c r="H196" s="24" t="s">
        <v>72</v>
      </c>
      <c r="L196">
        <v>1</v>
      </c>
      <c r="M196">
        <v>1</v>
      </c>
      <c r="N196" s="24" t="s">
        <v>73</v>
      </c>
      <c r="W196" t="e">
        <f>VLOOKUP(H196,Grupo!$B$2:$E$7,3,0)</f>
        <v>#N/A</v>
      </c>
      <c r="X196" t="e">
        <f>VLOOKUP(H196,Grupo!$B$2:$E$7,4,0)</f>
        <v>#N/A</v>
      </c>
      <c r="Y196" t="e">
        <f t="shared" si="3"/>
        <v>#N/A</v>
      </c>
    </row>
    <row r="197" spans="1:25" ht="15.6" x14ac:dyDescent="0.3">
      <c r="A197" s="24" t="s">
        <v>298</v>
      </c>
      <c r="B197" s="39" t="s">
        <v>756</v>
      </c>
      <c r="C197" s="24" t="s">
        <v>78</v>
      </c>
      <c r="D197" s="24" t="s">
        <v>757</v>
      </c>
      <c r="E197" s="24" t="s">
        <v>758</v>
      </c>
      <c r="F197" s="24">
        <v>2064200</v>
      </c>
      <c r="G197" s="24" t="s">
        <v>71</v>
      </c>
      <c r="H197" s="24" t="s">
        <v>72</v>
      </c>
      <c r="L197">
        <v>1</v>
      </c>
      <c r="M197">
        <v>1</v>
      </c>
      <c r="N197" s="24" t="s">
        <v>73</v>
      </c>
      <c r="W197" t="e">
        <f>VLOOKUP(H197,Grupo!$B$2:$E$7,3,0)</f>
        <v>#N/A</v>
      </c>
      <c r="X197" t="e">
        <f>VLOOKUP(H197,Grupo!$B$2:$E$7,4,0)</f>
        <v>#N/A</v>
      </c>
      <c r="Y197" t="e">
        <f t="shared" si="3"/>
        <v>#N/A</v>
      </c>
    </row>
    <row r="198" spans="1:25" ht="15.6" x14ac:dyDescent="0.3">
      <c r="A198" s="24" t="s">
        <v>298</v>
      </c>
      <c r="B198" s="39" t="s">
        <v>750</v>
      </c>
      <c r="C198" s="24" t="s">
        <v>78</v>
      </c>
      <c r="D198" s="24" t="s">
        <v>759</v>
      </c>
      <c r="E198" s="24" t="s">
        <v>760</v>
      </c>
      <c r="F198" s="24">
        <v>2066220</v>
      </c>
      <c r="G198" s="24" t="s">
        <v>71</v>
      </c>
      <c r="H198" s="24" t="s">
        <v>72</v>
      </c>
      <c r="L198">
        <v>1</v>
      </c>
      <c r="M198">
        <v>1</v>
      </c>
      <c r="N198" s="24" t="s">
        <v>73</v>
      </c>
      <c r="W198" t="e">
        <f>VLOOKUP(H198,Grupo!$B$2:$E$7,3,0)</f>
        <v>#N/A</v>
      </c>
      <c r="X198" t="e">
        <f>VLOOKUP(H198,Grupo!$B$2:$E$7,4,0)</f>
        <v>#N/A</v>
      </c>
      <c r="Y198" t="e">
        <f t="shared" si="3"/>
        <v>#N/A</v>
      </c>
    </row>
    <row r="199" spans="1:25" x14ac:dyDescent="0.3">
      <c r="D199" s="43"/>
      <c r="E199" s="43"/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E198" xr:uid="{00000000-0001-0000-0300-000000000000}"/>
  <conditionalFormatting sqref="F2:F198">
    <cfRule type="duplicateValues" dxfId="1" priority="3"/>
  </conditionalFormatting>
  <conditionalFormatting sqref="K16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8" fitToWidth="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B7159E-3DE5-427F-9AE4-09C0FBF4972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F6FD117-4CDB-4B53-AE83-6C2544F378BA}">
  <ds:schemaRefs>
    <ds:schemaRef ds:uri="http://purl.org/dc/elements/1.1/"/>
    <ds:schemaRef ds:uri="http://schemas.microsoft.com/office/2006/documentManagement/types"/>
    <ds:schemaRef ds:uri="a855df5c-95c7-4b88-a17d-2f8ebe25ba97"/>
    <ds:schemaRef ds:uri="http://purl.org/dc/terms/"/>
    <ds:schemaRef ds:uri="9f987d89-c3c0-470e-aaa6-c2253135bda5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7978DE-2A0C-47AE-B31F-7C3F9A9DA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87d89-c3c0-470e-aaa6-c2253135bda5"/>
    <ds:schemaRef ds:uri="a855df5c-95c7-4b88-a17d-2f8ebe25b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FAC3CF8-3FC0-4E4F-A475-63075A83B3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CALCULO_VR</vt:lpstr>
      <vt:lpstr>Lote1</vt:lpstr>
      <vt:lpstr>Planilha3</vt:lpstr>
      <vt:lpstr>Planilha1</vt:lpstr>
      <vt:lpstr>Planilha6</vt:lpstr>
      <vt:lpstr>Grupo</vt:lpstr>
      <vt:lpstr>Planilha5</vt:lpstr>
      <vt:lpstr>Planilha2</vt:lpstr>
      <vt:lpstr>Planilha4</vt:lpstr>
      <vt:lpstr>COORDENADAS_GEOGRÁFICAS</vt:lpstr>
      <vt:lpstr>Banco_de_dados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Vectra_Geo02</dc:creator>
  <cp:keywords/>
  <dc:description/>
  <cp:lastModifiedBy>Lais dos Santos Brito</cp:lastModifiedBy>
  <cp:revision/>
  <dcterms:created xsi:type="dcterms:W3CDTF">2011-02-11T19:21:35Z</dcterms:created>
  <dcterms:modified xsi:type="dcterms:W3CDTF">2026-05-29T00:28:20Z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1bec2f-76ff-4ec4-a400-40fa874b44be_Enabled">
    <vt:lpwstr>true</vt:lpwstr>
  </property>
  <property fmtid="{D5CDD505-2E9C-101B-9397-08002B2CF9AE}" pid="3" name="MSIP_Label_1d1bec2f-76ff-4ec4-a400-40fa874b44be_SetDate">
    <vt:lpwstr>2023-02-13T21:23:45Z</vt:lpwstr>
  </property>
  <property fmtid="{D5CDD505-2E9C-101B-9397-08002B2CF9AE}" pid="4" name="MSIP_Label_1d1bec2f-76ff-4ec4-a400-40fa874b44be_Method">
    <vt:lpwstr>Privileged</vt:lpwstr>
  </property>
  <property fmtid="{D5CDD505-2E9C-101B-9397-08002B2CF9AE}" pid="5" name="MSIP_Label_1d1bec2f-76ff-4ec4-a400-40fa874b44be_Name">
    <vt:lpwstr>Interno</vt:lpwstr>
  </property>
  <property fmtid="{D5CDD505-2E9C-101B-9397-08002B2CF9AE}" pid="6" name="MSIP_Label_1d1bec2f-76ff-4ec4-a400-40fa874b44be_SiteId">
    <vt:lpwstr>8a0ffb54-9716-4a93-9158-9e3a7206f18e</vt:lpwstr>
  </property>
  <property fmtid="{D5CDD505-2E9C-101B-9397-08002B2CF9AE}" pid="7" name="MSIP_Label_1d1bec2f-76ff-4ec4-a400-40fa874b44be_ActionId">
    <vt:lpwstr>c5f8cc78-478b-4ee2-aba6-c2f059932748</vt:lpwstr>
  </property>
  <property fmtid="{D5CDD505-2E9C-101B-9397-08002B2CF9AE}" pid="8" name="MSIP_Label_1d1bec2f-76ff-4ec4-a400-40fa874b44be_ContentBits">
    <vt:lpwstr>2</vt:lpwstr>
  </property>
  <property fmtid="{D5CDD505-2E9C-101B-9397-08002B2CF9AE}" pid="9" name="ContentTypeId">
    <vt:lpwstr>0x010100B4407BA364D1654387CA771A5258DC59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2024-12-17T14:37:22Z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87c4b32b-99bb-47a2-a1cd-9b7ad581fdbc</vt:lpwstr>
  </property>
  <property fmtid="{D5CDD505-2E9C-101B-9397-08002B2CF9AE}" pid="16" name="MSIP_Label_defa4170-0d19-0005-0004-bc88714345d2_ActionId">
    <vt:lpwstr>f97f2dac-e4e7-4ec7-9c63-0b6ade76d9db</vt:lpwstr>
  </property>
  <property fmtid="{D5CDD505-2E9C-101B-9397-08002B2CF9AE}" pid="17" name="MSIP_Label_defa4170-0d19-0005-0004-bc88714345d2_ContentBits">
    <vt:lpwstr>0</vt:lpwstr>
  </property>
</Properties>
</file>