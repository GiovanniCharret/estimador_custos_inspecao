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rigoAntheroAvilaP\Downloads\Nova Pasta 1\"/>
    </mc:Choice>
  </mc:AlternateContent>
  <xr:revisionPtr revIDLastSave="0" documentId="8_{36767D5D-B7B1-453B-8504-546BF8C4E03C}" xr6:coauthVersionLast="47" xr6:coauthVersionMax="47" xr10:uidLastSave="{00000000-0000-0000-0000-000000000000}"/>
  <bookViews>
    <workbookView xWindow="25695" yWindow="0" windowWidth="26010" windowHeight="20985" firstSheet="3" activeTab="3" xr2:uid="{00000000-000D-0000-FFFF-FFFF00000000}"/>
  </bookViews>
  <sheets>
    <sheet name="PENDÊNCIAS" sheetId="9" r:id="rId1"/>
    <sheet name="Relatório de Fiscalização" sheetId="13" r:id="rId2"/>
    <sheet name="Ordem de Serviço Emissão" sheetId="8" r:id="rId3"/>
    <sheet name="Composição Equipes Inspeção" sheetId="10" r:id="rId4"/>
    <sheet name="IMR" sheetId="7" r:id="rId5"/>
    <sheet name="Custos Inspeções" sheetId="4" r:id="rId6"/>
    <sheet name="Fiscais de Contrato e Gerentes" sheetId="1" r:id="rId7"/>
    <sheet name="Empresas Credenciadas" sheetId="6" r:id="rId8"/>
    <sheet name="Relação Empresas-Fiscais" sheetId="12" r:id="rId9"/>
    <sheet name="Controle Fila Credenciadas" sheetId="11" r:id="rId10"/>
    <sheet name="Controle das Credenciadas" sheetId="14" r:id="rId11"/>
  </sheets>
  <definedNames>
    <definedName name="_xlnm.Print_Area" localSheetId="3">'Composição Equipes Inspeção'!$A$1:$K$39</definedName>
    <definedName name="_xlnm.Print_Area" localSheetId="9">'Controle Fila Credenciadas'!$A$1:$L$37</definedName>
    <definedName name="_xlnm.Print_Area" localSheetId="2">'Ordem de Serviço Emissão'!$A$1:$R$73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3" l="1"/>
  <c r="J31" i="13"/>
  <c r="C31" i="13"/>
  <c r="C27" i="13"/>
  <c r="C24" i="13"/>
  <c r="K27" i="8"/>
  <c r="D20" i="8"/>
  <c r="N23" i="8"/>
  <c r="N20" i="8"/>
  <c r="D27" i="8"/>
  <c r="D23" i="8"/>
  <c r="C43" i="13"/>
  <c r="H10" i="12"/>
  <c r="G10" i="12"/>
  <c r="H9" i="12"/>
  <c r="H8" i="12"/>
  <c r="G9" i="12"/>
  <c r="G8" i="12"/>
  <c r="F19" i="13"/>
  <c r="E17" i="13"/>
  <c r="E13" i="13"/>
  <c r="C46" i="13"/>
  <c r="C40" i="13"/>
  <c r="K4" i="11"/>
  <c r="J4" i="11"/>
  <c r="K3" i="11"/>
  <c r="J3" i="11"/>
  <c r="G5" i="12"/>
  <c r="H7" i="12"/>
  <c r="G7" i="12"/>
  <c r="H6" i="12"/>
  <c r="G6" i="12"/>
  <c r="H5" i="12"/>
  <c r="H4" i="12"/>
  <c r="G4" i="12"/>
  <c r="H3" i="12"/>
  <c r="G3" i="12"/>
  <c r="C4" i="11"/>
  <c r="I4" i="11"/>
  <c r="I3" i="11"/>
  <c r="H3" i="11"/>
  <c r="G3" i="11"/>
  <c r="F3" i="11"/>
  <c r="E3" i="11"/>
  <c r="D3" i="11"/>
  <c r="C3" i="11"/>
  <c r="H4" i="11"/>
  <c r="G4" i="11"/>
  <c r="F4" i="11"/>
  <c r="E4" i="11"/>
  <c r="D4" i="11"/>
  <c r="D20" i="4" a="1"/>
  <c r="D19" i="4" a="1"/>
  <c r="K52" i="8"/>
  <c r="K51" i="8"/>
  <c r="E50" i="8"/>
  <c r="I18" i="10"/>
  <c r="I17" i="10"/>
  <c r="D16" i="10"/>
  <c r="D14" i="10"/>
  <c r="D18" i="10"/>
  <c r="D17" i="10"/>
  <c r="D15" i="10"/>
  <c r="D13" i="10"/>
  <c r="D11" i="10"/>
  <c r="D10" i="10"/>
  <c r="D9" i="10"/>
  <c r="D12" i="10"/>
  <c r="G18" i="10"/>
  <c r="G68" i="8" s="1"/>
  <c r="G17" i="10"/>
  <c r="G63" i="8" s="1"/>
  <c r="N13" i="8"/>
  <c r="L113" i="8"/>
  <c r="J68" i="8" l="1"/>
  <c r="J94" i="8"/>
  <c r="J63" i="8"/>
  <c r="J89" i="8"/>
  <c r="L93" i="8"/>
  <c r="L95" i="8"/>
  <c r="L88" i="8"/>
  <c r="L90" i="8"/>
  <c r="L91" i="8"/>
  <c r="G89" i="8"/>
  <c r="K53" i="8"/>
  <c r="I9" i="10"/>
  <c r="L122" i="8"/>
  <c r="C122" i="8"/>
  <c r="N10" i="8"/>
  <c r="D13" i="8"/>
  <c r="D10" i="8"/>
  <c r="O52" i="8" l="1"/>
  <c r="G95" i="8"/>
  <c r="G94" i="8"/>
  <c r="G93" i="8"/>
  <c r="E41" i="7" l="1"/>
  <c r="E40" i="7"/>
  <c r="E39" i="7"/>
  <c r="E38" i="7"/>
  <c r="E37" i="7"/>
  <c r="E36" i="7"/>
  <c r="E35" i="7"/>
  <c r="E34" i="7"/>
  <c r="E33" i="7"/>
  <c r="E32" i="7"/>
  <c r="E31" i="7"/>
  <c r="E30" i="7"/>
  <c r="D18" i="4" a="1"/>
  <c r="D17" i="4" a="1"/>
  <c r="E29" i="4" a="1"/>
  <c r="E28" i="4" a="1"/>
  <c r="E27" i="4" a="1"/>
  <c r="E26" i="4" a="1"/>
  <c r="D28" i="7" l="1"/>
  <c r="D29" i="7" l="1"/>
  <c r="N98" i="8" l="1"/>
  <c r="C114" i="8"/>
  <c r="C113" i="8"/>
  <c r="C132" i="8" l="1"/>
  <c r="L132" i="8"/>
  <c r="G46" i="8" l="1"/>
  <c r="O46" i="8"/>
  <c r="E105" i="8"/>
  <c r="O54" i="8" s="1"/>
  <c r="O53" i="8" l="1"/>
  <c r="J91" i="8"/>
  <c r="N91" i="8" s="1"/>
  <c r="J18" i="10"/>
  <c r="N68" i="8" s="1"/>
  <c r="L94" i="8"/>
  <c r="N94" i="8" s="1"/>
  <c r="L68" i="8"/>
  <c r="L69" i="8"/>
  <c r="L67" i="8"/>
  <c r="J65" i="8"/>
  <c r="E9" i="10"/>
  <c r="E10" i="10"/>
  <c r="E14" i="10"/>
  <c r="E18" i="10"/>
  <c r="E15" i="10"/>
  <c r="J17" i="10"/>
  <c r="N63" i="8" s="1"/>
  <c r="E16" i="10"/>
  <c r="E17" i="10"/>
  <c r="E11" i="10"/>
  <c r="E13" i="10"/>
  <c r="E12" i="10"/>
  <c r="L89" i="8"/>
  <c r="N89" i="8" s="1"/>
  <c r="L63" i="8"/>
  <c r="L65" i="8"/>
  <c r="L62" i="8"/>
  <c r="L64" i="8"/>
  <c r="J64" i="8" l="1"/>
  <c r="N64" i="8" s="1"/>
  <c r="J69" i="8"/>
  <c r="N69" i="8" s="1"/>
  <c r="J90" i="8"/>
  <c r="N90" i="8" s="1"/>
  <c r="J95" i="8"/>
  <c r="N95" i="8" s="1"/>
  <c r="O51" i="8"/>
  <c r="N65" i="8"/>
  <c r="I11" i="10"/>
  <c r="J62" i="8" l="1"/>
  <c r="N62" i="8" s="1"/>
  <c r="N66" i="8" s="1"/>
  <c r="J67" i="8"/>
  <c r="N67" i="8" s="1"/>
  <c r="N70" i="8" s="1"/>
  <c r="J88" i="8"/>
  <c r="N88" i="8" s="1"/>
  <c r="N92" i="8" s="1"/>
  <c r="J93" i="8"/>
  <c r="N93" i="8" s="1"/>
  <c r="N96" i="8" s="1"/>
  <c r="N97" i="8" l="1"/>
  <c r="N99" i="8" s="1"/>
  <c r="N71" i="8"/>
  <c r="E29" i="4"/>
  <c r="E28" i="4"/>
  <c r="E27" i="4"/>
  <c r="E26" i="4"/>
  <c r="D20" i="4"/>
  <c r="D19" i="4"/>
  <c r="D18" i="4"/>
  <c r="D17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<sst xmlns="http://schemas.openxmlformats.org/spreadsheetml/2006/main" count="825" uniqueCount="519">
  <si>
    <t>PENDÊNCIAS</t>
  </si>
  <si>
    <t>Aguardar aprovação do Código de Ética da ENBPar e colocar em uma aba. Será necessário repassar o Código de Ética ao Credenciado. É item de avalição do trabalho pelo IMR (item 1.3).</t>
  </si>
  <si>
    <t xml:space="preserve">Criar procedimento junto aos Credenciados para certificar-se de todos os itens referentes à avaliação prevista no IMR: quantidade, habilitações e experiência dos profissionais; definição de meios de comunicação; repasse das exigências contratuais e regulamentos; </t>
  </si>
  <si>
    <t>Preencher Apenas o Campo Que Está em Vermelho</t>
  </si>
  <si>
    <t>DIRETORIA DE GESTÃO DE PROGRAMAS DE GOVERNO</t>
  </si>
  <si>
    <t>RELATÓRIO DE FISCALIZAÇÃO DE CONTRATO DE APOIO ÀS INSPEÇÕES FÍSICAS</t>
  </si>
  <si>
    <t>1.   IDENTIFICAÇÃO</t>
  </si>
  <si>
    <t>1.1. IDENTIFICAÇÃO TERMO DE CREDENCIAMENTO E EMPRESA CREDENCIADA</t>
  </si>
  <si>
    <t>CONTRATO:</t>
  </si>
  <si>
    <t>OBJETO:</t>
  </si>
  <si>
    <t>Prestação de serviços de apoio técnico especializado às atividades de levantamento de campo do Programa Luz para Todos - LPT.</t>
  </si>
  <si>
    <t>PROCESSO SEI:</t>
  </si>
  <si>
    <t>DOTAÇÃO ORÇAMENTÁRIA:</t>
  </si>
  <si>
    <t>No. CADASTRO:</t>
  </si>
  <si>
    <t>CNPJ:</t>
  </si>
  <si>
    <t>NOME EMPRESA:</t>
  </si>
  <si>
    <t>ENDEREÇO EMPRESA:</t>
  </si>
  <si>
    <t>CONTATO EMPRESA:</t>
  </si>
  <si>
    <t>1.2. IDENTIFICAÇÃO DO FISCAL DO TERMO DE CREDENCIAMENTO</t>
  </si>
  <si>
    <t>MATRÍCULA:</t>
  </si>
  <si>
    <t>NOME:</t>
  </si>
  <si>
    <t>FUNÇÃO:</t>
  </si>
  <si>
    <t>ATO DE DESIGNAÇÃO DO FISCAL</t>
  </si>
  <si>
    <t>2.   ATIVIDADE DE ACOMPANHAMENTO E DA FISCALIZAÇÃO DO CONTRATO</t>
  </si>
  <si>
    <t>PERÍODO APURADO</t>
  </si>
  <si>
    <t>DATA DE INÍCIO:</t>
  </si>
  <si>
    <t>DATA TÉRMINO:</t>
  </si>
  <si>
    <t>2.1. RELAÇÃO DE OCORRÊNCIAS E VERIFICAÇÕES</t>
  </si>
  <si>
    <t>SIM</t>
  </si>
  <si>
    <t>NÃO</t>
  </si>
  <si>
    <t xml:space="preserve">   01 - Cumpriu as Obrigações Contratuais?</t>
  </si>
  <si>
    <t>X</t>
  </si>
  <si>
    <t xml:space="preserve">   02 - Obedeceu aos Prazos Estabelecidos?</t>
  </si>
  <si>
    <t xml:space="preserve">   03 - Entregou os Documentos a Que Estava Obrigado?</t>
  </si>
  <si>
    <t xml:space="preserve">   04 - Disponibilizou Profissionais e Materiais Qualificados?</t>
  </si>
  <si>
    <t xml:space="preserve">   05 - Prestou o Serviço com a Qualidade Esperada?</t>
  </si>
  <si>
    <t xml:space="preserve">   06 - Notificação Extrajudicial?</t>
  </si>
  <si>
    <t xml:space="preserve">   07 - Suspensão do Contrato?</t>
  </si>
  <si>
    <t xml:space="preserve">   08 - Necessidade de Rescisão?</t>
  </si>
  <si>
    <t xml:space="preserve">   09 - Alterações Contratuais?</t>
  </si>
  <si>
    <t xml:space="preserve">   10 - Necessidade de Reajuste ou Correção dos Valores?</t>
  </si>
  <si>
    <t>2.2. DESCRIÇÃO DAS ATIVIDADES:</t>
  </si>
  <si>
    <t>3.   CONCLUSÕES</t>
  </si>
  <si>
    <t>SOLICITAÇÃO DE ORDEM DE SERVIÇO PARA APOIO ÀS INSPEÇÕES FÍSICAS</t>
  </si>
  <si>
    <t>SOLICITANTE</t>
  </si>
  <si>
    <t>Matrícula:</t>
  </si>
  <si>
    <t>Nome:</t>
  </si>
  <si>
    <t xml:space="preserve">Telefone/Ramal:   </t>
  </si>
  <si>
    <t>Função:</t>
  </si>
  <si>
    <t>CPF:</t>
  </si>
  <si>
    <t>EMPRESA CREDENCIADA</t>
  </si>
  <si>
    <t>No. Cadastro:</t>
  </si>
  <si>
    <t>Endereço:</t>
  </si>
  <si>
    <t xml:space="preserve">Telefone/Ramal: </t>
  </si>
  <si>
    <t>Contato:</t>
  </si>
  <si>
    <t>DESCRIÇÃO DA ATIVIDADE</t>
  </si>
  <si>
    <t xml:space="preserve">SOBRE A ATIVIDADE:
   Equatorial-PA 4ª Tranche - ECM 013-A-2023 - 27 a 31-07-2026
   Estado (UF);
   Concessionária;
   Contrato / Tranche;
   Número de Equipes;
   Período previsto para inspeções;
   Informações dos locais de inspeção (UC, nome cliente, ODI, Município, Coordenadas geográficas, data prevista para inspeção);
</t>
  </si>
  <si>
    <t>PARÂMETROS PREVISTOS DE DIMENSIONAMENTO DA INSPEÇÃO</t>
  </si>
  <si>
    <t>Data de Início:</t>
  </si>
  <si>
    <t>Data de término:</t>
  </si>
  <si>
    <t>Tipo de obra:</t>
  </si>
  <si>
    <t>Sistemas de Geração Descentralizada</t>
  </si>
  <si>
    <t>Obra Com Deslocamento:</t>
  </si>
  <si>
    <t>Número Equipes:</t>
  </si>
  <si>
    <t>Profissionais Totais</t>
  </si>
  <si>
    <t>Tempo por Etapa (h)</t>
  </si>
  <si>
    <t>Engenheiro Eletricista:</t>
  </si>
  <si>
    <t>Planejamento:</t>
  </si>
  <si>
    <t>Engenheiro Generalista:</t>
  </si>
  <si>
    <t>Desenvolvimento:</t>
  </si>
  <si>
    <t>Técnico Eletricista:</t>
  </si>
  <si>
    <t>Relatório:</t>
  </si>
  <si>
    <t>Apresentação:</t>
  </si>
  <si>
    <t>PREVISÃO DE CUSTOS (ESTIMATIVA).</t>
  </si>
  <si>
    <t>PROFISSIONAL</t>
  </si>
  <si>
    <t>ETAPA</t>
  </si>
  <si>
    <t>NÚMERO DE PROFISSIONAIS</t>
  </si>
  <si>
    <t>HORAS TOTAIS ESTIMADAS</t>
  </si>
  <si>
    <t>CUSTO POR HORA</t>
  </si>
  <si>
    <t>CUSTO TOTAL</t>
  </si>
  <si>
    <t>Engenheiro Eletricista e/ou Generalista</t>
  </si>
  <si>
    <t>Planejamento</t>
  </si>
  <si>
    <t>Desenvolvimento</t>
  </si>
  <si>
    <t>Relatório</t>
  </si>
  <si>
    <t>Apresentação</t>
  </si>
  <si>
    <t>Subtotal Engenheiro:</t>
  </si>
  <si>
    <t>Técnico</t>
  </si>
  <si>
    <t>Subtotal Técnico Eletricista:</t>
  </si>
  <si>
    <t>TOTAL GERAL ESTIMADO:</t>
  </si>
  <si>
    <t>RESUMO DAS ATIVIDADES EXECUTADAS PELO CREDENCIADO</t>
  </si>
  <si>
    <t xml:space="preserve">CÁLCULO EFETIVO DO DESEMBOLSO </t>
  </si>
  <si>
    <t>HORAS TOTAIS EXECUTADAS</t>
  </si>
  <si>
    <t>TOTAL GERAL EXECUTADO:</t>
  </si>
  <si>
    <t>IMR Efetivo (limitado a 35%):</t>
  </si>
  <si>
    <t>TOTAL GERAL A SER PAGO:</t>
  </si>
  <si>
    <t>Data da Solicitação:</t>
  </si>
  <si>
    <t>Solicitante:</t>
  </si>
  <si>
    <t>Gerência:</t>
  </si>
  <si>
    <t>GERENTE DE CONTRATOS DO P. LUZ PARA TODOS</t>
  </si>
  <si>
    <t>Superintendência:</t>
  </si>
  <si>
    <t>Diretoria:</t>
  </si>
  <si>
    <t>SUPERINTENDENTE PROGRAMA LUZ PARA TODOS</t>
  </si>
  <si>
    <t>DIRETORIA DE GESTÃO PROGRAMAS DE GOVERNO</t>
  </si>
  <si>
    <t>Coord. da Inspeção Empresa Credenciada:</t>
  </si>
  <si>
    <t>Preposto Empresa Credenciada:</t>
  </si>
  <si>
    <t>Coordenador da Inspeção</t>
  </si>
  <si>
    <t>Preposto</t>
  </si>
  <si>
    <t>PREVISÃO DE CUSTOS. ETAPA DE DESENVOLVIMENTO.</t>
  </si>
  <si>
    <t>NÚMERO TOTAL DE EQUIPES:</t>
  </si>
  <si>
    <t>PREVISÃO DE CUSTO POR EQUIPE</t>
  </si>
  <si>
    <t>TOTAIS DA ETAPA DE DESENVOLVIMENTO</t>
  </si>
  <si>
    <t>EQUIPES</t>
  </si>
  <si>
    <t>HORAS</t>
  </si>
  <si>
    <t>CUSTO</t>
  </si>
  <si>
    <t>EQUIPE 01</t>
  </si>
  <si>
    <t>EQUIPE 02</t>
  </si>
  <si>
    <t>EQUIPE 03</t>
  </si>
  <si>
    <t>EQUIPE 04</t>
  </si>
  <si>
    <t>EQUIPE 05</t>
  </si>
  <si>
    <t>EQUIPE 06</t>
  </si>
  <si>
    <t>EQUIPE 07</t>
  </si>
  <si>
    <t>DADOS COMPLEMENTARES TOTAIS</t>
  </si>
  <si>
    <t>EQUIPE 08</t>
  </si>
  <si>
    <t>QUANTID.</t>
  </si>
  <si>
    <t>PROFISSIONAIS</t>
  </si>
  <si>
    <t>EQUIPE 09</t>
  </si>
  <si>
    <t>Engenheiros</t>
  </si>
  <si>
    <t>EQUIPE 10</t>
  </si>
  <si>
    <t>Técnicos</t>
  </si>
  <si>
    <t>COMPOSIÇÃO DAS EQUIPES</t>
  </si>
  <si>
    <t>EQUIPE 01: PERÍODO E PROFISSIONAIS</t>
  </si>
  <si>
    <t>EQUIPE 02: PERÍODO E PROFISSIONAIS</t>
  </si>
  <si>
    <t>EQUIPE 03: PERÍODO E PROFISSIONAIS</t>
  </si>
  <si>
    <t>EQUIPE 04: PERÍODO E PROFISSIONAIS</t>
  </si>
  <si>
    <t>EQUIPE 05: PERÍODO E PROFISSIONAIS</t>
  </si>
  <si>
    <t>EQUIPE 06: PERÍODO E PROFISSIONAIS</t>
  </si>
  <si>
    <t>EQUIPE 07: PERÍODO E PROFISSIONAIS</t>
  </si>
  <si>
    <t>EQUIPE 08: PERÍODO E PROFISSIONAIS</t>
  </si>
  <si>
    <t>EQUIPE 09: PERÍODO E PROFISSIONAIS</t>
  </si>
  <si>
    <t>EQUIPE 10: PERÍODO E PROFISSIONAIS</t>
  </si>
  <si>
    <t>CRITÉRIOS DO INSTRUMENTO DE MEDIÇÃO DE RESULTADO - IMR</t>
  </si>
  <si>
    <t>ITENS</t>
  </si>
  <si>
    <t>CRITÉRIOS</t>
  </si>
  <si>
    <t>GRAVIDADE DA OCORRÊNCIA</t>
  </si>
  <si>
    <t>NÍVEL DE ATENDIMENTO</t>
  </si>
  <si>
    <t>CRITÉRIOS NÃO PASSÍVEIS DE CORREÇÃO</t>
  </si>
  <si>
    <t>1.1</t>
  </si>
  <si>
    <r>
      <t xml:space="preserve">A CREDENCIADA contribuiu para o desenvolvimento de uma </t>
    </r>
    <r>
      <rPr>
        <b/>
        <sz val="11"/>
        <color theme="1"/>
        <rFont val="Calibri"/>
        <family val="2"/>
        <scheme val="minor"/>
      </rPr>
      <t>relação de trabalho respeitosa e de confiança</t>
    </r>
    <r>
      <rPr>
        <sz val="11"/>
        <color theme="1"/>
        <rFont val="Calibri"/>
        <family val="2"/>
        <scheme val="minor"/>
      </rPr>
      <t>, cooperando com a equipe?</t>
    </r>
  </si>
  <si>
    <t>NÍVEL 1</t>
  </si>
  <si>
    <t>ATENDE</t>
  </si>
  <si>
    <t>1.2</t>
  </si>
  <si>
    <r>
      <t xml:space="preserve">A CREDENCIADA coordenou os trabalhos da equipe de forma a </t>
    </r>
    <r>
      <rPr>
        <b/>
        <sz val="11"/>
        <color theme="1"/>
        <rFont val="Calibri"/>
        <family val="2"/>
        <scheme val="minor"/>
      </rPr>
      <t>cumprir com o planejado, dentro dos prazos estabelecidos</t>
    </r>
    <r>
      <rPr>
        <sz val="11"/>
        <color theme="1"/>
        <rFont val="Calibri"/>
        <family val="2"/>
        <scheme val="minor"/>
      </rPr>
      <t>, durante todas as etapas e atuou para a resolução dos problemas eventuais e/ou fortuitos que surgiram durante os trabalhos?</t>
    </r>
  </si>
  <si>
    <t>NÍVEL 3</t>
  </si>
  <si>
    <t>1.3</t>
  </si>
  <si>
    <r>
      <t xml:space="preserve">A CREDENCIADA cumpriu os preceitos estabelecidos no </t>
    </r>
    <r>
      <rPr>
        <b/>
        <sz val="11"/>
        <color theme="1"/>
        <rFont val="Calibri"/>
        <family val="2"/>
        <scheme val="minor"/>
      </rPr>
      <t>Código de Ética da ENBPar</t>
    </r>
    <r>
      <rPr>
        <sz val="11"/>
        <color theme="1"/>
        <rFont val="Calibri"/>
        <family val="2"/>
        <scheme val="minor"/>
      </rPr>
      <t>?</t>
    </r>
  </si>
  <si>
    <t>1.4</t>
  </si>
  <si>
    <r>
      <t xml:space="preserve">A CREDENCIADA </t>
    </r>
    <r>
      <rPr>
        <b/>
        <sz val="11"/>
        <color theme="1"/>
        <rFont val="Calibri"/>
        <family val="2"/>
        <scheme val="minor"/>
      </rPr>
      <t>disponibilizou os recursos humanos e materiais mínimos</t>
    </r>
    <r>
      <rPr>
        <sz val="11"/>
        <color theme="1"/>
        <rFont val="Calibri"/>
        <family val="2"/>
        <scheme val="minor"/>
      </rPr>
      <t xml:space="preserve"> necessários para execução da demanda e estes foram utilizados nos termos do Edital?</t>
    </r>
  </si>
  <si>
    <t>NÍVEL 2</t>
  </si>
  <si>
    <t>1.5</t>
  </si>
  <si>
    <r>
      <t xml:space="preserve">A CREDENCIADA </t>
    </r>
    <r>
      <rPr>
        <b/>
        <sz val="11"/>
        <color theme="1"/>
        <rFont val="Calibri"/>
        <family val="2"/>
        <scheme val="minor"/>
      </rPr>
      <t>disponibilizou profissionais qualificados e com o conhecimento técnico adequado</t>
    </r>
    <r>
      <rPr>
        <sz val="11"/>
        <color theme="1"/>
        <rFont val="Calibri"/>
        <family val="2"/>
        <scheme val="minor"/>
      </rPr>
      <t xml:space="preserve"> para a execução da Demanda, bem como o uso das ferramentas necessárias para sua realização?</t>
    </r>
  </si>
  <si>
    <t>1.6</t>
  </si>
  <si>
    <r>
      <t xml:space="preserve">A CREDENCIADA </t>
    </r>
    <r>
      <rPr>
        <b/>
        <sz val="11"/>
        <color theme="1"/>
        <rFont val="Calibri"/>
        <family val="2"/>
        <scheme val="minor"/>
      </rPr>
      <t>disponibilizou todos os documentos e informações obtidos à ENBPar em formato editável</t>
    </r>
    <r>
      <rPr>
        <sz val="11"/>
        <color theme="1"/>
        <rFont val="Calibri"/>
        <family val="2"/>
        <scheme val="minor"/>
      </rPr>
      <t xml:space="preserve"> e de forma tempestiva?</t>
    </r>
  </si>
  <si>
    <t>CRITÉRIOS PASSÍVEIS DE CORREÇÃO</t>
  </si>
  <si>
    <t>2.1</t>
  </si>
  <si>
    <r>
      <t xml:space="preserve">O </t>
    </r>
    <r>
      <rPr>
        <b/>
        <sz val="11"/>
        <color theme="1"/>
        <rFont val="Calibri"/>
        <family val="2"/>
        <scheme val="minor"/>
      </rPr>
      <t>RTE apresentou todas as informações básicas de individualização da DEMANDA</t>
    </r>
    <r>
      <rPr>
        <sz val="11"/>
        <color theme="1"/>
        <rFont val="Calibri"/>
        <family val="2"/>
        <scheme val="minor"/>
      </rPr>
      <t xml:space="preserve"> previstas no Edital?</t>
    </r>
  </si>
  <si>
    <t>2.2</t>
  </si>
  <si>
    <r>
      <t xml:space="preserve">O </t>
    </r>
    <r>
      <rPr>
        <b/>
        <sz val="11"/>
        <color theme="1"/>
        <rFont val="Calibri"/>
        <family val="2"/>
        <scheme val="minor"/>
      </rPr>
      <t>RTE</t>
    </r>
    <r>
      <rPr>
        <sz val="11"/>
        <color theme="1"/>
        <rFont val="Calibri"/>
        <family val="2"/>
        <scheme val="minor"/>
      </rPr>
      <t xml:space="preserve"> foi realizado dentro dos </t>
    </r>
    <r>
      <rPr>
        <b/>
        <sz val="11"/>
        <color theme="1"/>
        <rFont val="Calibri"/>
        <family val="2"/>
        <scheme val="minor"/>
      </rPr>
      <t>procedimentos estabelecidos para realização da DEMANDA</t>
    </r>
    <r>
      <rPr>
        <sz val="11"/>
        <color theme="1"/>
        <rFont val="Calibri"/>
        <family val="2"/>
        <scheme val="minor"/>
      </rPr>
      <t>?</t>
    </r>
  </si>
  <si>
    <t>2.3</t>
  </si>
  <si>
    <r>
      <t xml:space="preserve">O </t>
    </r>
    <r>
      <rPr>
        <b/>
        <sz val="11"/>
        <color theme="1"/>
        <rFont val="Calibri"/>
        <family val="2"/>
        <scheme val="minor"/>
      </rPr>
      <t>RTE</t>
    </r>
    <r>
      <rPr>
        <sz val="11"/>
        <color theme="1"/>
        <rFont val="Calibri"/>
        <family val="2"/>
        <scheme val="minor"/>
      </rPr>
      <t xml:space="preserve"> foi </t>
    </r>
    <r>
      <rPr>
        <b/>
        <sz val="11"/>
        <color theme="1"/>
        <rFont val="Calibri"/>
        <family val="2"/>
        <scheme val="minor"/>
      </rPr>
      <t>formatado de forma adequada</t>
    </r>
    <r>
      <rPr>
        <sz val="11"/>
        <color theme="1"/>
        <rFont val="Calibri"/>
        <family val="2"/>
        <scheme val="minor"/>
      </rPr>
      <t>?</t>
    </r>
  </si>
  <si>
    <t>2.4</t>
  </si>
  <si>
    <r>
      <t xml:space="preserve">O </t>
    </r>
    <r>
      <rPr>
        <b/>
        <sz val="11"/>
        <color theme="1"/>
        <rFont val="Calibri"/>
        <family val="2"/>
        <scheme val="minor"/>
      </rPr>
      <t>RTE</t>
    </r>
    <r>
      <rPr>
        <sz val="11"/>
        <color theme="1"/>
        <rFont val="Calibri"/>
        <family val="2"/>
        <scheme val="minor"/>
      </rPr>
      <t xml:space="preserve"> apresentou </t>
    </r>
    <r>
      <rPr>
        <b/>
        <sz val="11"/>
        <color theme="1"/>
        <rFont val="Calibri"/>
        <family val="2"/>
        <scheme val="minor"/>
      </rPr>
      <t>coerência textual e correta ortografia</t>
    </r>
    <r>
      <rPr>
        <sz val="11"/>
        <color theme="1"/>
        <rFont val="Calibri"/>
        <family val="2"/>
        <scheme val="minor"/>
      </rPr>
      <t>?</t>
    </r>
  </si>
  <si>
    <t>2.5</t>
  </si>
  <si>
    <r>
      <rPr>
        <b/>
        <sz val="11"/>
        <color theme="1"/>
        <rFont val="Calibri"/>
        <family val="2"/>
        <scheme val="minor"/>
      </rPr>
      <t>Os formulários, planilhas, vídeos, fotos, imagens, gráficos, diagramas, tabelas, quadros, foram elaborados, apresentados e disponibilizados com qualidade</t>
    </r>
    <r>
      <rPr>
        <sz val="11"/>
        <color theme="1"/>
        <rFont val="Calibri"/>
        <family val="2"/>
        <scheme val="minor"/>
      </rPr>
      <t>?</t>
    </r>
  </si>
  <si>
    <t>2.6</t>
  </si>
  <si>
    <r>
      <t xml:space="preserve">O </t>
    </r>
    <r>
      <rPr>
        <b/>
        <sz val="11"/>
        <color theme="1"/>
        <rFont val="Calibri"/>
        <family val="2"/>
        <scheme val="minor"/>
      </rPr>
      <t>RTE</t>
    </r>
    <r>
      <rPr>
        <sz val="11"/>
        <color theme="1"/>
        <rFont val="Calibri"/>
        <family val="2"/>
        <scheme val="minor"/>
      </rPr>
      <t xml:space="preserve"> apresentou todas as </t>
    </r>
    <r>
      <rPr>
        <b/>
        <sz val="11"/>
        <color theme="1"/>
        <rFont val="Calibri"/>
        <family val="2"/>
        <scheme val="minor"/>
      </rPr>
      <t>verificações, análises, constatações, recomendações, pontos de melhorias, levantamento completo de dados</t>
    </r>
    <r>
      <rPr>
        <sz val="11"/>
        <color theme="1"/>
        <rFont val="Calibri"/>
        <family val="2"/>
        <scheme val="minor"/>
      </rPr>
      <t>, os quais foram realizados a contento e estão em conformidade com a normas vigentes do setor elétrico?</t>
    </r>
  </si>
  <si>
    <t>NÍVEL 4</t>
  </si>
  <si>
    <t>NÍVEL DE GRAVIDADE DO ITEM E PERCENTUAIS DE GLOSA GERAL</t>
  </si>
  <si>
    <t>NÍVEL DE ATENDIMENTO DO ITEM E PERCENTUAIS DE GLOSA DO ITEM</t>
  </si>
  <si>
    <t>PARCIALMENTE</t>
  </si>
  <si>
    <t>NÃO ATENDE</t>
  </si>
  <si>
    <t>PERCENTUAL GERAL DE GLOSA</t>
  </si>
  <si>
    <t>PERCENTUAL DE GLOSA EFETIVO (PERCENTUAL GERAL LIMITADO A 35%)</t>
  </si>
  <si>
    <t>ITEM 1.1</t>
  </si>
  <si>
    <t>ITEM 1.2</t>
  </si>
  <si>
    <t>ITEM 1.3</t>
  </si>
  <si>
    <t>ITEM 1.4</t>
  </si>
  <si>
    <t>ITEM 1.5</t>
  </si>
  <si>
    <t>ITEM 1.6</t>
  </si>
  <si>
    <t>ITEM 2.1</t>
  </si>
  <si>
    <t>ITEM 2.2</t>
  </si>
  <si>
    <t>ITEM 2.3</t>
  </si>
  <si>
    <t>ITEM 2.4</t>
  </si>
  <si>
    <t>ITEM 2.5</t>
  </si>
  <si>
    <t>ITEM 2.6</t>
  </si>
  <si>
    <t>ÁREA DE CONHECIMENTO</t>
  </si>
  <si>
    <t>PERFIL PROFISSIONAL</t>
  </si>
  <si>
    <t>CUSTO R$/HORA
SEM DESLOCAMENTO</t>
  </si>
  <si>
    <t>CUSTO R$/HORA
COM DESLOCAMENTO</t>
  </si>
  <si>
    <t>Extensão de Redes de Distribuição de Energia Elétrica</t>
  </si>
  <si>
    <t>Eng. Eletricista</t>
  </si>
  <si>
    <t>Eletrotécnico</t>
  </si>
  <si>
    <t>Sistemas de Geração Descentralizada Com ou Sem Rede Associada</t>
  </si>
  <si>
    <t>Eng. Generalista</t>
  </si>
  <si>
    <t>LISTA TIPO DE INSPEÇÃO:</t>
  </si>
  <si>
    <t>Extensão de Redes de Distribuição</t>
  </si>
  <si>
    <t>SELEÇÃO AUTOMÁTICA DE CUSTO DE ACORDO COM OS PARÂMETROS PREVITOS NA ORDEM DE SERVIÇO</t>
  </si>
  <si>
    <t>VALOR DA HORA DE SERVIÇO</t>
  </si>
  <si>
    <t>ETAPA DE DESENVOLVIMENTO</t>
  </si>
  <si>
    <t>Engenheiro</t>
  </si>
  <si>
    <t>DEMAIS ETAPAS</t>
  </si>
  <si>
    <t>SELEÇÃO AUTOMÁTICA DE TEMPO PREVISTO PARA AS ETAPAS DE ACORDO COM OS PARÂMETROS DA ORDEM DE SERVIÇO (h)</t>
  </si>
  <si>
    <t>EXTENSÃO REDE</t>
  </si>
  <si>
    <t>GERAÇÃO</t>
  </si>
  <si>
    <t>AUTOMÁTICO PARA CÁLCULO DE CUSTO</t>
  </si>
  <si>
    <t>MATRÍCULA</t>
  </si>
  <si>
    <t>NOME</t>
  </si>
  <si>
    <t>FUNÇÃO</t>
  </si>
  <si>
    <t>TELEFONE</t>
  </si>
  <si>
    <t>CPF</t>
  </si>
  <si>
    <t>SUPERINTENTENDE</t>
  </si>
  <si>
    <t>DUS</t>
  </si>
  <si>
    <t>ANTONIO RAAD</t>
  </si>
  <si>
    <t>COORDENADOR DE PROGRAMA</t>
  </si>
  <si>
    <t>(21) 99382-3013</t>
  </si>
  <si>
    <t>887.397.167-91</t>
  </si>
  <si>
    <t>EDUARDO AUGUSTO PEREIRA</t>
  </si>
  <si>
    <t>MIGUEL DA SILVA MARQUES</t>
  </si>
  <si>
    <t>LUCIMAR OLIVEIRA DE CASTRO</t>
  </si>
  <si>
    <t>ASSESSOR(A) III DE PROGRAMA</t>
  </si>
  <si>
    <t>(61)99617-8378</t>
  </si>
  <si>
    <t>701.304.696-53</t>
  </si>
  <si>
    <t>ANGELLINO TAVARES PINHEIRO</t>
  </si>
  <si>
    <t>ASSESSOR(A) II DE PROGRAMA</t>
  </si>
  <si>
    <t>(69) 98408-0889</t>
  </si>
  <si>
    <t>579.742.846-68</t>
  </si>
  <si>
    <t>RODRIGO ANTHERO ÁVILA PEREIRA</t>
  </si>
  <si>
    <t>(61) 98401-8811</t>
  </si>
  <si>
    <t>461.306.831-20</t>
  </si>
  <si>
    <t>EDNILSON COPPINI CASTANHEIRA</t>
  </si>
  <si>
    <t>(61) 99522-4788</t>
  </si>
  <si>
    <t>163.555.508-60</t>
  </si>
  <si>
    <t>AURELIO PAVAO DE FARIAS</t>
  </si>
  <si>
    <t>GERENTE</t>
  </si>
  <si>
    <t>(61) 99286-6675</t>
  </si>
  <si>
    <t>942.505.708-78</t>
  </si>
  <si>
    <t>SUPERINTENDENTE</t>
  </si>
  <si>
    <t>(31) 99399-5829</t>
  </si>
  <si>
    <t>800.680.066-91</t>
  </si>
  <si>
    <t>DIRETOR(A)</t>
  </si>
  <si>
    <t>(31) 99164-1626</t>
  </si>
  <si>
    <t>039.194.746-00</t>
  </si>
  <si>
    <t>FISCAL DE CONTRATO</t>
  </si>
  <si>
    <t>CADASTRO</t>
  </si>
  <si>
    <t>CNPJ</t>
  </si>
  <si>
    <t>ENDEREÇO</t>
  </si>
  <si>
    <t>CONTATO</t>
  </si>
  <si>
    <t>E-MAIL</t>
  </si>
  <si>
    <t>DADOS BANCÁRIOS</t>
  </si>
  <si>
    <t>PROFISSIONAIS
REDE</t>
  </si>
  <si>
    <t>PROFISSIONAIS
GERAÇÃO</t>
  </si>
  <si>
    <t>ENBPar</t>
  </si>
  <si>
    <t>CMBr Engenharia Ltda</t>
  </si>
  <si>
    <t>25.513.300/0001-03</t>
  </si>
  <si>
    <t>Rua Álvaro Chaves Salomon, nº 33, Bairro Porto Velho, Itajubá - Minas Gerais, CEP: 37.501-012</t>
  </si>
  <si>
    <t>José Maria de Carvalho</t>
  </si>
  <si>
    <t>(35) 99243-0018</t>
  </si>
  <si>
    <t>cmbr.engenharia@gmail.com</t>
  </si>
  <si>
    <t>Banco: Banco Santander (033)
Ag.: 3160 (CENTRO-ITAJUBA-MG) / CC: 13.002569-2</t>
  </si>
  <si>
    <t>FK Consultoria e Serviços de Engenharia Ltda</t>
  </si>
  <si>
    <t>04.560.260/0001-72</t>
  </si>
  <si>
    <t>Rua Linha Bento Gonçalves, nº 6000, São Liberal, Vista Alegre do Prata, Rio Grande do Sul, CEP: 95.325-000</t>
  </si>
  <si>
    <t>Adelar Jorge Kruger</t>
  </si>
  <si>
    <t>(51) 99901-2741</t>
  </si>
  <si>
    <t>fk.ajkruger@gmail.com</t>
  </si>
  <si>
    <t xml:space="preserve">Banco: Banco do Estado do Rio Grande do Sul - Banrisul (041)
Ag.: 0100 (Agência Central) / CC: 06 258618.0-4 </t>
  </si>
  <si>
    <t>KTA Engenharia Ltda</t>
  </si>
  <si>
    <t>36.342.745/0001-86</t>
  </si>
  <si>
    <t xml:space="preserve"> Rua Edgar Luiz Schneider, nº 135, Jardim Isabel, Porto Alegre, Rio Grande do Sul, CEP: 91.760-310</t>
  </si>
  <si>
    <t>Kassio Costella Acauan</t>
  </si>
  <si>
    <t>(51) 99571-5677</t>
  </si>
  <si>
    <t>engenharia@ktaengenharia.com.br</t>
  </si>
  <si>
    <t>Banco: Banco XP S.A. (348)
Ag.: 0001 / CC: 17439328</t>
  </si>
  <si>
    <t>P3 Engenharia Elétrica Ltda</t>
  </si>
  <si>
    <t>06.964.752/0001-59</t>
  </si>
  <si>
    <t>Rua Marechal Floriano Peixoto, nº 1100, Bairro
dos Estados, Indaial, Santa Catarina, CEP: 89.806-787</t>
  </si>
  <si>
    <t>Ricardo Gonçalves de Souza</t>
  </si>
  <si>
    <t xml:space="preserve">  (47) 9911-9774 (47) 3333-8077</t>
  </si>
  <si>
    <t>ricardo.goncalves@p3engenharia.com.br   administrativo@p3engenharia.com.br</t>
  </si>
  <si>
    <t>Banco: Cooperativa Central Ailos / Viacredi Cooperativa de Crédito (085)
Ag.: 0101-5 / CC: 814464-8</t>
  </si>
  <si>
    <t>COPENGE - Engenharia Ltda</t>
  </si>
  <si>
    <t>19.648.254/0001-49</t>
  </si>
  <si>
    <t>Rua das Orquideas, nº 777, Vila Bergamo, Indaiatuba, São Paulo, CEP: 13.345-040</t>
  </si>
  <si>
    <t>Guilherme Dovichi Cruz</t>
  </si>
  <si>
    <t>(19) 3392-2560</t>
  </si>
  <si>
    <t>guilherme.cruz@copenge.com.br</t>
  </si>
  <si>
    <t>Banco: Itaú (341)
Ag.: 0041 / CC: 19.709-6</t>
  </si>
  <si>
    <t>MCPAR Engenharia Ltda</t>
  </si>
  <si>
    <t>04.637.111/0001-64</t>
  </si>
  <si>
    <t>Avenida Jose de Souza Campos, nº 1815, Conjunto 504,  Cambuí, Campinas, São Paulo, CEP: 13.025-320</t>
  </si>
  <si>
    <t>Cyro Barbosa Bernardes</t>
  </si>
  <si>
    <t xml:space="preserve"> (19) 3254-7699  (19) 98128-1764</t>
  </si>
  <si>
    <t>mcparengenharia@mcpar.eng.br
cyro@mcpar.eng.br</t>
  </si>
  <si>
    <t>Banco: Itaú (341)
Ag.: 1565 (Galleria) / CC: 16364-7</t>
  </si>
  <si>
    <t>AR Construções, Locadora e Serviços Ltda</t>
  </si>
  <si>
    <t>31.759.110/0001-65</t>
  </si>
  <si>
    <t>Rua Farmaceutico Jose Rodrigues, nº 802, Centro, Uruburetama, CE, CEP: 62.650-000</t>
  </si>
  <si>
    <t>Alexandre Rikchelmy Vaz Barroso</t>
  </si>
  <si>
    <t>(85) 99814-2427</t>
  </si>
  <si>
    <t>ar.const.servicos@gmail.com</t>
  </si>
  <si>
    <t>BANCO: Itaú (341)
Ag.: 2758 / CC: 99492-1</t>
  </si>
  <si>
    <t>ASSIST Consultores Associados Ltda</t>
  </si>
  <si>
    <t>07.125.655/0001-35</t>
  </si>
  <si>
    <t>Rua Monsenhor Bruno, 1153, Sala 513, 515,517, Aldeota,
Fortaleza-CE, CEP: 60115-190</t>
  </si>
  <si>
    <t>Liana Albuquerque Barbosa Gadelha</t>
  </si>
  <si>
    <t>(85) 3249-4514</t>
  </si>
  <si>
    <t>liana@assistconsultores.com.br</t>
  </si>
  <si>
    <t>Banco: Banco do Brasil (001)
Ag.: 3515-7 / CC: 40349-0</t>
  </si>
  <si>
    <t>TPF Engenharia Ltda</t>
  </si>
  <si>
    <t xml:space="preserve"> 12.285.441/0001-66</t>
  </si>
  <si>
    <t xml:space="preserve">Thais Macedo </t>
  </si>
  <si>
    <t xml:space="preserve"> (85) 3133-4900</t>
  </si>
  <si>
    <t>licitacoes-ce@tpfe.com.br thais.macedo@tpfe.com.br</t>
  </si>
  <si>
    <t>GEOPAC Engenharia e Consultoria Ltda</t>
  </si>
  <si>
    <t>10.551.296/0010-92</t>
  </si>
  <si>
    <t xml:space="preserve"> Paula Leite </t>
  </si>
  <si>
    <t>(85) 3241-3147 / 98678-8694</t>
  </si>
  <si>
    <t>financeiro@geopac.com.br paula@geopac.com.br</t>
  </si>
  <si>
    <t>ECR Engenharia Ltda</t>
  </si>
  <si>
    <t>42.161.372/0001-40</t>
  </si>
  <si>
    <r>
      <rPr>
        <sz val="11"/>
        <rFont val="Calibri"/>
        <family val="2"/>
        <scheme val="minor"/>
      </rPr>
      <t>Gabriel Caetano Pereira da Silva</t>
    </r>
    <r>
      <rPr>
        <u/>
        <sz val="11"/>
        <color theme="10"/>
        <rFont val="Calibri"/>
        <family val="2"/>
        <scheme val="minor"/>
      </rPr>
      <t xml:space="preserve"> </t>
    </r>
  </si>
  <si>
    <t xml:space="preserve"> (11) 3138-4949</t>
  </si>
  <si>
    <t>g.silva@ecrengenharia.com.br comercial@ecrengenharia.com.br</t>
  </si>
  <si>
    <t>STRATO Construções e Serviços Ltda</t>
  </si>
  <si>
    <t xml:space="preserve"> 03.835.152/0001-00</t>
  </si>
  <si>
    <t>Avenida Senador Vitorino Freire, 01, Quadra 41, Edifício São Luís Offices, Sala 608, CEP 65.030-015, Areinha, São Luís-MA</t>
  </si>
  <si>
    <t>SÉRGIO LUIS MARQUES DE OLIVEIRA</t>
  </si>
  <si>
    <t>(98) 98313-7740</t>
  </si>
  <si>
    <t>strato.eng@gmail.com</t>
  </si>
  <si>
    <t>Banco: Nu Pagamentos (260) 
Ag.: AG- 0001 / CC: 588555376-6</t>
  </si>
  <si>
    <t>Atualizado dia 19/09/2025</t>
  </si>
  <si>
    <t>PROCESSO SEI</t>
  </si>
  <si>
    <t>TERMO DE CREDENCIAMENTO</t>
  </si>
  <si>
    <t>DOTAÇÃO ORÇAMENTÁRIA</t>
  </si>
  <si>
    <t>FISCAL</t>
  </si>
  <si>
    <t>SUPLENTE</t>
  </si>
  <si>
    <t>ATO DE DESIGNAÇÃO</t>
  </si>
  <si>
    <t>STATUS</t>
  </si>
  <si>
    <t>WEBNAR</t>
  </si>
  <si>
    <t>EMPRESAS</t>
  </si>
  <si>
    <t>OBSERVAÇÕES</t>
  </si>
  <si>
    <t>OBSERVAÇÕES2</t>
  </si>
  <si>
    <t>OBSERVAÇÕES3</t>
  </si>
  <si>
    <t>OBSERVAÇÕES4</t>
  </si>
  <si>
    <t>48110.000766/2025-30</t>
  </si>
  <si>
    <t>TERMO DE CREDENCIAMENTO Nº 05/2025</t>
  </si>
  <si>
    <t>2.205.900.00 - Outros Serviços de Terceiros</t>
  </si>
  <si>
    <t>Despacho SEI 0022685</t>
  </si>
  <si>
    <t>TERMO DE CREDENCIAMENTO Nº 5/2025 ASSINADO E PUBLICADO</t>
  </si>
  <si>
    <t>Webnar realizado dia 18/06/25</t>
  </si>
  <si>
    <t>CMBR (6-6)</t>
  </si>
  <si>
    <t>48110.000784/2025-11</t>
  </si>
  <si>
    <t>TERMO DE CREDENCIAMENTO Nº 06/2025</t>
  </si>
  <si>
    <t>TERMO DE CREDENCIAMENTO Nº 6/2025 ASSINADO E PUBLICADO</t>
  </si>
  <si>
    <t>FK (5-6)</t>
  </si>
  <si>
    <t>48110.000840/2025-18</t>
  </si>
  <si>
    <t>TERMO DE CREDENCIAMENTO Nº 07/2025</t>
  </si>
  <si>
    <t>TERMO DE CREDENCIAMENTO Nº 7/2025 ASSINADO E PUBLICADO</t>
  </si>
  <si>
    <t>KTA (2-2)</t>
  </si>
  <si>
    <t>1º Chamamento reprovado por não ter profissionais</t>
  </si>
  <si>
    <t>48110.000852/2025-42</t>
  </si>
  <si>
    <t>TERMO DE CREDENCIAMENTO Nº 08/2025</t>
  </si>
  <si>
    <t>TERMO DE CREDENCIAMENTO Nº 8/2025 ASSINADO E PUBLICADO</t>
  </si>
  <si>
    <t>Webnar realizado dia 18/06/25 e 04/07/25</t>
  </si>
  <si>
    <t>P3 (3-2)</t>
  </si>
  <si>
    <t>48110.000910/2025-38</t>
  </si>
  <si>
    <t>TERMO DE CREDENCIAMENTO Nº 09/2025</t>
  </si>
  <si>
    <t>Termo de Designação de Fiscal SEI 0024132</t>
  </si>
  <si>
    <t>TERMO DE CREDENCIAMENTO Nº 9/2025 ASSINADO E PUBLICADO</t>
  </si>
  <si>
    <t>Webnar realizado dia 04/07/25 às 15h</t>
  </si>
  <si>
    <t xml:space="preserve">Copenge (4-0) </t>
  </si>
  <si>
    <t>48110.000950/2025-80</t>
  </si>
  <si>
    <t>TERMO DE CREDENCIAMENTO Nº 11/2025</t>
  </si>
  <si>
    <t>TERMO DE CREDENCIAMENTO Nº 11/2025 ASSINADO E PUBLICADO</t>
  </si>
  <si>
    <t>Webnar realizado dia 01/09/25 às 15:30min</t>
  </si>
  <si>
    <t>MCPAR (4-2)</t>
  </si>
  <si>
    <t>48110.000954/2025-68</t>
  </si>
  <si>
    <t>TERMO DE CREDENCIAMENTO Nº 12/2025</t>
  </si>
  <si>
    <t>TERMO DE CREDENCIAMENTO Nº 12/2025 ASSINADO E PUBLICADO</t>
  </si>
  <si>
    <t>AR (0-2)</t>
  </si>
  <si>
    <t>48110.0009552025-69</t>
  </si>
  <si>
    <t>TERMO DE CREDENCIAMENTO Nº 13/2025</t>
  </si>
  <si>
    <t>TERMO DE CREDENCIAMENTO Nº 13/2025 ASSINADO E PUBLICADO</t>
  </si>
  <si>
    <t>ASSIST (2-0)</t>
  </si>
  <si>
    <r>
      <t xml:space="preserve">Nota Técnica 379(0030382) em 08/09/25 - </t>
    </r>
    <r>
      <rPr>
        <b/>
        <sz val="11"/>
        <color rgb="FF00B050"/>
        <rFont val="Calibri"/>
        <family val="2"/>
        <scheme val="minor"/>
      </rPr>
      <t xml:space="preserve">HABILITADA </t>
    </r>
    <r>
      <rPr>
        <sz val="11"/>
        <color rgb="FF00B05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      </t>
    </r>
    <r>
      <rPr>
        <b/>
        <sz val="11"/>
        <color rgb="FF00B050"/>
        <rFont val="Calibri"/>
        <family val="2"/>
        <scheme val="minor"/>
      </rPr>
      <t xml:space="preserve">  </t>
    </r>
  </si>
  <si>
    <r>
      <t xml:space="preserve">Despacho Resultado Preliminar - ASSIST (0031012) dia 12/09/25 - </t>
    </r>
    <r>
      <rPr>
        <b/>
        <sz val="11"/>
        <color rgb="FF00B050"/>
        <rFont val="Calibri"/>
        <family val="2"/>
        <scheme val="minor"/>
      </rPr>
      <t xml:space="preserve">HABILITADA </t>
    </r>
    <r>
      <rPr>
        <sz val="11"/>
        <color theme="1"/>
        <rFont val="Calibri"/>
        <family val="2"/>
        <scheme val="minor"/>
      </rPr>
      <t xml:space="preserve">          </t>
    </r>
  </si>
  <si>
    <r>
      <t>Despacho Resultado Final - ASSIST (0032205)          dia 18/09/2025 -</t>
    </r>
    <r>
      <rPr>
        <b/>
        <sz val="11"/>
        <color rgb="FF00B050"/>
        <rFont val="Calibri"/>
        <family val="2"/>
        <scheme val="minor"/>
      </rPr>
      <t xml:space="preserve"> HABILITADA</t>
    </r>
  </si>
  <si>
    <r>
      <rPr>
        <sz val="11"/>
        <color rgb="FFFFC000"/>
        <rFont val="Calibri"/>
        <family val="2"/>
        <scheme val="minor"/>
      </rPr>
      <t>Ato 44 Homologação de Resultado (0032226).</t>
    </r>
    <r>
      <rPr>
        <sz val="11"/>
        <color theme="1"/>
        <rFont val="Calibri"/>
        <family val="2"/>
        <scheme val="minor"/>
      </rPr>
      <t xml:space="preserve"> Aguardando o Termo de Credenciamento e a publicação no DOU.</t>
    </r>
  </si>
  <si>
    <t>TERMO DE CREDENCIAMENTO Nº 14/2025</t>
  </si>
  <si>
    <t>Em publicação do Termo de Credenciamento nº 14/2025</t>
  </si>
  <si>
    <t>TPF (2-0)</t>
  </si>
  <si>
    <r>
      <t xml:space="preserve">Despacho Resultado Final - TPF (0029803)dia 04/09/2025 - </t>
    </r>
    <r>
      <rPr>
        <b/>
        <sz val="11"/>
        <color rgb="FFFF0000"/>
        <rFont val="Calibri"/>
        <family val="2"/>
        <scheme val="minor"/>
      </rPr>
      <t>INABILITADA</t>
    </r>
  </si>
  <si>
    <t>Despacho GLIC - TPF (2º Pedido) (0030932) dia 11/09/2025; Documento de Habilitação - TPF (2º Pedido) (0030936)</t>
  </si>
  <si>
    <r>
      <t xml:space="preserve">Prazo para análise dos documentos dia 25/09. Análise realizada - </t>
    </r>
    <r>
      <rPr>
        <b/>
        <sz val="11"/>
        <color rgb="FF00B050"/>
        <rFont val="Calibri"/>
        <family val="2"/>
        <scheme val="minor"/>
      </rPr>
      <t xml:space="preserve">HABILITADA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</t>
    </r>
  </si>
  <si>
    <t xml:space="preserve">Nota Técnica 402 - TPF (0031789) em andamento </t>
  </si>
  <si>
    <t>Análise interna da documentação - prazo dia 10/09/2025</t>
  </si>
  <si>
    <t xml:space="preserve">GEOPAC </t>
  </si>
  <si>
    <r>
      <t xml:space="preserve">Nota Técnica 384(0030547) assinada dia 10/09/25 - </t>
    </r>
    <r>
      <rPr>
        <b/>
        <sz val="11"/>
        <color rgb="FFFF0000"/>
        <rFont val="Calibri"/>
        <family val="2"/>
        <scheme val="minor"/>
      </rPr>
      <t>INABILITADA</t>
    </r>
    <r>
      <rPr>
        <sz val="11"/>
        <color theme="1"/>
        <rFont val="Calibri"/>
        <family val="2"/>
        <scheme val="minor"/>
      </rPr>
      <t xml:space="preserve">  Despacho Resultado Preliminar - ECR (0031097) dia 12/09/2025 - </t>
    </r>
    <r>
      <rPr>
        <b/>
        <sz val="11"/>
        <color rgb="FFFF0000"/>
        <rFont val="Calibri"/>
        <family val="2"/>
        <scheme val="minor"/>
      </rPr>
      <t>INABILITADA</t>
    </r>
  </si>
  <si>
    <r>
      <t xml:space="preserve">Despacho Resultado Final - GEOPAC (0032215)  dia 18/09/2025 - </t>
    </r>
    <r>
      <rPr>
        <b/>
        <sz val="11"/>
        <color rgb="FFFF0000"/>
        <rFont val="Calibri"/>
        <family val="2"/>
        <scheme val="minor"/>
      </rPr>
      <t>INABILITADA</t>
    </r>
  </si>
  <si>
    <t xml:space="preserve">ECR </t>
  </si>
  <si>
    <r>
      <t>Nota Técnica 385(0030580) assinada dia 10/09/25 -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INABILITADA</t>
    </r>
    <r>
      <rPr>
        <sz val="11"/>
        <color theme="1"/>
        <rFont val="Calibri"/>
        <family val="2"/>
        <scheme val="minor"/>
      </rPr>
      <t xml:space="preserve"> Despacho Resultado Preliminar - ECR (0031113) dia 12/09/2025 -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INABILITADA</t>
    </r>
  </si>
  <si>
    <r>
      <t xml:space="preserve">Enviado recurso dia 17/09 para análise.      Análise realizada continua </t>
    </r>
    <r>
      <rPr>
        <b/>
        <sz val="11"/>
        <color rgb="FFFF0000"/>
        <rFont val="Calibri"/>
        <family val="2"/>
        <scheme val="minor"/>
      </rPr>
      <t>INABILITADA</t>
    </r>
  </si>
  <si>
    <t>Resposta do recurso até dia 26/09 em andamento</t>
  </si>
  <si>
    <t>Análise interna da documentação - prazo dia 26/09/2025</t>
  </si>
  <si>
    <t>STRATO</t>
  </si>
  <si>
    <r>
      <t xml:space="preserve">Prazo para análise dos documentos dia 25/09. Análise realizada </t>
    </r>
    <r>
      <rPr>
        <b/>
        <sz val="11"/>
        <color rgb="FFFF0000"/>
        <rFont val="Calibri"/>
        <family val="2"/>
        <scheme val="minor"/>
      </rPr>
      <t>INABILITADA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</t>
    </r>
  </si>
  <si>
    <t>Nota Técnica 401 (0031702) em andamento</t>
  </si>
  <si>
    <t>CONTROLE DE RODÍZIO DAS EMPRESAS CREDENCIADAS</t>
  </si>
  <si>
    <t>POSIÇÃO INICIAL NA FILA</t>
  </si>
  <si>
    <t>CREDENCIADAS</t>
  </si>
  <si>
    <t>Rede de Distribuição e Geração FV</t>
  </si>
  <si>
    <t>Rede de Distribuição</t>
  </si>
  <si>
    <t>Geração FV</t>
  </si>
  <si>
    <t>POSIÇÃO ATUAL FILA REDE</t>
  </si>
  <si>
    <t>4º</t>
  </si>
  <si>
    <t>5º</t>
  </si>
  <si>
    <t>2º</t>
  </si>
  <si>
    <t>6º</t>
  </si>
  <si>
    <t>1º</t>
  </si>
  <si>
    <t>3º</t>
  </si>
  <si>
    <t>--</t>
  </si>
  <si>
    <t>POSIÇÃO ATUAL FILA GERAÇÃO</t>
  </si>
  <si>
    <t>DATAS</t>
  </si>
  <si>
    <t>EVENTOS</t>
  </si>
  <si>
    <t>Assinatura Edital</t>
  </si>
  <si>
    <t>Publicação Edital</t>
  </si>
  <si>
    <t>Ato de Homologação</t>
  </si>
  <si>
    <t>Termo de Credenciamento</t>
  </si>
  <si>
    <t>Designação de Fiscal do Contrato</t>
  </si>
  <si>
    <t>Publicação D.O.U.</t>
  </si>
  <si>
    <t>Convocação Apoio Inspeção</t>
  </si>
  <si>
    <t>Emissão O.S.</t>
  </si>
  <si>
    <t>Recusa de Participação</t>
  </si>
  <si>
    <t>Despacho Resultado Final</t>
  </si>
  <si>
    <t xml:space="preserve">Termo de Credenciamento </t>
  </si>
  <si>
    <t>Ato Homologação 2º Pedido</t>
  </si>
  <si>
    <t>Atualizado em 17/10/2025</t>
  </si>
  <si>
    <t>Nºs</t>
  </si>
  <si>
    <t>Realizado dia 18/06/25</t>
  </si>
  <si>
    <t>FK CONSULTORIA E SERVIÇOS DE 
ENGENHARIA LTDA</t>
  </si>
  <si>
    <t>FK (5-1)</t>
  </si>
  <si>
    <t>KTA ENGENHARIA LTDA</t>
  </si>
  <si>
    <t>(51) 99648-2304</t>
  </si>
  <si>
    <t>KTA (2-3)</t>
  </si>
  <si>
    <t>P3 ENGENHARIA ELETRICA LTDA</t>
  </si>
  <si>
    <t xml:space="preserve">06.964.752/0001-59 </t>
  </si>
  <si>
    <t>administrativo@p3engenharia.com.br</t>
  </si>
  <si>
    <t>(47) 9911-9774</t>
  </si>
  <si>
    <t>Realizado dia 18/06/25 e 04/07/25</t>
  </si>
  <si>
    <t>Copenge Engenharia LTDA</t>
  </si>
  <si>
    <t>Realizado dia 04/07/25 às 15h</t>
  </si>
  <si>
    <t>MCPAR ENGENHARIA LTDA</t>
  </si>
  <si>
    <t xml:space="preserve"> cyro@mcpar.eng.br</t>
  </si>
  <si>
    <t>(19) 3254-7699 / (19) 98128-1764</t>
  </si>
  <si>
    <t>Realizado dia 01/09/25 às 15:30min</t>
  </si>
  <si>
    <t xml:space="preserve">AR CONSTRUÇÕES, LOCADORA E 
SERVIÇOS LTDA </t>
  </si>
  <si>
    <t xml:space="preserve">31.759.110/0001-65 </t>
  </si>
  <si>
    <t>(85) 998142427</t>
  </si>
  <si>
    <t>AR (1-3)</t>
  </si>
  <si>
    <t>ASSIST Consultoria Associados Ltda</t>
  </si>
  <si>
    <t>Liana@assistconsultores.com.br</t>
  </si>
  <si>
    <t xml:space="preserve"> (85) 3249-4514</t>
  </si>
  <si>
    <t>Data limite para recepção dos documentos 04/09/2025</t>
  </si>
  <si>
    <r>
      <t xml:space="preserve">Nota Técnica 379(0030382) em 08/09/25  </t>
    </r>
    <r>
      <rPr>
        <b/>
        <sz val="11"/>
        <color rgb="FF00B050"/>
        <rFont val="Calibri"/>
        <family val="2"/>
        <scheme val="minor"/>
      </rPr>
      <t>HABILITADA;</t>
    </r>
    <r>
      <rPr>
        <sz val="11"/>
        <color theme="1"/>
        <rFont val="Calibri"/>
        <family val="2"/>
        <scheme val="minor"/>
      </rPr>
      <t xml:space="preserve"> Despacho Resultado Preliminar - ASSIST (0031012) dia 12/09/25 </t>
    </r>
    <r>
      <rPr>
        <b/>
        <sz val="11"/>
        <color rgb="FF00B050"/>
        <rFont val="Calibri"/>
        <family val="2"/>
        <scheme val="minor"/>
      </rPr>
      <t>HABILITADA</t>
    </r>
    <r>
      <rPr>
        <sz val="11"/>
        <color theme="1"/>
        <rFont val="Calibri"/>
        <family val="2"/>
        <scheme val="minor"/>
      </rPr>
      <t xml:space="preserve">            </t>
    </r>
  </si>
  <si>
    <r>
      <t xml:space="preserve">Despacho Resultado Final - ASSIST (0032205) - </t>
    </r>
    <r>
      <rPr>
        <b/>
        <sz val="11"/>
        <color rgb="FF00B050"/>
        <rFont val="Calibri"/>
        <family val="2"/>
        <scheme val="minor"/>
      </rPr>
      <t>HABILITADA</t>
    </r>
  </si>
  <si>
    <r>
      <t xml:space="preserve">Ato 44 Homologação de Resultado - ASSIST e GEOPAC (0032226)dia 24/09/25 - </t>
    </r>
    <r>
      <rPr>
        <b/>
        <sz val="11"/>
        <color rgb="FF00B050"/>
        <rFont val="Calibri"/>
        <family val="2"/>
        <scheme val="minor"/>
      </rPr>
      <t xml:space="preserve">HABILITADA </t>
    </r>
  </si>
  <si>
    <r>
      <t xml:space="preserve">Termo de Credenciamento nº 13 ASSIST (0034585) dia 03/10/25 - </t>
    </r>
    <r>
      <rPr>
        <b/>
        <sz val="11"/>
        <color rgb="FF00B050"/>
        <rFont val="Calibri"/>
        <family val="2"/>
        <scheme val="minor"/>
      </rPr>
      <t xml:space="preserve">HABILITADA </t>
    </r>
  </si>
  <si>
    <r>
      <t>Despacho publicado no DOU dia 10/10/25 -</t>
    </r>
    <r>
      <rPr>
        <sz val="11"/>
        <color rgb="FF00B050"/>
        <rFont val="Calibri"/>
        <family val="2"/>
        <scheme val="minor"/>
      </rPr>
      <t xml:space="preserve"> </t>
    </r>
    <r>
      <rPr>
        <b/>
        <sz val="11"/>
        <color rgb="FF00B050"/>
        <rFont val="Calibri"/>
        <family val="2"/>
        <scheme val="minor"/>
      </rPr>
      <t>HABILITADA</t>
    </r>
    <r>
      <rPr>
        <sz val="11"/>
        <color rgb="FF00B050"/>
        <rFont val="Calibri"/>
        <family val="2"/>
        <scheme val="minor"/>
      </rPr>
      <t xml:space="preserve"> </t>
    </r>
  </si>
  <si>
    <r>
      <t xml:space="preserve">Despacho Resultado Preliminar - TPF (0029216) dia 29/08/2025 - </t>
    </r>
    <r>
      <rPr>
        <b/>
        <sz val="11"/>
        <color rgb="FFFF0000"/>
        <rFont val="Calibri"/>
        <family val="2"/>
        <scheme val="minor"/>
      </rPr>
      <t>INABILITADA</t>
    </r>
  </si>
  <si>
    <t xml:space="preserve">TPF </t>
  </si>
  <si>
    <r>
      <t xml:space="preserve">Despacho Resultado Final - TPF (0029803)dia 04/09/25 - </t>
    </r>
    <r>
      <rPr>
        <b/>
        <sz val="11"/>
        <color rgb="FFFF0000"/>
        <rFont val="Calibri"/>
        <family val="2"/>
        <scheme val="minor"/>
      </rPr>
      <t>INABILITADA</t>
    </r>
  </si>
  <si>
    <t>Despacho GLIC - TPF (2º Pedido) (0030932) dia 11/09/25; Documento de Habilitação - TPF (2º Pedido) (0030936)</t>
  </si>
  <si>
    <r>
      <t xml:space="preserve">Nota Técnica 402 - TPF (0031789); Despacho (004009) dia 23/09/25 </t>
    </r>
    <r>
      <rPr>
        <b/>
        <sz val="11"/>
        <color rgb="FF00B050"/>
        <rFont val="Calibri"/>
        <family val="2"/>
        <scheme val="minor"/>
      </rPr>
      <t xml:space="preserve">HABILITADA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</t>
    </r>
  </si>
  <si>
    <r>
      <t xml:space="preserve">Relatório 43 Check-list (2º pedido) (0034168) e Despacho Resultado Preliminar 2º pedido) (0034182) dia 24/09/25 - </t>
    </r>
    <r>
      <rPr>
        <b/>
        <sz val="11"/>
        <color rgb="FF00B050"/>
        <rFont val="Calibri"/>
        <family val="2"/>
        <scheme val="minor"/>
      </rPr>
      <t xml:space="preserve">HABILITADA  </t>
    </r>
    <r>
      <rPr>
        <sz val="11"/>
        <color theme="1"/>
        <rFont val="Calibri"/>
        <family val="2"/>
        <scheme val="minor"/>
      </rPr>
      <t xml:space="preserve">    </t>
    </r>
  </si>
  <si>
    <r>
      <t xml:space="preserve">Despacho Resultado Preliminar - TPF(2ºpedido)(0034182)dia 24/09/25 </t>
    </r>
    <r>
      <rPr>
        <b/>
        <sz val="11"/>
        <color rgb="FF00B050"/>
        <rFont val="Calibri"/>
        <family val="2"/>
        <scheme val="minor"/>
      </rPr>
      <t>HABILITADA</t>
    </r>
  </si>
  <si>
    <r>
      <t xml:space="preserve">Despacho Resultado Final - TPF(2ºpedido)(90036372)dia 30/09/25 - </t>
    </r>
    <r>
      <rPr>
        <b/>
        <sz val="11"/>
        <color rgb="FF00B050"/>
        <rFont val="Calibri"/>
        <family val="2"/>
        <scheme val="minor"/>
      </rPr>
      <t>HABILITADA</t>
    </r>
  </si>
  <si>
    <r>
      <t xml:space="preserve">Ato 46 Homologação 2º Pedido (0036373) dia 03/10/25 - </t>
    </r>
    <r>
      <rPr>
        <b/>
        <sz val="11"/>
        <color rgb="FF00B050"/>
        <rFont val="Calibri"/>
        <family val="2"/>
        <scheme val="minor"/>
      </rPr>
      <t>HABILITADA</t>
    </r>
  </si>
  <si>
    <r>
      <t xml:space="preserve">Termo de Credenciamento 14 - TPF (0038850) dia 17/08/25 - </t>
    </r>
    <r>
      <rPr>
        <b/>
        <sz val="11"/>
        <color rgb="FF00B050"/>
        <rFont val="Calibri"/>
        <family val="2"/>
        <scheme val="minor"/>
      </rPr>
      <t>HABILITADA</t>
    </r>
  </si>
  <si>
    <r>
      <t xml:space="preserve">Despacho GLIC (0039761) formalização do Termo de Credenciamento; Despacho - Extrato para publicação do D.O.U. (0039857) </t>
    </r>
    <r>
      <rPr>
        <b/>
        <sz val="11"/>
        <color rgb="FF00B050"/>
        <rFont val="Calibri"/>
        <family val="2"/>
        <scheme val="minor"/>
      </rPr>
      <t>HABILITADA</t>
    </r>
    <r>
      <rPr>
        <sz val="11"/>
        <color theme="1"/>
        <rFont val="Calibri"/>
        <family val="2"/>
        <scheme val="minor"/>
      </rPr>
      <t xml:space="preserve"> -  Dia 22/10/25</t>
    </r>
  </si>
  <si>
    <r>
      <t xml:space="preserve">Nota Técnica 384(0030547) assinada dia 10/09/25 - </t>
    </r>
    <r>
      <rPr>
        <b/>
        <sz val="11"/>
        <color rgb="FFFF0000"/>
        <rFont val="Calibri"/>
        <family val="2"/>
        <scheme val="minor"/>
      </rPr>
      <t>INABILITADA</t>
    </r>
    <r>
      <rPr>
        <sz val="11"/>
        <color theme="1"/>
        <rFont val="Calibri"/>
        <family val="2"/>
        <scheme val="minor"/>
      </rPr>
      <t xml:space="preserve">  </t>
    </r>
  </si>
  <si>
    <r>
      <t xml:space="preserve">Relatório 40 Check List (0031054)             </t>
    </r>
    <r>
      <rPr>
        <b/>
        <sz val="11"/>
        <color rgb="FFFF0000"/>
        <rFont val="Calibri"/>
        <family val="2"/>
        <scheme val="minor"/>
      </rPr>
      <t xml:space="preserve">INABILITADA </t>
    </r>
  </si>
  <si>
    <r>
      <t xml:space="preserve">Despacho Resultado Preliminar - GEOPAC (0031097) dia 12/09/2025 - </t>
    </r>
    <r>
      <rPr>
        <b/>
        <sz val="11"/>
        <color rgb="FFFF0000"/>
        <rFont val="Calibri"/>
        <family val="2"/>
        <scheme val="minor"/>
      </rPr>
      <t>INABILITADA</t>
    </r>
  </si>
  <si>
    <r>
      <t xml:space="preserve">Despacho Resultado Final - GEOPAC (0032215) dia 18/09/25 - </t>
    </r>
    <r>
      <rPr>
        <b/>
        <sz val="11"/>
        <color rgb="FFFF0000"/>
        <rFont val="Calibri"/>
        <family val="2"/>
        <scheme val="minor"/>
      </rPr>
      <t>INABILITADA</t>
    </r>
  </si>
  <si>
    <r>
      <t xml:space="preserve">Ato 44 Homologação de Resultado - ASSIST e GEOPAC (0032226)dia 24/09/25 - </t>
    </r>
    <r>
      <rPr>
        <b/>
        <sz val="11"/>
        <color rgb="FFFF0000"/>
        <rFont val="Calibri"/>
        <family val="2"/>
        <scheme val="minor"/>
      </rPr>
      <t xml:space="preserve">INABILITADA </t>
    </r>
  </si>
  <si>
    <r>
      <t>Nota Técnica 385(0030580) assinada dia 10/09/25 -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INABILITADA;</t>
    </r>
    <r>
      <rPr>
        <sz val="11"/>
        <color theme="1"/>
        <rFont val="Calibri"/>
        <family val="2"/>
        <scheme val="minor"/>
      </rPr>
      <t xml:space="preserve"> Despacho Resultado Preliminar - ECR (0031113) dia 12/09/2025 -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INABILITADA</t>
    </r>
  </si>
  <si>
    <r>
      <t xml:space="preserve">Enviado recurso dia 17/09/25 para análise.      Análise realizada continua </t>
    </r>
    <r>
      <rPr>
        <b/>
        <sz val="11"/>
        <color rgb="FFFF0000"/>
        <rFont val="Calibri"/>
        <family val="2"/>
        <scheme val="minor"/>
      </rPr>
      <t>INABILITADA</t>
    </r>
  </si>
  <si>
    <r>
      <t xml:space="preserve">Resposta do recurso Nota Técnica 412 (0033881) e Despacho (0034029) dia 23/09/25 - </t>
    </r>
    <r>
      <rPr>
        <b/>
        <sz val="11"/>
        <color rgb="FFFF0000"/>
        <rFont val="Calibri"/>
        <family val="2"/>
        <scheme val="minor"/>
      </rPr>
      <t>INABILITADA</t>
    </r>
  </si>
  <si>
    <r>
      <t xml:space="preserve">Despacho Recurso ECR (0034074) dia 24/09/25 </t>
    </r>
    <r>
      <rPr>
        <b/>
        <sz val="11"/>
        <color rgb="FFFF0000"/>
        <rFont val="Calibri"/>
        <family val="2"/>
        <scheme val="minor"/>
      </rPr>
      <t xml:space="preserve"> INABILITADA </t>
    </r>
  </si>
  <si>
    <r>
      <t xml:space="preserve">Despacho Resultado Final - ECR (0037325) dia 03/10/25 - </t>
    </r>
    <r>
      <rPr>
        <b/>
        <sz val="11"/>
        <color rgb="FFFF0000"/>
        <rFont val="Calibri"/>
        <family val="2"/>
        <scheme val="minor"/>
      </rPr>
      <t>INABILITADA</t>
    </r>
  </si>
  <si>
    <r>
      <t xml:space="preserve">Ato 48 Homologação - ECR (037329) dia - </t>
    </r>
    <r>
      <rPr>
        <b/>
        <sz val="11"/>
        <color rgb="FFFF0000"/>
        <rFont val="Calibri"/>
        <family val="2"/>
        <scheme val="minor"/>
      </rPr>
      <t>INABILITADA</t>
    </r>
    <r>
      <rPr>
        <sz val="11"/>
        <color theme="1"/>
        <rFont val="Calibri"/>
        <family val="2"/>
        <scheme val="minor"/>
      </rPr>
      <t xml:space="preserve"> </t>
    </r>
  </si>
  <si>
    <t xml:space="preserve">Documentos de Habilitação - ECR (2º Pedido) (0038461)e Despacho GLIC - ECR (2º Pedido) (0038463) dia 13/10/25 </t>
  </si>
  <si>
    <t>Aguardando resposta do email de solicitação de Diligência, prazo 20/10/25</t>
  </si>
  <si>
    <r>
      <t xml:space="preserve">Nota Técnica 490 - Análise de Documentação Técnica ECR (0039736) dia 22/10/25 -  </t>
    </r>
    <r>
      <rPr>
        <b/>
        <sz val="11"/>
        <color rgb="FFFF0000"/>
        <rFont val="Calibri"/>
        <family val="2"/>
        <scheme val="minor"/>
      </rPr>
      <t xml:space="preserve">INABILITADA </t>
    </r>
  </si>
  <si>
    <r>
      <t xml:space="preserve">Despacho Análise Documentação Técnica 2º Pedido ECR (0039942); Relatório 46 Check-List - ECR - 2º Pedido (0039949); Despacho Resultado Preliminar - ECR - 2º Pedido (0039965) Dia 23/10/25 </t>
    </r>
    <r>
      <rPr>
        <b/>
        <sz val="11"/>
        <color rgb="FFFF0000"/>
        <rFont val="Calibri"/>
        <family val="2"/>
        <scheme val="minor"/>
      </rPr>
      <t>INABILITADA</t>
    </r>
    <r>
      <rPr>
        <b/>
        <sz val="11"/>
        <color theme="1"/>
        <rFont val="Calibri"/>
        <family val="2"/>
        <scheme val="minor"/>
      </rPr>
      <t xml:space="preserve"> </t>
    </r>
  </si>
  <si>
    <t>STRATO.ENG@GMAIL.COM</t>
  </si>
  <si>
    <r>
      <t xml:space="preserve">  Nota Técnica 408 (0033420) dia 25/09/25 </t>
    </r>
    <r>
      <rPr>
        <b/>
        <sz val="11"/>
        <color rgb="FFFF0000"/>
        <rFont val="Calibri"/>
        <family val="2"/>
        <scheme val="minor"/>
      </rPr>
      <t>INABILITADA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</si>
  <si>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Relatório 44 Check List (0035002),                  </t>
    </r>
    <r>
      <rPr>
        <b/>
        <sz val="11"/>
        <color rgb="FFFF0000"/>
        <rFont val="Calibri"/>
        <family val="2"/>
        <scheme val="minor"/>
      </rPr>
      <t xml:space="preserve">INABILITADA </t>
    </r>
  </si>
  <si>
    <r>
      <t xml:space="preserve">Despacho Resultado Preliminar - STRATO (0035003) - </t>
    </r>
    <r>
      <rPr>
        <b/>
        <sz val="11"/>
        <color rgb="FFFF0000"/>
        <rFont val="Calibri"/>
        <family val="2"/>
        <scheme val="minor"/>
      </rPr>
      <t xml:space="preserve">INABILITADA </t>
    </r>
  </si>
  <si>
    <r>
      <t xml:space="preserve">Despacho Resultado Final - STRATO (0037011) dia 01/10/25 - </t>
    </r>
    <r>
      <rPr>
        <b/>
        <sz val="11"/>
        <color rgb="FFFF0000"/>
        <rFont val="Calibri"/>
        <family val="2"/>
        <scheme val="minor"/>
      </rPr>
      <t xml:space="preserve">INABILITADA </t>
    </r>
  </si>
  <si>
    <r>
      <t xml:space="preserve">Ato 47 Homologação - STRATO (0037012) dia 03/10/25 - </t>
    </r>
    <r>
      <rPr>
        <b/>
        <sz val="11"/>
        <color rgb="FFFF0000"/>
        <rFont val="Calibri"/>
        <family val="2"/>
        <scheme val="minor"/>
      </rPr>
      <t xml:space="preserve">INABILITADA </t>
    </r>
    <r>
      <rPr>
        <sz val="11"/>
        <rFont val="Calibri"/>
        <family val="2"/>
        <scheme val="minor"/>
      </rPr>
      <t xml:space="preserve"> </t>
    </r>
  </si>
  <si>
    <t>COSAMPA Energia Ltda</t>
  </si>
  <si>
    <t>21.947.956/0001-75</t>
  </si>
  <si>
    <t>Jânio Kleilthon Teixeira Costa</t>
  </si>
  <si>
    <t>contabilidade@cosampa.com.br</t>
  </si>
  <si>
    <t>(85) 3289-2363</t>
  </si>
  <si>
    <t>Análise interna da documentação - prazo dia 05/11/2025</t>
  </si>
  <si>
    <t>COSAMPA</t>
  </si>
  <si>
    <t>Documentos de Habilitação (0039885)Despacho GLIC (0039886) Dia 23/10/25</t>
  </si>
  <si>
    <t>Pedido de Diligência por email pelo credenciamento dia 29/10/25 com prazo de resposta da COSAMPA para o dia 31/10/25. Email diligência SEI (0040577)</t>
  </si>
  <si>
    <t>Atualizado em 30/10/25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</si>
</sst>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dddd"/>
    <numFmt numFmtId="165" formatCode="&quot;R$&quot;#,##0.00;[Red]\-&quot;R$&quot;#,##0.00"/>
    <numFmt numFmtId="166" formatCode="00"/>
    <numFmt numFmtId="167" formatCode="&quot;R$&quot;\ #,##0.00"/>
    <numFmt numFmtId="168" formatCode="[$-F800]dddd\,\ mmmm\ dd\,\ yyyy"/>
    <numFmt numFmtId="169" formatCode="0.0"/>
    <numFmt numFmtId="170" formatCode="0.0%"/>
  </numFmts>
  <fonts count="3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omic Sans MS"/>
      <family val="4"/>
    </font>
    <font>
      <sz val="11"/>
      <color theme="1"/>
      <name val="Comic Sans MS"/>
      <family val="4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rgb="FF000000"/>
      <name val="Calibri"/>
      <family val="2"/>
    </font>
    <font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</font>
  </fonts>
  <fills count="2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C0C0C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rgb="FFDCE6F1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8" tint="-0.24994659260841701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656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</fills>
  <borders count="1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auto="1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thick">
        <color auto="1"/>
      </bottom>
      <diagonal/>
    </border>
    <border>
      <left/>
      <right style="thick">
        <color auto="1"/>
      </right>
      <top style="medium">
        <color auto="1"/>
      </top>
      <bottom style="thick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/>
      <bottom/>
      <diagonal/>
    </border>
    <border>
      <left/>
      <right style="medium">
        <color theme="4"/>
      </right>
      <top/>
      <bottom/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/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 style="medium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medium">
        <color theme="4"/>
      </right>
      <top/>
      <bottom style="thin">
        <color theme="4"/>
      </bottom>
      <diagonal/>
    </border>
    <border>
      <left style="thin">
        <color theme="4" tint="0.3999755851924192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6">
    <xf numFmtId="0" fontId="0" fillId="0" borderId="0"/>
    <xf numFmtId="0" fontId="6" fillId="0" borderId="0"/>
    <xf numFmtId="0" fontId="7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43" fontId="20" fillId="0" borderId="0" applyFont="0" applyFill="0" applyBorder="0" applyAlignment="0" applyProtection="0"/>
  </cellStyleXfs>
  <cellXfs count="756">
    <xf numFmtId="0" fontId="0" fillId="0" borderId="0" xfId="0"/>
    <xf numFmtId="0" fontId="0" fillId="0" borderId="0" xfId="0" applyAlignment="1">
      <alignment horizontal="center"/>
    </xf>
    <xf numFmtId="0" fontId="0" fillId="0" borderId="9" xfId="0" applyBorder="1"/>
    <xf numFmtId="0" fontId="3" fillId="0" borderId="0" xfId="0" applyFont="1" applyAlignment="1">
      <alignment horizontal="center" vertical="center"/>
    </xf>
    <xf numFmtId="0" fontId="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0" fontId="17" fillId="0" borderId="0" xfId="0" applyFont="1"/>
    <xf numFmtId="0" fontId="4" fillId="0" borderId="0" xfId="0" applyFont="1" applyAlignment="1" applyProtection="1">
      <alignment horizontal="left" vertical="center"/>
      <protection locked="0"/>
    </xf>
    <xf numFmtId="0" fontId="4" fillId="0" borderId="0" xfId="0" applyFont="1" applyAlignment="1">
      <alignment horizontal="left" vertical="center"/>
    </xf>
    <xf numFmtId="0" fontId="0" fillId="0" borderId="0" xfId="1" applyFont="1" applyAlignment="1">
      <alignment horizontal="center" vertical="center" wrapText="1"/>
    </xf>
    <xf numFmtId="0" fontId="0" fillId="0" borderId="0" xfId="1" applyFont="1" applyAlignment="1">
      <alignment vertical="center" wrapText="1"/>
    </xf>
    <xf numFmtId="165" fontId="0" fillId="0" borderId="0" xfId="1" applyNumberFormat="1" applyFont="1" applyAlignment="1">
      <alignment horizontal="center" vertical="center" wrapText="1"/>
    </xf>
    <xf numFmtId="165" fontId="0" fillId="0" borderId="0" xfId="1" applyNumberFormat="1" applyFont="1" applyAlignment="1">
      <alignment vertical="center" wrapText="1"/>
    </xf>
    <xf numFmtId="0" fontId="0" fillId="0" borderId="25" xfId="0" applyBorder="1"/>
    <xf numFmtId="0" fontId="0" fillId="0" borderId="26" xfId="0" applyBorder="1"/>
    <xf numFmtId="0" fontId="4" fillId="0" borderId="26" xfId="0" applyFont="1" applyBorder="1" applyAlignment="1" applyProtection="1">
      <alignment horizontal="left" vertical="center"/>
      <protection locked="0"/>
    </xf>
    <xf numFmtId="0" fontId="4" fillId="0" borderId="25" xfId="0" applyFont="1" applyBorder="1" applyAlignment="1" applyProtection="1">
      <alignment horizontal="left" vertical="center"/>
      <protection locked="0"/>
    </xf>
    <xf numFmtId="0" fontId="0" fillId="0" borderId="25" xfId="1" applyFont="1" applyBorder="1" applyAlignment="1">
      <alignment horizontal="center" vertical="center" wrapText="1"/>
    </xf>
    <xf numFmtId="165" fontId="3" fillId="0" borderId="26" xfId="1" applyNumberFormat="1" applyFont="1" applyBorder="1" applyAlignment="1">
      <alignment horizontal="center" vertical="center" wrapText="1"/>
    </xf>
    <xf numFmtId="0" fontId="1" fillId="5" borderId="32" xfId="0" applyFont="1" applyFill="1" applyBorder="1" applyAlignment="1">
      <alignment horizontal="center" vertical="center" wrapText="1"/>
    </xf>
    <xf numFmtId="0" fontId="1" fillId="5" borderId="33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8" fillId="0" borderId="39" xfId="0" applyFont="1" applyBorder="1" applyAlignment="1" applyProtection="1">
      <alignment horizontal="center" vertical="center" wrapText="1"/>
      <protection locked="0"/>
    </xf>
    <xf numFmtId="0" fontId="18" fillId="0" borderId="3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3" fillId="0" borderId="10" xfId="0" applyFont="1" applyBorder="1" applyAlignment="1">
      <alignment horizontal="left" vertical="center" indent="1"/>
    </xf>
    <xf numFmtId="0" fontId="13" fillId="0" borderId="18" xfId="0" applyFont="1" applyBorder="1" applyAlignment="1">
      <alignment horizontal="left" vertical="center" indent="1"/>
    </xf>
    <xf numFmtId="0" fontId="13" fillId="6" borderId="12" xfId="0" applyFont="1" applyFill="1" applyBorder="1" applyAlignment="1">
      <alignment horizontal="left" vertical="center" indent="1"/>
    </xf>
    <xf numFmtId="0" fontId="13" fillId="6" borderId="10" xfId="0" applyFont="1" applyFill="1" applyBorder="1" applyAlignment="1">
      <alignment horizontal="left" vertical="center" indent="1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6" xfId="0" applyBorder="1" applyAlignment="1">
      <alignment vertical="center"/>
    </xf>
    <xf numFmtId="0" fontId="0" fillId="0" borderId="27" xfId="0" applyBorder="1"/>
    <xf numFmtId="0" fontId="3" fillId="0" borderId="26" xfId="0" applyFont="1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4" fillId="0" borderId="26" xfId="0" applyFont="1" applyBorder="1" applyAlignment="1">
      <alignment vertical="center"/>
    </xf>
    <xf numFmtId="0" fontId="3" fillId="0" borderId="26" xfId="0" applyFont="1" applyBorder="1" applyAlignment="1" applyProtection="1">
      <alignment horizontal="left" vertical="center"/>
      <protection locked="0"/>
    </xf>
    <xf numFmtId="0" fontId="0" fillId="0" borderId="25" xfId="0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27" xfId="0" applyFont="1" applyBorder="1" applyAlignment="1" applyProtection="1">
      <alignment horizontal="left" vertical="center"/>
      <protection locked="0"/>
    </xf>
    <xf numFmtId="0" fontId="0" fillId="0" borderId="9" xfId="0" applyBorder="1" applyAlignment="1">
      <alignment horizontal="left" vertical="center"/>
    </xf>
    <xf numFmtId="0" fontId="0" fillId="0" borderId="41" xfId="0" applyBorder="1" applyAlignment="1">
      <alignment vertical="center"/>
    </xf>
    <xf numFmtId="0" fontId="0" fillId="0" borderId="11" xfId="0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169" fontId="4" fillId="0" borderId="10" xfId="0" applyNumberFormat="1" applyFont="1" applyBorder="1" applyAlignment="1">
      <alignment horizontal="right" vertical="center" indent="1"/>
    </xf>
    <xf numFmtId="0" fontId="2" fillId="0" borderId="10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3" fillId="0" borderId="70" xfId="0" applyFont="1" applyBorder="1" applyAlignment="1">
      <alignment horizontal="center" vertical="center" wrapText="1"/>
    </xf>
    <xf numFmtId="0" fontId="0" fillId="0" borderId="64" xfId="0" applyBorder="1"/>
    <xf numFmtId="0" fontId="0" fillId="0" borderId="73" xfId="0" applyBorder="1"/>
    <xf numFmtId="0" fontId="0" fillId="0" borderId="65" xfId="0" applyBorder="1"/>
    <xf numFmtId="0" fontId="0" fillId="0" borderId="50" xfId="0" applyBorder="1" applyAlignment="1">
      <alignment horizontal="right" indent="3"/>
    </xf>
    <xf numFmtId="0" fontId="0" fillId="0" borderId="72" xfId="0" applyBorder="1" applyAlignment="1">
      <alignment horizontal="right" indent="3"/>
    </xf>
    <xf numFmtId="0" fontId="0" fillId="0" borderId="60" xfId="0" applyBorder="1" applyAlignment="1">
      <alignment horizontal="right" indent="3"/>
    </xf>
    <xf numFmtId="0" fontId="5" fillId="0" borderId="70" xfId="0" applyFont="1" applyBorder="1" applyAlignment="1">
      <alignment horizontal="center" vertical="center" wrapText="1"/>
    </xf>
    <xf numFmtId="0" fontId="2" fillId="0" borderId="71" xfId="0" applyFont="1" applyBorder="1" applyAlignment="1">
      <alignment horizontal="right" indent="2"/>
    </xf>
    <xf numFmtId="0" fontId="2" fillId="0" borderId="71" xfId="0" applyFont="1" applyBorder="1" applyAlignment="1">
      <alignment horizontal="right" wrapText="1" indent="2"/>
    </xf>
    <xf numFmtId="0" fontId="2" fillId="0" borderId="42" xfId="0" applyFont="1" applyBorder="1" applyAlignment="1">
      <alignment horizontal="right" indent="2"/>
    </xf>
    <xf numFmtId="0" fontId="2" fillId="0" borderId="42" xfId="0" applyFont="1" applyBorder="1" applyAlignment="1">
      <alignment horizontal="right" wrapText="1" indent="2"/>
    </xf>
    <xf numFmtId="0" fontId="2" fillId="0" borderId="43" xfId="0" applyFont="1" applyBorder="1" applyAlignment="1">
      <alignment horizontal="right" indent="2"/>
    </xf>
    <xf numFmtId="0" fontId="2" fillId="0" borderId="43" xfId="0" applyFont="1" applyBorder="1" applyAlignment="1">
      <alignment horizontal="right" wrapText="1" indent="2"/>
    </xf>
    <xf numFmtId="0" fontId="0" fillId="0" borderId="43" xfId="0" applyBorder="1" applyAlignment="1">
      <alignment horizontal="center" vertical="center"/>
    </xf>
    <xf numFmtId="167" fontId="0" fillId="0" borderId="43" xfId="0" applyNumberFormat="1" applyBorder="1" applyAlignment="1">
      <alignment horizontal="right" vertical="center" wrapText="1" indent="2"/>
    </xf>
    <xf numFmtId="167" fontId="0" fillId="0" borderId="42" xfId="0" applyNumberFormat="1" applyBorder="1" applyAlignment="1">
      <alignment horizontal="right" vertical="center" wrapText="1" indent="2"/>
    </xf>
    <xf numFmtId="0" fontId="1" fillId="5" borderId="74" xfId="0" applyFont="1" applyFill="1" applyBorder="1" applyAlignment="1">
      <alignment horizontal="center" vertical="center" wrapText="1"/>
    </xf>
    <xf numFmtId="0" fontId="0" fillId="4" borderId="67" xfId="0" applyFill="1" applyBorder="1" applyAlignment="1">
      <alignment vertical="center" wrapText="1"/>
    </xf>
    <xf numFmtId="0" fontId="0" fillId="4" borderId="66" xfId="0" applyFill="1" applyBorder="1" applyAlignment="1">
      <alignment vertical="center" wrapText="1"/>
    </xf>
    <xf numFmtId="0" fontId="0" fillId="11" borderId="57" xfId="0" applyFill="1" applyBorder="1" applyAlignment="1">
      <alignment vertical="center" wrapText="1"/>
    </xf>
    <xf numFmtId="0" fontId="0" fillId="11" borderId="75" xfId="0" applyFill="1" applyBorder="1" applyAlignment="1">
      <alignment vertical="center" wrapText="1"/>
    </xf>
    <xf numFmtId="0" fontId="19" fillId="0" borderId="60" xfId="0" applyFont="1" applyBorder="1" applyAlignment="1">
      <alignment horizontal="center" vertical="center" wrapText="1"/>
    </xf>
    <xf numFmtId="0" fontId="0" fillId="0" borderId="5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19" fillId="0" borderId="79" xfId="0" applyFont="1" applyBorder="1" applyAlignment="1">
      <alignment horizontal="center" vertical="center" wrapText="1"/>
    </xf>
    <xf numFmtId="0" fontId="0" fillId="0" borderId="80" xfId="0" applyBorder="1" applyAlignment="1">
      <alignment horizontal="left" vertical="center" indent="1"/>
    </xf>
    <xf numFmtId="0" fontId="0" fillId="0" borderId="81" xfId="0" applyBorder="1" applyAlignment="1">
      <alignment horizontal="left" vertical="center" indent="1"/>
    </xf>
    <xf numFmtId="0" fontId="0" fillId="0" borderId="81" xfId="0" applyBorder="1" applyAlignment="1">
      <alignment horizontal="left" vertical="center" wrapText="1" indent="1"/>
    </xf>
    <xf numFmtId="167" fontId="2" fillId="4" borderId="15" xfId="0" applyNumberFormat="1" applyFont="1" applyFill="1" applyBorder="1" applyAlignment="1">
      <alignment horizontal="right" vertical="center" indent="1"/>
    </xf>
    <xf numFmtId="167" fontId="2" fillId="4" borderId="34" xfId="0" applyNumberFormat="1" applyFont="1" applyFill="1" applyBorder="1" applyAlignment="1">
      <alignment horizontal="right" vertical="center" indent="1"/>
    </xf>
    <xf numFmtId="167" fontId="2" fillId="4" borderId="17" xfId="0" applyNumberFormat="1" applyFont="1" applyFill="1" applyBorder="1" applyAlignment="1">
      <alignment horizontal="right" vertical="center" indent="1"/>
    </xf>
    <xf numFmtId="167" fontId="2" fillId="4" borderId="35" xfId="0" applyNumberFormat="1" applyFont="1" applyFill="1" applyBorder="1" applyAlignment="1">
      <alignment horizontal="right" vertical="center" indent="1"/>
    </xf>
    <xf numFmtId="167" fontId="2" fillId="11" borderId="8" xfId="0" applyNumberFormat="1" applyFont="1" applyFill="1" applyBorder="1" applyAlignment="1">
      <alignment horizontal="right" vertical="center" indent="1"/>
    </xf>
    <xf numFmtId="167" fontId="2" fillId="11" borderId="36" xfId="0" applyNumberFormat="1" applyFont="1" applyFill="1" applyBorder="1" applyAlignment="1">
      <alignment horizontal="right" vertical="center" indent="1"/>
    </xf>
    <xf numFmtId="167" fontId="2" fillId="11" borderId="37" xfId="0" applyNumberFormat="1" applyFont="1" applyFill="1" applyBorder="1" applyAlignment="1">
      <alignment horizontal="right" vertical="center" indent="1"/>
    </xf>
    <xf numFmtId="167" fontId="2" fillId="11" borderId="38" xfId="0" applyNumberFormat="1" applyFont="1" applyFill="1" applyBorder="1" applyAlignment="1">
      <alignment horizontal="right" vertical="center" indent="1"/>
    </xf>
    <xf numFmtId="0" fontId="0" fillId="0" borderId="50" xfId="0" applyBorder="1" applyAlignment="1">
      <alignment horizontal="center" vertical="center"/>
    </xf>
    <xf numFmtId="0" fontId="0" fillId="0" borderId="64" xfId="0" applyBorder="1" applyAlignment="1">
      <alignment horizontal="left" vertical="center"/>
    </xf>
    <xf numFmtId="0" fontId="0" fillId="0" borderId="65" xfId="0" applyBorder="1" applyAlignment="1">
      <alignment horizontal="left" vertical="center"/>
    </xf>
    <xf numFmtId="0" fontId="0" fillId="0" borderId="60" xfId="0" applyBorder="1" applyAlignment="1">
      <alignment horizontal="left" vertical="center"/>
    </xf>
    <xf numFmtId="0" fontId="0" fillId="0" borderId="0" xfId="0" applyAlignment="1" applyProtection="1">
      <alignment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85" xfId="0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0" fontId="0" fillId="0" borderId="83" xfId="0" applyBorder="1" applyAlignment="1" applyProtection="1">
      <alignment vertical="center" wrapText="1"/>
      <protection locked="0"/>
    </xf>
    <xf numFmtId="0" fontId="0" fillId="0" borderId="2" xfId="0" applyBorder="1" applyAlignment="1" applyProtection="1">
      <alignment vertical="center" wrapText="1"/>
      <protection locked="0"/>
    </xf>
    <xf numFmtId="0" fontId="0" fillId="0" borderId="84" xfId="0" applyBorder="1" applyAlignment="1" applyProtection="1">
      <alignment vertical="center" wrapText="1"/>
      <protection locked="0"/>
    </xf>
    <xf numFmtId="0" fontId="19" fillId="0" borderId="71" xfId="0" applyFont="1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2" fillId="0" borderId="67" xfId="0" applyFont="1" applyBorder="1" applyAlignment="1" applyProtection="1">
      <alignment horizontal="center" vertical="center"/>
      <protection locked="0"/>
    </xf>
    <xf numFmtId="0" fontId="2" fillId="0" borderId="48" xfId="0" applyFont="1" applyBorder="1" applyAlignment="1" applyProtection="1">
      <alignment horizontal="center" vertical="center"/>
      <protection locked="0"/>
    </xf>
    <xf numFmtId="0" fontId="2" fillId="0" borderId="66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 applyProtection="1">
      <alignment horizontal="center" vertical="center"/>
      <protection locked="0"/>
    </xf>
    <xf numFmtId="0" fontId="4" fillId="0" borderId="85" xfId="0" applyFont="1" applyBorder="1" applyAlignment="1" applyProtection="1">
      <alignment horizontal="center" vertical="center"/>
      <protection locked="0"/>
    </xf>
    <xf numFmtId="0" fontId="4" fillId="0" borderId="16" xfId="0" applyFont="1" applyBorder="1" applyAlignment="1" applyProtection="1">
      <alignment horizontal="center" vertical="center"/>
      <protection locked="0"/>
    </xf>
    <xf numFmtId="0" fontId="0" fillId="0" borderId="83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84" xfId="0" applyBorder="1" applyAlignment="1" applyProtection="1">
      <alignment horizontal="center" vertical="center"/>
      <protection locked="0"/>
    </xf>
    <xf numFmtId="10" fontId="0" fillId="0" borderId="83" xfId="0" applyNumberFormat="1" applyBorder="1" applyAlignment="1" applyProtection="1">
      <alignment horizontal="center" vertical="center"/>
      <protection locked="0"/>
    </xf>
    <xf numFmtId="10" fontId="0" fillId="0" borderId="2" xfId="0" applyNumberFormat="1" applyBorder="1" applyAlignment="1" applyProtection="1">
      <alignment horizontal="center" vertical="center"/>
      <protection locked="0"/>
    </xf>
    <xf numFmtId="10" fontId="0" fillId="0" borderId="84" xfId="0" applyNumberFormat="1" applyBorder="1" applyAlignment="1" applyProtection="1">
      <alignment horizontal="center" vertical="center"/>
      <protection locked="0"/>
    </xf>
    <xf numFmtId="10" fontId="0" fillId="0" borderId="9" xfId="0" applyNumberFormat="1" applyBorder="1" applyAlignment="1" applyProtection="1">
      <alignment horizontal="center" vertical="center"/>
      <protection locked="0"/>
    </xf>
    <xf numFmtId="170" fontId="0" fillId="0" borderId="14" xfId="0" applyNumberFormat="1" applyBorder="1" applyAlignment="1" applyProtection="1">
      <alignment horizontal="center" vertical="center"/>
      <protection locked="0"/>
    </xf>
    <xf numFmtId="170" fontId="0" fillId="0" borderId="85" xfId="0" applyNumberFormat="1" applyBorder="1" applyAlignment="1" applyProtection="1">
      <alignment horizontal="center" vertical="center"/>
      <protection locked="0"/>
    </xf>
    <xf numFmtId="170" fontId="0" fillId="0" borderId="16" xfId="0" applyNumberFormat="1" applyBorder="1" applyAlignment="1" applyProtection="1">
      <alignment horizontal="center" vertical="center"/>
      <protection locked="0"/>
    </xf>
    <xf numFmtId="9" fontId="0" fillId="0" borderId="14" xfId="0" applyNumberFormat="1" applyBorder="1" applyAlignment="1" applyProtection="1">
      <alignment horizontal="center" vertical="center"/>
      <protection locked="0"/>
    </xf>
    <xf numFmtId="9" fontId="0" fillId="0" borderId="85" xfId="0" applyNumberFormat="1" applyBorder="1" applyAlignment="1" applyProtection="1">
      <alignment horizontal="center" vertical="center"/>
      <protection locked="0"/>
    </xf>
    <xf numFmtId="9" fontId="0" fillId="0" borderId="16" xfId="0" applyNumberFormat="1" applyBorder="1" applyAlignment="1" applyProtection="1">
      <alignment horizontal="center" vertical="center"/>
      <protection locked="0"/>
    </xf>
    <xf numFmtId="10" fontId="0" fillId="0" borderId="14" xfId="0" applyNumberFormat="1" applyBorder="1" applyAlignment="1">
      <alignment horizontal="center" vertical="center"/>
    </xf>
    <xf numFmtId="10" fontId="0" fillId="0" borderId="13" xfId="0" applyNumberFormat="1" applyBorder="1" applyAlignment="1">
      <alignment horizontal="center" vertical="center"/>
    </xf>
    <xf numFmtId="10" fontId="0" fillId="0" borderId="85" xfId="0" applyNumberFormat="1" applyBorder="1" applyAlignment="1">
      <alignment horizontal="center" vertical="center"/>
    </xf>
    <xf numFmtId="10" fontId="0" fillId="0" borderId="16" xfId="0" applyNumberFormat="1" applyBorder="1" applyAlignment="1">
      <alignment horizontal="center" vertical="center"/>
    </xf>
    <xf numFmtId="10" fontId="19" fillId="0" borderId="71" xfId="0" applyNumberFormat="1" applyFont="1" applyBorder="1" applyAlignment="1">
      <alignment horizontal="center" vertical="center"/>
    </xf>
    <xf numFmtId="0" fontId="19" fillId="4" borderId="70" xfId="0" applyFont="1" applyFill="1" applyBorder="1" applyAlignment="1" applyProtection="1">
      <alignment horizontal="center" vertical="center" wrapText="1"/>
      <protection locked="0"/>
    </xf>
    <xf numFmtId="10" fontId="19" fillId="0" borderId="70" xfId="0" applyNumberFormat="1" applyFont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89" xfId="0" applyBorder="1"/>
    <xf numFmtId="0" fontId="0" fillId="0" borderId="90" xfId="0" applyBorder="1"/>
    <xf numFmtId="0" fontId="0" fillId="0" borderId="91" xfId="0" applyBorder="1"/>
    <xf numFmtId="0" fontId="0" fillId="0" borderId="92" xfId="0" applyBorder="1"/>
    <xf numFmtId="0" fontId="0" fillId="0" borderId="93" xfId="0" applyBorder="1"/>
    <xf numFmtId="0" fontId="16" fillId="0" borderId="87" xfId="0" applyFont="1" applyBorder="1" applyAlignment="1">
      <alignment horizontal="center" vertical="center"/>
    </xf>
    <xf numFmtId="0" fontId="16" fillId="0" borderId="95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" fillId="0" borderId="25" xfId="0" applyFont="1" applyBorder="1" applyAlignment="1">
      <alignment horizontal="center" vertical="center" wrapText="1"/>
    </xf>
    <xf numFmtId="0" fontId="0" fillId="0" borderId="25" xfId="0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26" xfId="0" applyBorder="1" applyAlignment="1" applyProtection="1">
      <alignment horizontal="center" vertical="center" wrapText="1"/>
      <protection locked="0"/>
    </xf>
    <xf numFmtId="0" fontId="3" fillId="0" borderId="25" xfId="0" applyFont="1" applyBorder="1" applyAlignment="1" applyProtection="1">
      <alignment horizontal="center" vertical="center" wrapText="1"/>
      <protection locked="0"/>
    </xf>
    <xf numFmtId="14" fontId="3" fillId="0" borderId="0" xfId="0" applyNumberFormat="1" applyFont="1" applyAlignment="1" applyProtection="1">
      <alignment horizontal="center" vertical="center" wrapText="1"/>
      <protection locked="0"/>
    </xf>
    <xf numFmtId="168" fontId="3" fillId="0" borderId="0" xfId="0" applyNumberFormat="1" applyFont="1" applyAlignment="1" applyProtection="1">
      <alignment horizontal="center" vertical="center" wrapText="1"/>
      <protection locked="0"/>
    </xf>
    <xf numFmtId="0" fontId="3" fillId="0" borderId="26" xfId="0" applyFont="1" applyBorder="1" applyAlignment="1">
      <alignment horizontal="center" vertical="center" wrapText="1"/>
    </xf>
    <xf numFmtId="0" fontId="3" fillId="0" borderId="26" xfId="0" applyFont="1" applyBorder="1" applyAlignment="1" applyProtection="1">
      <alignment horizontal="center" vertical="center" wrapText="1"/>
      <protection locked="0"/>
    </xf>
    <xf numFmtId="0" fontId="8" fillId="0" borderId="25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" fillId="0" borderId="98" xfId="0" applyFont="1" applyBorder="1" applyAlignment="1">
      <alignment horizontal="center" vertical="center" wrapText="1"/>
    </xf>
    <xf numFmtId="0" fontId="0" fillId="0" borderId="99" xfId="0" applyBorder="1" applyAlignment="1">
      <alignment horizontal="left" vertical="center" wrapText="1"/>
    </xf>
    <xf numFmtId="0" fontId="0" fillId="0" borderId="97" xfId="0" applyBorder="1" applyAlignment="1">
      <alignment horizontal="center" vertical="center"/>
    </xf>
    <xf numFmtId="0" fontId="0" fillId="0" borderId="68" xfId="0" applyBorder="1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0" fontId="9" fillId="0" borderId="103" xfId="0" applyFont="1" applyBorder="1" applyAlignment="1">
      <alignment horizontal="center" vertical="center" wrapText="1"/>
    </xf>
    <xf numFmtId="14" fontId="5" fillId="0" borderId="52" xfId="0" applyNumberFormat="1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 wrapText="1"/>
    </xf>
    <xf numFmtId="14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5" fillId="0" borderId="107" xfId="0" applyNumberFormat="1" applyFont="1" applyBorder="1" applyAlignment="1">
      <alignment horizontal="center" vertical="center"/>
    </xf>
    <xf numFmtId="1" fontId="5" fillId="0" borderId="102" xfId="0" applyNumberFormat="1" applyFont="1" applyBorder="1" applyAlignment="1">
      <alignment horizontal="center" vertical="center"/>
    </xf>
    <xf numFmtId="0" fontId="3" fillId="0" borderId="101" xfId="0" applyFont="1" applyBorder="1" applyAlignment="1">
      <alignment horizontal="center" vertical="center"/>
    </xf>
    <xf numFmtId="0" fontId="3" fillId="0" borderId="102" xfId="0" applyFont="1" applyBorder="1" applyAlignment="1">
      <alignment horizontal="center" vertical="center"/>
    </xf>
    <xf numFmtId="1" fontId="0" fillId="0" borderId="52" xfId="0" applyNumberFormat="1" applyBorder="1" applyAlignment="1">
      <alignment horizontal="right" indent="1"/>
    </xf>
    <xf numFmtId="1" fontId="0" fillId="0" borderId="10" xfId="0" applyNumberFormat="1" applyBorder="1" applyAlignment="1">
      <alignment horizontal="right" indent="1"/>
    </xf>
    <xf numFmtId="1" fontId="0" fillId="0" borderId="59" xfId="0" applyNumberFormat="1" applyBorder="1" applyAlignment="1">
      <alignment horizontal="right" indent="1"/>
    </xf>
    <xf numFmtId="167" fontId="0" fillId="0" borderId="104" xfId="0" applyNumberFormat="1" applyBorder="1" applyAlignment="1">
      <alignment horizontal="right"/>
    </xf>
    <xf numFmtId="0" fontId="0" fillId="0" borderId="9" xfId="0" applyBorder="1" applyAlignment="1">
      <alignment horizontal="center" vertical="center" wrapText="1"/>
    </xf>
    <xf numFmtId="167" fontId="0" fillId="0" borderId="105" xfId="0" applyNumberFormat="1" applyBorder="1" applyAlignment="1">
      <alignment horizontal="right"/>
    </xf>
    <xf numFmtId="167" fontId="0" fillId="0" borderId="107" xfId="0" applyNumberFormat="1" applyBorder="1" applyAlignment="1">
      <alignment horizontal="right"/>
    </xf>
    <xf numFmtId="0" fontId="0" fillId="0" borderId="101" xfId="0" applyBorder="1" applyAlignment="1">
      <alignment horizontal="center" vertical="center"/>
    </xf>
    <xf numFmtId="0" fontId="0" fillId="0" borderId="102" xfId="0" applyBorder="1" applyAlignment="1">
      <alignment horizontal="center" vertical="center"/>
    </xf>
    <xf numFmtId="0" fontId="0" fillId="0" borderId="101" xfId="0" applyBorder="1" applyAlignment="1">
      <alignment horizontal="center" vertical="center" shrinkToFit="1"/>
    </xf>
    <xf numFmtId="0" fontId="0" fillId="0" borderId="52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1" fontId="0" fillId="0" borderId="103" xfId="0" applyNumberFormat="1" applyBorder="1" applyAlignment="1">
      <alignment horizontal="center" vertical="center"/>
    </xf>
    <xf numFmtId="1" fontId="0" fillId="0" borderId="106" xfId="0" applyNumberFormat="1" applyBorder="1" applyAlignment="1">
      <alignment horizontal="center" vertical="center"/>
    </xf>
    <xf numFmtId="0" fontId="0" fillId="0" borderId="100" xfId="0" applyBorder="1" applyAlignment="1">
      <alignment horizontal="center" vertical="center" shrinkToFit="1"/>
    </xf>
    <xf numFmtId="167" fontId="0" fillId="0" borderId="104" xfId="0" applyNumberFormat="1" applyBorder="1" applyAlignment="1">
      <alignment horizontal="right" vertical="center"/>
    </xf>
    <xf numFmtId="167" fontId="0" fillId="0" borderId="107" xfId="0" applyNumberFormat="1" applyBorder="1" applyAlignment="1">
      <alignment horizontal="right" vertical="center"/>
    </xf>
    <xf numFmtId="1" fontId="9" fillId="0" borderId="10" xfId="0" applyNumberFormat="1" applyFont="1" applyBorder="1" applyAlignment="1">
      <alignment horizontal="center" vertical="center"/>
    </xf>
    <xf numFmtId="1" fontId="4" fillId="0" borderId="10" xfId="0" applyNumberFormat="1" applyFont="1" applyBorder="1" applyAlignment="1">
      <alignment horizontal="right" vertical="center" indent="2"/>
    </xf>
    <xf numFmtId="1" fontId="0" fillId="0" borderId="0" xfId="0" applyNumberFormat="1"/>
    <xf numFmtId="167" fontId="0" fillId="0" borderId="71" xfId="0" applyNumberFormat="1" applyBorder="1" applyAlignment="1">
      <alignment horizontal="right" vertical="center" wrapText="1" indent="2"/>
    </xf>
    <xf numFmtId="0" fontId="0" fillId="0" borderId="14" xfId="0" applyBorder="1" applyAlignment="1">
      <alignment horizontal="center" vertical="center" wrapText="1"/>
    </xf>
    <xf numFmtId="0" fontId="0" fillId="0" borderId="8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84" xfId="0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14" fontId="0" fillId="0" borderId="14" xfId="0" applyNumberFormat="1" applyBorder="1" applyAlignment="1">
      <alignment horizontal="center" vertical="center" wrapText="1"/>
    </xf>
    <xf numFmtId="14" fontId="0" fillId="0" borderId="13" xfId="0" applyNumberForma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14" fontId="0" fillId="0" borderId="85" xfId="0" applyNumberFormat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 wrapText="1"/>
    </xf>
    <xf numFmtId="0" fontId="0" fillId="15" borderId="85" xfId="0" applyFill="1" applyBorder="1" applyAlignment="1">
      <alignment horizontal="center" vertical="center" wrapText="1"/>
    </xf>
    <xf numFmtId="0" fontId="0" fillId="15" borderId="48" xfId="0" applyFill="1" applyBorder="1" applyAlignment="1">
      <alignment horizontal="center" vertical="center" wrapText="1"/>
    </xf>
    <xf numFmtId="0" fontId="0" fillId="16" borderId="2" xfId="0" applyFill="1" applyBorder="1" applyAlignment="1">
      <alignment horizontal="center" vertical="center" wrapText="1"/>
    </xf>
    <xf numFmtId="0" fontId="0" fillId="16" borderId="85" xfId="0" applyFill="1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center" wrapText="1"/>
    </xf>
    <xf numFmtId="0" fontId="0" fillId="18" borderId="2" xfId="0" applyFill="1" applyBorder="1" applyAlignment="1">
      <alignment horizontal="center" vertical="center" wrapText="1"/>
    </xf>
    <xf numFmtId="0" fontId="0" fillId="17" borderId="85" xfId="0" applyFill="1" applyBorder="1" applyAlignment="1">
      <alignment horizontal="center" vertical="center" wrapText="1"/>
    </xf>
    <xf numFmtId="0" fontId="0" fillId="18" borderId="85" xfId="0" applyFill="1" applyBorder="1" applyAlignment="1">
      <alignment horizontal="center" vertical="center" wrapText="1"/>
    </xf>
    <xf numFmtId="0" fontId="0" fillId="19" borderId="2" xfId="0" applyFill="1" applyBorder="1" applyAlignment="1">
      <alignment horizontal="center" vertical="center" wrapText="1"/>
    </xf>
    <xf numFmtId="0" fontId="0" fillId="0" borderId="11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4" fontId="0" fillId="0" borderId="111" xfId="0" applyNumberFormat="1" applyBorder="1" applyAlignment="1">
      <alignment horizontal="center" vertical="center" wrapText="1"/>
    </xf>
    <xf numFmtId="0" fontId="10" fillId="0" borderId="70" xfId="0" applyFont="1" applyBorder="1" applyAlignment="1">
      <alignment horizontal="center" vertical="center" wrapText="1"/>
    </xf>
    <xf numFmtId="0" fontId="10" fillId="0" borderId="70" xfId="0" quotePrefix="1" applyFont="1" applyBorder="1" applyAlignment="1">
      <alignment horizontal="center" vertical="center" wrapText="1"/>
    </xf>
    <xf numFmtId="0" fontId="14" fillId="0" borderId="10" xfId="4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 wrapText="1"/>
    </xf>
    <xf numFmtId="0" fontId="0" fillId="0" borderId="72" xfId="0" applyBorder="1" applyAlignment="1">
      <alignment horizontal="center" vertical="center" wrapText="1"/>
    </xf>
    <xf numFmtId="0" fontId="4" fillId="0" borderId="10" xfId="4" applyFont="1" applyBorder="1" applyAlignment="1">
      <alignment horizontal="center" vertical="center"/>
    </xf>
    <xf numFmtId="0" fontId="4" fillId="0" borderId="10" xfId="4" applyFont="1" applyBorder="1" applyAlignment="1">
      <alignment horizontal="center" vertical="center" wrapText="1"/>
    </xf>
    <xf numFmtId="0" fontId="27" fillId="0" borderId="10" xfId="4" applyFont="1" applyBorder="1" applyAlignment="1">
      <alignment horizontal="center" vertical="center" wrapText="1"/>
    </xf>
    <xf numFmtId="0" fontId="0" fillId="20" borderId="10" xfId="0" applyFill="1" applyBorder="1" applyAlignment="1">
      <alignment horizontal="center" vertical="center"/>
    </xf>
    <xf numFmtId="0" fontId="0" fillId="20" borderId="10" xfId="0" applyFill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 applyProtection="1">
      <alignment horizontal="center" vertical="center" wrapText="1"/>
      <protection locked="0"/>
    </xf>
    <xf numFmtId="0" fontId="18" fillId="0" borderId="10" xfId="0" applyFont="1" applyBorder="1" applyAlignment="1">
      <alignment horizontal="center" vertical="center" wrapText="1"/>
    </xf>
    <xf numFmtId="0" fontId="1" fillId="21" borderId="10" xfId="0" applyFont="1" applyFill="1" applyBorder="1" applyAlignment="1">
      <alignment horizontal="center" vertical="center"/>
    </xf>
    <xf numFmtId="166" fontId="0" fillId="0" borderId="10" xfId="0" applyNumberFormat="1" applyBorder="1" applyAlignment="1">
      <alignment horizontal="center" vertical="center"/>
    </xf>
    <xf numFmtId="166" fontId="0" fillId="22" borderId="10" xfId="0" applyNumberFormat="1" applyFill="1" applyBorder="1" applyAlignment="1">
      <alignment horizontal="center" vertical="center"/>
    </xf>
    <xf numFmtId="0" fontId="0" fillId="22" borderId="10" xfId="0" applyFill="1" applyBorder="1" applyAlignment="1">
      <alignment horizontal="center" vertical="center"/>
    </xf>
    <xf numFmtId="0" fontId="0" fillId="22" borderId="10" xfId="0" applyFill="1" applyBorder="1" applyAlignment="1">
      <alignment horizontal="center" vertical="center" wrapText="1"/>
    </xf>
    <xf numFmtId="0" fontId="4" fillId="22" borderId="10" xfId="4" applyFont="1" applyFill="1" applyBorder="1" applyAlignment="1">
      <alignment horizontal="center" vertical="center"/>
    </xf>
    <xf numFmtId="0" fontId="4" fillId="22" borderId="10" xfId="0" applyFont="1" applyFill="1" applyBorder="1" applyAlignment="1">
      <alignment horizontal="center" vertical="center" wrapText="1"/>
    </xf>
    <xf numFmtId="166" fontId="12" fillId="22" borderId="10" xfId="0" applyNumberFormat="1" applyFont="1" applyFill="1" applyBorder="1" applyAlignment="1">
      <alignment horizontal="center" vertical="center"/>
    </xf>
    <xf numFmtId="0" fontId="25" fillId="22" borderId="10" xfId="0" applyFont="1" applyFill="1" applyBorder="1" applyAlignment="1">
      <alignment horizontal="center" vertical="center" wrapText="1"/>
    </xf>
    <xf numFmtId="0" fontId="13" fillId="22" borderId="10" xfId="0" applyFont="1" applyFill="1" applyBorder="1" applyAlignment="1">
      <alignment horizontal="center" vertical="center" wrapText="1"/>
    </xf>
    <xf numFmtId="0" fontId="27" fillId="22" borderId="10" xfId="4" applyFont="1" applyFill="1" applyBorder="1" applyAlignment="1">
      <alignment horizontal="center" vertical="center" wrapText="1"/>
    </xf>
    <xf numFmtId="0" fontId="13" fillId="22" borderId="10" xfId="0" applyFont="1" applyFill="1" applyBorder="1" applyAlignment="1">
      <alignment horizontal="center" vertical="center"/>
    </xf>
    <xf numFmtId="0" fontId="14" fillId="22" borderId="10" xfId="4" applyFill="1" applyBorder="1" applyAlignment="1">
      <alignment horizontal="center" vertical="center" wrapText="1"/>
    </xf>
    <xf numFmtId="0" fontId="0" fillId="22" borderId="10" xfId="0" applyFill="1" applyBorder="1"/>
    <xf numFmtId="0" fontId="0" fillId="23" borderId="0" xfId="0" applyFill="1" applyAlignment="1">
      <alignment horizontal="center" vertical="center"/>
    </xf>
    <xf numFmtId="0" fontId="14" fillId="0" borderId="0" xfId="4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18" fillId="0" borderId="12" xfId="0" applyFont="1" applyBorder="1" applyAlignment="1">
      <alignment horizontal="center" vertical="center" wrapText="1"/>
    </xf>
    <xf numFmtId="0" fontId="0" fillId="0" borderId="10" xfId="0" applyBorder="1"/>
    <xf numFmtId="0" fontId="0" fillId="0" borderId="1" xfId="0" applyBorder="1"/>
    <xf numFmtId="0" fontId="14" fillId="22" borderId="10" xfId="4" applyFill="1" applyBorder="1" applyAlignment="1">
      <alignment horizontal="center" vertical="center"/>
    </xf>
    <xf numFmtId="0" fontId="0" fillId="11" borderId="10" xfId="0" applyFill="1" applyBorder="1"/>
    <xf numFmtId="0" fontId="0" fillId="11" borderId="1" xfId="0" applyFill="1" applyBorder="1"/>
    <xf numFmtId="0" fontId="0" fillId="11" borderId="18" xfId="0" applyFill="1" applyBorder="1"/>
    <xf numFmtId="0" fontId="0" fillId="11" borderId="4" xfId="0" applyFill="1" applyBorder="1"/>
    <xf numFmtId="166" fontId="3" fillId="0" borderId="43" xfId="0" applyNumberFormat="1" applyFont="1" applyBorder="1" applyAlignment="1">
      <alignment horizontal="center" vertical="center"/>
    </xf>
    <xf numFmtId="166" fontId="24" fillId="0" borderId="43" xfId="0" applyNumberFormat="1" applyFont="1" applyBorder="1" applyAlignment="1">
      <alignment horizontal="center" vertical="center"/>
    </xf>
    <xf numFmtId="0" fontId="0" fillId="0" borderId="66" xfId="0" applyBorder="1" applyAlignment="1">
      <alignment horizontal="center" vertical="center" wrapText="1"/>
    </xf>
    <xf numFmtId="0" fontId="19" fillId="8" borderId="43" xfId="0" applyFont="1" applyFill="1" applyBorder="1" applyAlignment="1">
      <alignment horizontal="center" vertical="center" wrapText="1"/>
    </xf>
    <xf numFmtId="0" fontId="19" fillId="8" borderId="70" xfId="0" applyFont="1" applyFill="1" applyBorder="1" applyAlignment="1">
      <alignment horizontal="center" vertical="center" wrapText="1"/>
    </xf>
    <xf numFmtId="0" fontId="16" fillId="8" borderId="70" xfId="0" applyFont="1" applyFill="1" applyBorder="1" applyAlignment="1">
      <alignment horizontal="center" vertical="center"/>
    </xf>
    <xf numFmtId="14" fontId="0" fillId="0" borderId="42" xfId="0" applyNumberFormat="1" applyBorder="1" applyAlignment="1">
      <alignment horizontal="center" vertical="center" wrapText="1"/>
    </xf>
    <xf numFmtId="0" fontId="2" fillId="0" borderId="25" xfId="0" applyFont="1" applyBorder="1" applyAlignment="1" applyProtection="1">
      <alignment horizontal="left" vertical="center"/>
      <protection locked="0"/>
    </xf>
    <xf numFmtId="0" fontId="3" fillId="0" borderId="25" xfId="1" applyFont="1" applyBorder="1" applyAlignment="1">
      <alignment horizontal="center" vertical="center"/>
    </xf>
    <xf numFmtId="0" fontId="9" fillId="0" borderId="1" xfId="0" applyFont="1" applyBorder="1" applyAlignment="1" applyProtection="1">
      <alignment horizontal="left" vertical="center"/>
      <protection locked="0"/>
    </xf>
    <xf numFmtId="0" fontId="0" fillId="0" borderId="9" xfId="0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0" fillId="22" borderId="10" xfId="0" applyNumberFormat="1" applyFill="1" applyBorder="1" applyAlignment="1">
      <alignment horizontal="center" vertical="center"/>
    </xf>
    <xf numFmtId="0" fontId="5" fillId="0" borderId="25" xfId="0" applyFont="1" applyBorder="1" applyAlignment="1" applyProtection="1">
      <alignment horizontal="center" vertical="center"/>
      <protection locked="0"/>
    </xf>
    <xf numFmtId="166" fontId="5" fillId="0" borderId="25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9" fillId="0" borderId="0" xfId="0" applyFont="1" applyAlignment="1" applyProtection="1">
      <alignment horizontal="left" vertical="center"/>
      <protection locked="0"/>
    </xf>
    <xf numFmtId="0" fontId="3" fillId="0" borderId="0" xfId="0" applyFont="1" applyAlignment="1">
      <alignment horizontal="left" vertical="center"/>
    </xf>
    <xf numFmtId="0" fontId="0" fillId="0" borderId="118" xfId="0" applyBorder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 applyProtection="1">
      <alignment horizontal="left" vertical="center"/>
      <protection locked="0"/>
    </xf>
    <xf numFmtId="0" fontId="19" fillId="0" borderId="0" xfId="1" applyFont="1" applyAlignment="1">
      <alignment horizontal="center" vertical="center"/>
    </xf>
    <xf numFmtId="0" fontId="0" fillId="0" borderId="118" xfId="0" applyBorder="1" applyAlignment="1">
      <alignment vertical="center"/>
    </xf>
    <xf numFmtId="164" fontId="0" fillId="0" borderId="11" xfId="0" applyNumberFormat="1" applyBorder="1" applyAlignment="1">
      <alignment horizontal="center" vertical="center"/>
    </xf>
    <xf numFmtId="0" fontId="0" fillId="0" borderId="25" xfId="0" applyBorder="1" applyAlignment="1">
      <alignment horizontal="left" vertical="top" indent="1"/>
    </xf>
    <xf numFmtId="0" fontId="0" fillId="0" borderId="26" xfId="0" applyBorder="1" applyAlignment="1">
      <alignment horizontal="left" vertical="top" indent="1"/>
    </xf>
    <xf numFmtId="0" fontId="0" fillId="0" borderId="27" xfId="0" applyBorder="1" applyAlignment="1">
      <alignment horizontal="left" vertical="top" indent="1"/>
    </xf>
    <xf numFmtId="0" fontId="0" fillId="0" borderId="9" xfId="0" applyBorder="1" applyAlignment="1">
      <alignment horizontal="left" vertical="top" indent="1"/>
    </xf>
    <xf numFmtId="0" fontId="0" fillId="0" borderId="28" xfId="0" applyBorder="1" applyAlignment="1">
      <alignment horizontal="left" vertical="top" indent="1"/>
    </xf>
    <xf numFmtId="14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top" indent="1"/>
    </xf>
    <xf numFmtId="0" fontId="3" fillId="0" borderId="22" xfId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14" fontId="2" fillId="0" borderId="26" xfId="0" applyNumberFormat="1" applyFont="1" applyBorder="1" applyAlignment="1">
      <alignment horizontal="center" vertical="center"/>
    </xf>
    <xf numFmtId="166" fontId="9" fillId="0" borderId="10" xfId="0" applyNumberFormat="1" applyFont="1" applyBorder="1" applyAlignment="1" applyProtection="1">
      <alignment horizontal="center" vertical="center"/>
      <protection locked="0"/>
    </xf>
    <xf numFmtId="0" fontId="9" fillId="0" borderId="10" xfId="0" applyFont="1" applyBorder="1" applyAlignment="1">
      <alignment horizontal="center" vertical="center" wrapText="1"/>
    </xf>
    <xf numFmtId="0" fontId="9" fillId="0" borderId="105" xfId="0" applyFont="1" applyBorder="1" applyAlignment="1">
      <alignment horizontal="center" vertical="center" wrapText="1"/>
    </xf>
    <xf numFmtId="0" fontId="9" fillId="0" borderId="59" xfId="0" applyFont="1" applyBorder="1" applyAlignment="1">
      <alignment horizontal="center" vertical="center" wrapText="1"/>
    </xf>
    <xf numFmtId="0" fontId="9" fillId="0" borderId="107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0" fontId="9" fillId="0" borderId="25" xfId="0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20" fillId="0" borderId="25" xfId="1" applyFont="1" applyBorder="1" applyAlignment="1">
      <alignment horizontal="left" vertical="top" indent="1"/>
    </xf>
    <xf numFmtId="0" fontId="5" fillId="0" borderId="10" xfId="0" applyFont="1" applyBorder="1" applyAlignment="1" applyProtection="1">
      <alignment horizontal="left" vertical="center" indent="1"/>
      <protection locked="0"/>
    </xf>
    <xf numFmtId="166" fontId="9" fillId="0" borderId="11" xfId="0" applyNumberFormat="1" applyFont="1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center" vertical="center" wrapText="1"/>
    </xf>
    <xf numFmtId="0" fontId="0" fillId="15" borderId="48" xfId="0" applyFill="1" applyBorder="1" applyAlignment="1">
      <alignment horizontal="center" vertical="center"/>
    </xf>
    <xf numFmtId="0" fontId="0" fillId="15" borderId="85" xfId="0" applyFill="1" applyBorder="1" applyAlignment="1">
      <alignment horizontal="center" vertical="center"/>
    </xf>
    <xf numFmtId="0" fontId="32" fillId="24" borderId="85" xfId="0" applyFont="1" applyFill="1" applyBorder="1" applyAlignment="1">
      <alignment horizontal="center" vertical="center" wrapText="1"/>
    </xf>
    <xf numFmtId="0" fontId="1" fillId="21" borderId="111" xfId="0" applyFont="1" applyFill="1" applyBorder="1" applyAlignment="1">
      <alignment horizontal="center" vertical="center"/>
    </xf>
    <xf numFmtId="0" fontId="1" fillId="21" borderId="5" xfId="0" applyFont="1" applyFill="1" applyBorder="1" applyAlignment="1">
      <alignment horizontal="center" vertical="center"/>
    </xf>
    <xf numFmtId="0" fontId="1" fillId="21" borderId="18" xfId="0" applyFont="1" applyFill="1" applyBorder="1" applyAlignment="1">
      <alignment horizontal="center" vertical="center"/>
    </xf>
    <xf numFmtId="0" fontId="1" fillId="21" borderId="4" xfId="0" applyFont="1" applyFill="1" applyBorder="1" applyAlignment="1">
      <alignment horizontal="center" vertical="center"/>
    </xf>
    <xf numFmtId="0" fontId="0" fillId="26" borderId="119" xfId="0" applyFill="1" applyBorder="1" applyAlignment="1">
      <alignment horizontal="center" vertical="center"/>
    </xf>
    <xf numFmtId="0" fontId="27" fillId="4" borderId="10" xfId="4" applyFont="1" applyFill="1" applyBorder="1" applyAlignment="1">
      <alignment horizontal="center" vertical="center"/>
    </xf>
    <xf numFmtId="0" fontId="27" fillId="0" borderId="10" xfId="4" applyFont="1" applyBorder="1" applyAlignment="1">
      <alignment horizontal="center" vertical="center"/>
    </xf>
    <xf numFmtId="0" fontId="4" fillId="26" borderId="10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/>
    </xf>
    <xf numFmtId="0" fontId="0" fillId="26" borderId="10" xfId="0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7" fillId="20" borderId="10" xfId="4" applyFont="1" applyFill="1" applyBorder="1" applyAlignment="1">
      <alignment horizontal="center" vertical="center" wrapText="1"/>
    </xf>
    <xf numFmtId="0" fontId="4" fillId="4" borderId="10" xfId="4" applyFont="1" applyFill="1" applyBorder="1" applyAlignment="1">
      <alignment horizontal="center" vertical="center"/>
    </xf>
    <xf numFmtId="0" fontId="27" fillId="4" borderId="10" xfId="4" applyFont="1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14" fillId="4" borderId="10" xfId="4" applyFill="1" applyBorder="1" applyAlignment="1">
      <alignment horizontal="center" vertical="center" wrapText="1"/>
    </xf>
    <xf numFmtId="0" fontId="0" fillId="28" borderId="10" xfId="0" applyFill="1" applyBorder="1" applyAlignment="1">
      <alignment horizontal="center" vertical="center"/>
    </xf>
    <xf numFmtId="0" fontId="0" fillId="28" borderId="10" xfId="0" applyFill="1" applyBorder="1" applyAlignment="1">
      <alignment horizontal="center" vertical="center" wrapText="1"/>
    </xf>
    <xf numFmtId="0" fontId="0" fillId="27" borderId="0" xfId="0" applyFill="1" applyAlignment="1">
      <alignment horizontal="center" vertical="center"/>
    </xf>
    <xf numFmtId="0" fontId="9" fillId="0" borderId="67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indent="1"/>
    </xf>
    <xf numFmtId="0" fontId="0" fillId="0" borderId="9" xfId="0" applyBorder="1" applyAlignment="1">
      <alignment horizontal="left" vertical="center" wrapText="1" indent="1"/>
    </xf>
    <xf numFmtId="0" fontId="4" fillId="4" borderId="10" xfId="0" applyFont="1" applyFill="1" applyBorder="1" applyAlignment="1">
      <alignment horizontal="center" vertical="center" wrapText="1"/>
    </xf>
    <xf numFmtId="0" fontId="14" fillId="4" borderId="10" xfId="4" applyFill="1" applyBorder="1" applyAlignment="1">
      <alignment horizontal="center" vertical="center"/>
    </xf>
    <xf numFmtId="0" fontId="5" fillId="4" borderId="101" xfId="0" applyFont="1" applyFill="1" applyBorder="1" applyAlignment="1">
      <alignment horizontal="center" vertical="center" wrapText="1"/>
    </xf>
    <xf numFmtId="0" fontId="5" fillId="4" borderId="46" xfId="0" applyFont="1" applyFill="1" applyBorder="1" applyAlignment="1">
      <alignment horizontal="center" vertical="center" wrapText="1"/>
    </xf>
    <xf numFmtId="0" fontId="13" fillId="28" borderId="10" xfId="0" applyFont="1" applyFill="1" applyBorder="1" applyAlignment="1">
      <alignment horizontal="center" vertical="center"/>
    </xf>
    <xf numFmtId="0" fontId="0" fillId="0" borderId="25" xfId="0" applyBorder="1" applyAlignment="1">
      <alignment horizontal="justify" vertical="top" wrapText="1"/>
    </xf>
    <xf numFmtId="0" fontId="0" fillId="0" borderId="26" xfId="0" applyBorder="1" applyAlignment="1">
      <alignment horizontal="justify" vertical="top" wrapText="1"/>
    </xf>
    <xf numFmtId="43" fontId="0" fillId="0" borderId="0" xfId="5" applyFont="1"/>
    <xf numFmtId="167" fontId="0" fillId="0" borderId="0" xfId="0" applyNumberFormat="1"/>
    <xf numFmtId="0" fontId="9" fillId="0" borderId="42" xfId="0" applyFont="1" applyBorder="1" applyAlignment="1">
      <alignment horizontal="center" vertical="center" wrapText="1"/>
    </xf>
    <xf numFmtId="1" fontId="2" fillId="0" borderId="42" xfId="0" applyNumberFormat="1" applyFont="1" applyBorder="1" applyAlignment="1">
      <alignment horizontal="center" vertical="center"/>
    </xf>
    <xf numFmtId="1" fontId="0" fillId="0" borderId="42" xfId="0" applyNumberFormat="1" applyBorder="1" applyAlignment="1">
      <alignment horizontal="center" vertical="center"/>
    </xf>
    <xf numFmtId="0" fontId="9" fillId="0" borderId="73" xfId="0" applyFont="1" applyBorder="1" applyAlignment="1">
      <alignment horizontal="right" vertical="center" indent="3"/>
    </xf>
    <xf numFmtId="0" fontId="9" fillId="0" borderId="47" xfId="0" applyFont="1" applyBorder="1" applyAlignment="1">
      <alignment horizontal="right" vertical="center" indent="3"/>
    </xf>
    <xf numFmtId="0" fontId="9" fillId="0" borderId="0" xfId="0" applyFont="1" applyAlignment="1">
      <alignment horizontal="right" vertical="center" indent="3"/>
    </xf>
    <xf numFmtId="0" fontId="9" fillId="0" borderId="47" xfId="0" applyFont="1" applyBorder="1" applyAlignment="1" applyProtection="1">
      <alignment horizontal="right" vertical="center" indent="3"/>
      <protection locked="0"/>
    </xf>
    <xf numFmtId="0" fontId="0" fillId="0" borderId="47" xfId="0" applyBorder="1" applyAlignment="1">
      <alignment horizontal="right" vertical="center" indent="3"/>
    </xf>
    <xf numFmtId="0" fontId="9" fillId="0" borderId="0" xfId="0" applyFont="1" applyAlignment="1" applyProtection="1">
      <alignment horizontal="right" vertical="center" indent="3"/>
      <protection locked="0"/>
    </xf>
    <xf numFmtId="0" fontId="0" fillId="0" borderId="0" xfId="0" applyAlignment="1">
      <alignment horizontal="right" vertical="center" indent="3"/>
    </xf>
    <xf numFmtId="0" fontId="9" fillId="0" borderId="72" xfId="0" applyFont="1" applyBorder="1" applyAlignment="1">
      <alignment horizontal="right" vertical="center" indent="3"/>
    </xf>
    <xf numFmtId="0" fontId="19" fillId="0" borderId="0" xfId="0" applyFont="1" applyAlignment="1">
      <alignment horizontal="right" vertical="center" indent="3"/>
    </xf>
    <xf numFmtId="0" fontId="19" fillId="0" borderId="72" xfId="0" applyFont="1" applyBorder="1" applyAlignment="1">
      <alignment horizontal="right" vertical="center" indent="3"/>
    </xf>
    <xf numFmtId="0" fontId="9" fillId="0" borderId="42" xfId="0" applyFont="1" applyBorder="1" applyAlignment="1">
      <alignment horizontal="right" vertical="center" indent="3"/>
    </xf>
    <xf numFmtId="0" fontId="3" fillId="0" borderId="49" xfId="0" applyFont="1" applyBorder="1" applyAlignment="1">
      <alignment horizontal="center" vertical="center"/>
    </xf>
    <xf numFmtId="0" fontId="3" fillId="0" borderId="82" xfId="0" applyFont="1" applyBorder="1" applyAlignment="1">
      <alignment horizontal="left" vertical="center" wrapText="1" indent="1"/>
    </xf>
    <xf numFmtId="0" fontId="4" fillId="0" borderId="10" xfId="0" applyFont="1" applyBorder="1" applyAlignment="1" applyProtection="1">
      <alignment horizontal="center" vertical="center" wrapText="1"/>
      <protection locked="0"/>
    </xf>
    <xf numFmtId="0" fontId="18" fillId="0" borderId="10" xfId="0" applyFont="1" applyBorder="1" applyAlignment="1" applyProtection="1">
      <alignment horizontal="center" vertical="center"/>
      <protection locked="0"/>
    </xf>
    <xf numFmtId="0" fontId="18" fillId="0" borderId="1" xfId="0" applyFont="1" applyBorder="1" applyAlignment="1">
      <alignment horizontal="center" vertical="center" wrapText="1"/>
    </xf>
    <xf numFmtId="166" fontId="19" fillId="0" borderId="3" xfId="0" applyNumberFormat="1" applyFont="1" applyBorder="1" applyAlignment="1">
      <alignment horizontal="center" vertical="center"/>
    </xf>
    <xf numFmtId="0" fontId="9" fillId="0" borderId="100" xfId="0" applyFont="1" applyBorder="1" applyAlignment="1">
      <alignment horizontal="center" vertical="center"/>
    </xf>
    <xf numFmtId="0" fontId="9" fillId="0" borderId="101" xfId="0" applyFont="1" applyBorder="1" applyAlignment="1">
      <alignment horizontal="center" vertical="center"/>
    </xf>
    <xf numFmtId="0" fontId="9" fillId="0" borderId="102" xfId="0" applyFont="1" applyBorder="1" applyAlignment="1">
      <alignment horizontal="center" vertical="center"/>
    </xf>
    <xf numFmtId="0" fontId="19" fillId="0" borderId="44" xfId="0" applyFont="1" applyBorder="1" applyAlignment="1">
      <alignment horizontal="center" vertical="center" wrapText="1"/>
    </xf>
    <xf numFmtId="0" fontId="19" fillId="0" borderId="45" xfId="0" applyFont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9" fillId="0" borderId="81" xfId="0" applyFont="1" applyBorder="1" applyAlignment="1">
      <alignment horizontal="right" vertical="center" indent="1"/>
    </xf>
    <xf numFmtId="0" fontId="9" fillId="0" borderId="10" xfId="0" applyFont="1" applyBorder="1" applyAlignment="1">
      <alignment horizontal="right" vertical="center" indent="1"/>
    </xf>
    <xf numFmtId="0" fontId="9" fillId="0" borderId="106" xfId="0" applyFont="1" applyBorder="1" applyAlignment="1">
      <alignment horizontal="right" vertical="center" indent="1"/>
    </xf>
    <xf numFmtId="0" fontId="9" fillId="0" borderId="59" xfId="0" applyFont="1" applyBorder="1" applyAlignment="1">
      <alignment horizontal="right" vertical="center" indent="1"/>
    </xf>
    <xf numFmtId="0" fontId="16" fillId="0" borderId="64" xfId="0" applyFont="1" applyBorder="1" applyAlignment="1">
      <alignment horizontal="center" vertical="center" wrapText="1"/>
    </xf>
    <xf numFmtId="0" fontId="16" fillId="0" borderId="47" xfId="0" applyFont="1" applyBorder="1" applyAlignment="1">
      <alignment horizontal="center" vertical="center" wrapText="1"/>
    </xf>
    <xf numFmtId="0" fontId="16" fillId="0" borderId="50" xfId="0" applyFont="1" applyBorder="1" applyAlignment="1">
      <alignment horizontal="center" vertical="center" wrapText="1"/>
    </xf>
    <xf numFmtId="0" fontId="16" fillId="0" borderId="7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72" xfId="0" applyFont="1" applyBorder="1" applyAlignment="1">
      <alignment horizontal="center" vertical="center" wrapText="1"/>
    </xf>
    <xf numFmtId="0" fontId="19" fillId="0" borderId="70" xfId="0" applyFont="1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1" fontId="19" fillId="0" borderId="64" xfId="0" applyNumberFormat="1" applyFont="1" applyBorder="1" applyAlignment="1">
      <alignment horizontal="right" vertical="center" wrapText="1" indent="2"/>
    </xf>
    <xf numFmtId="0" fontId="0" fillId="0" borderId="50" xfId="0" applyBorder="1" applyAlignment="1">
      <alignment horizontal="right" vertical="center" wrapText="1" indent="2"/>
    </xf>
    <xf numFmtId="0" fontId="0" fillId="0" borderId="65" xfId="0" applyBorder="1" applyAlignment="1">
      <alignment horizontal="right" vertical="center" wrapText="1" indent="2"/>
    </xf>
    <xf numFmtId="0" fontId="0" fillId="0" borderId="60" xfId="0" applyBorder="1" applyAlignment="1">
      <alignment horizontal="right" vertical="center" wrapText="1" indent="2"/>
    </xf>
    <xf numFmtId="167" fontId="19" fillId="0" borderId="70" xfId="0" applyNumberFormat="1" applyFont="1" applyBorder="1" applyAlignment="1">
      <alignment horizontal="right" vertical="center" wrapText="1" indent="2"/>
    </xf>
    <xf numFmtId="167" fontId="0" fillId="0" borderId="70" xfId="0" applyNumberFormat="1" applyBorder="1" applyAlignment="1">
      <alignment horizontal="right" vertical="center" wrapText="1" indent="2"/>
    </xf>
    <xf numFmtId="0" fontId="16" fillId="0" borderId="108" xfId="0" applyFont="1" applyBorder="1" applyAlignment="1">
      <alignment horizontal="center" vertical="center" wrapText="1"/>
    </xf>
    <xf numFmtId="0" fontId="16" fillId="0" borderId="109" xfId="0" applyFont="1" applyBorder="1" applyAlignment="1">
      <alignment horizontal="center" vertical="center" wrapText="1"/>
    </xf>
    <xf numFmtId="0" fontId="16" fillId="0" borderId="110" xfId="0" applyFont="1" applyBorder="1" applyAlignment="1">
      <alignment horizontal="center" vertical="center" wrapText="1"/>
    </xf>
    <xf numFmtId="0" fontId="3" fillId="0" borderId="100" xfId="0" applyFont="1" applyBorder="1" applyAlignment="1">
      <alignment horizontal="center" vertical="center" wrapText="1"/>
    </xf>
    <xf numFmtId="0" fontId="3" fillId="0" borderId="101" xfId="0" applyFont="1" applyBorder="1" applyAlignment="1">
      <alignment horizontal="center" vertical="center" wrapText="1"/>
    </xf>
    <xf numFmtId="0" fontId="0" fillId="0" borderId="103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8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6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16" fillId="0" borderId="86" xfId="0" applyFont="1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0" fillId="0" borderId="88" xfId="0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justify" wrapText="1"/>
    </xf>
    <xf numFmtId="0" fontId="0" fillId="0" borderId="2" xfId="0" applyBorder="1" applyAlignment="1">
      <alignment horizontal="justify" wrapText="1"/>
    </xf>
    <xf numFmtId="0" fontId="0" fillId="0" borderId="3" xfId="0" applyBorder="1" applyAlignment="1">
      <alignment horizontal="justify" wrapText="1"/>
    </xf>
    <xf numFmtId="0" fontId="3" fillId="0" borderId="1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wrapText="1" indent="1"/>
    </xf>
    <xf numFmtId="0" fontId="3" fillId="0" borderId="3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 indent="1"/>
    </xf>
    <xf numFmtId="0" fontId="0" fillId="0" borderId="2" xfId="0" applyBorder="1" applyAlignment="1">
      <alignment horizontal="left" vertical="center" wrapText="1" indent="1"/>
    </xf>
    <xf numFmtId="0" fontId="0" fillId="0" borderId="3" xfId="0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indent="1"/>
    </xf>
    <xf numFmtId="0" fontId="0" fillId="0" borderId="2" xfId="0" applyBorder="1" applyAlignment="1">
      <alignment horizontal="left" vertical="center" indent="1"/>
    </xf>
    <xf numFmtId="0" fontId="0" fillId="0" borderId="3" xfId="0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indent="1" shrinkToFit="1"/>
    </xf>
    <xf numFmtId="0" fontId="3" fillId="0" borderId="2" xfId="0" applyFont="1" applyBorder="1" applyAlignment="1">
      <alignment horizontal="left" vertical="center" indent="1" shrinkToFit="1"/>
    </xf>
    <xf numFmtId="0" fontId="3" fillId="0" borderId="3" xfId="0" applyFont="1" applyBorder="1" applyAlignment="1">
      <alignment horizontal="left" vertical="center" indent="1" shrinkToFit="1"/>
    </xf>
    <xf numFmtId="0" fontId="0" fillId="0" borderId="73" xfId="0" applyBorder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72" xfId="0" applyBorder="1" applyAlignment="1">
      <alignment horizontal="left" vertical="top" wrapText="1" indent="1"/>
    </xf>
    <xf numFmtId="0" fontId="0" fillId="0" borderId="65" xfId="0" applyBorder="1" applyAlignment="1">
      <alignment horizontal="left" vertical="top" wrapText="1" indent="1"/>
    </xf>
    <xf numFmtId="0" fontId="0" fillId="0" borderId="63" xfId="0" applyBorder="1" applyAlignment="1">
      <alignment horizontal="left" vertical="top" wrapText="1" indent="1"/>
    </xf>
    <xf numFmtId="0" fontId="0" fillId="0" borderId="60" xfId="0" applyBorder="1" applyAlignment="1">
      <alignment horizontal="left" vertical="top" wrapText="1" indent="1"/>
    </xf>
    <xf numFmtId="0" fontId="19" fillId="2" borderId="61" xfId="1" applyFont="1" applyFill="1" applyBorder="1" applyAlignment="1">
      <alignment horizontal="left" vertical="center" wrapText="1" indent="1"/>
    </xf>
    <xf numFmtId="0" fontId="0" fillId="0" borderId="45" xfId="0" applyBorder="1" applyAlignment="1">
      <alignment horizontal="left" vertical="center" wrapText="1" indent="1"/>
    </xf>
    <xf numFmtId="0" fontId="0" fillId="0" borderId="62" xfId="0" applyBorder="1" applyAlignment="1">
      <alignment horizontal="left" vertical="center" wrapText="1" indent="1"/>
    </xf>
    <xf numFmtId="0" fontId="3" fillId="0" borderId="116" xfId="1" applyFont="1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0" fillId="0" borderId="117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6" fillId="7" borderId="61" xfId="0" applyFont="1" applyFill="1" applyBorder="1" applyAlignment="1">
      <alignment horizontal="center" vertical="center" shrinkToFit="1"/>
    </xf>
    <xf numFmtId="0" fontId="17" fillId="7" borderId="45" xfId="0" applyFont="1" applyFill="1" applyBorder="1" applyAlignment="1">
      <alignment horizontal="center" vertical="center" shrinkToFit="1"/>
    </xf>
    <xf numFmtId="0" fontId="17" fillId="7" borderId="62" xfId="0" applyFont="1" applyFill="1" applyBorder="1" applyAlignment="1">
      <alignment horizontal="center" vertical="center" shrinkToFit="1"/>
    </xf>
    <xf numFmtId="0" fontId="16" fillId="0" borderId="61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3" fillId="0" borderId="61" xfId="0" applyFont="1" applyBorder="1" applyAlignment="1">
      <alignment horizontal="center" vertical="center"/>
    </xf>
    <xf numFmtId="0" fontId="3" fillId="4" borderId="61" xfId="0" applyFont="1" applyFill="1" applyBorder="1" applyAlignment="1">
      <alignment horizontal="center" vertical="center"/>
    </xf>
    <xf numFmtId="0" fontId="0" fillId="4" borderId="45" xfId="0" applyFill="1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  <xf numFmtId="0" fontId="2" fillId="0" borderId="116" xfId="0" applyFont="1" applyBorder="1" applyAlignment="1" applyProtection="1">
      <alignment horizontal="left" vertical="center"/>
      <protection locked="0"/>
    </xf>
    <xf numFmtId="0" fontId="0" fillId="0" borderId="83" xfId="0" applyBorder="1" applyAlignment="1">
      <alignment horizontal="left" vertical="center"/>
    </xf>
    <xf numFmtId="0" fontId="0" fillId="0" borderId="117" xfId="0" applyBorder="1" applyAlignment="1">
      <alignment horizontal="left" vertical="center"/>
    </xf>
    <xf numFmtId="0" fontId="19" fillId="2" borderId="61" xfId="0" applyFont="1" applyFill="1" applyBorder="1" applyAlignment="1">
      <alignment horizontal="left" vertical="center" indent="1"/>
    </xf>
    <xf numFmtId="0" fontId="0" fillId="0" borderId="45" xfId="0" applyBorder="1" applyAlignment="1">
      <alignment horizontal="left" vertical="center" indent="1"/>
    </xf>
    <xf numFmtId="0" fontId="0" fillId="0" borderId="62" xfId="0" applyBorder="1" applyAlignment="1">
      <alignment horizontal="left" vertical="center" indent="1"/>
    </xf>
    <xf numFmtId="0" fontId="23" fillId="0" borderId="19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1" fillId="2" borderId="120" xfId="0" applyFont="1" applyFill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121" xfId="0" applyBorder="1" applyAlignment="1">
      <alignment horizontal="center" vertical="center"/>
    </xf>
    <xf numFmtId="0" fontId="10" fillId="0" borderId="108" xfId="0" applyFont="1" applyBorder="1" applyAlignment="1">
      <alignment horizontal="center"/>
    </xf>
    <xf numFmtId="0" fontId="0" fillId="0" borderId="109" xfId="0" applyBorder="1" applyAlignment="1">
      <alignment horizontal="center"/>
    </xf>
    <xf numFmtId="0" fontId="0" fillId="0" borderId="110" xfId="0" applyBorder="1" applyAlignment="1">
      <alignment horizontal="center"/>
    </xf>
    <xf numFmtId="0" fontId="3" fillId="4" borderId="44" xfId="0" applyFont="1" applyFill="1" applyBorder="1" applyAlignment="1">
      <alignment horizontal="center" vertical="center" wrapText="1"/>
    </xf>
    <xf numFmtId="0" fontId="0" fillId="4" borderId="45" xfId="0" applyFill="1" applyBorder="1" applyAlignment="1">
      <alignment horizontal="center" vertical="center" wrapText="1"/>
    </xf>
    <xf numFmtId="0" fontId="0" fillId="0" borderId="103" xfId="0" applyBorder="1" applyAlignment="1">
      <alignment horizontal="left" vertical="center" wrapText="1"/>
    </xf>
    <xf numFmtId="0" fontId="0" fillId="0" borderId="52" xfId="0" applyBorder="1" applyAlignment="1">
      <alignment horizontal="left" vertical="center" wrapText="1"/>
    </xf>
    <xf numFmtId="0" fontId="0" fillId="0" borderId="81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06" xfId="0" applyBorder="1" applyAlignment="1">
      <alignment horizontal="left" vertical="center" wrapText="1"/>
    </xf>
    <xf numFmtId="0" fontId="0" fillId="0" borderId="59" xfId="0" applyBorder="1" applyAlignment="1">
      <alignment horizontal="left" vertical="center" wrapText="1"/>
    </xf>
    <xf numFmtId="0" fontId="3" fillId="4" borderId="44" xfId="0" applyFont="1" applyFill="1" applyBorder="1" applyAlignment="1">
      <alignment horizontal="center" vertical="center"/>
    </xf>
    <xf numFmtId="0" fontId="3" fillId="4" borderId="45" xfId="0" applyFont="1" applyFill="1" applyBorder="1" applyAlignment="1">
      <alignment horizontal="center" vertical="center"/>
    </xf>
    <xf numFmtId="0" fontId="3" fillId="4" borderId="46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4" fontId="4" fillId="0" borderId="12" xfId="0" applyNumberFormat="1" applyFont="1" applyBorder="1" applyAlignment="1">
      <alignment horizontal="center" vertical="center"/>
    </xf>
    <xf numFmtId="14" fontId="4" fillId="0" borderId="10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indent="1"/>
    </xf>
    <xf numFmtId="0" fontId="9" fillId="0" borderId="10" xfId="0" applyFont="1" applyBorder="1" applyAlignment="1" applyProtection="1">
      <alignment horizontal="center" vertical="center"/>
      <protection locked="0"/>
    </xf>
    <xf numFmtId="0" fontId="9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 indent="1"/>
    </xf>
    <xf numFmtId="0" fontId="0" fillId="0" borderId="10" xfId="0" applyBorder="1" applyAlignment="1">
      <alignment horizontal="left" vertical="center" indent="1"/>
    </xf>
    <xf numFmtId="0" fontId="4" fillId="0" borderId="2" xfId="0" applyFont="1" applyBorder="1" applyAlignment="1">
      <alignment horizontal="left" vertical="center" wrapText="1" indent="1"/>
    </xf>
    <xf numFmtId="0" fontId="4" fillId="0" borderId="3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indent="1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3" fillId="0" borderId="114" xfId="0" applyFont="1" applyBorder="1" applyAlignment="1">
      <alignment horizontal="center" vertical="center"/>
    </xf>
    <xf numFmtId="0" fontId="0" fillId="0" borderId="84" xfId="0" applyBorder="1" applyAlignment="1">
      <alignment horizontal="center" vertical="center"/>
    </xf>
    <xf numFmtId="0" fontId="0" fillId="0" borderId="115" xfId="0" applyBorder="1" applyAlignment="1">
      <alignment horizontal="center" vertical="center"/>
    </xf>
    <xf numFmtId="0" fontId="9" fillId="0" borderId="1" xfId="0" applyFont="1" applyBorder="1" applyAlignment="1">
      <alignment horizontal="left" vertical="center" indent="1"/>
    </xf>
    <xf numFmtId="0" fontId="9" fillId="0" borderId="2" xfId="0" applyFont="1" applyBorder="1" applyAlignment="1">
      <alignment horizontal="left" vertical="center" indent="1"/>
    </xf>
    <xf numFmtId="0" fontId="9" fillId="0" borderId="3" xfId="0" applyFont="1" applyBorder="1" applyAlignment="1">
      <alignment horizontal="left" vertical="center" indent="1"/>
    </xf>
    <xf numFmtId="166" fontId="0" fillId="0" borderId="1" xfId="0" applyNumberFormat="1" applyBorder="1" applyAlignment="1">
      <alignment horizontal="left" vertical="center" wrapText="1" indent="1"/>
    </xf>
    <xf numFmtId="0" fontId="9" fillId="0" borderId="1" xfId="0" applyFont="1" applyBorder="1" applyAlignment="1" applyProtection="1">
      <alignment horizontal="left" vertical="center" indent="1"/>
      <protection locked="0"/>
    </xf>
    <xf numFmtId="0" fontId="0" fillId="0" borderId="4" xfId="0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4" fillId="0" borderId="5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0" fontId="4" fillId="0" borderId="9" xfId="0" applyFont="1" applyBorder="1" applyAlignment="1">
      <alignment horizontal="left" vertical="center" wrapText="1" indent="1"/>
    </xf>
    <xf numFmtId="0" fontId="4" fillId="0" borderId="8" xfId="0" applyFont="1" applyBorder="1" applyAlignment="1">
      <alignment horizontal="left" vertical="center" wrapText="1" indent="1"/>
    </xf>
    <xf numFmtId="1" fontId="2" fillId="0" borderId="68" xfId="0" applyNumberFormat="1" applyFont="1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1" fontId="2" fillId="0" borderId="69" xfId="0" applyNumberFormat="1" applyFont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9" fillId="8" borderId="44" xfId="0" applyFont="1" applyFill="1" applyBorder="1" applyAlignment="1">
      <alignment horizontal="right" vertical="center" indent="3"/>
    </xf>
    <xf numFmtId="0" fontId="0" fillId="0" borderId="45" xfId="0" applyBorder="1" applyAlignment="1">
      <alignment horizontal="right" vertical="center" indent="3"/>
    </xf>
    <xf numFmtId="0" fontId="0" fillId="0" borderId="46" xfId="0" applyBorder="1" applyAlignment="1">
      <alignment horizontal="right" vertical="center" indent="3"/>
    </xf>
    <xf numFmtId="0" fontId="9" fillId="8" borderId="44" xfId="0" applyFont="1" applyFill="1" applyBorder="1" applyAlignment="1" applyProtection="1">
      <alignment horizontal="right" vertical="center" indent="3"/>
      <protection locked="0"/>
    </xf>
    <xf numFmtId="0" fontId="9" fillId="9" borderId="44" xfId="0" applyFont="1" applyFill="1" applyBorder="1" applyAlignment="1">
      <alignment horizontal="right" vertical="center" indent="3"/>
    </xf>
    <xf numFmtId="0" fontId="19" fillId="14" borderId="44" xfId="0" applyFont="1" applyFill="1" applyBorder="1" applyAlignment="1">
      <alignment horizontal="right" vertical="center" indent="3"/>
    </xf>
    <xf numFmtId="0" fontId="9" fillId="9" borderId="53" xfId="0" applyFont="1" applyFill="1" applyBorder="1" applyAlignment="1" applyProtection="1">
      <alignment horizontal="center" vertical="center" wrapText="1"/>
      <protection locked="0"/>
    </xf>
    <xf numFmtId="0" fontId="0" fillId="0" borderId="50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1" fontId="2" fillId="0" borderId="69" xfId="0" applyNumberFormat="1" applyFont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27" xfId="1" applyFont="1" applyBorder="1" applyAlignment="1">
      <alignment horizontal="center" vertical="center"/>
    </xf>
    <xf numFmtId="0" fontId="0" fillId="0" borderId="22" xfId="1" applyFont="1" applyBorder="1" applyAlignment="1">
      <alignment horizontal="center" vertical="center"/>
    </xf>
    <xf numFmtId="49" fontId="19" fillId="3" borderId="61" xfId="1" applyNumberFormat="1" applyFont="1" applyFill="1" applyBorder="1" applyAlignment="1">
      <alignment horizontal="center" vertical="center" wrapText="1"/>
    </xf>
    <xf numFmtId="49" fontId="19" fillId="3" borderId="45" xfId="1" applyNumberFormat="1" applyFont="1" applyFill="1" applyBorder="1" applyAlignment="1">
      <alignment horizontal="center" vertical="center" wrapText="1"/>
    </xf>
    <xf numFmtId="49" fontId="19" fillId="3" borderId="62" xfId="1" applyNumberFormat="1" applyFont="1" applyFill="1" applyBorder="1" applyAlignment="1">
      <alignment horizontal="center" vertical="center" wrapText="1"/>
    </xf>
    <xf numFmtId="0" fontId="4" fillId="0" borderId="22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9" fillId="9" borderId="51" xfId="0" applyFont="1" applyFill="1" applyBorder="1" applyAlignment="1" applyProtection="1">
      <alignment horizontal="center" vertical="center"/>
      <protection locked="0"/>
    </xf>
    <xf numFmtId="0" fontId="3" fillId="9" borderId="15" xfId="0" applyFont="1" applyFill="1" applyBorder="1" applyAlignment="1">
      <alignment horizontal="center" vertical="center"/>
    </xf>
    <xf numFmtId="0" fontId="3" fillId="9" borderId="58" xfId="0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0" fontId="9" fillId="9" borderId="52" xfId="0" applyFont="1" applyFill="1" applyBorder="1" applyAlignment="1" applyProtection="1">
      <alignment horizontal="center" vertical="center"/>
      <protection locked="0"/>
    </xf>
    <xf numFmtId="0" fontId="9" fillId="9" borderId="52" xfId="0" applyFont="1" applyFill="1" applyBorder="1" applyAlignment="1">
      <alignment horizontal="center" vertical="center"/>
    </xf>
    <xf numFmtId="0" fontId="9" fillId="9" borderId="59" xfId="0" applyFont="1" applyFill="1" applyBorder="1" applyAlignment="1">
      <alignment horizontal="center" vertical="center"/>
    </xf>
    <xf numFmtId="0" fontId="9" fillId="9" borderId="64" xfId="0" applyFont="1" applyFill="1" applyBorder="1" applyAlignment="1" applyProtection="1">
      <alignment horizontal="center" vertical="center" wrapText="1"/>
      <protection locked="0"/>
    </xf>
    <xf numFmtId="0" fontId="9" fillId="9" borderId="47" xfId="0" applyFont="1" applyFill="1" applyBorder="1" applyAlignment="1">
      <alignment horizontal="center" vertical="center" wrapText="1"/>
    </xf>
    <xf numFmtId="0" fontId="9" fillId="9" borderId="65" xfId="0" applyFont="1" applyFill="1" applyBorder="1" applyAlignment="1">
      <alignment horizontal="center" vertical="center" wrapText="1"/>
    </xf>
    <xf numFmtId="0" fontId="9" fillId="9" borderId="63" xfId="0" applyFont="1" applyFill="1" applyBorder="1" applyAlignment="1">
      <alignment horizontal="center" vertical="center" wrapText="1"/>
    </xf>
    <xf numFmtId="0" fontId="9" fillId="9" borderId="50" xfId="0" applyFont="1" applyFill="1" applyBorder="1" applyAlignment="1">
      <alignment horizontal="center" vertical="center" wrapText="1"/>
    </xf>
    <xf numFmtId="0" fontId="9" fillId="9" borderId="40" xfId="0" applyFont="1" applyFill="1" applyBorder="1" applyAlignment="1">
      <alignment horizontal="center" vertical="center" wrapText="1"/>
    </xf>
    <xf numFmtId="0" fontId="9" fillId="9" borderId="60" xfId="0" applyFont="1" applyFill="1" applyBorder="1" applyAlignment="1">
      <alignment horizontal="center" vertical="center" wrapText="1"/>
    </xf>
    <xf numFmtId="0" fontId="9" fillId="9" borderId="47" xfId="0" applyFont="1" applyFill="1" applyBorder="1" applyAlignment="1" applyProtection="1">
      <alignment horizontal="center" vertical="center" wrapText="1"/>
      <protection locked="0"/>
    </xf>
    <xf numFmtId="167" fontId="4" fillId="0" borderId="68" xfId="0" applyNumberFormat="1" applyFont="1" applyBorder="1" applyAlignment="1">
      <alignment horizontal="right" vertical="center" indent="1"/>
    </xf>
    <xf numFmtId="167" fontId="0" fillId="0" borderId="67" xfId="0" applyNumberFormat="1" applyBorder="1" applyAlignment="1">
      <alignment horizontal="right" vertical="center" indent="1"/>
    </xf>
    <xf numFmtId="167" fontId="4" fillId="0" borderId="51" xfId="0" applyNumberFormat="1" applyFont="1" applyBorder="1" applyAlignment="1">
      <alignment horizontal="right" vertical="center" indent="1"/>
    </xf>
    <xf numFmtId="0" fontId="0" fillId="0" borderId="67" xfId="0" applyBorder="1" applyAlignment="1">
      <alignment horizontal="right" vertical="center" indent="1"/>
    </xf>
    <xf numFmtId="164" fontId="2" fillId="0" borderId="10" xfId="0" applyNumberFormat="1" applyFont="1" applyBorder="1" applyAlignment="1" applyProtection="1">
      <alignment horizontal="center" vertical="center" shrinkToFit="1"/>
      <protection locked="0"/>
    </xf>
    <xf numFmtId="0" fontId="2" fillId="0" borderId="10" xfId="0" applyFont="1" applyBorder="1" applyAlignment="1">
      <alignment horizontal="center" vertical="center" shrinkToFit="1"/>
    </xf>
    <xf numFmtId="0" fontId="3" fillId="0" borderId="25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64" fontId="2" fillId="0" borderId="10" xfId="0" applyNumberFormat="1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>
      <alignment horizontal="center" vertical="center"/>
    </xf>
    <xf numFmtId="167" fontId="9" fillId="8" borderId="44" xfId="0" applyNumberFormat="1" applyFont="1" applyFill="1" applyBorder="1" applyAlignment="1">
      <alignment horizontal="right" vertical="center" indent="1"/>
    </xf>
    <xf numFmtId="167" fontId="9" fillId="8" borderId="46" xfId="0" applyNumberFormat="1" applyFont="1" applyFill="1" applyBorder="1" applyAlignment="1">
      <alignment horizontal="right" vertical="center" indent="1"/>
    </xf>
    <xf numFmtId="167" fontId="9" fillId="9" borderId="44" xfId="0" applyNumberFormat="1" applyFont="1" applyFill="1" applyBorder="1" applyAlignment="1">
      <alignment horizontal="right" vertical="center" indent="1"/>
    </xf>
    <xf numFmtId="167" fontId="9" fillId="9" borderId="46" xfId="0" applyNumberFormat="1" applyFont="1" applyFill="1" applyBorder="1" applyAlignment="1">
      <alignment horizontal="right" vertical="center" indent="1"/>
    </xf>
    <xf numFmtId="10" fontId="9" fillId="9" borderId="44" xfId="0" applyNumberFormat="1" applyFont="1" applyFill="1" applyBorder="1" applyAlignment="1">
      <alignment horizontal="right" vertical="center" indent="1"/>
    </xf>
    <xf numFmtId="0" fontId="9" fillId="9" borderId="46" xfId="0" applyFont="1" applyFill="1" applyBorder="1" applyAlignment="1">
      <alignment horizontal="right" vertical="center" indent="1"/>
    </xf>
    <xf numFmtId="167" fontId="19" fillId="14" borderId="44" xfId="0" applyNumberFormat="1" applyFont="1" applyFill="1" applyBorder="1" applyAlignment="1">
      <alignment horizontal="right" vertical="center" indent="1"/>
    </xf>
    <xf numFmtId="167" fontId="19" fillId="14" borderId="46" xfId="0" applyNumberFormat="1" applyFont="1" applyFill="1" applyBorder="1" applyAlignment="1">
      <alignment horizontal="right" vertical="center" indent="1"/>
    </xf>
    <xf numFmtId="169" fontId="2" fillId="0" borderId="58" xfId="0" applyNumberFormat="1" applyFont="1" applyBorder="1" applyAlignment="1">
      <alignment horizontal="right" vertical="center" indent="4"/>
    </xf>
    <xf numFmtId="169" fontId="2" fillId="0" borderId="17" xfId="0" applyNumberFormat="1" applyFont="1" applyBorder="1" applyAlignment="1">
      <alignment horizontal="right" vertical="center" indent="4"/>
    </xf>
    <xf numFmtId="167" fontId="4" fillId="0" borderId="69" xfId="0" applyNumberFormat="1" applyFont="1" applyBorder="1" applyAlignment="1">
      <alignment horizontal="right" vertical="center" indent="1"/>
    </xf>
    <xf numFmtId="167" fontId="0" fillId="0" borderId="66" xfId="0" applyNumberFormat="1" applyBorder="1" applyAlignment="1">
      <alignment horizontal="right" vertical="center" indent="1"/>
    </xf>
    <xf numFmtId="167" fontId="4" fillId="0" borderId="58" xfId="0" applyNumberFormat="1" applyFont="1" applyBorder="1" applyAlignment="1">
      <alignment horizontal="right" vertical="center" indent="1"/>
    </xf>
    <xf numFmtId="167" fontId="4" fillId="0" borderId="66" xfId="0" applyNumberFormat="1" applyFont="1" applyBorder="1" applyAlignment="1">
      <alignment horizontal="right" vertical="center" indent="1"/>
    </xf>
    <xf numFmtId="167" fontId="3" fillId="8" borderId="46" xfId="0" applyNumberFormat="1" applyFont="1" applyFill="1" applyBorder="1" applyAlignment="1">
      <alignment horizontal="right" vertical="center" indent="1"/>
    </xf>
    <xf numFmtId="14" fontId="4" fillId="0" borderId="56" xfId="0" applyNumberFormat="1" applyFont="1" applyBorder="1" applyAlignment="1" applyProtection="1">
      <alignment horizontal="center" vertical="center" wrapText="1"/>
      <protection locked="0"/>
    </xf>
    <xf numFmtId="0" fontId="0" fillId="0" borderId="8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64" fontId="2" fillId="0" borderId="12" xfId="0" applyNumberFormat="1" applyFont="1" applyBorder="1" applyAlignment="1" applyProtection="1">
      <alignment horizontal="center" vertical="center"/>
      <protection locked="0"/>
    </xf>
    <xf numFmtId="0" fontId="2" fillId="0" borderId="12" xfId="0" applyFont="1" applyBorder="1" applyAlignment="1">
      <alignment horizontal="center" vertical="center"/>
    </xf>
    <xf numFmtId="169" fontId="2" fillId="0" borderId="51" xfId="0" applyNumberFormat="1" applyFont="1" applyBorder="1" applyAlignment="1">
      <alignment horizontal="right" vertical="center" indent="4"/>
    </xf>
    <xf numFmtId="169" fontId="2" fillId="0" borderId="15" xfId="0" applyNumberFormat="1" applyFont="1" applyBorder="1" applyAlignment="1">
      <alignment horizontal="right" vertical="center" indent="4"/>
    </xf>
    <xf numFmtId="167" fontId="4" fillId="0" borderId="9" xfId="0" applyNumberFormat="1" applyFont="1" applyBorder="1" applyAlignment="1">
      <alignment horizontal="right" vertical="center" indent="1"/>
    </xf>
    <xf numFmtId="167" fontId="0" fillId="0" borderId="57" xfId="0" applyNumberFormat="1" applyBorder="1" applyAlignment="1">
      <alignment horizontal="right" vertical="center" indent="1"/>
    </xf>
    <xf numFmtId="169" fontId="2" fillId="0" borderId="54" xfId="0" applyNumberFormat="1" applyFont="1" applyBorder="1" applyAlignment="1">
      <alignment horizontal="right" vertical="center" indent="4"/>
    </xf>
    <xf numFmtId="169" fontId="2" fillId="0" borderId="3" xfId="0" applyNumberFormat="1" applyFont="1" applyBorder="1" applyAlignment="1">
      <alignment horizontal="right" vertical="center" indent="4"/>
    </xf>
    <xf numFmtId="167" fontId="4" fillId="0" borderId="1" xfId="0" applyNumberFormat="1" applyFont="1" applyBorder="1" applyAlignment="1">
      <alignment horizontal="right" vertical="center" indent="1"/>
    </xf>
    <xf numFmtId="167" fontId="0" fillId="0" borderId="48" xfId="0" applyNumberFormat="1" applyBorder="1" applyAlignment="1">
      <alignment horizontal="right" vertical="center" indent="1"/>
    </xf>
    <xf numFmtId="167" fontId="4" fillId="0" borderId="54" xfId="0" applyNumberFormat="1" applyFont="1" applyBorder="1" applyAlignment="1">
      <alignment horizontal="right" vertical="center" indent="1"/>
    </xf>
    <xf numFmtId="167" fontId="4" fillId="0" borderId="48" xfId="0" applyNumberFormat="1" applyFont="1" applyBorder="1" applyAlignment="1">
      <alignment horizontal="right" vertical="center" indent="1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8" fillId="0" borderId="0" xfId="0" applyFont="1" applyAlignment="1" applyProtection="1">
      <alignment horizontal="center" vertical="center" wrapText="1"/>
      <protection locked="0"/>
    </xf>
    <xf numFmtId="167" fontId="4" fillId="0" borderId="2" xfId="0" applyNumberFormat="1" applyFont="1" applyBorder="1" applyAlignment="1">
      <alignment horizontal="right" vertical="center" indent="1"/>
    </xf>
    <xf numFmtId="0" fontId="0" fillId="0" borderId="58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164" fontId="4" fillId="0" borderId="10" xfId="0" applyNumberFormat="1" applyFont="1" applyBorder="1" applyAlignment="1" applyProtection="1">
      <alignment horizontal="center" vertical="center" shrinkToFit="1"/>
      <protection locked="0"/>
    </xf>
    <xf numFmtId="0" fontId="0" fillId="0" borderId="10" xfId="0" applyBorder="1" applyAlignment="1">
      <alignment horizontal="center" vertical="center" shrinkToFit="1"/>
    </xf>
    <xf numFmtId="0" fontId="5" fillId="0" borderId="10" xfId="0" applyFont="1" applyBorder="1" applyAlignment="1">
      <alignment horizontal="center" vertical="center"/>
    </xf>
    <xf numFmtId="169" fontId="4" fillId="0" borderId="2" xfId="0" applyNumberFormat="1" applyFont="1" applyBorder="1" applyAlignment="1">
      <alignment horizontal="right" vertical="center" indent="4"/>
    </xf>
    <xf numFmtId="169" fontId="0" fillId="0" borderId="3" xfId="0" applyNumberFormat="1" applyBorder="1" applyAlignment="1">
      <alignment horizontal="right" vertical="center" indent="4"/>
    </xf>
    <xf numFmtId="1" fontId="4" fillId="0" borderId="1" xfId="0" applyNumberFormat="1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 shrinkToFit="1"/>
    </xf>
    <xf numFmtId="168" fontId="3" fillId="0" borderId="0" xfId="0" applyNumberFormat="1" applyFont="1" applyAlignment="1" applyProtection="1">
      <alignment horizontal="left" vertical="center" wrapText="1" indent="1"/>
      <protection locked="0"/>
    </xf>
    <xf numFmtId="0" fontId="0" fillId="0" borderId="22" xfId="0" applyBorder="1" applyAlignment="1" applyProtection="1">
      <alignment horizontal="left" vertical="top"/>
      <protection locked="0"/>
    </xf>
    <xf numFmtId="0" fontId="0" fillId="0" borderId="6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19" fillId="7" borderId="61" xfId="0" applyFont="1" applyFill="1" applyBorder="1" applyAlignment="1" applyProtection="1">
      <alignment horizontal="left" vertical="top"/>
      <protection locked="0"/>
    </xf>
    <xf numFmtId="0" fontId="19" fillId="7" borderId="45" xfId="0" applyFont="1" applyFill="1" applyBorder="1" applyAlignment="1">
      <alignment horizontal="left" vertical="top"/>
    </xf>
    <xf numFmtId="0" fontId="19" fillId="7" borderId="62" xfId="0" applyFont="1" applyFill="1" applyBorder="1" applyAlignment="1">
      <alignment horizontal="left" vertical="top"/>
    </xf>
    <xf numFmtId="0" fontId="0" fillId="0" borderId="27" xfId="0" applyBorder="1" applyAlignment="1" applyProtection="1">
      <alignment horizontal="center" vertical="center" wrapText="1"/>
      <protection locked="0"/>
    </xf>
    <xf numFmtId="0" fontId="0" fillId="0" borderId="28" xfId="0" applyBorder="1" applyAlignment="1">
      <alignment horizontal="center" vertical="center" wrapText="1"/>
    </xf>
    <xf numFmtId="164" fontId="2" fillId="0" borderId="4" xfId="0" applyNumberFormat="1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>
      <alignment horizontal="center" vertical="center"/>
    </xf>
    <xf numFmtId="164" fontId="2" fillId="0" borderId="18" xfId="0" applyNumberFormat="1" applyFont="1" applyBorder="1" applyAlignment="1" applyProtection="1">
      <alignment horizontal="center" vertical="center"/>
      <protection locked="0"/>
    </xf>
    <xf numFmtId="0" fontId="2" fillId="0" borderId="18" xfId="0" applyFont="1" applyBorder="1" applyAlignment="1">
      <alignment horizontal="center" vertical="center"/>
    </xf>
    <xf numFmtId="167" fontId="4" fillId="0" borderId="6" xfId="0" applyNumberFormat="1" applyFont="1" applyBorder="1" applyAlignment="1">
      <alignment horizontal="right" vertical="center" indent="1"/>
    </xf>
    <xf numFmtId="167" fontId="0" fillId="0" borderId="49" xfId="0" applyNumberFormat="1" applyBorder="1" applyAlignment="1">
      <alignment horizontal="right" vertical="center" indent="1"/>
    </xf>
    <xf numFmtId="164" fontId="2" fillId="0" borderId="59" xfId="0" applyNumberFormat="1" applyFont="1" applyBorder="1" applyAlignment="1" applyProtection="1">
      <alignment horizontal="center" vertical="center"/>
      <protection locked="0"/>
    </xf>
    <xf numFmtId="0" fontId="2" fillId="0" borderId="59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16" fillId="2" borderId="61" xfId="0" applyFont="1" applyFill="1" applyBorder="1" applyAlignment="1">
      <alignment horizontal="center" vertical="center"/>
    </xf>
    <xf numFmtId="0" fontId="16" fillId="2" borderId="45" xfId="0" applyFont="1" applyFill="1" applyBorder="1" applyAlignment="1">
      <alignment horizontal="center" vertical="center"/>
    </xf>
    <xf numFmtId="0" fontId="16" fillId="2" borderId="62" xfId="0" applyFont="1" applyFill="1" applyBorder="1" applyAlignment="1">
      <alignment horizontal="center" vertical="center"/>
    </xf>
    <xf numFmtId="0" fontId="19" fillId="2" borderId="61" xfId="0" applyFont="1" applyFill="1" applyBorder="1" applyAlignment="1">
      <alignment horizontal="center" vertical="center"/>
    </xf>
    <xf numFmtId="0" fontId="21" fillId="0" borderId="45" xfId="0" applyFont="1" applyBorder="1" applyAlignment="1">
      <alignment horizontal="center" vertical="center"/>
    </xf>
    <xf numFmtId="0" fontId="21" fillId="0" borderId="62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5" fillId="0" borderId="24" xfId="0" applyFont="1" applyBorder="1" applyAlignment="1" applyProtection="1">
      <alignment horizontal="center" vertical="center"/>
      <protection locked="0"/>
    </xf>
    <xf numFmtId="0" fontId="10" fillId="0" borderId="61" xfId="0" applyFont="1" applyBorder="1" applyAlignment="1">
      <alignment horizontal="center"/>
    </xf>
    <xf numFmtId="0" fontId="0" fillId="0" borderId="45" xfId="0" applyBorder="1" applyAlignment="1">
      <alignment horizontal="center"/>
    </xf>
    <xf numFmtId="0" fontId="10" fillId="0" borderId="45" xfId="0" applyFont="1" applyBorder="1" applyAlignment="1">
      <alignment horizontal="center"/>
    </xf>
    <xf numFmtId="0" fontId="0" fillId="0" borderId="62" xfId="0" applyBorder="1" applyAlignment="1">
      <alignment horizontal="center"/>
    </xf>
    <xf numFmtId="0" fontId="10" fillId="0" borderId="112" xfId="0" applyFont="1" applyBorder="1" applyAlignment="1">
      <alignment horizontal="center"/>
    </xf>
    <xf numFmtId="0" fontId="0" fillId="0" borderId="113" xfId="0" applyBorder="1" applyAlignment="1">
      <alignment horizontal="center"/>
    </xf>
    <xf numFmtId="164" fontId="0" fillId="0" borderId="10" xfId="0" applyNumberFormat="1" applyBorder="1" applyAlignment="1">
      <alignment horizontal="center" vertical="center"/>
    </xf>
    <xf numFmtId="0" fontId="4" fillId="0" borderId="2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28" xfId="0" applyFont="1" applyBorder="1" applyAlignment="1">
      <alignment horizontal="left" vertical="center"/>
    </xf>
    <xf numFmtId="169" fontId="4" fillId="0" borderId="83" xfId="0" applyNumberFormat="1" applyFont="1" applyBorder="1" applyAlignment="1">
      <alignment horizontal="right" vertical="center" indent="4"/>
    </xf>
    <xf numFmtId="169" fontId="0" fillId="0" borderId="15" xfId="0" applyNumberFormat="1" applyBorder="1" applyAlignment="1">
      <alignment horizontal="right" vertical="center" indent="4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vertical="center"/>
    </xf>
    <xf numFmtId="166" fontId="5" fillId="0" borderId="24" xfId="0" applyNumberFormat="1" applyFont="1" applyBorder="1" applyAlignment="1" applyProtection="1">
      <alignment horizontal="center" vertical="center"/>
      <protection locked="0"/>
    </xf>
    <xf numFmtId="166" fontId="5" fillId="0" borderId="3" xfId="0" applyNumberFormat="1" applyFont="1" applyBorder="1" applyAlignment="1">
      <alignment horizontal="center" vertical="center"/>
    </xf>
    <xf numFmtId="0" fontId="9" fillId="0" borderId="1" xfId="0" applyFont="1" applyBorder="1" applyAlignment="1" applyProtection="1">
      <alignment horizontal="left" vertical="center"/>
      <protection locked="0"/>
    </xf>
    <xf numFmtId="0" fontId="3" fillId="0" borderId="3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9" fillId="2" borderId="45" xfId="0" applyFont="1" applyFill="1" applyBorder="1" applyAlignment="1">
      <alignment horizontal="center" vertical="center"/>
    </xf>
    <xf numFmtId="0" fontId="19" fillId="2" borderId="62" xfId="0" applyFont="1" applyFill="1" applyBorder="1" applyAlignment="1">
      <alignment horizontal="center" vertical="center"/>
    </xf>
    <xf numFmtId="0" fontId="2" fillId="0" borderId="27" xfId="0" applyFont="1" applyBorder="1" applyAlignment="1" applyProtection="1">
      <alignment horizontal="left" vertical="center"/>
      <protection locked="0"/>
    </xf>
    <xf numFmtId="0" fontId="0" fillId="0" borderId="9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169" fontId="4" fillId="0" borderId="84" xfId="0" applyNumberFormat="1" applyFont="1" applyBorder="1" applyAlignment="1">
      <alignment horizontal="right" vertical="center" indent="4"/>
    </xf>
    <xf numFmtId="169" fontId="0" fillId="0" borderId="17" xfId="0" applyNumberFormat="1" applyBorder="1" applyAlignment="1">
      <alignment horizontal="right" vertical="center" indent="4"/>
    </xf>
    <xf numFmtId="0" fontId="9" fillId="0" borderId="10" xfId="0" applyFont="1" applyBorder="1" applyAlignment="1">
      <alignment horizontal="right" vertical="center" indent="1" shrinkToFi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9" fillId="2" borderId="61" xfId="1" applyFont="1" applyFill="1" applyBorder="1" applyAlignment="1">
      <alignment horizontal="center" vertical="center" wrapText="1"/>
    </xf>
    <xf numFmtId="0" fontId="19" fillId="2" borderId="45" xfId="1" applyFont="1" applyFill="1" applyBorder="1" applyAlignment="1">
      <alignment horizontal="center" vertical="center" wrapText="1"/>
    </xf>
    <xf numFmtId="0" fontId="19" fillId="2" borderId="62" xfId="1" applyFont="1" applyFill="1" applyBorder="1" applyAlignment="1">
      <alignment horizontal="center" vertical="center" wrapText="1"/>
    </xf>
    <xf numFmtId="0" fontId="3" fillId="0" borderId="27" xfId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20" fillId="0" borderId="22" xfId="1" applyFont="1" applyBorder="1" applyAlignment="1">
      <alignment horizontal="left" vertical="top" wrapText="1" indent="1"/>
    </xf>
    <xf numFmtId="0" fontId="0" fillId="0" borderId="6" xfId="0" applyBorder="1" applyAlignment="1">
      <alignment horizontal="left" vertical="top" wrapText="1" indent="1"/>
    </xf>
    <xf numFmtId="0" fontId="0" fillId="0" borderId="23" xfId="0" applyBorder="1" applyAlignment="1">
      <alignment horizontal="left" vertical="top" wrapText="1" indent="1"/>
    </xf>
    <xf numFmtId="0" fontId="0" fillId="0" borderId="25" xfId="0" applyBorder="1" applyAlignment="1">
      <alignment horizontal="left" vertical="top" wrapText="1" indent="1"/>
    </xf>
    <xf numFmtId="0" fontId="0" fillId="0" borderId="26" xfId="0" applyBorder="1" applyAlignment="1">
      <alignment horizontal="left" vertical="top" wrapText="1" indent="1"/>
    </xf>
    <xf numFmtId="0" fontId="0" fillId="0" borderId="27" xfId="0" applyBorder="1" applyAlignment="1">
      <alignment horizontal="left" vertical="top" wrapText="1" indent="1"/>
    </xf>
    <xf numFmtId="0" fontId="0" fillId="0" borderId="9" xfId="0" applyBorder="1" applyAlignment="1">
      <alignment horizontal="left" vertical="top" wrapText="1" indent="1"/>
    </xf>
    <xf numFmtId="0" fontId="0" fillId="0" borderId="28" xfId="0" applyBorder="1" applyAlignment="1">
      <alignment horizontal="left" vertical="top" wrapText="1" indent="1"/>
    </xf>
    <xf numFmtId="0" fontId="0" fillId="0" borderId="27" xfId="0" applyBorder="1" applyAlignment="1">
      <alignment horizontal="center"/>
    </xf>
    <xf numFmtId="0" fontId="22" fillId="10" borderId="44" xfId="0" applyFont="1" applyFill="1" applyBorder="1" applyAlignment="1" applyProtection="1">
      <alignment horizontal="center" vertical="center"/>
      <protection locked="0"/>
    </xf>
    <xf numFmtId="0" fontId="22" fillId="10" borderId="45" xfId="0" applyFont="1" applyFill="1" applyBorder="1" applyAlignment="1">
      <alignment horizontal="center" vertical="center"/>
    </xf>
    <xf numFmtId="0" fontId="22" fillId="10" borderId="46" xfId="0" applyFont="1" applyFill="1" applyBorder="1" applyAlignment="1">
      <alignment horizontal="center" vertical="center"/>
    </xf>
    <xf numFmtId="0" fontId="19" fillId="13" borderId="44" xfId="0" applyFont="1" applyFill="1" applyBorder="1" applyAlignment="1" applyProtection="1">
      <alignment horizontal="center" vertical="center"/>
      <protection locked="0"/>
    </xf>
    <xf numFmtId="0" fontId="19" fillId="13" borderId="45" xfId="0" applyFont="1" applyFill="1" applyBorder="1" applyAlignment="1">
      <alignment horizontal="center" vertical="center"/>
    </xf>
    <xf numFmtId="0" fontId="19" fillId="13" borderId="46" xfId="0" applyFont="1" applyFill="1" applyBorder="1" applyAlignment="1">
      <alignment horizontal="center" vertical="center"/>
    </xf>
    <xf numFmtId="0" fontId="19" fillId="12" borderId="65" xfId="0" applyFont="1" applyFill="1" applyBorder="1" applyAlignment="1" applyProtection="1">
      <alignment horizontal="center" vertical="center"/>
      <protection locked="0"/>
    </xf>
    <xf numFmtId="0" fontId="19" fillId="12" borderId="63" xfId="0" applyFont="1" applyFill="1" applyBorder="1" applyAlignment="1">
      <alignment horizontal="center" vertical="center"/>
    </xf>
    <xf numFmtId="0" fontId="19" fillId="12" borderId="60" xfId="0" applyFont="1" applyFill="1" applyBorder="1" applyAlignment="1">
      <alignment horizontal="center" vertical="center"/>
    </xf>
    <xf numFmtId="0" fontId="19" fillId="0" borderId="71" xfId="0" applyFont="1" applyBorder="1" applyAlignment="1" applyProtection="1">
      <alignment horizontal="center" vertical="center"/>
      <protection locked="0"/>
    </xf>
    <xf numFmtId="0" fontId="19" fillId="0" borderId="42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1" fillId="5" borderId="31" xfId="0" applyFont="1" applyFill="1" applyBorder="1" applyAlignment="1">
      <alignment horizontal="center" vertical="center" wrapText="1"/>
    </xf>
    <xf numFmtId="0" fontId="11" fillId="5" borderId="76" xfId="0" applyFont="1" applyFill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3" fillId="0" borderId="64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 wrapText="1"/>
    </xf>
    <xf numFmtId="0" fontId="3" fillId="0" borderId="65" xfId="0" applyFont="1" applyBorder="1" applyAlignment="1">
      <alignment horizontal="center" vertical="center" wrapText="1"/>
    </xf>
    <xf numFmtId="0" fontId="3" fillId="0" borderId="63" xfId="0" applyFont="1" applyBorder="1" applyAlignment="1">
      <alignment horizontal="center" vertical="center" wrapText="1"/>
    </xf>
    <xf numFmtId="0" fontId="3" fillId="0" borderId="60" xfId="0" applyFont="1" applyBorder="1" applyAlignment="1">
      <alignment horizontal="center" vertical="center" wrapText="1"/>
    </xf>
    <xf numFmtId="0" fontId="0" fillId="4" borderId="61" xfId="0" applyFill="1" applyBorder="1" applyAlignment="1">
      <alignment vertical="center" wrapText="1"/>
    </xf>
    <xf numFmtId="0" fontId="0" fillId="4" borderId="62" xfId="0" applyFill="1" applyBorder="1" applyAlignment="1">
      <alignment vertical="center" wrapText="1"/>
    </xf>
    <xf numFmtId="0" fontId="0" fillId="11" borderId="61" xfId="0" applyFill="1" applyBorder="1" applyAlignment="1">
      <alignment vertical="center" wrapText="1"/>
    </xf>
    <xf numFmtId="0" fontId="0" fillId="11" borderId="62" xfId="0" applyFill="1" applyBorder="1" applyAlignment="1">
      <alignment vertical="center" wrapText="1"/>
    </xf>
    <xf numFmtId="0" fontId="0" fillId="11" borderId="77" xfId="0" applyFill="1" applyBorder="1" applyAlignment="1">
      <alignment vertical="center" wrapText="1"/>
    </xf>
    <xf numFmtId="0" fontId="0" fillId="11" borderId="78" xfId="0" applyFill="1" applyBorder="1" applyAlignment="1">
      <alignment vertical="center" wrapText="1"/>
    </xf>
    <xf numFmtId="0" fontId="0" fillId="0" borderId="71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71" xfId="0" applyBorder="1" applyAlignment="1">
      <alignment horizontal="center" vertical="center" shrinkToFit="1"/>
    </xf>
    <xf numFmtId="0" fontId="0" fillId="0" borderId="43" xfId="0" applyBorder="1" applyAlignment="1">
      <alignment horizontal="center" vertical="center" shrinkToFit="1"/>
    </xf>
    <xf numFmtId="0" fontId="16" fillId="8" borderId="44" xfId="0" applyFont="1" applyFill="1" applyBorder="1" applyAlignment="1">
      <alignment horizontal="center" vertical="center"/>
    </xf>
    <xf numFmtId="0" fontId="16" fillId="8" borderId="45" xfId="0" applyFont="1" applyFill="1" applyBorder="1" applyAlignment="1">
      <alignment horizontal="center" vertical="center"/>
    </xf>
    <xf numFmtId="0" fontId="16" fillId="8" borderId="46" xfId="0" applyFont="1" applyFill="1" applyBorder="1" applyAlignment="1">
      <alignment horizontal="center" vertical="center"/>
    </xf>
    <xf numFmtId="0" fontId="26" fillId="8" borderId="44" xfId="0" applyFont="1" applyFill="1" applyBorder="1" applyAlignment="1">
      <alignment horizontal="center" vertical="center" wrapText="1"/>
    </xf>
    <xf numFmtId="0" fontId="26" fillId="8" borderId="45" xfId="0" applyFont="1" applyFill="1" applyBorder="1" applyAlignment="1">
      <alignment horizontal="center" vertical="center" wrapText="1"/>
    </xf>
    <xf numFmtId="0" fontId="26" fillId="8" borderId="46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/>
    </xf>
    <xf numFmtId="0" fontId="0" fillId="25" borderId="3" xfId="0" applyFill="1" applyBorder="1" applyAlignment="1">
      <alignment horizontal="center"/>
    </xf>
    <xf numFmtId="0" fontId="1" fillId="21" borderId="7" xfId="0" applyFont="1" applyFill="1" applyBorder="1" applyAlignment="1">
      <alignment horizontal="center" vertical="center"/>
    </xf>
    <xf numFmtId="0" fontId="1" fillId="21" borderId="9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116" xfId="0" applyBorder="1" applyAlignment="1"/>
    <xf numFmtId="0" fontId="0" fillId="0" borderId="83" xfId="0" applyBorder="1" applyAlignment="1"/>
    <xf numFmtId="0" fontId="0" fillId="0" borderId="117" xfId="0" applyBorder="1" applyAlignment="1"/>
    <xf numFmtId="0" fontId="0" fillId="0" borderId="114" xfId="0" applyBorder="1" applyAlignment="1"/>
    <xf numFmtId="0" fontId="0" fillId="0" borderId="84" xfId="0" applyBorder="1" applyAlignment="1"/>
    <xf numFmtId="0" fontId="0" fillId="0" borderId="115" xfId="0" applyBorder="1" applyAlignment="1"/>
    <xf numFmtId="0" fontId="0" fillId="0" borderId="123" xfId="0" applyBorder="1" applyAlignment="1"/>
    <xf numFmtId="0" fontId="0" fillId="0" borderId="122" xfId="0" applyBorder="1" applyAlignment="1"/>
    <xf numFmtId="0" fontId="0" fillId="0" borderId="124" xfId="0" applyBorder="1" applyAlignment="1"/>
    <xf numFmtId="0" fontId="0" fillId="0" borderId="27" xfId="0" applyBorder="1" applyAlignment="1"/>
    <xf numFmtId="0" fontId="0" fillId="0" borderId="9" xfId="0" applyBorder="1" applyAlignment="1"/>
    <xf numFmtId="0" fontId="0" fillId="0" borderId="28" xfId="0" applyBorder="1" applyAlignment="1"/>
    <xf numFmtId="0" fontId="0" fillId="0" borderId="22" xfId="0" applyBorder="1" applyAlignment="1"/>
    <xf numFmtId="0" fontId="0" fillId="0" borderId="6" xfId="0" applyBorder="1" applyAlignment="1"/>
    <xf numFmtId="0" fontId="0" fillId="0" borderId="23" xfId="0" applyBorder="1" applyAlignment="1"/>
  </cellXfs>
  <cellStyles count="6">
    <cellStyle name="Hiperlink" xfId="4" builtinId="8"/>
    <cellStyle name="Hyperlink" xfId="3" xr:uid="{DEED8AFD-7396-4975-9C29-20E792D0C916}"/>
    <cellStyle name="Normal" xfId="0" builtinId="0"/>
    <cellStyle name="Normal 2" xfId="2" xr:uid="{00000000-0005-0000-0000-000002000000}"/>
    <cellStyle name="Normal_Plan1" xfId="1" xr:uid="{00000000-0005-0000-0000-000003000000}"/>
    <cellStyle name="Vírgula" xfId="5" builtinId="3"/>
  </cellStyles>
  <dxfs count="44"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000000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auto="1"/>
        </top>
      </border>
    </dxf>
    <dxf>
      <border>
        <bottom style="medium">
          <color indexed="64"/>
        </bottom>
      </border>
    </dxf>
    <dxf>
      <border diagonalUp="0" diagonalDown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auto="1"/>
        </top>
      </border>
    </dxf>
    <dxf>
      <border>
        <bottom style="medium">
          <color indexed="64"/>
        </bottom>
      </border>
    </dxf>
    <dxf>
      <border diagonalUp="0" diagonalDown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color rgb="FF000000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>
        <top style="thin">
          <color auto="1"/>
        </top>
      </border>
    </dxf>
    <dxf>
      <border>
        <bottom style="medium">
          <color indexed="64"/>
        </bottom>
      </border>
    </dxf>
    <dxf>
      <border diagonalUp="0" diagonalDown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0" defaultTableStyle="TableStyleMedium2" defaultPivotStyle="PivotStyleLight16"/>
  <colors>
    <mruColors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466726</xdr:colOff>
      <xdr:row>2</xdr:row>
      <xdr:rowOff>47624</xdr:rowOff>
    </xdr:from>
    <xdr:to>
      <xdr:col>11</xdr:col>
      <xdr:colOff>5352</xdr:colOff>
      <xdr:row>2</xdr:row>
      <xdr:rowOff>587624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4E4AF88-FC4D-4B1A-B14D-5D316BF55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6" y="390524"/>
          <a:ext cx="1710326" cy="54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8ED9E3-A19B-4204-B73B-3AAC1C34FC92}" name="Tabela14" displayName="Tabela14" ref="B2:H12" totalsRowShown="0" headerRowDxfId="43" dataDxfId="42" headerRowBorderDxfId="40" tableBorderDxfId="41" totalsRowBorderDxfId="39">
  <autoFilter ref="B2:H12" xr:uid="{738ED9E3-A19B-4204-B73B-3AAC1C34FC92}"/>
  <tableColumns count="7">
    <tableColumn id="1" xr3:uid="{133E234F-E957-4174-BB0B-6C43CACE3155}" name="MATRÍCULA" dataDxfId="38"/>
    <tableColumn id="2" xr3:uid="{C25D003D-3622-40CD-BC36-5C7E4FA53E3E}" name="NOME" dataDxfId="37"/>
    <tableColumn id="5" xr3:uid="{F5184AD4-BBC5-4438-A089-A472ADFFEF1A}" name="FUNÇÃO" dataDxfId="36"/>
    <tableColumn id="13" xr3:uid="{1E36F0CB-F2CE-4951-A298-29F2EBA18647}" name="TELEFONE" dataDxfId="35"/>
    <tableColumn id="14" xr3:uid="{724C1665-65C7-4B53-8853-B4EDFDE5C7B0}" name="CPF" dataDxfId="34"/>
    <tableColumn id="4" xr3:uid="{196F1074-5A26-4F0D-8899-1CBA871CC8FA}" name="SUPERINTENTENDE" dataDxfId="33"/>
    <tableColumn id="3" xr3:uid="{9FCF1B95-CB95-43C4-B32C-8BE36654E580}" name="DUS" dataDxfId="3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195B05-9545-4403-8801-FFBE2F51F3E0}" name="Tabela142" displayName="Tabela142" ref="B2:K16" totalsRowShown="0" headerRowDxfId="31" dataDxfId="30" headerRowBorderDxfId="28" tableBorderDxfId="29" totalsRowBorderDxfId="27">
  <autoFilter ref="B2:K16" xr:uid="{73195B05-9545-4403-8801-FFBE2F51F3E0}"/>
  <sortState xmlns:xlrd2="http://schemas.microsoft.com/office/spreadsheetml/2017/richdata2" ref="B3:I16">
    <sortCondition ref="B2:B16"/>
  </sortState>
  <tableColumns count="10">
    <tableColumn id="1" xr3:uid="{B92E60F7-A9BF-4D69-8377-F5F5BDB19200}" name="CADASTRO" dataDxfId="26"/>
    <tableColumn id="2" xr3:uid="{F48510D6-618B-4042-BE30-1FA92719EF65}" name="NOME" dataDxfId="25"/>
    <tableColumn id="3" xr3:uid="{28320349-7E9D-45E6-B54F-35416B7582AA}" name="CNPJ" dataDxfId="24"/>
    <tableColumn id="6" xr3:uid="{51185EB4-151D-45FB-B4C8-2F0AD0B3A071}" name="ENDEREÇO" dataDxfId="23"/>
    <tableColumn id="5" xr3:uid="{47917C69-5515-460A-A1D1-992476CC8D15}" name="CONTATO" dataDxfId="22"/>
    <tableColumn id="13" xr3:uid="{73B6D528-4E8F-4955-9343-64A51424B5D4}" name="TELEFONE" dataDxfId="21"/>
    <tableColumn id="7" xr3:uid="{30E0A500-2093-4E5A-9D86-3E98DBCA6E44}" name="E-MAIL" dataDxfId="20"/>
    <tableColumn id="22" xr3:uid="{420E01B7-1045-4CF3-B782-5B34A09F64A8}" name="DADOS BANCÁRIOS" dataDxfId="19"/>
    <tableColumn id="4" xr3:uid="{639FFACA-7184-4BB5-B0C3-57908DFCB40C}" name="PROFISSIONAIS_x000a_REDE" dataDxfId="18"/>
    <tableColumn id="8" xr3:uid="{3D587AB4-4BB4-4AE7-A184-DCCFD43C7F00}" name="PROFISSIONAIS_x000a_GERAÇÃO" dataDxfId="1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EE0F52-46CD-46C2-97C0-2DD3364EBCDA}" name="Tabela1423" displayName="Tabela1423" ref="B2:P15" totalsRowShown="0" headerRowDxfId="16" dataDxfId="15" headerRowBorderDxfId="13" tableBorderDxfId="14" totalsRowBorderDxfId="12">
  <autoFilter ref="B2:P15" xr:uid="{8AEE0F52-46CD-46C2-97C0-2DD3364EBCD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sortState xmlns:xlrd2="http://schemas.microsoft.com/office/spreadsheetml/2017/richdata2" ref="B3:J15">
    <sortCondition ref="B2:B15"/>
  </sortState>
  <tableColumns count="15">
    <tableColumn id="1" xr3:uid="{59EB874B-1BDA-40F4-9689-A5189F1A5EE7}" name="CADASTRO" dataDxfId="11"/>
    <tableColumn id="2" xr3:uid="{D5A7EC5C-93CF-4583-91DC-2AC6DA8591DF}" name="NOME" dataDxfId="10"/>
    <tableColumn id="3" xr3:uid="{41EBB21A-7590-49DD-B89C-94AE1FAE1182}" name="PROCESSO SEI"/>
    <tableColumn id="15" xr3:uid="{B7412201-2380-4E54-B20E-9F1FC58355C2}" name="TERMO DE CREDENCIAMENTO"/>
    <tableColumn id="5" xr3:uid="{A38C96C0-7E99-446B-B176-C671CF6D0D37}" name="DOTAÇÃO ORÇAMENTÁRIA"/>
    <tableColumn id="8" xr3:uid="{B5CAAFBA-3490-4F06-B8AB-499B9F8D5859}" name="FISCAL" dataDxfId="9">
      <calculatedColumnFormula>'Fiscais de Contrato e Gerentes'!C4</calculatedColumnFormula>
    </tableColumn>
    <tableColumn id="9" xr3:uid="{AE9E6641-091A-42EF-A820-302F8821C76E}" name="SUPLENTE" dataDxfId="8">
      <calculatedColumnFormula>'Fiscais de Contrato e Gerentes'!C6</calculatedColumnFormula>
    </tableColumn>
    <tableColumn id="19" xr3:uid="{C6FF110F-B430-412D-90BA-B58CC89ACE66}" name="ATO DE DESIGNAÇÃO" dataDxfId="7"/>
    <tableColumn id="4" xr3:uid="{664939DB-E6F5-42C8-BAB1-CD5BA3542EAC}" name="STATUS" dataDxfId="6"/>
    <tableColumn id="11" xr3:uid="{F4920246-A188-4411-AEC0-74388D69F9AA}" name="WEBNAR" dataDxfId="5"/>
    <tableColumn id="12" xr3:uid="{36B65C8F-C419-4F44-87B5-2B2AB15F8FF6}" name="EMPRESAS" dataDxfId="4"/>
    <tableColumn id="14" xr3:uid="{6E51B364-490E-4FDF-B24A-BB9595AB158D}" name="OBSERVAÇÕES" dataDxfId="3"/>
    <tableColumn id="16" xr3:uid="{56A5E2E0-20A9-45BB-9546-B91A713FBD12}" name="OBSERVAÇÕES2" dataDxfId="2"/>
    <tableColumn id="17" xr3:uid="{8AE47AD8-7B2B-4000-BF6B-48EDAD9A4722}" name="OBSERVAÇÕES3" dataDxfId="1"/>
    <tableColumn id="18" xr3:uid="{0D811864-C4A0-48B1-8F7D-EC917A573A75}" name="OBSERVAÇÕES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liana@assistconsultores.com.br" TargetMode="External"/><Relationship Id="rId13" Type="http://schemas.openxmlformats.org/officeDocument/2006/relationships/printerSettings" Target="../printerSettings/printerSettings5.bin"/><Relationship Id="rId3" Type="http://schemas.openxmlformats.org/officeDocument/2006/relationships/hyperlink" Target="mailto:fk.ajkruger@gmail.com" TargetMode="External"/><Relationship Id="rId7" Type="http://schemas.openxmlformats.org/officeDocument/2006/relationships/hyperlink" Target="mailto:mcparengenharia@mcpar.eng.br" TargetMode="External"/><Relationship Id="rId12" Type="http://schemas.openxmlformats.org/officeDocument/2006/relationships/hyperlink" Target="mailto:strato.eng@gmail.com" TargetMode="External"/><Relationship Id="rId2" Type="http://schemas.openxmlformats.org/officeDocument/2006/relationships/hyperlink" Target="mailto:ricardo.goncalves@p3engenharia.com.br" TargetMode="External"/><Relationship Id="rId1" Type="http://schemas.openxmlformats.org/officeDocument/2006/relationships/hyperlink" Target="mailto:cmbr.engenharia@gmail.com" TargetMode="External"/><Relationship Id="rId6" Type="http://schemas.openxmlformats.org/officeDocument/2006/relationships/hyperlink" Target="mailto:ar.const.servicos@gmail.com" TargetMode="External"/><Relationship Id="rId11" Type="http://schemas.openxmlformats.org/officeDocument/2006/relationships/hyperlink" Target="mailto:comercial@ecrengenharia.com.br" TargetMode="External"/><Relationship Id="rId5" Type="http://schemas.openxmlformats.org/officeDocument/2006/relationships/hyperlink" Target="mailto:guilherme.cruz@copenge.com.br" TargetMode="External"/><Relationship Id="rId10" Type="http://schemas.openxmlformats.org/officeDocument/2006/relationships/hyperlink" Target="mailto:financeiro@geopac.com.br" TargetMode="External"/><Relationship Id="rId4" Type="http://schemas.openxmlformats.org/officeDocument/2006/relationships/hyperlink" Target="mailto:engenharia@ktaengenharia.com.br" TargetMode="External"/><Relationship Id="rId9" Type="http://schemas.openxmlformats.org/officeDocument/2006/relationships/hyperlink" Target="mailto:licitacoes-ce@tpfe.com.br" TargetMode="External"/><Relationship Id="rId14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mailto:financeiro@geopac.com.br" TargetMode="External"/><Relationship Id="rId3" Type="http://schemas.openxmlformats.org/officeDocument/2006/relationships/hyperlink" Target="mailto:administrativo@p3engenharia.com.br" TargetMode="External"/><Relationship Id="rId7" Type="http://schemas.openxmlformats.org/officeDocument/2006/relationships/hyperlink" Target="mailto:Liana@assistconsultores.com.br" TargetMode="External"/><Relationship Id="rId2" Type="http://schemas.openxmlformats.org/officeDocument/2006/relationships/hyperlink" Target="mailto:fk.ajkruger@gmail.com" TargetMode="External"/><Relationship Id="rId1" Type="http://schemas.openxmlformats.org/officeDocument/2006/relationships/hyperlink" Target="mailto:cmbr.engenharia@gmail.com" TargetMode="External"/><Relationship Id="rId6" Type="http://schemas.openxmlformats.org/officeDocument/2006/relationships/hyperlink" Target="mailto:licitacoes-ce@tpfe.com.br" TargetMode="External"/><Relationship Id="rId5" Type="http://schemas.openxmlformats.org/officeDocument/2006/relationships/hyperlink" Target="mailto:ar.const.servicos@gmail.com" TargetMode="External"/><Relationship Id="rId10" Type="http://schemas.openxmlformats.org/officeDocument/2006/relationships/hyperlink" Target="mailto:STRATO.ENG@GMAIL.COM" TargetMode="External"/><Relationship Id="rId4" Type="http://schemas.openxmlformats.org/officeDocument/2006/relationships/hyperlink" Target="mailto:guilherme.cruz@copenge.com.br" TargetMode="External"/><Relationship Id="rId9" Type="http://schemas.openxmlformats.org/officeDocument/2006/relationships/hyperlink" Target="mailto:comercial@ecrengenharia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388CF-9979-478D-8B47-22D6E6EE0EB4}">
  <dimension ref="A1:Q51"/>
  <sheetViews>
    <sheetView showGridLines="0" workbookViewId="0">
      <selection activeCell="C5" sqref="C5:O7"/>
    </sheetView>
  </sheetViews>
  <sheetFormatPr defaultColWidth="0" defaultRowHeight="15" zeroHeight="1"/>
  <cols>
    <col min="1" max="1" width="0.85546875" customWidth="1"/>
    <col min="2" max="16" width="5.7109375" customWidth="1"/>
    <col min="17" max="17" width="0.85546875" customWidth="1"/>
    <col min="18" max="18" width="9.140625" hidden="1" customWidth="1"/>
    <col min="19" max="16384" width="9.140625" hidden="1"/>
  </cols>
  <sheetData>
    <row r="1" spans="1:17" ht="5.0999999999999996" customHeight="1" thickBot="1"/>
    <row r="2" spans="1:17" s="139" customFormat="1" ht="18.75">
      <c r="A2" s="141"/>
      <c r="B2" s="406" t="s">
        <v>0</v>
      </c>
      <c r="C2" s="407"/>
      <c r="D2" s="407"/>
      <c r="E2" s="407"/>
      <c r="F2" s="407"/>
      <c r="G2" s="407"/>
      <c r="H2" s="407"/>
      <c r="I2" s="407"/>
      <c r="J2" s="407"/>
      <c r="K2" s="407"/>
      <c r="L2" s="407"/>
      <c r="M2" s="407"/>
      <c r="N2" s="407"/>
      <c r="O2" s="407"/>
      <c r="P2" s="408"/>
      <c r="Q2" s="141"/>
    </row>
    <row r="3" spans="1:17" s="140" customFormat="1" ht="18.75">
      <c r="A3" s="141"/>
      <c r="B3" s="409"/>
      <c r="C3" s="410"/>
      <c r="D3" s="410"/>
      <c r="E3" s="410"/>
      <c r="F3" s="410"/>
      <c r="G3" s="410"/>
      <c r="H3" s="410"/>
      <c r="I3" s="410"/>
      <c r="J3" s="410"/>
      <c r="K3" s="410"/>
      <c r="L3" s="410"/>
      <c r="M3" s="410"/>
      <c r="N3" s="410"/>
      <c r="O3" s="410"/>
      <c r="P3" s="411"/>
      <c r="Q3" s="141"/>
    </row>
    <row r="4" spans="1:17">
      <c r="B4" s="134"/>
      <c r="P4" s="135"/>
    </row>
    <row r="5" spans="1:17">
      <c r="B5" s="134"/>
      <c r="C5" s="412" t="s">
        <v>1</v>
      </c>
      <c r="D5" s="412"/>
      <c r="E5" s="412"/>
      <c r="F5" s="412"/>
      <c r="G5" s="412"/>
      <c r="H5" s="412"/>
      <c r="I5" s="412"/>
      <c r="J5" s="412"/>
      <c r="K5" s="412"/>
      <c r="L5" s="412"/>
      <c r="M5" s="412"/>
      <c r="N5" s="412"/>
      <c r="O5" s="412"/>
      <c r="P5" s="135"/>
    </row>
    <row r="6" spans="1:17">
      <c r="B6" s="134"/>
      <c r="C6" s="412"/>
      <c r="D6" s="412"/>
      <c r="E6" s="412"/>
      <c r="F6" s="412"/>
      <c r="G6" s="412"/>
      <c r="H6" s="412"/>
      <c r="I6" s="412"/>
      <c r="J6" s="412"/>
      <c r="K6" s="412"/>
      <c r="L6" s="412"/>
      <c r="M6" s="412"/>
      <c r="N6" s="412"/>
      <c r="O6" s="412"/>
      <c r="P6" s="135"/>
    </row>
    <row r="7" spans="1:17">
      <c r="B7" s="134"/>
      <c r="C7" s="740"/>
      <c r="D7" s="740"/>
      <c r="E7" s="740"/>
      <c r="F7" s="740"/>
      <c r="G7" s="740"/>
      <c r="H7" s="740"/>
      <c r="I7" s="740"/>
      <c r="J7" s="740"/>
      <c r="K7" s="740"/>
      <c r="L7" s="740"/>
      <c r="M7" s="740"/>
      <c r="N7" s="740"/>
      <c r="O7" s="740"/>
      <c r="P7" s="135"/>
    </row>
    <row r="8" spans="1:17">
      <c r="B8" s="134"/>
      <c r="P8" s="135"/>
    </row>
    <row r="9" spans="1:17">
      <c r="B9" s="134"/>
      <c r="P9" s="135"/>
    </row>
    <row r="10" spans="1:17">
      <c r="B10" s="134"/>
      <c r="P10" s="135"/>
    </row>
    <row r="11" spans="1:17">
      <c r="B11" s="134"/>
      <c r="P11" s="135"/>
    </row>
    <row r="12" spans="1:17">
      <c r="B12" s="134"/>
      <c r="P12" s="135"/>
    </row>
    <row r="13" spans="1:17">
      <c r="B13" s="134"/>
      <c r="P13" s="135"/>
    </row>
    <row r="14" spans="1:17">
      <c r="B14" s="134"/>
      <c r="P14" s="135"/>
    </row>
    <row r="15" spans="1:17">
      <c r="B15" s="134"/>
      <c r="P15" s="135"/>
    </row>
    <row r="16" spans="1:17">
      <c r="B16" s="134"/>
      <c r="P16" s="135"/>
    </row>
    <row r="17" spans="2:16">
      <c r="B17" s="134"/>
      <c r="P17" s="135"/>
    </row>
    <row r="18" spans="2:16">
      <c r="B18" s="134"/>
      <c r="P18" s="135"/>
    </row>
    <row r="19" spans="2:16">
      <c r="B19" s="134"/>
      <c r="P19" s="135"/>
    </row>
    <row r="20" spans="2:16">
      <c r="B20" s="134"/>
      <c r="P20" s="135"/>
    </row>
    <row r="21" spans="2:16">
      <c r="B21" s="134"/>
      <c r="C21" s="412" t="s">
        <v>2</v>
      </c>
      <c r="D21" s="412"/>
      <c r="E21" s="412"/>
      <c r="F21" s="412"/>
      <c r="G21" s="412"/>
      <c r="H21" s="412"/>
      <c r="I21" s="412"/>
      <c r="J21" s="412"/>
      <c r="K21" s="412"/>
      <c r="L21" s="412"/>
      <c r="M21" s="412"/>
      <c r="N21" s="412"/>
      <c r="O21" s="412"/>
      <c r="P21" s="135"/>
    </row>
    <row r="22" spans="2:16">
      <c r="B22" s="134"/>
      <c r="C22" s="412"/>
      <c r="D22" s="412"/>
      <c r="E22" s="412"/>
      <c r="F22" s="412"/>
      <c r="G22" s="412"/>
      <c r="H22" s="412"/>
      <c r="I22" s="412"/>
      <c r="J22" s="412"/>
      <c r="K22" s="412"/>
      <c r="L22" s="412"/>
      <c r="M22" s="412"/>
      <c r="N22" s="412"/>
      <c r="O22" s="412"/>
      <c r="P22" s="135"/>
    </row>
    <row r="23" spans="2:16">
      <c r="B23" s="134"/>
      <c r="C23" s="412"/>
      <c r="D23" s="412"/>
      <c r="E23" s="412"/>
      <c r="F23" s="412"/>
      <c r="G23" s="412"/>
      <c r="H23" s="412"/>
      <c r="I23" s="412"/>
      <c r="J23" s="412"/>
      <c r="K23" s="412"/>
      <c r="L23" s="412"/>
      <c r="M23" s="412"/>
      <c r="N23" s="412"/>
      <c r="O23" s="412"/>
      <c r="P23" s="135"/>
    </row>
    <row r="24" spans="2:16">
      <c r="B24" s="134"/>
      <c r="P24" s="135"/>
    </row>
    <row r="25" spans="2:16">
      <c r="B25" s="134"/>
      <c r="P25" s="135"/>
    </row>
    <row r="26" spans="2:16">
      <c r="B26" s="134"/>
      <c r="P26" s="135"/>
    </row>
    <row r="27" spans="2:16">
      <c r="B27" s="134"/>
      <c r="P27" s="135"/>
    </row>
    <row r="28" spans="2:16">
      <c r="B28" s="134"/>
      <c r="P28" s="135"/>
    </row>
    <row r="29" spans="2:16">
      <c r="B29" s="134"/>
      <c r="P29" s="135"/>
    </row>
    <row r="30" spans="2:16">
      <c r="B30" s="134"/>
      <c r="P30" s="135"/>
    </row>
    <row r="31" spans="2:16">
      <c r="B31" s="134"/>
      <c r="P31" s="135"/>
    </row>
    <row r="32" spans="2:16">
      <c r="B32" s="134"/>
      <c r="P32" s="135"/>
    </row>
    <row r="33" spans="2:16">
      <c r="B33" s="134"/>
      <c r="P33" s="135"/>
    </row>
    <row r="34" spans="2:16">
      <c r="B34" s="134"/>
      <c r="P34" s="135"/>
    </row>
    <row r="35" spans="2:16">
      <c r="B35" s="134"/>
      <c r="P35" s="135"/>
    </row>
    <row r="36" spans="2:16">
      <c r="B36" s="134"/>
      <c r="P36" s="135"/>
    </row>
    <row r="37" spans="2:16">
      <c r="B37" s="134"/>
      <c r="P37" s="135"/>
    </row>
    <row r="38" spans="2:16">
      <c r="B38" s="134"/>
      <c r="P38" s="135"/>
    </row>
    <row r="39" spans="2:16">
      <c r="B39" s="134"/>
      <c r="P39" s="135"/>
    </row>
    <row r="40" spans="2:16">
      <c r="B40" s="134"/>
      <c r="P40" s="135"/>
    </row>
    <row r="41" spans="2:16">
      <c r="B41" s="134"/>
      <c r="P41" s="135"/>
    </row>
    <row r="42" spans="2:16">
      <c r="B42" s="134"/>
      <c r="P42" s="135"/>
    </row>
    <row r="43" spans="2:16">
      <c r="B43" s="134"/>
      <c r="P43" s="135"/>
    </row>
    <row r="44" spans="2:16">
      <c r="B44" s="134"/>
      <c r="P44" s="135"/>
    </row>
    <row r="45" spans="2:16">
      <c r="B45" s="134"/>
      <c r="P45" s="135"/>
    </row>
    <row r="46" spans="2:16">
      <c r="B46" s="134"/>
      <c r="P46" s="135"/>
    </row>
    <row r="47" spans="2:16">
      <c r="B47" s="134"/>
      <c r="P47" s="135"/>
    </row>
    <row r="48" spans="2:16">
      <c r="B48" s="134"/>
      <c r="P48" s="135"/>
    </row>
    <row r="49" spans="2:16">
      <c r="B49" s="134"/>
      <c r="P49" s="135"/>
    </row>
    <row r="50" spans="2:16" ht="15.75" thickBot="1">
      <c r="B50" s="136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8"/>
    </row>
    <row r="51" spans="2:16" ht="5.0999999999999996" customHeight="1"/>
  </sheetData>
  <mergeCells count="3">
    <mergeCell ref="B2:P3"/>
    <mergeCell ref="C5:O7"/>
    <mergeCell ref="C21:O23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6EF10-E282-4C10-A9C9-F0BC525D3BC0}">
  <dimension ref="A1:P97"/>
  <sheetViews>
    <sheetView topLeftCell="A88" zoomScale="110" zoomScaleNormal="110" workbookViewId="0">
      <selection activeCell="E53" sqref="E53:F53"/>
    </sheetView>
  </sheetViews>
  <sheetFormatPr defaultRowHeight="15"/>
  <cols>
    <col min="1" max="1" width="1.7109375" customWidth="1"/>
    <col min="2" max="2" width="2.7109375" customWidth="1"/>
    <col min="3" max="11" width="8.7109375" customWidth="1"/>
    <col min="12" max="12" width="2.7109375" customWidth="1"/>
    <col min="13" max="13" width="1.7109375" customWidth="1"/>
    <col min="14" max="16" width="7.7109375" customWidth="1"/>
  </cols>
  <sheetData>
    <row r="1" spans="1:16" ht="8.1" customHeight="1" thickBot="1"/>
    <row r="2" spans="1:16" ht="20.100000000000001" customHeight="1" thickTop="1" thickBot="1">
      <c r="B2" s="460" t="s">
        <v>3</v>
      </c>
      <c r="C2" s="461"/>
      <c r="D2" s="461"/>
      <c r="E2" s="461"/>
      <c r="F2" s="461"/>
      <c r="G2" s="461"/>
      <c r="H2" s="461"/>
      <c r="I2" s="461"/>
      <c r="J2" s="461"/>
      <c r="K2" s="461"/>
      <c r="L2" s="462"/>
      <c r="M2" s="274"/>
      <c r="N2" s="274"/>
      <c r="O2" s="274"/>
      <c r="P2" s="274"/>
    </row>
    <row r="3" spans="1:16" ht="20.100000000000001" customHeight="1" thickTop="1" thickBot="1">
      <c r="B3" s="466"/>
      <c r="C3" s="467"/>
      <c r="D3" s="467"/>
      <c r="E3" s="467"/>
      <c r="F3" s="467"/>
      <c r="G3" s="467"/>
      <c r="H3" s="467"/>
      <c r="I3" s="467"/>
      <c r="J3" s="467"/>
      <c r="K3" s="467"/>
      <c r="L3" s="468"/>
      <c r="M3" s="1"/>
      <c r="N3" s="1"/>
      <c r="O3" s="1"/>
      <c r="P3" s="1"/>
    </row>
    <row r="4" spans="1:16" ht="20.100000000000001" customHeight="1" thickTop="1" thickBot="1">
      <c r="A4" s="6"/>
      <c r="B4" s="463" t="s">
        <v>4</v>
      </c>
      <c r="C4" s="464"/>
      <c r="D4" s="464"/>
      <c r="E4" s="464"/>
      <c r="F4" s="464"/>
      <c r="G4" s="464"/>
      <c r="H4" s="464"/>
      <c r="I4" s="464"/>
      <c r="J4" s="464"/>
      <c r="K4" s="464"/>
      <c r="L4" s="465"/>
      <c r="M4" s="275"/>
      <c r="N4" s="275"/>
      <c r="O4" s="275"/>
      <c r="P4" s="275"/>
    </row>
    <row r="5" spans="1:16" ht="9.9499999999999993" customHeight="1" thickBot="1">
      <c r="A5" s="6"/>
      <c r="B5" s="447"/>
      <c r="C5" s="448"/>
      <c r="D5" s="448"/>
      <c r="E5" s="448"/>
      <c r="F5" s="448"/>
      <c r="G5" s="448"/>
      <c r="H5" s="448"/>
      <c r="I5" s="448"/>
      <c r="J5" s="448"/>
      <c r="K5" s="448"/>
      <c r="L5" s="449"/>
      <c r="M5" s="220"/>
      <c r="N5" s="220"/>
      <c r="O5" s="220"/>
      <c r="P5" s="220"/>
    </row>
    <row r="6" spans="1:16" ht="15" customHeight="1" thickBot="1">
      <c r="A6" s="6"/>
      <c r="B6" s="444" t="s">
        <v>5</v>
      </c>
      <c r="C6" s="445"/>
      <c r="D6" s="445"/>
      <c r="E6" s="445"/>
      <c r="F6" s="445"/>
      <c r="G6" s="445"/>
      <c r="H6" s="445"/>
      <c r="I6" s="445"/>
      <c r="J6" s="445"/>
      <c r="K6" s="445"/>
      <c r="L6" s="446"/>
      <c r="M6" s="220"/>
      <c r="N6" s="220"/>
      <c r="O6" s="220"/>
      <c r="P6" s="220"/>
    </row>
    <row r="7" spans="1:16" ht="15" customHeight="1" thickBot="1">
      <c r="B7" s="450"/>
      <c r="C7" s="448"/>
      <c r="D7" s="448"/>
      <c r="E7" s="448"/>
      <c r="F7" s="448"/>
      <c r="G7" s="448"/>
      <c r="H7" s="448"/>
      <c r="I7" s="448"/>
      <c r="J7" s="448"/>
      <c r="K7" s="448"/>
      <c r="L7" s="449"/>
      <c r="M7" s="220"/>
      <c r="N7" s="220"/>
      <c r="O7" s="220"/>
      <c r="P7" s="220"/>
    </row>
    <row r="8" spans="1:16" ht="15" customHeight="1" thickBot="1">
      <c r="B8" s="457" t="s">
        <v>6</v>
      </c>
      <c r="C8" s="458"/>
      <c r="D8" s="458"/>
      <c r="E8" s="458"/>
      <c r="F8" s="458"/>
      <c r="G8" s="458"/>
      <c r="H8" s="458"/>
      <c r="I8" s="458"/>
      <c r="J8" s="458"/>
      <c r="K8" s="458"/>
      <c r="L8" s="459"/>
      <c r="M8" s="220"/>
      <c r="N8" s="220"/>
      <c r="O8" s="220"/>
      <c r="P8" s="220"/>
    </row>
    <row r="9" spans="1:16" ht="9.9499999999999993" customHeight="1" thickBot="1">
      <c r="B9" s="450"/>
      <c r="C9" s="448"/>
      <c r="D9" s="448"/>
      <c r="E9" s="448"/>
      <c r="F9" s="448"/>
      <c r="G9" s="448"/>
      <c r="H9" s="448"/>
      <c r="I9" s="448"/>
      <c r="J9" s="448"/>
      <c r="K9" s="448"/>
      <c r="L9" s="449"/>
      <c r="M9" s="220"/>
      <c r="N9" s="220"/>
      <c r="O9" s="220"/>
      <c r="P9" s="220"/>
    </row>
    <row r="10" spans="1:16" ht="15" customHeight="1" thickBot="1">
      <c r="B10" s="451" t="s">
        <v>7</v>
      </c>
      <c r="C10" s="452"/>
      <c r="D10" s="452"/>
      <c r="E10" s="452"/>
      <c r="F10" s="452"/>
      <c r="G10" s="452"/>
      <c r="H10" s="452"/>
      <c r="I10" s="452"/>
      <c r="J10" s="452"/>
      <c r="K10" s="452"/>
      <c r="L10" s="453"/>
      <c r="M10" s="276"/>
      <c r="N10" s="276"/>
      <c r="O10" s="276"/>
      <c r="P10" s="276"/>
    </row>
    <row r="11" spans="1:16" ht="8.1" customHeight="1">
      <c r="B11" s="454"/>
      <c r="C11" s="455"/>
      <c r="D11" s="455"/>
      <c r="E11" s="455"/>
      <c r="F11" s="455"/>
      <c r="G11" s="455"/>
      <c r="H11" s="455"/>
      <c r="I11" s="455"/>
      <c r="J11" s="455"/>
      <c r="K11" s="455"/>
      <c r="L11" s="456"/>
      <c r="M11" s="33"/>
      <c r="N11" s="33"/>
      <c r="O11" s="33"/>
      <c r="P11" s="33"/>
    </row>
    <row r="12" spans="1:16" ht="8.1" customHeight="1">
      <c r="B12" s="266"/>
      <c r="C12" s="33"/>
      <c r="D12" s="33"/>
      <c r="E12" s="33"/>
      <c r="F12" s="46"/>
      <c r="G12" s="46"/>
      <c r="H12" s="46"/>
      <c r="I12" s="46"/>
      <c r="J12" s="46"/>
      <c r="K12" s="46"/>
      <c r="L12" s="40"/>
      <c r="M12" s="33"/>
      <c r="N12" s="33"/>
      <c r="O12" s="33"/>
      <c r="P12" s="33"/>
    </row>
    <row r="13" spans="1:16" ht="15" customHeight="1">
      <c r="B13" s="266"/>
      <c r="C13" s="416" t="s">
        <v>8</v>
      </c>
      <c r="D13" s="417"/>
      <c r="E13" s="420" t="str">
        <f>VLOOKUP(E21,'Relação Empresas-Fiscais'!B3:I15,4,0)</f>
        <v>TERMO DE CREDENCIAMENTO Nº 12/2025</v>
      </c>
      <c r="F13" s="421"/>
      <c r="G13" s="421"/>
      <c r="H13" s="421"/>
      <c r="I13" s="421"/>
      <c r="J13" s="421"/>
      <c r="K13" s="422"/>
      <c r="L13" s="40"/>
      <c r="M13" s="33"/>
      <c r="N13" s="33"/>
      <c r="O13" s="33"/>
      <c r="P13" s="33"/>
    </row>
    <row r="14" spans="1:16" ht="8.1" customHeight="1">
      <c r="B14" s="266"/>
      <c r="C14" s="340"/>
      <c r="D14" s="340"/>
      <c r="E14" s="341"/>
      <c r="F14" s="341"/>
      <c r="G14" s="341"/>
      <c r="H14" s="341"/>
      <c r="I14" s="341"/>
      <c r="J14" s="341"/>
      <c r="K14" s="341"/>
      <c r="L14" s="40"/>
      <c r="M14" s="33"/>
      <c r="N14" s="33"/>
      <c r="O14" s="33"/>
      <c r="P14" s="33"/>
    </row>
    <row r="15" spans="1:16" ht="32.1" customHeight="1">
      <c r="B15" s="266"/>
      <c r="C15" s="416" t="s">
        <v>9</v>
      </c>
      <c r="D15" s="425"/>
      <c r="E15" s="420" t="s">
        <v>10</v>
      </c>
      <c r="F15" s="421"/>
      <c r="G15" s="421"/>
      <c r="H15" s="421"/>
      <c r="I15" s="421"/>
      <c r="J15" s="421"/>
      <c r="K15" s="422"/>
      <c r="L15" s="40"/>
      <c r="M15" s="33"/>
      <c r="N15" s="33"/>
      <c r="O15" s="33"/>
      <c r="P15" s="33"/>
    </row>
    <row r="16" spans="1:16" ht="8.1" customHeight="1">
      <c r="B16" s="266"/>
      <c r="C16" s="33"/>
      <c r="D16" s="3"/>
      <c r="E16" s="269"/>
      <c r="F16" s="175"/>
      <c r="G16" s="175"/>
      <c r="H16" s="175"/>
      <c r="I16" s="175"/>
      <c r="J16" s="175"/>
      <c r="K16" s="175"/>
      <c r="L16" s="40"/>
      <c r="M16" s="33"/>
      <c r="N16" s="33"/>
      <c r="O16" s="33"/>
      <c r="P16" s="33"/>
    </row>
    <row r="17" spans="2:16" ht="15" customHeight="1">
      <c r="B17" s="266"/>
      <c r="C17" s="418" t="s">
        <v>11</v>
      </c>
      <c r="D17" s="419"/>
      <c r="E17" s="420" t="str">
        <f>VLOOKUP(E21,'Relação Empresas-Fiscais'!B3:I15,3,0)</f>
        <v>48110.000954/2025-68</v>
      </c>
      <c r="F17" s="421"/>
      <c r="G17" s="421"/>
      <c r="H17" s="421"/>
      <c r="I17" s="421"/>
      <c r="J17" s="421"/>
      <c r="K17" s="422"/>
      <c r="L17" s="40"/>
      <c r="M17" s="33"/>
      <c r="N17" s="33"/>
      <c r="O17" s="33"/>
      <c r="P17" s="33"/>
    </row>
    <row r="18" spans="2:16" ht="8.1" customHeight="1">
      <c r="B18" s="266"/>
      <c r="C18" s="33"/>
      <c r="D18" s="133"/>
      <c r="E18" s="133"/>
      <c r="F18" s="175"/>
      <c r="G18" s="175"/>
      <c r="H18" s="175"/>
      <c r="I18" s="175"/>
      <c r="J18" s="175"/>
      <c r="K18" s="175"/>
      <c r="L18" s="40"/>
      <c r="M18" s="33"/>
      <c r="N18" s="33"/>
      <c r="O18" s="33"/>
      <c r="P18" s="33"/>
    </row>
    <row r="19" spans="2:16" ht="15" customHeight="1">
      <c r="B19" s="266"/>
      <c r="C19" s="426" t="s">
        <v>12</v>
      </c>
      <c r="D19" s="427"/>
      <c r="E19" s="428"/>
      <c r="F19" s="420" t="str">
        <f>VLOOKUP(E21,'Relação Empresas-Fiscais'!B3:I15,5,0)</f>
        <v>2.205.900.00 - Outros Serviços de Terceiros</v>
      </c>
      <c r="G19" s="421"/>
      <c r="H19" s="421"/>
      <c r="I19" s="421"/>
      <c r="J19" s="421"/>
      <c r="K19" s="422"/>
      <c r="L19" s="40"/>
      <c r="M19" s="33"/>
      <c r="N19" s="33"/>
      <c r="O19" s="33"/>
      <c r="P19" s="33"/>
    </row>
    <row r="20" spans="2:16" ht="8.1" customHeight="1">
      <c r="B20" s="266"/>
      <c r="C20" s="33"/>
      <c r="D20" s="46"/>
      <c r="E20" s="46"/>
      <c r="F20" s="33"/>
      <c r="G20" s="33"/>
      <c r="H20" s="46"/>
      <c r="I20" s="46"/>
      <c r="J20" s="46"/>
      <c r="K20" s="33"/>
      <c r="L20" s="40"/>
      <c r="M20" s="33"/>
      <c r="N20" s="33"/>
      <c r="O20" s="33"/>
      <c r="P20" s="33"/>
    </row>
    <row r="21" spans="2:16" ht="15" customHeight="1">
      <c r="B21" s="266"/>
      <c r="C21" s="311" t="s">
        <v>13</v>
      </c>
      <c r="D21" s="311"/>
      <c r="E21" s="302">
        <v>7</v>
      </c>
      <c r="F21" s="312"/>
      <c r="G21" s="268" t="s">
        <v>14</v>
      </c>
      <c r="H21" s="423" t="str">
        <f>VLOOKUP(E21,'Empresas Credenciadas'!B3:G16,3,0)</f>
        <v>31.759.110/0001-65</v>
      </c>
      <c r="I21" s="424"/>
      <c r="J21" s="425"/>
      <c r="K21" s="33"/>
      <c r="L21" s="40"/>
      <c r="M21" s="33"/>
      <c r="N21" s="33"/>
      <c r="O21" s="33"/>
      <c r="P21" s="33"/>
    </row>
    <row r="22" spans="2:16" ht="8.1" customHeight="1">
      <c r="B22" s="266"/>
      <c r="C22" s="33"/>
      <c r="D22" s="33"/>
      <c r="E22" s="33"/>
      <c r="F22" s="33"/>
      <c r="G22" s="33"/>
      <c r="H22" s="33"/>
      <c r="I22" s="33"/>
      <c r="J22" s="33"/>
      <c r="K22" s="33"/>
      <c r="L22" s="40"/>
      <c r="M22" s="33"/>
      <c r="N22" s="33"/>
      <c r="O22" s="33"/>
      <c r="P22" s="33"/>
    </row>
    <row r="23" spans="2:16" ht="15" customHeight="1">
      <c r="B23" s="272"/>
      <c r="C23" s="496" t="s">
        <v>15</v>
      </c>
      <c r="D23" s="497"/>
      <c r="E23" s="497"/>
      <c r="F23" s="497"/>
      <c r="G23" s="497"/>
      <c r="H23" s="497"/>
      <c r="I23" s="497"/>
      <c r="J23" s="497"/>
      <c r="K23" s="498"/>
      <c r="L23" s="279"/>
      <c r="M23" s="277"/>
      <c r="N23" s="278"/>
      <c r="O23" s="33"/>
      <c r="P23" s="7"/>
    </row>
    <row r="24" spans="2:16" ht="15" customHeight="1">
      <c r="B24" s="273"/>
      <c r="C24" s="499" t="str">
        <f>VLOOKUP(E21,'Empresas Credenciadas'!B3:G16,2,0)</f>
        <v>AR Construções, Locadora e Serviços Ltda</v>
      </c>
      <c r="D24" s="488"/>
      <c r="E24" s="488"/>
      <c r="F24" s="488"/>
      <c r="G24" s="488"/>
      <c r="H24" s="488"/>
      <c r="I24" s="488"/>
      <c r="J24" s="488"/>
      <c r="K24" s="489"/>
      <c r="L24" s="14"/>
      <c r="M24" s="8"/>
      <c r="N24" s="33"/>
      <c r="O24" s="33"/>
      <c r="P24" s="7"/>
    </row>
    <row r="25" spans="2:16" ht="8.1" customHeight="1">
      <c r="B25" s="16"/>
      <c r="C25" s="7"/>
      <c r="D25" s="7"/>
      <c r="E25" s="7"/>
      <c r="F25" s="7"/>
      <c r="G25" s="7"/>
      <c r="H25" s="7"/>
      <c r="I25" s="7"/>
      <c r="J25" s="7"/>
      <c r="K25" s="7"/>
      <c r="L25" s="40"/>
      <c r="M25" s="7"/>
      <c r="N25" s="7"/>
      <c r="O25" s="7"/>
      <c r="P25" s="7"/>
    </row>
    <row r="26" spans="2:16" ht="15" customHeight="1">
      <c r="B26" s="16"/>
      <c r="C26" s="500" t="s">
        <v>16</v>
      </c>
      <c r="D26" s="497"/>
      <c r="E26" s="497"/>
      <c r="F26" s="497"/>
      <c r="G26" s="497"/>
      <c r="H26" s="497"/>
      <c r="I26" s="497"/>
      <c r="J26" s="497"/>
      <c r="K26" s="498"/>
      <c r="L26" s="15"/>
      <c r="M26" s="277"/>
      <c r="N26" s="278"/>
      <c r="O26" s="33"/>
      <c r="P26" s="7"/>
    </row>
    <row r="27" spans="2:16" ht="15" customHeight="1">
      <c r="B27" s="16"/>
      <c r="C27" s="501" t="str">
        <f>VLOOKUP(E21,'Empresas Credenciadas'!B3:G16,4,0)</f>
        <v>Rua Farmaceutico Jose Rodrigues, nº 802, Centro, Uruburetama, CE, CEP: 62.650-000</v>
      </c>
      <c r="D27" s="502"/>
      <c r="E27" s="502"/>
      <c r="F27" s="502"/>
      <c r="G27" s="502"/>
      <c r="H27" s="502"/>
      <c r="I27" s="502"/>
      <c r="J27" s="502"/>
      <c r="K27" s="503"/>
      <c r="L27" s="40"/>
      <c r="M27" s="8"/>
      <c r="N27" s="33"/>
      <c r="O27" s="33"/>
      <c r="P27" s="7"/>
    </row>
    <row r="28" spans="2:16" ht="15" customHeight="1">
      <c r="B28" s="16"/>
      <c r="C28" s="504"/>
      <c r="D28" s="505"/>
      <c r="E28" s="505"/>
      <c r="F28" s="505"/>
      <c r="G28" s="505"/>
      <c r="H28" s="505"/>
      <c r="I28" s="505"/>
      <c r="J28" s="505"/>
      <c r="K28" s="506"/>
      <c r="L28" s="40"/>
      <c r="M28" s="8"/>
      <c r="N28" s="33"/>
      <c r="O28" s="33"/>
      <c r="P28" s="7"/>
    </row>
    <row r="29" spans="2:16" ht="8.1" customHeight="1">
      <c r="B29" s="16"/>
      <c r="C29" s="7"/>
      <c r="D29" s="7"/>
      <c r="E29" s="7"/>
      <c r="F29" s="7"/>
      <c r="G29" s="7"/>
      <c r="H29" s="7"/>
      <c r="I29" s="7"/>
      <c r="J29" s="7"/>
      <c r="K29" s="7"/>
      <c r="L29" s="15"/>
      <c r="M29" s="7"/>
      <c r="N29" s="7"/>
      <c r="O29" s="7"/>
      <c r="P29" s="7"/>
    </row>
    <row r="30" spans="2:16" ht="15" customHeight="1">
      <c r="B30" s="16"/>
      <c r="C30" s="500" t="s">
        <v>17</v>
      </c>
      <c r="D30" s="497"/>
      <c r="E30" s="497"/>
      <c r="F30" s="497"/>
      <c r="G30" s="497"/>
      <c r="H30" s="497"/>
      <c r="I30" s="497"/>
      <c r="J30" s="497"/>
      <c r="K30" s="498"/>
      <c r="L30" s="15"/>
      <c r="M30" s="7"/>
      <c r="N30" s="7"/>
      <c r="O30" s="7"/>
      <c r="P30" s="7"/>
    </row>
    <row r="31" spans="2:16" ht="15" customHeight="1">
      <c r="B31" s="16"/>
      <c r="C31" s="420" t="str">
        <f>VLOOKUP(E21,'Empresas Credenciadas'!B3:G16,5,0)</f>
        <v>Alexandre Rikchelmy Vaz Barroso</v>
      </c>
      <c r="D31" s="488"/>
      <c r="E31" s="488"/>
      <c r="F31" s="488"/>
      <c r="G31" s="488"/>
      <c r="H31" s="488"/>
      <c r="I31" s="489"/>
      <c r="J31" s="491" t="str">
        <f>VLOOKUP(E21,'Empresas Credenciadas'!B3:G16,6,0)</f>
        <v>(85) 99814-2427</v>
      </c>
      <c r="K31" s="492"/>
      <c r="L31" s="15"/>
      <c r="M31" s="7"/>
      <c r="N31" s="7"/>
      <c r="O31" s="7"/>
      <c r="P31" s="7"/>
    </row>
    <row r="32" spans="2:16" ht="8.1" customHeight="1">
      <c r="B32" s="16"/>
      <c r="C32" s="7"/>
      <c r="D32" s="7"/>
      <c r="E32" s="7"/>
      <c r="F32" s="7"/>
      <c r="G32" s="7"/>
      <c r="H32" s="7"/>
      <c r="I32" s="7"/>
      <c r="J32" s="7"/>
      <c r="K32" s="7"/>
      <c r="L32" s="15"/>
      <c r="M32" s="7"/>
      <c r="N32" s="7"/>
      <c r="O32" s="7"/>
      <c r="P32" s="7"/>
    </row>
    <row r="33" spans="2:16" ht="8.1" customHeight="1" thickBot="1">
      <c r="B33" s="493"/>
      <c r="C33" s="494"/>
      <c r="D33" s="494"/>
      <c r="E33" s="494"/>
      <c r="F33" s="494"/>
      <c r="G33" s="494"/>
      <c r="H33" s="494"/>
      <c r="I33" s="494"/>
      <c r="J33" s="494"/>
      <c r="K33" s="494"/>
      <c r="L33" s="495"/>
      <c r="M33" s="220"/>
      <c r="N33" s="220"/>
      <c r="O33" s="220"/>
      <c r="P33" s="220"/>
    </row>
    <row r="34" spans="2:16" ht="15" customHeight="1" thickBot="1">
      <c r="B34" s="451" t="s">
        <v>18</v>
      </c>
      <c r="C34" s="452"/>
      <c r="D34" s="452"/>
      <c r="E34" s="452"/>
      <c r="F34" s="452"/>
      <c r="G34" s="452"/>
      <c r="H34" s="452"/>
      <c r="I34" s="452"/>
      <c r="J34" s="452"/>
      <c r="K34" s="452"/>
      <c r="L34" s="453"/>
      <c r="M34" s="280"/>
      <c r="N34" s="280"/>
      <c r="O34" s="280"/>
      <c r="P34" s="280"/>
    </row>
    <row r="35" spans="2:16" ht="8.1" customHeight="1">
      <c r="B35" s="741"/>
      <c r="C35" s="742"/>
      <c r="D35" s="742"/>
      <c r="E35" s="742"/>
      <c r="F35" s="742"/>
      <c r="G35" s="742"/>
      <c r="H35" s="742"/>
      <c r="I35" s="742"/>
      <c r="J35" s="742"/>
      <c r="K35" s="742"/>
      <c r="L35" s="743"/>
    </row>
    <row r="36" spans="2:16" ht="8.1" customHeight="1">
      <c r="B36" s="13"/>
      <c r="D36" s="2"/>
      <c r="E36" s="2"/>
      <c r="F36" s="2"/>
      <c r="L36" s="14"/>
    </row>
    <row r="37" spans="2:16" ht="15" customHeight="1">
      <c r="B37" s="13"/>
      <c r="C37" s="486" t="s">
        <v>19</v>
      </c>
      <c r="D37" s="487"/>
      <c r="E37" s="484">
        <v>100171</v>
      </c>
      <c r="F37" s="485"/>
      <c r="G37" s="309"/>
      <c r="L37" s="14"/>
    </row>
    <row r="38" spans="2:16" ht="8.1" customHeight="1">
      <c r="B38" s="13"/>
      <c r="L38" s="14"/>
    </row>
    <row r="39" spans="2:16" ht="15" customHeight="1">
      <c r="B39" s="307"/>
      <c r="C39" s="416" t="s">
        <v>20</v>
      </c>
      <c r="D39" s="424"/>
      <c r="E39" s="424"/>
      <c r="F39" s="424"/>
      <c r="G39" s="424"/>
      <c r="H39" s="424"/>
      <c r="I39" s="424"/>
      <c r="J39" s="424"/>
      <c r="K39" s="425"/>
      <c r="L39" s="287"/>
      <c r="M39" s="281"/>
      <c r="N39" s="281"/>
      <c r="O39" s="33"/>
      <c r="P39" s="278"/>
    </row>
    <row r="40" spans="2:16" ht="15" customHeight="1">
      <c r="B40" s="308"/>
      <c r="C40" s="490" t="str">
        <f>VLOOKUP(E37,'Fiscais de Contrato e Gerentes'!B3:H12,2,0)</f>
        <v>EDNILSON COPPINI CASTANHEIRA</v>
      </c>
      <c r="D40" s="424"/>
      <c r="E40" s="424"/>
      <c r="F40" s="424"/>
      <c r="G40" s="424"/>
      <c r="H40" s="424"/>
      <c r="I40" s="424"/>
      <c r="J40" s="424"/>
      <c r="K40" s="425"/>
      <c r="L40" s="40"/>
      <c r="M40" s="36"/>
      <c r="N40" s="36"/>
      <c r="O40" s="33"/>
      <c r="P40" s="33"/>
    </row>
    <row r="41" spans="2:16" ht="8.1" customHeight="1">
      <c r="B41" s="35"/>
      <c r="C41" s="36"/>
      <c r="D41" s="36"/>
      <c r="E41" s="36"/>
      <c r="F41" s="36"/>
      <c r="G41" s="36"/>
      <c r="H41" s="36"/>
      <c r="I41" s="36"/>
      <c r="J41" s="36"/>
      <c r="K41" s="36"/>
      <c r="L41" s="37"/>
      <c r="M41" s="36"/>
      <c r="N41" s="36"/>
      <c r="O41" s="36"/>
      <c r="P41" s="36"/>
    </row>
    <row r="42" spans="2:16" ht="15" customHeight="1">
      <c r="B42" s="35"/>
      <c r="C42" s="416" t="s">
        <v>21</v>
      </c>
      <c r="D42" s="483"/>
      <c r="E42" s="483"/>
      <c r="F42" s="483"/>
      <c r="G42" s="483"/>
      <c r="H42" s="483"/>
      <c r="I42" s="483"/>
      <c r="J42" s="483"/>
      <c r="K42" s="417"/>
      <c r="L42" s="37"/>
      <c r="M42" s="282"/>
      <c r="N42" s="282"/>
      <c r="O42" s="282"/>
      <c r="P42" s="283"/>
    </row>
    <row r="43" spans="2:16" ht="15" customHeight="1">
      <c r="B43" s="35"/>
      <c r="C43" s="423" t="str">
        <f>VLOOKUP(E37,'Fiscais de Contrato e Gerentes'!B3:H12,3,0)</f>
        <v>ASSESSOR(A) II DE PROGRAMA</v>
      </c>
      <c r="D43" s="424"/>
      <c r="E43" s="424"/>
      <c r="F43" s="424"/>
      <c r="G43" s="424"/>
      <c r="H43" s="424"/>
      <c r="I43" s="424"/>
      <c r="J43" s="424"/>
      <c r="K43" s="425"/>
      <c r="L43" s="40"/>
      <c r="M43" s="284"/>
      <c r="N43" s="284"/>
      <c r="O43" s="284"/>
      <c r="P43" s="285"/>
    </row>
    <row r="44" spans="2:16" ht="8.1" customHeight="1">
      <c r="B44" s="35"/>
      <c r="C44" s="36"/>
      <c r="D44" s="284"/>
      <c r="E44" s="284"/>
      <c r="F44" s="284"/>
      <c r="G44" s="284"/>
      <c r="H44" s="284"/>
      <c r="I44" s="284"/>
      <c r="J44" s="284"/>
      <c r="K44" s="284"/>
      <c r="L44" s="40"/>
      <c r="M44" s="284"/>
      <c r="N44" s="284"/>
      <c r="O44" s="284"/>
      <c r="P44" s="285"/>
    </row>
    <row r="45" spans="2:16" ht="15" customHeight="1">
      <c r="B45" s="35"/>
      <c r="C45" s="416" t="s">
        <v>22</v>
      </c>
      <c r="D45" s="483"/>
      <c r="E45" s="483"/>
      <c r="F45" s="483"/>
      <c r="G45" s="483"/>
      <c r="H45" s="483"/>
      <c r="I45" s="483"/>
      <c r="J45" s="483"/>
      <c r="K45" s="417"/>
      <c r="L45" s="40"/>
      <c r="M45" s="284"/>
      <c r="N45" s="284"/>
      <c r="O45" s="284"/>
      <c r="P45" s="285"/>
    </row>
    <row r="46" spans="2:16" ht="15" customHeight="1">
      <c r="B46" s="35"/>
      <c r="C46" s="423">
        <f>VLOOKUP(E21,'Relação Empresas-Fiscais'!B3:J11,8,0)</f>
        <v>0</v>
      </c>
      <c r="D46" s="424"/>
      <c r="E46" s="424"/>
      <c r="F46" s="424"/>
      <c r="G46" s="424"/>
      <c r="H46" s="424"/>
      <c r="I46" s="424"/>
      <c r="J46" s="424"/>
      <c r="K46" s="425"/>
      <c r="L46" s="40"/>
      <c r="M46" s="284"/>
      <c r="N46" s="284"/>
      <c r="O46" s="284"/>
      <c r="P46" s="285"/>
    </row>
    <row r="47" spans="2:16" ht="8.1" customHeight="1">
      <c r="B47" s="35"/>
      <c r="C47" s="36"/>
      <c r="D47" s="36"/>
      <c r="E47" s="36"/>
      <c r="F47" s="36"/>
      <c r="G47" s="36"/>
      <c r="H47" s="36"/>
      <c r="I47" s="36"/>
      <c r="J47" s="36"/>
      <c r="K47" s="36"/>
      <c r="L47" s="37"/>
      <c r="M47" s="36"/>
      <c r="N47" s="36"/>
      <c r="O47" s="36"/>
      <c r="P47" s="36"/>
    </row>
    <row r="48" spans="2:16" ht="8.1" customHeight="1" thickBot="1">
      <c r="B48" s="744"/>
      <c r="C48" s="745"/>
      <c r="D48" s="745"/>
      <c r="E48" s="745"/>
      <c r="F48" s="745"/>
      <c r="G48" s="745"/>
      <c r="H48" s="745"/>
      <c r="I48" s="745"/>
      <c r="J48" s="745"/>
      <c r="K48" s="745"/>
      <c r="L48" s="746"/>
    </row>
    <row r="49" spans="2:16" ht="15" customHeight="1" thickBot="1">
      <c r="B49" s="435" t="s">
        <v>23</v>
      </c>
      <c r="C49" s="436"/>
      <c r="D49" s="436"/>
      <c r="E49" s="436"/>
      <c r="F49" s="436"/>
      <c r="G49" s="436"/>
      <c r="H49" s="436"/>
      <c r="I49" s="436"/>
      <c r="J49" s="436"/>
      <c r="K49" s="436"/>
      <c r="L49" s="437"/>
      <c r="M49" s="286"/>
      <c r="N49" s="286"/>
      <c r="O49" s="286"/>
      <c r="P49" s="286"/>
    </row>
    <row r="50" spans="2:16" ht="8.1" customHeight="1">
      <c r="B50" s="438"/>
      <c r="C50" s="439"/>
      <c r="D50" s="439"/>
      <c r="E50" s="439"/>
      <c r="F50" s="439"/>
      <c r="G50" s="439"/>
      <c r="H50" s="439"/>
      <c r="I50" s="439"/>
      <c r="J50" s="439"/>
      <c r="K50" s="439"/>
      <c r="L50" s="440"/>
      <c r="M50" s="220"/>
      <c r="N50" s="220"/>
      <c r="O50" s="220"/>
      <c r="P50" s="220"/>
    </row>
    <row r="51" spans="2:16" ht="8.1" customHeight="1">
      <c r="B51" s="297"/>
      <c r="C51" s="298"/>
      <c r="D51" s="298"/>
      <c r="E51" s="298"/>
      <c r="F51" s="298"/>
      <c r="G51" s="298"/>
      <c r="H51" s="298"/>
      <c r="I51" s="298"/>
      <c r="J51" s="298"/>
      <c r="K51" s="298"/>
      <c r="L51" s="299"/>
      <c r="M51" s="220"/>
      <c r="N51" s="220"/>
      <c r="O51" s="220"/>
      <c r="P51" s="220"/>
    </row>
    <row r="52" spans="2:16" ht="15" customHeight="1">
      <c r="B52" s="267"/>
      <c r="C52" s="441" t="s">
        <v>24</v>
      </c>
      <c r="D52" s="442"/>
      <c r="E52" s="442"/>
      <c r="F52" s="442"/>
      <c r="G52" s="442"/>
      <c r="H52" s="442"/>
      <c r="I52" s="442"/>
      <c r="J52" s="442"/>
      <c r="K52" s="443"/>
      <c r="L52" s="300"/>
      <c r="M52" s="3"/>
      <c r="N52" s="3"/>
      <c r="O52" s="3"/>
      <c r="P52" s="220"/>
    </row>
    <row r="53" spans="2:16" ht="15" customHeight="1">
      <c r="B53" s="43"/>
      <c r="C53" s="480" t="s">
        <v>25</v>
      </c>
      <c r="D53" s="480"/>
      <c r="E53" s="481"/>
      <c r="F53" s="481"/>
      <c r="G53" s="288"/>
      <c r="H53" s="480" t="s">
        <v>26</v>
      </c>
      <c r="I53" s="480"/>
      <c r="J53" s="482"/>
      <c r="K53" s="482"/>
      <c r="L53" s="14"/>
      <c r="P53" s="36"/>
    </row>
    <row r="54" spans="2:16" ht="8.1" customHeight="1">
      <c r="B54" s="267"/>
      <c r="C54" s="220"/>
      <c r="D54" s="220"/>
      <c r="E54" s="220"/>
      <c r="F54" s="220"/>
      <c r="G54" s="220"/>
      <c r="H54" s="220"/>
      <c r="I54" s="220"/>
      <c r="J54" s="220"/>
      <c r="K54" s="220"/>
      <c r="L54" s="301"/>
      <c r="M54" s="294"/>
      <c r="N54" s="295"/>
      <c r="O54" s="295"/>
      <c r="P54" s="220"/>
    </row>
    <row r="55" spans="2:16" ht="15" customHeight="1" thickBot="1">
      <c r="B55" s="267"/>
      <c r="C55" s="220"/>
      <c r="D55" s="220"/>
      <c r="E55" s="220"/>
      <c r="F55" s="220"/>
      <c r="G55" s="220"/>
      <c r="H55" s="220"/>
      <c r="I55" s="220"/>
      <c r="J55" s="220"/>
      <c r="K55" s="220"/>
      <c r="L55" s="301"/>
      <c r="M55" s="294"/>
      <c r="N55" s="295"/>
      <c r="O55" s="295"/>
      <c r="P55" s="220"/>
    </row>
    <row r="56" spans="2:16" ht="15" customHeight="1" thickBot="1">
      <c r="B56" s="267"/>
      <c r="C56" s="469" t="s">
        <v>27</v>
      </c>
      <c r="D56" s="470"/>
      <c r="E56" s="470"/>
      <c r="F56" s="470"/>
      <c r="G56" s="470"/>
      <c r="H56" s="470"/>
      <c r="I56" s="470"/>
      <c r="J56" s="344" t="s">
        <v>28</v>
      </c>
      <c r="K56" s="345" t="s">
        <v>29</v>
      </c>
      <c r="L56" s="301"/>
      <c r="M56" s="294"/>
      <c r="N56" s="295"/>
      <c r="O56" s="295"/>
      <c r="P56" s="220"/>
    </row>
    <row r="57" spans="2:16" ht="15" customHeight="1">
      <c r="B57" s="267"/>
      <c r="C57" s="471" t="s">
        <v>30</v>
      </c>
      <c r="D57" s="472"/>
      <c r="E57" s="472"/>
      <c r="F57" s="472"/>
      <c r="G57" s="472"/>
      <c r="H57" s="472"/>
      <c r="I57" s="472"/>
      <c r="J57" s="164" t="s">
        <v>31</v>
      </c>
      <c r="K57" s="338" t="s">
        <v>31</v>
      </c>
      <c r="L57" s="301"/>
      <c r="M57" s="294"/>
      <c r="N57" s="295"/>
      <c r="O57" s="295"/>
      <c r="P57" s="220"/>
    </row>
    <row r="58" spans="2:16" ht="15" customHeight="1">
      <c r="B58" s="267"/>
      <c r="C58" s="473" t="s">
        <v>32</v>
      </c>
      <c r="D58" s="474"/>
      <c r="E58" s="474"/>
      <c r="F58" s="474"/>
      <c r="G58" s="474"/>
      <c r="H58" s="474"/>
      <c r="I58" s="474"/>
      <c r="J58" s="303" t="s">
        <v>31</v>
      </c>
      <c r="K58" s="339" t="s">
        <v>31</v>
      </c>
      <c r="L58" s="301"/>
      <c r="M58" s="294"/>
      <c r="N58" s="295"/>
      <c r="O58" s="295"/>
      <c r="P58" s="220"/>
    </row>
    <row r="59" spans="2:16" ht="15" customHeight="1">
      <c r="B59" s="267"/>
      <c r="C59" s="473" t="s">
        <v>33</v>
      </c>
      <c r="D59" s="474"/>
      <c r="E59" s="474"/>
      <c r="F59" s="474"/>
      <c r="G59" s="474"/>
      <c r="H59" s="474"/>
      <c r="I59" s="474"/>
      <c r="J59" s="303" t="s">
        <v>31</v>
      </c>
      <c r="K59" s="339" t="s">
        <v>31</v>
      </c>
      <c r="L59" s="301"/>
      <c r="M59" s="294"/>
      <c r="N59" s="295"/>
      <c r="O59" s="295"/>
      <c r="P59" s="220"/>
    </row>
    <row r="60" spans="2:16" ht="15" customHeight="1">
      <c r="B60" s="267"/>
      <c r="C60" s="473" t="s">
        <v>34</v>
      </c>
      <c r="D60" s="474"/>
      <c r="E60" s="474"/>
      <c r="F60" s="474"/>
      <c r="G60" s="474"/>
      <c r="H60" s="474"/>
      <c r="I60" s="474"/>
      <c r="J60" s="303" t="s">
        <v>31</v>
      </c>
      <c r="K60" s="304" t="s">
        <v>31</v>
      </c>
      <c r="L60" s="301"/>
      <c r="M60" s="294"/>
      <c r="N60" s="295"/>
      <c r="O60" s="295"/>
      <c r="P60" s="220"/>
    </row>
    <row r="61" spans="2:16" ht="15" customHeight="1">
      <c r="B61" s="267"/>
      <c r="C61" s="473" t="s">
        <v>35</v>
      </c>
      <c r="D61" s="474"/>
      <c r="E61" s="474"/>
      <c r="F61" s="474"/>
      <c r="G61" s="474"/>
      <c r="H61" s="474"/>
      <c r="I61" s="474"/>
      <c r="J61" s="303" t="s">
        <v>31</v>
      </c>
      <c r="K61" s="304" t="s">
        <v>31</v>
      </c>
      <c r="L61" s="301"/>
      <c r="M61" s="294"/>
      <c r="N61" s="295"/>
      <c r="O61" s="295"/>
      <c r="P61" s="220"/>
    </row>
    <row r="62" spans="2:16" ht="15" customHeight="1">
      <c r="B62" s="267"/>
      <c r="C62" s="473" t="s">
        <v>36</v>
      </c>
      <c r="D62" s="474"/>
      <c r="E62" s="474"/>
      <c r="F62" s="474"/>
      <c r="G62" s="474"/>
      <c r="H62" s="474"/>
      <c r="I62" s="474"/>
      <c r="J62" s="303" t="s">
        <v>31</v>
      </c>
      <c r="K62" s="304" t="s">
        <v>31</v>
      </c>
      <c r="L62" s="301"/>
      <c r="M62" s="294"/>
      <c r="N62" s="295"/>
      <c r="O62" s="295"/>
      <c r="P62" s="220"/>
    </row>
    <row r="63" spans="2:16" ht="15" customHeight="1">
      <c r="B63" s="267"/>
      <c r="C63" s="473" t="s">
        <v>37</v>
      </c>
      <c r="D63" s="474"/>
      <c r="E63" s="474"/>
      <c r="F63" s="474"/>
      <c r="G63" s="474"/>
      <c r="H63" s="474"/>
      <c r="I63" s="474"/>
      <c r="J63" s="303" t="s">
        <v>31</v>
      </c>
      <c r="K63" s="304" t="s">
        <v>31</v>
      </c>
      <c r="L63" s="301"/>
      <c r="M63" s="294"/>
      <c r="N63" s="295"/>
      <c r="O63" s="295"/>
      <c r="P63" s="220"/>
    </row>
    <row r="64" spans="2:16" ht="15" customHeight="1">
      <c r="B64" s="267"/>
      <c r="C64" s="473" t="s">
        <v>38</v>
      </c>
      <c r="D64" s="474"/>
      <c r="E64" s="474"/>
      <c r="F64" s="474"/>
      <c r="G64" s="474"/>
      <c r="H64" s="474"/>
      <c r="I64" s="474"/>
      <c r="J64" s="303" t="s">
        <v>31</v>
      </c>
      <c r="K64" s="304" t="s">
        <v>31</v>
      </c>
      <c r="L64" s="301"/>
      <c r="M64" s="294"/>
      <c r="N64" s="295"/>
      <c r="O64" s="295"/>
      <c r="P64" s="220"/>
    </row>
    <row r="65" spans="2:16" ht="15" customHeight="1">
      <c r="B65" s="267"/>
      <c r="C65" s="473" t="s">
        <v>39</v>
      </c>
      <c r="D65" s="474"/>
      <c r="E65" s="474"/>
      <c r="F65" s="474"/>
      <c r="G65" s="474"/>
      <c r="H65" s="474"/>
      <c r="I65" s="474"/>
      <c r="J65" s="303" t="s">
        <v>31</v>
      </c>
      <c r="K65" s="304" t="s">
        <v>31</v>
      </c>
      <c r="L65" s="301"/>
      <c r="M65" s="294"/>
      <c r="N65" s="295"/>
      <c r="O65" s="295"/>
      <c r="P65" s="220"/>
    </row>
    <row r="66" spans="2:16" ht="15" customHeight="1" thickBot="1">
      <c r="B66" s="267"/>
      <c r="C66" s="475" t="s">
        <v>40</v>
      </c>
      <c r="D66" s="476"/>
      <c r="E66" s="476"/>
      <c r="F66" s="476"/>
      <c r="G66" s="476"/>
      <c r="H66" s="476"/>
      <c r="I66" s="476"/>
      <c r="J66" s="305" t="s">
        <v>31</v>
      </c>
      <c r="K66" s="306" t="s">
        <v>31</v>
      </c>
      <c r="L66" s="301"/>
      <c r="M66" s="294"/>
      <c r="N66" s="295"/>
      <c r="O66" s="295"/>
      <c r="P66" s="220"/>
    </row>
    <row r="67" spans="2:16" ht="15" customHeight="1" thickBot="1">
      <c r="B67" s="267"/>
      <c r="C67" s="220"/>
      <c r="D67" s="220"/>
      <c r="E67" s="220"/>
      <c r="F67" s="220"/>
      <c r="G67" s="220"/>
      <c r="H67" s="220"/>
      <c r="I67" s="220"/>
      <c r="J67" s="220"/>
      <c r="K67" s="220"/>
      <c r="L67" s="301"/>
      <c r="M67" s="294"/>
      <c r="N67" s="295"/>
      <c r="O67" s="295"/>
      <c r="P67" s="220"/>
    </row>
    <row r="68" spans="2:16" ht="15" customHeight="1" thickBot="1">
      <c r="B68" s="267"/>
      <c r="C68" s="477" t="s">
        <v>41</v>
      </c>
      <c r="D68" s="478"/>
      <c r="E68" s="478"/>
      <c r="F68" s="478"/>
      <c r="G68" s="478"/>
      <c r="H68" s="478"/>
      <c r="I68" s="478"/>
      <c r="J68" s="478"/>
      <c r="K68" s="479"/>
      <c r="L68" s="301"/>
      <c r="M68" s="294"/>
      <c r="N68" s="295"/>
      <c r="O68" s="295"/>
      <c r="P68" s="220"/>
    </row>
    <row r="69" spans="2:16" ht="15" customHeight="1">
      <c r="B69" s="310"/>
      <c r="C69" s="429"/>
      <c r="D69" s="430"/>
      <c r="E69" s="430"/>
      <c r="F69" s="430"/>
      <c r="G69" s="430"/>
      <c r="H69" s="430"/>
      <c r="I69" s="430"/>
      <c r="J69" s="430"/>
      <c r="K69" s="431"/>
      <c r="L69" s="290"/>
      <c r="M69" s="296"/>
      <c r="N69" s="296"/>
      <c r="O69" s="296"/>
      <c r="P69" s="296"/>
    </row>
    <row r="70" spans="2:16" ht="15" customHeight="1">
      <c r="B70" s="289"/>
      <c r="C70" s="429"/>
      <c r="D70" s="430"/>
      <c r="E70" s="430"/>
      <c r="F70" s="430"/>
      <c r="G70" s="430"/>
      <c r="H70" s="430"/>
      <c r="I70" s="430"/>
      <c r="J70" s="430"/>
      <c r="K70" s="431"/>
      <c r="L70" s="290"/>
      <c r="M70" s="296"/>
      <c r="N70" s="296"/>
      <c r="O70" s="296"/>
      <c r="P70" s="296"/>
    </row>
    <row r="71" spans="2:16" ht="15" customHeight="1">
      <c r="B71" s="289"/>
      <c r="C71" s="429"/>
      <c r="D71" s="430"/>
      <c r="E71" s="430"/>
      <c r="F71" s="430"/>
      <c r="G71" s="430"/>
      <c r="H71" s="430"/>
      <c r="I71" s="430"/>
      <c r="J71" s="430"/>
      <c r="K71" s="431"/>
      <c r="L71" s="290"/>
      <c r="M71" s="296"/>
      <c r="N71" s="296"/>
      <c r="O71" s="296"/>
      <c r="P71" s="296"/>
    </row>
    <row r="72" spans="2:16" ht="15" customHeight="1">
      <c r="B72" s="289"/>
      <c r="C72" s="429"/>
      <c r="D72" s="430"/>
      <c r="E72" s="430"/>
      <c r="F72" s="430"/>
      <c r="G72" s="430"/>
      <c r="H72" s="430"/>
      <c r="I72" s="430"/>
      <c r="J72" s="430"/>
      <c r="K72" s="431"/>
      <c r="L72" s="290"/>
      <c r="M72" s="296"/>
      <c r="N72" s="296"/>
      <c r="O72" s="296"/>
      <c r="P72" s="296"/>
    </row>
    <row r="73" spans="2:16" ht="15" customHeight="1">
      <c r="B73" s="289"/>
      <c r="C73" s="429"/>
      <c r="D73" s="430"/>
      <c r="E73" s="430"/>
      <c r="F73" s="430"/>
      <c r="G73" s="430"/>
      <c r="H73" s="430"/>
      <c r="I73" s="430"/>
      <c r="J73" s="430"/>
      <c r="K73" s="431"/>
      <c r="L73" s="290"/>
      <c r="M73" s="296"/>
      <c r="N73" s="296"/>
      <c r="O73" s="296"/>
      <c r="P73" s="296"/>
    </row>
    <row r="74" spans="2:16" ht="15" customHeight="1">
      <c r="B74" s="289"/>
      <c r="C74" s="429"/>
      <c r="D74" s="430"/>
      <c r="E74" s="430"/>
      <c r="F74" s="430"/>
      <c r="G74" s="430"/>
      <c r="H74" s="430"/>
      <c r="I74" s="430"/>
      <c r="J74" s="430"/>
      <c r="K74" s="431"/>
      <c r="L74" s="290"/>
      <c r="M74" s="296"/>
      <c r="N74" s="296"/>
      <c r="O74" s="296"/>
      <c r="P74" s="296"/>
    </row>
    <row r="75" spans="2:16" ht="15" customHeight="1">
      <c r="B75" s="289"/>
      <c r="C75" s="429"/>
      <c r="D75" s="430"/>
      <c r="E75" s="430"/>
      <c r="F75" s="430"/>
      <c r="G75" s="430"/>
      <c r="H75" s="430"/>
      <c r="I75" s="430"/>
      <c r="J75" s="430"/>
      <c r="K75" s="431"/>
      <c r="L75" s="290"/>
      <c r="M75" s="296"/>
      <c r="N75" s="296"/>
      <c r="O75" s="296"/>
      <c r="P75" s="296"/>
    </row>
    <row r="76" spans="2:16" ht="15" customHeight="1">
      <c r="B76" s="289"/>
      <c r="C76" s="429"/>
      <c r="D76" s="430"/>
      <c r="E76" s="430"/>
      <c r="F76" s="430"/>
      <c r="G76" s="430"/>
      <c r="H76" s="430"/>
      <c r="I76" s="430"/>
      <c r="J76" s="430"/>
      <c r="K76" s="431"/>
      <c r="L76" s="290"/>
      <c r="M76" s="296"/>
      <c r="N76" s="296"/>
      <c r="O76" s="296"/>
      <c r="P76" s="296"/>
    </row>
    <row r="77" spans="2:16" ht="15" customHeight="1">
      <c r="B77" s="289"/>
      <c r="C77" s="429"/>
      <c r="D77" s="430"/>
      <c r="E77" s="430"/>
      <c r="F77" s="430"/>
      <c r="G77" s="430"/>
      <c r="H77" s="430"/>
      <c r="I77" s="430"/>
      <c r="J77" s="430"/>
      <c r="K77" s="431"/>
      <c r="L77" s="290"/>
      <c r="M77" s="296"/>
      <c r="N77" s="296"/>
      <c r="O77" s="296"/>
      <c r="P77" s="296"/>
    </row>
    <row r="78" spans="2:16" ht="15" customHeight="1">
      <c r="B78" s="289"/>
      <c r="C78" s="429"/>
      <c r="D78" s="430"/>
      <c r="E78" s="430"/>
      <c r="F78" s="430"/>
      <c r="G78" s="430"/>
      <c r="H78" s="430"/>
      <c r="I78" s="430"/>
      <c r="J78" s="430"/>
      <c r="K78" s="431"/>
      <c r="L78" s="290"/>
      <c r="M78" s="296"/>
      <c r="N78" s="296"/>
      <c r="O78" s="296"/>
      <c r="P78" s="296"/>
    </row>
    <row r="79" spans="2:16" ht="15" customHeight="1">
      <c r="B79" s="289"/>
      <c r="C79" s="429"/>
      <c r="D79" s="430"/>
      <c r="E79" s="430"/>
      <c r="F79" s="430"/>
      <c r="G79" s="430"/>
      <c r="H79" s="430"/>
      <c r="I79" s="430"/>
      <c r="J79" s="430"/>
      <c r="K79" s="431"/>
      <c r="L79" s="290"/>
      <c r="M79" s="296"/>
      <c r="N79" s="296"/>
      <c r="O79" s="296"/>
      <c r="P79" s="296"/>
    </row>
    <row r="80" spans="2:16" ht="15" customHeight="1">
      <c r="B80" s="289"/>
      <c r="C80" s="429"/>
      <c r="D80" s="430"/>
      <c r="E80" s="430"/>
      <c r="F80" s="430"/>
      <c r="G80" s="430"/>
      <c r="H80" s="430"/>
      <c r="I80" s="430"/>
      <c r="J80" s="430"/>
      <c r="K80" s="431"/>
      <c r="L80" s="290"/>
      <c r="M80" s="296"/>
      <c r="N80" s="296"/>
      <c r="O80" s="296"/>
      <c r="P80" s="296"/>
    </row>
    <row r="81" spans="2:16" ht="15" customHeight="1">
      <c r="B81" s="289"/>
      <c r="C81" s="429"/>
      <c r="D81" s="430"/>
      <c r="E81" s="430"/>
      <c r="F81" s="430"/>
      <c r="G81" s="430"/>
      <c r="H81" s="430"/>
      <c r="I81" s="430"/>
      <c r="J81" s="430"/>
      <c r="K81" s="431"/>
      <c r="L81" s="290"/>
      <c r="M81" s="296"/>
      <c r="N81" s="296"/>
      <c r="O81" s="296"/>
      <c r="P81" s="296"/>
    </row>
    <row r="82" spans="2:16" ht="15" customHeight="1">
      <c r="B82" s="289"/>
      <c r="C82" s="429"/>
      <c r="D82" s="430"/>
      <c r="E82" s="430"/>
      <c r="F82" s="430"/>
      <c r="G82" s="430"/>
      <c r="H82" s="430"/>
      <c r="I82" s="430"/>
      <c r="J82" s="430"/>
      <c r="K82" s="431"/>
      <c r="L82" s="290"/>
      <c r="M82" s="296"/>
      <c r="N82" s="296"/>
      <c r="O82" s="296"/>
      <c r="P82" s="296"/>
    </row>
    <row r="83" spans="2:16" ht="15" customHeight="1">
      <c r="B83" s="289"/>
      <c r="C83" s="429"/>
      <c r="D83" s="430"/>
      <c r="E83" s="430"/>
      <c r="F83" s="430"/>
      <c r="G83" s="430"/>
      <c r="H83" s="430"/>
      <c r="I83" s="430"/>
      <c r="J83" s="430"/>
      <c r="K83" s="431"/>
      <c r="L83" s="290"/>
      <c r="M83" s="296"/>
      <c r="N83" s="296"/>
      <c r="O83" s="296"/>
      <c r="P83" s="296"/>
    </row>
    <row r="84" spans="2:16" ht="15" customHeight="1">
      <c r="B84" s="289"/>
      <c r="C84" s="429"/>
      <c r="D84" s="430"/>
      <c r="E84" s="430"/>
      <c r="F84" s="430"/>
      <c r="G84" s="430"/>
      <c r="H84" s="430"/>
      <c r="I84" s="430"/>
      <c r="J84" s="430"/>
      <c r="K84" s="431"/>
      <c r="L84" s="290"/>
      <c r="M84" s="296"/>
      <c r="N84" s="296"/>
      <c r="O84" s="296"/>
      <c r="P84" s="296"/>
    </row>
    <row r="85" spans="2:16" ht="15" customHeight="1">
      <c r="B85" s="289"/>
      <c r="C85" s="429"/>
      <c r="D85" s="430"/>
      <c r="E85" s="430"/>
      <c r="F85" s="430"/>
      <c r="G85" s="430"/>
      <c r="H85" s="430"/>
      <c r="I85" s="430"/>
      <c r="J85" s="430"/>
      <c r="K85" s="431"/>
      <c r="L85" s="290"/>
      <c r="M85" s="296"/>
      <c r="N85" s="296"/>
      <c r="O85" s="296"/>
      <c r="P85" s="296"/>
    </row>
    <row r="86" spans="2:16" ht="15" customHeight="1">
      <c r="B86" s="289"/>
      <c r="C86" s="429"/>
      <c r="D86" s="430"/>
      <c r="E86" s="430"/>
      <c r="F86" s="430"/>
      <c r="G86" s="430"/>
      <c r="H86" s="430"/>
      <c r="I86" s="430"/>
      <c r="J86" s="430"/>
      <c r="K86" s="431"/>
      <c r="L86" s="290"/>
      <c r="M86" s="296"/>
      <c r="N86" s="296"/>
      <c r="O86" s="296"/>
      <c r="P86" s="296"/>
    </row>
    <row r="87" spans="2:16" ht="15" customHeight="1">
      <c r="B87" s="289"/>
      <c r="C87" s="429"/>
      <c r="D87" s="430"/>
      <c r="E87" s="430"/>
      <c r="F87" s="430"/>
      <c r="G87" s="430"/>
      <c r="H87" s="430"/>
      <c r="I87" s="430"/>
      <c r="J87" s="430"/>
      <c r="K87" s="431"/>
      <c r="L87" s="290"/>
      <c r="M87" s="296"/>
      <c r="N87" s="296"/>
      <c r="O87" s="296"/>
      <c r="P87" s="296"/>
    </row>
    <row r="88" spans="2:16" ht="15" customHeight="1" thickBot="1">
      <c r="B88" s="289"/>
      <c r="C88" s="432"/>
      <c r="D88" s="433"/>
      <c r="E88" s="433"/>
      <c r="F88" s="433"/>
      <c r="G88" s="433"/>
      <c r="H88" s="433"/>
      <c r="I88" s="433"/>
      <c r="J88" s="433"/>
      <c r="K88" s="434"/>
      <c r="L88" s="290"/>
      <c r="M88" s="296"/>
      <c r="N88" s="296"/>
      <c r="O88" s="296"/>
      <c r="P88" s="296"/>
    </row>
    <row r="89" spans="2:16" ht="8.1" customHeight="1">
      <c r="B89" s="291"/>
      <c r="C89" s="292"/>
      <c r="D89" s="292"/>
      <c r="E89" s="292"/>
      <c r="F89" s="292"/>
      <c r="G89" s="292"/>
      <c r="H89" s="292"/>
      <c r="I89" s="292"/>
      <c r="J89" s="292"/>
      <c r="K89" s="292"/>
      <c r="L89" s="293"/>
      <c r="M89" s="296"/>
      <c r="N89" s="296"/>
      <c r="O89" s="296"/>
      <c r="P89" s="296"/>
    </row>
    <row r="90" spans="2:16" ht="8.1" customHeight="1" thickBot="1">
      <c r="B90" s="744"/>
      <c r="C90" s="745"/>
      <c r="D90" s="745"/>
      <c r="E90" s="745"/>
      <c r="F90" s="745"/>
      <c r="G90" s="745"/>
      <c r="H90" s="745"/>
      <c r="I90" s="745"/>
      <c r="J90" s="745"/>
      <c r="K90" s="745"/>
      <c r="L90" s="746"/>
    </row>
    <row r="91" spans="2:16" ht="15" customHeight="1" thickBot="1">
      <c r="B91" s="435" t="s">
        <v>42</v>
      </c>
      <c r="C91" s="436"/>
      <c r="D91" s="436"/>
      <c r="E91" s="436"/>
      <c r="F91" s="436"/>
      <c r="G91" s="436"/>
      <c r="H91" s="436"/>
      <c r="I91" s="436"/>
      <c r="J91" s="436"/>
      <c r="K91" s="436"/>
      <c r="L91" s="437"/>
      <c r="M91" s="276"/>
      <c r="N91" s="276"/>
      <c r="O91" s="276"/>
      <c r="P91" s="276"/>
    </row>
    <row r="92" spans="2:16" ht="8.1" customHeight="1">
      <c r="B92" s="741"/>
      <c r="C92" s="742"/>
      <c r="D92" s="742"/>
      <c r="E92" s="742"/>
      <c r="F92" s="742"/>
      <c r="G92" s="742"/>
      <c r="H92" s="742"/>
      <c r="I92" s="742"/>
      <c r="J92" s="742"/>
      <c r="K92" s="742"/>
      <c r="L92" s="743"/>
    </row>
    <row r="93" spans="2:16" ht="8.1" customHeight="1">
      <c r="B93" s="13"/>
      <c r="L93" s="14"/>
    </row>
    <row r="94" spans="2:16" ht="50.1" customHeight="1">
      <c r="B94" s="347"/>
      <c r="C94" s="413"/>
      <c r="D94" s="414"/>
      <c r="E94" s="414"/>
      <c r="F94" s="414"/>
      <c r="G94" s="414"/>
      <c r="H94" s="414"/>
      <c r="I94" s="414"/>
      <c r="J94" s="414"/>
      <c r="K94" s="415"/>
      <c r="L94" s="348"/>
      <c r="M94" s="36"/>
      <c r="N94" s="36"/>
      <c r="O94" s="36"/>
      <c r="P94" s="36"/>
    </row>
    <row r="95" spans="2:16" ht="8.1" customHeight="1">
      <c r="B95" s="13"/>
      <c r="L95" s="14"/>
    </row>
    <row r="96" spans="2:16" ht="8.1" customHeight="1" thickBot="1">
      <c r="B96" s="747"/>
      <c r="C96" s="748"/>
      <c r="D96" s="748"/>
      <c r="E96" s="748"/>
      <c r="F96" s="748"/>
      <c r="G96" s="748"/>
      <c r="H96" s="748"/>
      <c r="I96" s="748"/>
      <c r="J96" s="748"/>
      <c r="K96" s="748"/>
      <c r="L96" s="749"/>
    </row>
    <row r="97" ht="15.75" thickTop="1"/>
  </sheetData>
  <mergeCells count="63">
    <mergeCell ref="C23:K23"/>
    <mergeCell ref="C24:K24"/>
    <mergeCell ref="C26:K26"/>
    <mergeCell ref="C27:K28"/>
    <mergeCell ref="C30:K30"/>
    <mergeCell ref="C31:I31"/>
    <mergeCell ref="C39:K39"/>
    <mergeCell ref="C40:K40"/>
    <mergeCell ref="C42:K42"/>
    <mergeCell ref="C43:K43"/>
    <mergeCell ref="J31:K31"/>
    <mergeCell ref="B33:L33"/>
    <mergeCell ref="B34:L34"/>
    <mergeCell ref="B35:L35"/>
    <mergeCell ref="C45:K45"/>
    <mergeCell ref="C46:K46"/>
    <mergeCell ref="E37:F37"/>
    <mergeCell ref="C37:D37"/>
    <mergeCell ref="B48:L48"/>
    <mergeCell ref="H53:I53"/>
    <mergeCell ref="B90:L90"/>
    <mergeCell ref="C53:D53"/>
    <mergeCell ref="E53:F53"/>
    <mergeCell ref="J53:K53"/>
    <mergeCell ref="B2:L2"/>
    <mergeCell ref="B4:L4"/>
    <mergeCell ref="B3:L3"/>
    <mergeCell ref="B91:L91"/>
    <mergeCell ref="C56:I56"/>
    <mergeCell ref="C57:I57"/>
    <mergeCell ref="C58:I58"/>
    <mergeCell ref="C59:I59"/>
    <mergeCell ref="C60:I60"/>
    <mergeCell ref="C61:I61"/>
    <mergeCell ref="C62:I62"/>
    <mergeCell ref="C63:I63"/>
    <mergeCell ref="C64:I64"/>
    <mergeCell ref="C65:I65"/>
    <mergeCell ref="C66:I66"/>
    <mergeCell ref="C68:K68"/>
    <mergeCell ref="B6:L6"/>
    <mergeCell ref="B5:L5"/>
    <mergeCell ref="B7:L7"/>
    <mergeCell ref="B10:L10"/>
    <mergeCell ref="B11:L11"/>
    <mergeCell ref="B8:L8"/>
    <mergeCell ref="B9:L9"/>
    <mergeCell ref="B96:L96"/>
    <mergeCell ref="B92:L92"/>
    <mergeCell ref="C94:K94"/>
    <mergeCell ref="C13:D13"/>
    <mergeCell ref="C17:D17"/>
    <mergeCell ref="E13:K13"/>
    <mergeCell ref="E17:K17"/>
    <mergeCell ref="H21:J21"/>
    <mergeCell ref="F19:K19"/>
    <mergeCell ref="C19:E19"/>
    <mergeCell ref="C15:D15"/>
    <mergeCell ref="E15:K15"/>
    <mergeCell ref="C69:K88"/>
    <mergeCell ref="B49:L49"/>
    <mergeCell ref="B50:L50"/>
    <mergeCell ref="C52:K5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01A95-D2D9-494A-A05F-153826A6745F}">
  <sheetPr>
    <pageSetUpPr fitToPage="1"/>
  </sheetPr>
  <dimension ref="A1:U134"/>
  <sheetViews>
    <sheetView topLeftCell="A80" zoomScaleNormal="100" workbookViewId="0"/>
  </sheetViews>
  <sheetFormatPr defaultRowHeight="15"/>
  <cols>
    <col min="1" max="1" width="1.7109375" customWidth="1"/>
    <col min="2" max="8" width="7.7109375" customWidth="1"/>
    <col min="9" max="9" width="1.7109375" customWidth="1"/>
    <col min="10" max="17" width="7.7109375" customWidth="1"/>
    <col min="18" max="18" width="1.7109375" customWidth="1"/>
    <col min="21" max="21" width="11.7109375" bestFit="1" customWidth="1"/>
  </cols>
  <sheetData>
    <row r="1" spans="1:17" ht="8.1" customHeight="1" thickBot="1"/>
    <row r="2" spans="1:17" ht="20.100000000000001" customHeight="1" thickTop="1" thickBot="1">
      <c r="B2" s="460" t="s">
        <v>3</v>
      </c>
      <c r="C2" s="629"/>
      <c r="D2" s="629"/>
      <c r="E2" s="629"/>
      <c r="F2" s="629"/>
      <c r="G2" s="629"/>
      <c r="H2" s="629"/>
      <c r="I2" s="629"/>
      <c r="J2" s="629"/>
      <c r="K2" s="629"/>
      <c r="L2" s="629"/>
      <c r="M2" s="629"/>
      <c r="N2" s="629"/>
      <c r="O2" s="629"/>
      <c r="P2" s="629"/>
      <c r="Q2" s="630"/>
    </row>
    <row r="3" spans="1:17" ht="48" customHeight="1" thickBot="1">
      <c r="B3" s="642"/>
      <c r="C3" s="643"/>
      <c r="D3" s="643"/>
      <c r="E3" s="643"/>
      <c r="F3" s="643"/>
      <c r="G3" s="646"/>
      <c r="H3" s="644"/>
      <c r="I3" s="643"/>
      <c r="J3" s="643"/>
      <c r="K3" s="643"/>
      <c r="L3" s="647"/>
      <c r="M3" s="644"/>
      <c r="N3" s="643"/>
      <c r="O3" s="643"/>
      <c r="P3" s="643"/>
      <c r="Q3" s="645"/>
    </row>
    <row r="4" spans="1:17" ht="15" customHeight="1" thickBot="1">
      <c r="A4" s="6"/>
      <c r="B4" s="631" t="s">
        <v>43</v>
      </c>
      <c r="C4" s="632"/>
      <c r="D4" s="632"/>
      <c r="E4" s="632"/>
      <c r="F4" s="632"/>
      <c r="G4" s="632"/>
      <c r="H4" s="632"/>
      <c r="I4" s="632"/>
      <c r="J4" s="632"/>
      <c r="K4" s="632"/>
      <c r="L4" s="632"/>
      <c r="M4" s="632"/>
      <c r="N4" s="632"/>
      <c r="O4" s="632"/>
      <c r="P4" s="632"/>
      <c r="Q4" s="633"/>
    </row>
    <row r="5" spans="1:17" ht="8.1" customHeight="1" thickBot="1">
      <c r="B5" s="450"/>
      <c r="C5" s="448"/>
      <c r="D5" s="448"/>
      <c r="E5" s="448"/>
      <c r="F5" s="448"/>
      <c r="G5" s="448"/>
      <c r="H5" s="448"/>
      <c r="I5" s="448"/>
      <c r="J5" s="448"/>
      <c r="K5" s="448"/>
      <c r="L5" s="448"/>
      <c r="M5" s="448"/>
      <c r="N5" s="448"/>
      <c r="O5" s="448"/>
      <c r="P5" s="448"/>
      <c r="Q5" s="449"/>
    </row>
    <row r="6" spans="1:17" ht="15" customHeight="1" thickBot="1">
      <c r="B6" s="634" t="s">
        <v>44</v>
      </c>
      <c r="C6" s="635"/>
      <c r="D6" s="635"/>
      <c r="E6" s="635"/>
      <c r="F6" s="635"/>
      <c r="G6" s="635"/>
      <c r="H6" s="635"/>
      <c r="I6" s="635"/>
      <c r="J6" s="635"/>
      <c r="K6" s="635"/>
      <c r="L6" s="635"/>
      <c r="M6" s="635"/>
      <c r="N6" s="635"/>
      <c r="O6" s="635"/>
      <c r="P6" s="635"/>
      <c r="Q6" s="636"/>
    </row>
    <row r="7" spans="1:17" ht="8.1" customHeight="1">
      <c r="B7" s="750"/>
      <c r="C7" s="751"/>
      <c r="D7" s="751"/>
      <c r="E7" s="751"/>
      <c r="F7" s="751"/>
      <c r="G7" s="751"/>
      <c r="H7" s="751"/>
      <c r="I7" s="751"/>
      <c r="J7" s="751"/>
      <c r="K7" s="751"/>
      <c r="L7" s="751"/>
      <c r="M7" s="751"/>
      <c r="N7" s="751"/>
      <c r="O7" s="751"/>
      <c r="P7" s="751"/>
      <c r="Q7" s="752"/>
    </row>
    <row r="8" spans="1:17" ht="15" customHeight="1">
      <c r="B8" s="38"/>
      <c r="C8" s="2"/>
      <c r="D8" s="2"/>
      <c r="E8" s="2"/>
      <c r="F8" s="2"/>
      <c r="G8" s="2"/>
      <c r="H8" s="2"/>
      <c r="I8" s="2"/>
      <c r="J8" s="2"/>
      <c r="K8" s="2"/>
      <c r="L8" s="2"/>
      <c r="N8" s="2"/>
      <c r="O8" s="2"/>
      <c r="Q8" s="14"/>
    </row>
    <row r="9" spans="1:17" ht="15" customHeight="1">
      <c r="B9" s="637" t="s">
        <v>45</v>
      </c>
      <c r="C9" s="638"/>
      <c r="D9" s="416" t="s">
        <v>46</v>
      </c>
      <c r="E9" s="483"/>
      <c r="F9" s="483"/>
      <c r="G9" s="483"/>
      <c r="H9" s="483"/>
      <c r="I9" s="483"/>
      <c r="J9" s="483"/>
      <c r="K9" s="483"/>
      <c r="L9" s="417"/>
      <c r="M9" s="47"/>
      <c r="N9" s="639" t="s">
        <v>47</v>
      </c>
      <c r="O9" s="640"/>
      <c r="P9" s="33"/>
      <c r="Q9" s="39"/>
    </row>
    <row r="10" spans="1:17" ht="15" customHeight="1">
      <c r="B10" s="641">
        <v>200000</v>
      </c>
      <c r="C10" s="443"/>
      <c r="D10" s="423" t="str">
        <f>VLOOKUP(B10,'Fiscais de Contrato e Gerentes'!B3:H12,2,0)</f>
        <v>FISCAL DE CONTRATO</v>
      </c>
      <c r="E10" s="424"/>
      <c r="F10" s="424"/>
      <c r="G10" s="424"/>
      <c r="H10" s="424"/>
      <c r="I10" s="424"/>
      <c r="J10" s="424"/>
      <c r="K10" s="424"/>
      <c r="L10" s="425"/>
      <c r="M10" s="33"/>
      <c r="N10" s="654">
        <f>VLOOKUP(B10,'Fiscais de Contrato e Gerentes'!B3:H12,4,0)</f>
        <v>0</v>
      </c>
      <c r="O10" s="655"/>
      <c r="P10" s="33"/>
      <c r="Q10" s="40"/>
    </row>
    <row r="11" spans="1:17" ht="15" customHeight="1">
      <c r="B11" s="35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7"/>
    </row>
    <row r="12" spans="1:17" ht="15" customHeight="1">
      <c r="B12" s="35"/>
      <c r="C12" s="36"/>
      <c r="D12" s="416" t="s">
        <v>48</v>
      </c>
      <c r="E12" s="483"/>
      <c r="F12" s="483"/>
      <c r="G12" s="483"/>
      <c r="H12" s="483"/>
      <c r="I12" s="483"/>
      <c r="J12" s="483"/>
      <c r="K12" s="483"/>
      <c r="L12" s="417"/>
      <c r="M12" s="36"/>
      <c r="N12" s="496" t="s">
        <v>49</v>
      </c>
      <c r="O12" s="497"/>
      <c r="P12" s="498"/>
      <c r="Q12" s="41"/>
    </row>
    <row r="13" spans="1:17" ht="15" customHeight="1">
      <c r="B13" s="35"/>
      <c r="C13" s="36"/>
      <c r="D13" s="423">
        <f>VLOOKUP(B10,'Fiscais de Contrato e Gerentes'!B3:H12,3,0)</f>
        <v>0</v>
      </c>
      <c r="E13" s="424"/>
      <c r="F13" s="424"/>
      <c r="G13" s="424"/>
      <c r="H13" s="424"/>
      <c r="I13" s="424"/>
      <c r="J13" s="424"/>
      <c r="K13" s="424"/>
      <c r="L13" s="425"/>
      <c r="M13" s="33"/>
      <c r="N13" s="423">
        <f>VLOOKUP(B10,'Fiscais de Contrato e Gerentes'!B3:H12,5,0)</f>
        <v>0</v>
      </c>
      <c r="O13" s="424"/>
      <c r="P13" s="425"/>
      <c r="Q13" s="42"/>
    </row>
    <row r="14" spans="1:17" ht="15" customHeight="1">
      <c r="B14" s="35"/>
      <c r="C14" s="36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7"/>
    </row>
    <row r="15" spans="1:17" ht="8.1" customHeight="1" thickBot="1">
      <c r="B15" s="753"/>
      <c r="C15" s="754"/>
      <c r="D15" s="754"/>
      <c r="E15" s="754"/>
      <c r="F15" s="754"/>
      <c r="G15" s="754"/>
      <c r="H15" s="754"/>
      <c r="I15" s="754"/>
      <c r="J15" s="754"/>
      <c r="K15" s="754"/>
      <c r="L15" s="754"/>
      <c r="M15" s="754"/>
      <c r="N15" s="754"/>
      <c r="O15" s="754"/>
      <c r="P15" s="754"/>
      <c r="Q15" s="755"/>
    </row>
    <row r="16" spans="1:17" ht="15" customHeight="1" thickBot="1">
      <c r="B16" s="634" t="s">
        <v>50</v>
      </c>
      <c r="C16" s="662"/>
      <c r="D16" s="662"/>
      <c r="E16" s="662"/>
      <c r="F16" s="662"/>
      <c r="G16" s="662"/>
      <c r="H16" s="662"/>
      <c r="I16" s="662"/>
      <c r="J16" s="662"/>
      <c r="K16" s="662"/>
      <c r="L16" s="662"/>
      <c r="M16" s="662"/>
      <c r="N16" s="662"/>
      <c r="O16" s="662"/>
      <c r="P16" s="662"/>
      <c r="Q16" s="663"/>
    </row>
    <row r="17" spans="2:17" ht="8.1" customHeight="1">
      <c r="B17" s="664"/>
      <c r="C17" s="665"/>
      <c r="D17" s="665"/>
      <c r="E17" s="665"/>
      <c r="F17" s="665"/>
      <c r="G17" s="665"/>
      <c r="H17" s="665"/>
      <c r="I17" s="665"/>
      <c r="J17" s="665"/>
      <c r="K17" s="665"/>
      <c r="L17" s="665"/>
      <c r="M17" s="665"/>
      <c r="N17" s="665"/>
      <c r="O17" s="665"/>
      <c r="P17" s="665"/>
      <c r="Q17" s="666"/>
    </row>
    <row r="18" spans="2:17" ht="15" customHeight="1">
      <c r="B18" s="45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33"/>
      <c r="N18" s="33"/>
      <c r="O18" s="33"/>
      <c r="P18" s="33"/>
      <c r="Q18" s="40"/>
    </row>
    <row r="19" spans="2:17" ht="15" customHeight="1">
      <c r="B19" s="641" t="s">
        <v>51</v>
      </c>
      <c r="C19" s="667"/>
      <c r="D19" s="658" t="s">
        <v>46</v>
      </c>
      <c r="E19" s="668"/>
      <c r="F19" s="668"/>
      <c r="G19" s="668"/>
      <c r="H19" s="668"/>
      <c r="I19" s="668"/>
      <c r="J19" s="668"/>
      <c r="K19" s="668"/>
      <c r="L19" s="659"/>
      <c r="M19" s="48"/>
      <c r="N19" s="658" t="s">
        <v>14</v>
      </c>
      <c r="O19" s="668"/>
      <c r="P19" s="661"/>
      <c r="Q19" s="15"/>
    </row>
    <row r="20" spans="2:17" ht="15" customHeight="1">
      <c r="B20" s="656">
        <v>0</v>
      </c>
      <c r="C20" s="657"/>
      <c r="D20" s="660" t="str">
        <f>VLOOKUP(B20,'Empresas Credenciadas'!B3:G16,2,0)</f>
        <v>ENBPar</v>
      </c>
      <c r="E20" s="669"/>
      <c r="F20" s="669"/>
      <c r="G20" s="669"/>
      <c r="H20" s="669"/>
      <c r="I20" s="669"/>
      <c r="J20" s="669"/>
      <c r="K20" s="669"/>
      <c r="L20" s="661"/>
      <c r="N20" s="660">
        <f>VLOOKUP(B20,'Empresas Credenciadas'!B3:G16,3,0)</f>
        <v>0</v>
      </c>
      <c r="O20" s="669"/>
      <c r="P20" s="661"/>
      <c r="Q20" s="15"/>
    </row>
    <row r="21" spans="2:17" ht="15" customHeight="1">
      <c r="B21" s="16"/>
      <c r="C21" s="7"/>
      <c r="D21" s="7"/>
      <c r="E21" s="7"/>
      <c r="F21" s="7"/>
      <c r="G21" s="7"/>
      <c r="H21" s="7"/>
      <c r="I21" s="7"/>
      <c r="J21" s="7"/>
      <c r="K21" s="7"/>
      <c r="L21" s="7"/>
      <c r="M21" s="33"/>
      <c r="N21" s="7"/>
      <c r="O21" s="7"/>
      <c r="P21" s="7"/>
      <c r="Q21" s="15"/>
    </row>
    <row r="22" spans="2:17" ht="15" customHeight="1">
      <c r="B22" s="16"/>
      <c r="C22" s="7"/>
      <c r="D22" s="658" t="s">
        <v>52</v>
      </c>
      <c r="E22" s="668"/>
      <c r="F22" s="668"/>
      <c r="G22" s="668"/>
      <c r="H22" s="668"/>
      <c r="I22" s="668"/>
      <c r="J22" s="668"/>
      <c r="K22" s="668"/>
      <c r="L22" s="659"/>
      <c r="M22" s="7"/>
      <c r="N22" s="658" t="s">
        <v>53</v>
      </c>
      <c r="O22" s="659"/>
      <c r="P22" s="33"/>
      <c r="Q22" s="15"/>
    </row>
    <row r="23" spans="2:17" ht="15" customHeight="1">
      <c r="B23" s="16"/>
      <c r="C23" s="7"/>
      <c r="D23" s="670">
        <f>VLOOKUP(B20,'Empresas Credenciadas'!B3:G16,4,0)</f>
        <v>0</v>
      </c>
      <c r="E23" s="671"/>
      <c r="F23" s="671"/>
      <c r="G23" s="671"/>
      <c r="H23" s="671"/>
      <c r="I23" s="671"/>
      <c r="J23" s="671"/>
      <c r="K23" s="671"/>
      <c r="L23" s="672"/>
      <c r="M23" s="33"/>
      <c r="N23" s="660">
        <f>VLOOKUP(B20,'Empresas Credenciadas'!B3:G16,6,0)</f>
        <v>0</v>
      </c>
      <c r="O23" s="661"/>
      <c r="P23" s="33"/>
      <c r="Q23" s="15"/>
    </row>
    <row r="24" spans="2:17" ht="15" customHeight="1">
      <c r="B24" s="16"/>
      <c r="C24" s="7"/>
      <c r="D24" s="673"/>
      <c r="E24" s="674"/>
      <c r="F24" s="674"/>
      <c r="G24" s="674"/>
      <c r="H24" s="674"/>
      <c r="I24" s="674"/>
      <c r="J24" s="674"/>
      <c r="K24" s="674"/>
      <c r="L24" s="675"/>
      <c r="M24" s="33"/>
      <c r="N24" s="8"/>
      <c r="O24" s="33"/>
      <c r="P24" s="33"/>
      <c r="Q24" s="15"/>
    </row>
    <row r="25" spans="2:17" ht="15" customHeight="1">
      <c r="B25" s="1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15"/>
    </row>
    <row r="26" spans="2:17" ht="15" customHeight="1">
      <c r="B26" s="16"/>
      <c r="C26" s="7"/>
      <c r="D26" s="658" t="s">
        <v>54</v>
      </c>
      <c r="E26" s="668"/>
      <c r="F26" s="668"/>
      <c r="G26" s="668"/>
      <c r="H26" s="668"/>
      <c r="I26" s="668"/>
      <c r="J26" s="668"/>
      <c r="K26" s="668"/>
      <c r="L26" s="659"/>
      <c r="M26" s="7"/>
      <c r="N26" s="7"/>
      <c r="O26" s="7"/>
      <c r="P26" s="7"/>
      <c r="Q26" s="15"/>
    </row>
    <row r="27" spans="2:17" ht="15" customHeight="1">
      <c r="B27" s="16"/>
      <c r="C27" s="7"/>
      <c r="D27" s="680">
        <f>VLOOKUP(B20,'Empresas Credenciadas'!B3:G16,5,0)</f>
        <v>0</v>
      </c>
      <c r="E27" s="681"/>
      <c r="F27" s="681"/>
      <c r="G27" s="681"/>
      <c r="H27" s="681"/>
      <c r="I27" s="681"/>
      <c r="J27" s="682"/>
      <c r="K27" s="660">
        <f>VLOOKUP(B20,'Empresas Credenciadas'!B3:G16,6,0)</f>
        <v>0</v>
      </c>
      <c r="L27" s="661"/>
      <c r="M27" s="7"/>
      <c r="N27" s="7"/>
      <c r="O27" s="7"/>
      <c r="P27" s="7"/>
      <c r="Q27" s="15"/>
    </row>
    <row r="28" spans="2:17" ht="15" customHeight="1">
      <c r="B28" s="1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15"/>
    </row>
    <row r="29" spans="2:17" ht="8.1" customHeight="1" thickBot="1">
      <c r="B29" s="753"/>
      <c r="C29" s="754"/>
      <c r="D29" s="754"/>
      <c r="E29" s="754"/>
      <c r="F29" s="754"/>
      <c r="G29" s="754"/>
      <c r="H29" s="754"/>
      <c r="I29" s="754"/>
      <c r="J29" s="754"/>
      <c r="K29" s="754"/>
      <c r="L29" s="754"/>
      <c r="M29" s="754"/>
      <c r="N29" s="754"/>
      <c r="O29" s="754"/>
      <c r="P29" s="754"/>
      <c r="Q29" s="755"/>
    </row>
    <row r="30" spans="2:17" ht="15" customHeight="1" thickBot="1">
      <c r="B30" s="683" t="s">
        <v>55</v>
      </c>
      <c r="C30" s="684"/>
      <c r="D30" s="684"/>
      <c r="E30" s="684"/>
      <c r="F30" s="684"/>
      <c r="G30" s="684"/>
      <c r="H30" s="684"/>
      <c r="I30" s="684"/>
      <c r="J30" s="684"/>
      <c r="K30" s="684"/>
      <c r="L30" s="684"/>
      <c r="M30" s="684"/>
      <c r="N30" s="684"/>
      <c r="O30" s="684"/>
      <c r="P30" s="684"/>
      <c r="Q30" s="685"/>
    </row>
    <row r="31" spans="2:17" ht="8.1" customHeight="1">
      <c r="B31" s="686"/>
      <c r="C31" s="687"/>
      <c r="D31" s="687"/>
      <c r="E31" s="687"/>
      <c r="F31" s="687"/>
      <c r="G31" s="687"/>
      <c r="H31" s="687"/>
      <c r="I31" s="687"/>
      <c r="J31" s="687"/>
      <c r="K31" s="687"/>
      <c r="L31" s="687"/>
      <c r="M31" s="687"/>
      <c r="N31" s="687"/>
      <c r="O31" s="687"/>
      <c r="P31" s="687"/>
      <c r="Q31" s="688"/>
    </row>
    <row r="32" spans="2:17" ht="15" customHeight="1">
      <c r="B32" s="689" t="s">
        <v>56</v>
      </c>
      <c r="C32" s="690"/>
      <c r="D32" s="690"/>
      <c r="E32" s="690"/>
      <c r="F32" s="690"/>
      <c r="G32" s="690"/>
      <c r="H32" s="690"/>
      <c r="I32" s="690"/>
      <c r="J32" s="690"/>
      <c r="K32" s="690"/>
      <c r="L32" s="690"/>
      <c r="M32" s="690"/>
      <c r="N32" s="690"/>
      <c r="O32" s="690"/>
      <c r="P32" s="690"/>
      <c r="Q32" s="691"/>
    </row>
    <row r="33" spans="2:17" ht="15" customHeight="1">
      <c r="B33" s="692"/>
      <c r="C33" s="430"/>
      <c r="D33" s="430"/>
      <c r="E33" s="430"/>
      <c r="F33" s="430"/>
      <c r="G33" s="430"/>
      <c r="H33" s="430"/>
      <c r="I33" s="430"/>
      <c r="J33" s="430"/>
      <c r="K33" s="430"/>
      <c r="L33" s="430"/>
      <c r="M33" s="430"/>
      <c r="N33" s="430"/>
      <c r="O33" s="430"/>
      <c r="P33" s="430"/>
      <c r="Q33" s="693"/>
    </row>
    <row r="34" spans="2:17" ht="15" customHeight="1">
      <c r="B34" s="692"/>
      <c r="C34" s="430"/>
      <c r="D34" s="430"/>
      <c r="E34" s="430"/>
      <c r="F34" s="430"/>
      <c r="G34" s="430"/>
      <c r="H34" s="430"/>
      <c r="I34" s="430"/>
      <c r="J34" s="430"/>
      <c r="K34" s="430"/>
      <c r="L34" s="430"/>
      <c r="M34" s="430"/>
      <c r="N34" s="430"/>
      <c r="O34" s="430"/>
      <c r="P34" s="430"/>
      <c r="Q34" s="693"/>
    </row>
    <row r="35" spans="2:17" ht="15" customHeight="1">
      <c r="B35" s="692"/>
      <c r="C35" s="430"/>
      <c r="D35" s="430"/>
      <c r="E35" s="430"/>
      <c r="F35" s="430"/>
      <c r="G35" s="430"/>
      <c r="H35" s="430"/>
      <c r="I35" s="430"/>
      <c r="J35" s="430"/>
      <c r="K35" s="430"/>
      <c r="L35" s="430"/>
      <c r="M35" s="430"/>
      <c r="N35" s="430"/>
      <c r="O35" s="430"/>
      <c r="P35" s="430"/>
      <c r="Q35" s="693"/>
    </row>
    <row r="36" spans="2:17" ht="15" customHeight="1">
      <c r="B36" s="692"/>
      <c r="C36" s="430"/>
      <c r="D36" s="430"/>
      <c r="E36" s="430"/>
      <c r="F36" s="430"/>
      <c r="G36" s="430"/>
      <c r="H36" s="430"/>
      <c r="I36" s="430"/>
      <c r="J36" s="430"/>
      <c r="K36" s="430"/>
      <c r="L36" s="430"/>
      <c r="M36" s="430"/>
      <c r="N36" s="430"/>
      <c r="O36" s="430"/>
      <c r="P36" s="430"/>
      <c r="Q36" s="693"/>
    </row>
    <row r="37" spans="2:17" ht="15" customHeight="1">
      <c r="B37" s="692"/>
      <c r="C37" s="430"/>
      <c r="D37" s="430"/>
      <c r="E37" s="430"/>
      <c r="F37" s="430"/>
      <c r="G37" s="430"/>
      <c r="H37" s="430"/>
      <c r="I37" s="430"/>
      <c r="J37" s="430"/>
      <c r="K37" s="430"/>
      <c r="L37" s="430"/>
      <c r="M37" s="430"/>
      <c r="N37" s="430"/>
      <c r="O37" s="430"/>
      <c r="P37" s="430"/>
      <c r="Q37" s="693"/>
    </row>
    <row r="38" spans="2:17" ht="15" customHeight="1">
      <c r="B38" s="692"/>
      <c r="C38" s="430"/>
      <c r="D38" s="430"/>
      <c r="E38" s="430"/>
      <c r="F38" s="430"/>
      <c r="G38" s="430"/>
      <c r="H38" s="430"/>
      <c r="I38" s="430"/>
      <c r="J38" s="430"/>
      <c r="K38" s="430"/>
      <c r="L38" s="430"/>
      <c r="M38" s="430"/>
      <c r="N38" s="430"/>
      <c r="O38" s="430"/>
      <c r="P38" s="430"/>
      <c r="Q38" s="693"/>
    </row>
    <row r="39" spans="2:17" ht="15" customHeight="1">
      <c r="B39" s="692"/>
      <c r="C39" s="430"/>
      <c r="D39" s="430"/>
      <c r="E39" s="430"/>
      <c r="F39" s="430"/>
      <c r="G39" s="430"/>
      <c r="H39" s="430"/>
      <c r="I39" s="430"/>
      <c r="J39" s="430"/>
      <c r="K39" s="430"/>
      <c r="L39" s="430"/>
      <c r="M39" s="430"/>
      <c r="N39" s="430"/>
      <c r="O39" s="430"/>
      <c r="P39" s="430"/>
      <c r="Q39" s="693"/>
    </row>
    <row r="40" spans="2:17" ht="15" customHeight="1">
      <c r="B40" s="692"/>
      <c r="C40" s="430"/>
      <c r="D40" s="430"/>
      <c r="E40" s="430"/>
      <c r="F40" s="430"/>
      <c r="G40" s="430"/>
      <c r="H40" s="430"/>
      <c r="I40" s="430"/>
      <c r="J40" s="430"/>
      <c r="K40" s="430"/>
      <c r="L40" s="430"/>
      <c r="M40" s="430"/>
      <c r="N40" s="430"/>
      <c r="O40" s="430"/>
      <c r="P40" s="430"/>
      <c r="Q40" s="693"/>
    </row>
    <row r="41" spans="2:17" ht="15" customHeight="1">
      <c r="B41" s="694"/>
      <c r="C41" s="695"/>
      <c r="D41" s="695"/>
      <c r="E41" s="695"/>
      <c r="F41" s="695"/>
      <c r="G41" s="695"/>
      <c r="H41" s="695"/>
      <c r="I41" s="695"/>
      <c r="J41" s="695"/>
      <c r="K41" s="695"/>
      <c r="L41" s="695"/>
      <c r="M41" s="695"/>
      <c r="N41" s="695"/>
      <c r="O41" s="695"/>
      <c r="P41" s="695"/>
      <c r="Q41" s="696"/>
    </row>
    <row r="42" spans="2:17" ht="8.1" customHeight="1" thickBot="1">
      <c r="B42" s="753"/>
      <c r="C42" s="754"/>
      <c r="D42" s="754"/>
      <c r="E42" s="754"/>
      <c r="F42" s="754"/>
      <c r="G42" s="754"/>
      <c r="H42" s="754"/>
      <c r="I42" s="754"/>
      <c r="J42" s="754"/>
      <c r="K42" s="754"/>
      <c r="L42" s="754"/>
      <c r="M42" s="754"/>
      <c r="N42" s="754"/>
      <c r="O42" s="754"/>
      <c r="P42" s="754"/>
      <c r="Q42" s="755"/>
    </row>
    <row r="43" spans="2:17" ht="15" customHeight="1" thickBot="1">
      <c r="B43" s="634" t="s">
        <v>57</v>
      </c>
      <c r="C43" s="662"/>
      <c r="D43" s="662"/>
      <c r="E43" s="662"/>
      <c r="F43" s="662"/>
      <c r="G43" s="662"/>
      <c r="H43" s="662"/>
      <c r="I43" s="662"/>
      <c r="J43" s="662"/>
      <c r="K43" s="662"/>
      <c r="L43" s="662"/>
      <c r="M43" s="662"/>
      <c r="N43" s="662"/>
      <c r="O43" s="662"/>
      <c r="P43" s="662"/>
      <c r="Q43" s="663"/>
    </row>
    <row r="44" spans="2:17" ht="8.1" customHeight="1">
      <c r="B44" s="697"/>
      <c r="C44" s="751"/>
      <c r="D44" s="751"/>
      <c r="E44" s="751"/>
      <c r="F44" s="751"/>
      <c r="G44" s="751"/>
      <c r="H44" s="751"/>
      <c r="I44" s="751"/>
      <c r="J44" s="751"/>
      <c r="K44" s="751"/>
      <c r="L44" s="751"/>
      <c r="M44" s="751"/>
      <c r="N44" s="751"/>
      <c r="O44" s="751"/>
      <c r="P44" s="751"/>
      <c r="Q44" s="752"/>
    </row>
    <row r="45" spans="2:17" ht="15" customHeight="1">
      <c r="B45" s="43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7"/>
    </row>
    <row r="46" spans="2:17" ht="15" customHeight="1">
      <c r="B46" s="43"/>
      <c r="C46" s="602" t="s">
        <v>58</v>
      </c>
      <c r="D46" s="602"/>
      <c r="E46" s="606">
        <v>46230</v>
      </c>
      <c r="F46" s="606"/>
      <c r="G46" s="648">
        <f>WEEKDAY(E46,1)</f>
        <v>2</v>
      </c>
      <c r="H46" s="648"/>
      <c r="I46" s="648"/>
      <c r="J46" s="33"/>
      <c r="K46" s="602" t="s">
        <v>59</v>
      </c>
      <c r="L46" s="602"/>
      <c r="M46" s="606">
        <v>46234</v>
      </c>
      <c r="N46" s="606"/>
      <c r="O46" s="648">
        <f>WEEKDAY(M46,1)</f>
        <v>6</v>
      </c>
      <c r="P46" s="648"/>
      <c r="Q46" s="37"/>
    </row>
    <row r="47" spans="2:17" ht="15" customHeight="1">
      <c r="B47" s="43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7"/>
    </row>
    <row r="48" spans="2:17" ht="15" customHeight="1">
      <c r="B48" s="43"/>
      <c r="C48" s="607" t="s">
        <v>60</v>
      </c>
      <c r="D48" s="608"/>
      <c r="E48" s="609" t="s">
        <v>61</v>
      </c>
      <c r="F48" s="609"/>
      <c r="G48" s="609"/>
      <c r="H48" s="609"/>
      <c r="I48" s="609"/>
      <c r="J48" s="608"/>
      <c r="K48" s="36"/>
      <c r="L48" s="602" t="s">
        <v>62</v>
      </c>
      <c r="M48" s="602"/>
      <c r="N48" s="602"/>
      <c r="O48" s="52" t="s">
        <v>28</v>
      </c>
      <c r="P48" s="36"/>
      <c r="Q48" s="37"/>
    </row>
    <row r="49" spans="2:17" ht="15" customHeight="1">
      <c r="B49" s="43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7"/>
    </row>
    <row r="50" spans="2:17" ht="15" customHeight="1">
      <c r="B50" s="43"/>
      <c r="C50" s="610" t="s">
        <v>63</v>
      </c>
      <c r="D50" s="611"/>
      <c r="E50" s="188">
        <f>'Composição Equipes Inspeção'!E5</f>
        <v>6</v>
      </c>
      <c r="F50" s="44"/>
      <c r="G50" s="485" t="s">
        <v>64</v>
      </c>
      <c r="H50" s="485"/>
      <c r="I50" s="485"/>
      <c r="J50" s="485"/>
      <c r="K50" s="485"/>
      <c r="L50" s="3"/>
      <c r="M50" s="676" t="s">
        <v>65</v>
      </c>
      <c r="N50" s="676"/>
      <c r="O50" s="676"/>
      <c r="P50" s="36"/>
      <c r="Q50" s="37"/>
    </row>
    <row r="51" spans="2:17" ht="15" customHeight="1">
      <c r="B51" s="43"/>
      <c r="C51" s="36"/>
      <c r="D51" s="36"/>
      <c r="E51" s="36"/>
      <c r="F51" s="36"/>
      <c r="G51" s="378" t="s">
        <v>66</v>
      </c>
      <c r="H51" s="378"/>
      <c r="I51" s="378"/>
      <c r="J51" s="378"/>
      <c r="K51" s="189">
        <f>SUM('Composição Equipes Inspeção'!E24,'Composição Equipes Inspeção'!J24,'Composição Equipes Inspeção'!E30,'Composição Equipes Inspeção'!J30,'Composição Equipes Inspeção'!E36,'Composição Equipes Inspeção'!J36,'Composição Equipes Inspeção'!E42,'Composição Equipes Inspeção'!J42,'Composição Equipes Inspeção'!E48,'Composição Equipes Inspeção'!J48)</f>
        <v>6</v>
      </c>
      <c r="L51" s="44"/>
      <c r="M51" s="378" t="s">
        <v>67</v>
      </c>
      <c r="N51" s="378"/>
      <c r="O51" s="51">
        <f>'Custos Inspeções'!E26</f>
        <v>4</v>
      </c>
      <c r="P51" s="36"/>
      <c r="Q51" s="37"/>
    </row>
    <row r="52" spans="2:17" ht="15" customHeight="1">
      <c r="B52" s="43"/>
      <c r="C52" s="36"/>
      <c r="D52" s="36"/>
      <c r="E52" s="36"/>
      <c r="F52" s="36"/>
      <c r="G52" s="378" t="s">
        <v>68</v>
      </c>
      <c r="H52" s="378"/>
      <c r="I52" s="378"/>
      <c r="J52" s="378"/>
      <c r="K52" s="189">
        <f>SUM('Composição Equipes Inspeção'!E25,'Composição Equipes Inspeção'!J25,'Composição Equipes Inspeção'!E31,'Composição Equipes Inspeção'!J31,'Composição Equipes Inspeção'!E37,'Composição Equipes Inspeção'!J37,'Composição Equipes Inspeção'!E43,'Composição Equipes Inspeção'!J43,'Composição Equipes Inspeção'!E49,'Composição Equipes Inspeção'!J49)</f>
        <v>0</v>
      </c>
      <c r="L52" s="44"/>
      <c r="M52" s="679" t="s">
        <v>69</v>
      </c>
      <c r="N52" s="679"/>
      <c r="O52" s="51">
        <f>'Composição Equipes Inspeção'!I9</f>
        <v>240</v>
      </c>
      <c r="P52" s="36"/>
      <c r="Q52" s="37"/>
    </row>
    <row r="53" spans="2:17" ht="15" customHeight="1">
      <c r="B53" s="43"/>
      <c r="C53" s="36"/>
      <c r="D53" s="36"/>
      <c r="E53" s="36"/>
      <c r="F53" s="36"/>
      <c r="G53" s="378" t="s">
        <v>70</v>
      </c>
      <c r="H53" s="378"/>
      <c r="I53" s="378"/>
      <c r="J53" s="378"/>
      <c r="K53" s="189">
        <f>'Composição Equipes Inspeção'!G18</f>
        <v>0</v>
      </c>
      <c r="L53" s="44"/>
      <c r="M53" s="378" t="s">
        <v>71</v>
      </c>
      <c r="N53" s="378"/>
      <c r="O53" s="51">
        <f>'Custos Inspeções'!E28</f>
        <v>16</v>
      </c>
      <c r="P53" s="36"/>
      <c r="Q53" s="37"/>
    </row>
    <row r="54" spans="2:17" ht="15" customHeight="1">
      <c r="B54" s="43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78" t="s">
        <v>72</v>
      </c>
      <c r="N54" s="378"/>
      <c r="O54" s="51">
        <f>'Custos Inspeções'!E29</f>
        <v>4</v>
      </c>
      <c r="P54" s="36"/>
      <c r="Q54" s="37"/>
    </row>
    <row r="55" spans="2:17" ht="15" customHeight="1">
      <c r="B55" s="43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7"/>
    </row>
    <row r="56" spans="2:17" ht="8.1" customHeight="1" thickBot="1">
      <c r="B56" s="753"/>
      <c r="C56" s="754"/>
      <c r="D56" s="754"/>
      <c r="E56" s="754"/>
      <c r="F56" s="754"/>
      <c r="G56" s="754"/>
      <c r="H56" s="754"/>
      <c r="I56" s="754"/>
      <c r="J56" s="754"/>
      <c r="K56" s="754"/>
      <c r="L56" s="754"/>
      <c r="M56" s="754"/>
      <c r="N56" s="754"/>
      <c r="O56" s="754"/>
      <c r="P56" s="754"/>
      <c r="Q56" s="755"/>
    </row>
    <row r="57" spans="2:17" ht="15" customHeight="1" thickBot="1">
      <c r="B57" s="634" t="s">
        <v>73</v>
      </c>
      <c r="C57" s="662"/>
      <c r="D57" s="662"/>
      <c r="E57" s="662"/>
      <c r="F57" s="662"/>
      <c r="G57" s="662"/>
      <c r="H57" s="662"/>
      <c r="I57" s="662"/>
      <c r="J57" s="662"/>
      <c r="K57" s="662"/>
      <c r="L57" s="662"/>
      <c r="M57" s="662"/>
      <c r="N57" s="662"/>
      <c r="O57" s="662"/>
      <c r="P57" s="662"/>
      <c r="Q57" s="663"/>
    </row>
    <row r="58" spans="2:17" ht="8.1" customHeight="1">
      <c r="B58" s="649"/>
      <c r="C58" s="650"/>
      <c r="D58" s="650"/>
      <c r="E58" s="650"/>
      <c r="F58" s="650"/>
      <c r="G58" s="650"/>
      <c r="H58" s="650"/>
      <c r="I58" s="650"/>
      <c r="J58" s="650"/>
      <c r="K58" s="650"/>
      <c r="L58" s="650"/>
      <c r="M58" s="650"/>
      <c r="N58" s="650"/>
      <c r="O58" s="650"/>
      <c r="P58" s="650"/>
      <c r="Q58" s="651"/>
    </row>
    <row r="59" spans="2:17" ht="15" customHeight="1" thickBot="1">
      <c r="B59" s="49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50"/>
    </row>
    <row r="60" spans="2:17" ht="15" customHeight="1">
      <c r="B60" s="16"/>
      <c r="C60" s="534" t="s">
        <v>74</v>
      </c>
      <c r="D60" s="535"/>
      <c r="E60" s="538" t="s">
        <v>75</v>
      </c>
      <c r="F60" s="539"/>
      <c r="G60" s="519" t="s">
        <v>76</v>
      </c>
      <c r="H60" s="520"/>
      <c r="I60" s="351"/>
      <c r="J60" s="548" t="s">
        <v>77</v>
      </c>
      <c r="K60" s="542"/>
      <c r="L60" s="519" t="s">
        <v>78</v>
      </c>
      <c r="M60" s="545"/>
      <c r="N60" s="548" t="s">
        <v>79</v>
      </c>
      <c r="O60" s="545"/>
      <c r="P60" s="8"/>
      <c r="Q60" s="15"/>
    </row>
    <row r="61" spans="2:17" ht="15" customHeight="1" thickBot="1">
      <c r="B61" s="16"/>
      <c r="C61" s="536"/>
      <c r="D61" s="537"/>
      <c r="E61" s="540"/>
      <c r="F61" s="540"/>
      <c r="G61" s="521"/>
      <c r="H61" s="522"/>
      <c r="I61" s="351"/>
      <c r="J61" s="544"/>
      <c r="K61" s="544"/>
      <c r="L61" s="546"/>
      <c r="M61" s="547"/>
      <c r="N61" s="544"/>
      <c r="O61" s="547"/>
      <c r="P61" s="8"/>
      <c r="Q61" s="15"/>
    </row>
    <row r="62" spans="2:17">
      <c r="B62" s="16"/>
      <c r="C62" s="576" t="s">
        <v>80</v>
      </c>
      <c r="D62" s="577"/>
      <c r="E62" s="582" t="s">
        <v>81</v>
      </c>
      <c r="F62" s="583"/>
      <c r="G62" s="507">
        <v>1</v>
      </c>
      <c r="H62" s="508"/>
      <c r="I62" s="352"/>
      <c r="J62" s="652">
        <f>O51*G62</f>
        <v>4</v>
      </c>
      <c r="K62" s="653"/>
      <c r="L62" s="549">
        <f>'Custos Inspeções'!D19</f>
        <v>360</v>
      </c>
      <c r="M62" s="550"/>
      <c r="N62" s="551">
        <f>J62*L62</f>
        <v>1440</v>
      </c>
      <c r="O62" s="552"/>
      <c r="P62" s="8"/>
      <c r="Q62" s="15"/>
    </row>
    <row r="63" spans="2:17" ht="15" customHeight="1">
      <c r="B63" s="16"/>
      <c r="C63" s="578"/>
      <c r="D63" s="579"/>
      <c r="E63" s="600" t="s">
        <v>82</v>
      </c>
      <c r="F63" s="601"/>
      <c r="G63" s="605">
        <f>'Composição Equipes Inspeção'!G17</f>
        <v>6</v>
      </c>
      <c r="H63" s="510"/>
      <c r="I63" s="353"/>
      <c r="J63" s="603">
        <f>'Composição Equipes Inspeção'!I17</f>
        <v>240</v>
      </c>
      <c r="K63" s="604"/>
      <c r="L63" s="590">
        <f>'Custos Inspeções'!D17</f>
        <v>600</v>
      </c>
      <c r="M63" s="591"/>
      <c r="N63" s="592">
        <f>'Composição Equipes Inspeção'!J17</f>
        <v>144000</v>
      </c>
      <c r="O63" s="593"/>
      <c r="P63" s="8"/>
      <c r="Q63" s="15"/>
    </row>
    <row r="64" spans="2:17" ht="15" customHeight="1">
      <c r="B64" s="16"/>
      <c r="C64" s="578"/>
      <c r="D64" s="579"/>
      <c r="E64" s="559" t="s">
        <v>83</v>
      </c>
      <c r="F64" s="560"/>
      <c r="G64" s="509">
        <v>1</v>
      </c>
      <c r="H64" s="510"/>
      <c r="I64" s="352"/>
      <c r="J64" s="603">
        <f>O53*G64</f>
        <v>16</v>
      </c>
      <c r="K64" s="604"/>
      <c r="L64" s="590">
        <f>'Custos Inspeções'!D19</f>
        <v>360</v>
      </c>
      <c r="M64" s="591"/>
      <c r="N64" s="592">
        <f>J64*L64</f>
        <v>5760</v>
      </c>
      <c r="O64" s="593"/>
      <c r="P64" s="8"/>
      <c r="Q64" s="15"/>
    </row>
    <row r="65" spans="2:21" ht="15" customHeight="1" thickBot="1">
      <c r="B65" s="16"/>
      <c r="C65" s="580"/>
      <c r="D65" s="581"/>
      <c r="E65" s="621" t="s">
        <v>84</v>
      </c>
      <c r="F65" s="622"/>
      <c r="G65" s="523">
        <v>1</v>
      </c>
      <c r="H65" s="512"/>
      <c r="I65" s="352"/>
      <c r="J65" s="677">
        <f>O54*G65</f>
        <v>4</v>
      </c>
      <c r="K65" s="678"/>
      <c r="L65" s="571">
        <f>'Custos Inspeções'!D19</f>
        <v>360</v>
      </c>
      <c r="M65" s="572"/>
      <c r="N65" s="573">
        <f>J65*L65</f>
        <v>1440</v>
      </c>
      <c r="O65" s="574"/>
      <c r="P65" s="8"/>
      <c r="Q65" s="15"/>
      <c r="U65" s="350"/>
    </row>
    <row r="66" spans="2:21" ht="15" customHeight="1" thickBot="1">
      <c r="B66" s="16"/>
      <c r="C66" s="516"/>
      <c r="D66" s="514"/>
      <c r="E66" s="514"/>
      <c r="F66" s="514"/>
      <c r="G66" s="514"/>
      <c r="H66" s="515"/>
      <c r="I66" s="354"/>
      <c r="J66" s="513" t="s">
        <v>85</v>
      </c>
      <c r="K66" s="514"/>
      <c r="L66" s="514"/>
      <c r="M66" s="515"/>
      <c r="N66" s="561">
        <f>SUM(N62:O65)</f>
        <v>152640</v>
      </c>
      <c r="O66" s="575"/>
      <c r="P66" s="8"/>
      <c r="Q66" s="15"/>
    </row>
    <row r="67" spans="2:21" ht="15" customHeight="1">
      <c r="B67" s="16"/>
      <c r="C67" s="576" t="s">
        <v>86</v>
      </c>
      <c r="D67" s="577"/>
      <c r="E67" s="582" t="s">
        <v>81</v>
      </c>
      <c r="F67" s="583"/>
      <c r="G67" s="507">
        <v>0</v>
      </c>
      <c r="H67" s="508"/>
      <c r="I67" s="352"/>
      <c r="J67" s="652">
        <f>O51*G67</f>
        <v>0</v>
      </c>
      <c r="K67" s="653"/>
      <c r="L67" s="549">
        <f>'Custos Inspeções'!D20</f>
        <v>273.22000000000003</v>
      </c>
      <c r="M67" s="550"/>
      <c r="N67" s="586">
        <f>J67*L67</f>
        <v>0</v>
      </c>
      <c r="O67" s="587"/>
      <c r="P67" s="8"/>
      <c r="Q67" s="15"/>
    </row>
    <row r="68" spans="2:21" ht="15" customHeight="1">
      <c r="B68" s="16"/>
      <c r="C68" s="578"/>
      <c r="D68" s="579"/>
      <c r="E68" s="600" t="s">
        <v>82</v>
      </c>
      <c r="F68" s="601"/>
      <c r="G68" s="605">
        <f>'Composição Equipes Inspeção'!G18</f>
        <v>0</v>
      </c>
      <c r="H68" s="510"/>
      <c r="I68" s="353"/>
      <c r="J68" s="603">
        <f>'Composição Equipes Inspeção'!I18</f>
        <v>0</v>
      </c>
      <c r="K68" s="604"/>
      <c r="L68" s="590">
        <f>'Custos Inspeções'!D18</f>
        <v>513.22</v>
      </c>
      <c r="M68" s="591"/>
      <c r="N68" s="597">
        <f>'Composição Equipes Inspeção'!J18</f>
        <v>0</v>
      </c>
      <c r="O68" s="591"/>
      <c r="P68" s="8"/>
      <c r="Q68" s="15"/>
    </row>
    <row r="69" spans="2:21" ht="15" customHeight="1" thickBot="1">
      <c r="B69" s="16"/>
      <c r="C69" s="598"/>
      <c r="D69" s="599"/>
      <c r="E69" s="627" t="s">
        <v>83</v>
      </c>
      <c r="F69" s="628"/>
      <c r="G69" s="511">
        <v>0</v>
      </c>
      <c r="H69" s="512"/>
      <c r="I69" s="352"/>
      <c r="J69" s="677">
        <f>O53*G69</f>
        <v>0</v>
      </c>
      <c r="K69" s="678"/>
      <c r="L69" s="571">
        <f>'Custos Inspeções'!D20</f>
        <v>273.22000000000003</v>
      </c>
      <c r="M69" s="572"/>
      <c r="N69" s="625">
        <f>J69*L69</f>
        <v>0</v>
      </c>
      <c r="O69" s="626"/>
      <c r="P69" s="8"/>
      <c r="Q69" s="15"/>
    </row>
    <row r="70" spans="2:21" ht="15" customHeight="1" thickBot="1">
      <c r="B70" s="16"/>
      <c r="C70" s="357"/>
      <c r="D70" s="358"/>
      <c r="E70" s="358"/>
      <c r="F70" s="358"/>
      <c r="G70" s="358"/>
      <c r="H70" s="358"/>
      <c r="I70" s="361"/>
      <c r="J70" s="513" t="s">
        <v>87</v>
      </c>
      <c r="K70" s="514"/>
      <c r="L70" s="514"/>
      <c r="M70" s="515"/>
      <c r="N70" s="561">
        <f>SUM(N67:O69)</f>
        <v>0</v>
      </c>
      <c r="O70" s="562"/>
      <c r="P70" s="8"/>
      <c r="Q70" s="15"/>
    </row>
    <row r="71" spans="2:21" ht="15" customHeight="1" thickBot="1">
      <c r="B71" s="16"/>
      <c r="C71" s="359"/>
      <c r="D71" s="360"/>
      <c r="E71" s="360"/>
      <c r="F71" s="360"/>
      <c r="G71" s="360"/>
      <c r="H71" s="360"/>
      <c r="I71" s="356"/>
      <c r="J71" s="517" t="s">
        <v>88</v>
      </c>
      <c r="K71" s="514"/>
      <c r="L71" s="514"/>
      <c r="M71" s="515"/>
      <c r="N71" s="563">
        <f>N66+N70</f>
        <v>152640</v>
      </c>
      <c r="O71" s="564"/>
      <c r="P71" s="8"/>
      <c r="Q71" s="15"/>
    </row>
    <row r="72" spans="2:21" ht="15" customHeight="1">
      <c r="B72" s="16"/>
      <c r="C72" s="7"/>
      <c r="D72" s="7"/>
      <c r="E72" s="7"/>
      <c r="F72" s="8"/>
      <c r="G72" s="7"/>
      <c r="H72" s="7"/>
      <c r="I72" s="8"/>
      <c r="J72" s="7"/>
      <c r="K72" s="7"/>
      <c r="L72" s="7"/>
      <c r="M72" s="7"/>
      <c r="N72" s="7"/>
      <c r="O72" s="7"/>
      <c r="P72" s="8"/>
      <c r="Q72" s="15"/>
    </row>
    <row r="73" spans="2:21" ht="8.1" customHeight="1" thickBot="1">
      <c r="B73" s="531"/>
      <c r="C73" s="532"/>
      <c r="D73" s="532"/>
      <c r="E73" s="532"/>
      <c r="F73" s="532"/>
      <c r="G73" s="532"/>
      <c r="H73" s="532"/>
      <c r="I73" s="532"/>
      <c r="J73" s="532"/>
      <c r="K73" s="532"/>
      <c r="L73" s="532"/>
      <c r="M73" s="532"/>
      <c r="N73" s="532"/>
      <c r="O73" s="532"/>
      <c r="P73" s="532"/>
      <c r="Q73" s="533"/>
    </row>
    <row r="74" spans="2:21" ht="15" customHeight="1" thickBot="1">
      <c r="B74" s="528" t="s">
        <v>89</v>
      </c>
      <c r="C74" s="529"/>
      <c r="D74" s="529"/>
      <c r="E74" s="529"/>
      <c r="F74" s="529"/>
      <c r="G74" s="529"/>
      <c r="H74" s="529"/>
      <c r="I74" s="529"/>
      <c r="J74" s="529"/>
      <c r="K74" s="529"/>
      <c r="L74" s="529"/>
      <c r="M74" s="529"/>
      <c r="N74" s="529"/>
      <c r="O74" s="529"/>
      <c r="P74" s="529"/>
      <c r="Q74" s="530"/>
    </row>
    <row r="75" spans="2:21" ht="8.1" customHeight="1">
      <c r="B75" s="526"/>
      <c r="C75" s="751"/>
      <c r="D75" s="751"/>
      <c r="E75" s="751"/>
      <c r="F75" s="751"/>
      <c r="G75" s="751"/>
      <c r="H75" s="751"/>
      <c r="I75" s="751"/>
      <c r="J75" s="751"/>
      <c r="K75" s="751"/>
      <c r="L75" s="751"/>
      <c r="M75" s="751"/>
      <c r="N75" s="751"/>
      <c r="O75" s="751"/>
      <c r="P75" s="751"/>
      <c r="Q75" s="752"/>
    </row>
    <row r="76" spans="2:21" ht="15" customHeight="1">
      <c r="B76" s="17"/>
      <c r="C76" s="9"/>
      <c r="E76" s="10"/>
      <c r="F76" s="9"/>
      <c r="G76" s="9"/>
      <c r="H76" s="9"/>
      <c r="I76" s="11"/>
      <c r="J76" s="11"/>
      <c r="K76" s="11"/>
      <c r="L76" s="12"/>
      <c r="M76" s="11"/>
      <c r="N76" s="11"/>
      <c r="O76" s="11"/>
      <c r="P76" s="11"/>
      <c r="Q76" s="18"/>
    </row>
    <row r="77" spans="2:21" ht="15" customHeight="1">
      <c r="B77" s="17"/>
      <c r="C77" s="9"/>
      <c r="E77" s="10"/>
      <c r="F77" s="9"/>
      <c r="G77" s="9"/>
      <c r="H77" s="9"/>
      <c r="I77" s="11"/>
      <c r="J77" s="11"/>
      <c r="K77" s="11"/>
      <c r="L77" s="12"/>
      <c r="M77" s="11"/>
      <c r="N77" s="11"/>
      <c r="O77" s="11"/>
      <c r="P77" s="11"/>
      <c r="Q77" s="18"/>
    </row>
    <row r="78" spans="2:21" ht="15" customHeight="1">
      <c r="B78" s="17"/>
      <c r="C78" s="9"/>
      <c r="E78" s="10"/>
      <c r="F78" s="9"/>
      <c r="G78" s="9"/>
      <c r="H78" s="9"/>
      <c r="I78" s="11"/>
      <c r="J78" s="11"/>
      <c r="K78" s="11"/>
      <c r="L78" s="12"/>
      <c r="M78" s="11"/>
      <c r="N78" s="11"/>
      <c r="O78" s="11"/>
      <c r="P78" s="11"/>
      <c r="Q78" s="18"/>
    </row>
    <row r="79" spans="2:21" ht="15" customHeight="1">
      <c r="B79" s="17"/>
      <c r="C79" s="9"/>
      <c r="E79" s="10"/>
      <c r="F79" s="9"/>
      <c r="G79" s="9"/>
      <c r="H79" s="9"/>
      <c r="I79" s="11"/>
      <c r="J79" s="11"/>
      <c r="K79" s="11"/>
      <c r="L79" s="12"/>
      <c r="M79" s="11"/>
      <c r="N79" s="11"/>
      <c r="O79" s="11"/>
      <c r="P79" s="11"/>
      <c r="Q79" s="18"/>
    </row>
    <row r="80" spans="2:21" ht="15" customHeight="1">
      <c r="B80" s="17"/>
      <c r="C80" s="9"/>
      <c r="E80" s="10"/>
      <c r="F80" s="9"/>
      <c r="G80" s="9"/>
      <c r="H80" s="9"/>
      <c r="I80" s="11"/>
      <c r="J80" s="11"/>
      <c r="K80" s="11"/>
      <c r="L80" s="12"/>
      <c r="M80" s="11"/>
      <c r="N80" s="11"/>
      <c r="O80" s="11"/>
      <c r="P80" s="11"/>
      <c r="Q80" s="18"/>
    </row>
    <row r="81" spans="2:17" ht="15" customHeight="1">
      <c r="B81" s="17"/>
      <c r="C81" s="9"/>
      <c r="E81" s="10"/>
      <c r="F81" s="9"/>
      <c r="G81" s="9"/>
      <c r="H81" s="9"/>
      <c r="I81" s="11"/>
      <c r="J81" s="11"/>
      <c r="K81" s="11"/>
      <c r="L81" s="12"/>
      <c r="M81" s="11"/>
      <c r="N81" s="11"/>
      <c r="O81" s="11"/>
      <c r="P81" s="11"/>
      <c r="Q81" s="18"/>
    </row>
    <row r="82" spans="2:17" ht="8.1" customHeight="1" thickBot="1">
      <c r="B82" s="527"/>
      <c r="C82" s="754"/>
      <c r="D82" s="754"/>
      <c r="E82" s="754"/>
      <c r="F82" s="754"/>
      <c r="G82" s="754"/>
      <c r="H82" s="754"/>
      <c r="I82" s="754"/>
      <c r="J82" s="754"/>
      <c r="K82" s="754"/>
      <c r="L82" s="754"/>
      <c r="M82" s="754"/>
      <c r="N82" s="754"/>
      <c r="O82" s="754"/>
      <c r="P82" s="754"/>
      <c r="Q82" s="755"/>
    </row>
    <row r="83" spans="2:17" ht="15" customHeight="1" thickBot="1">
      <c r="B83" s="528" t="s">
        <v>90</v>
      </c>
      <c r="C83" s="529"/>
      <c r="D83" s="529"/>
      <c r="E83" s="529"/>
      <c r="F83" s="529"/>
      <c r="G83" s="529"/>
      <c r="H83" s="529"/>
      <c r="I83" s="529"/>
      <c r="J83" s="529"/>
      <c r="K83" s="529"/>
      <c r="L83" s="529"/>
      <c r="M83" s="529"/>
      <c r="N83" s="529"/>
      <c r="O83" s="529"/>
      <c r="P83" s="529"/>
      <c r="Q83" s="530"/>
    </row>
    <row r="84" spans="2:17" ht="8.1" customHeight="1">
      <c r="B84" s="750"/>
      <c r="C84" s="751"/>
      <c r="D84" s="751"/>
      <c r="E84" s="751"/>
      <c r="F84" s="751"/>
      <c r="G84" s="751"/>
      <c r="H84" s="751"/>
      <c r="I84" s="751"/>
      <c r="J84" s="751"/>
      <c r="K84" s="751"/>
      <c r="L84" s="751"/>
      <c r="M84" s="751"/>
      <c r="N84" s="751"/>
      <c r="O84" s="751"/>
      <c r="P84" s="751"/>
      <c r="Q84" s="752"/>
    </row>
    <row r="85" spans="2:17" ht="15" customHeight="1" thickBot="1">
      <c r="B85" s="49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14"/>
    </row>
    <row r="86" spans="2:17" ht="15" customHeight="1">
      <c r="B86" s="16"/>
      <c r="C86" s="534" t="s">
        <v>74</v>
      </c>
      <c r="D86" s="535"/>
      <c r="E86" s="538" t="s">
        <v>75</v>
      </c>
      <c r="F86" s="539"/>
      <c r="G86" s="519" t="s">
        <v>76</v>
      </c>
      <c r="H86" s="520"/>
      <c r="I86" s="351"/>
      <c r="J86" s="541" t="s">
        <v>91</v>
      </c>
      <c r="K86" s="542"/>
      <c r="L86" s="519" t="s">
        <v>78</v>
      </c>
      <c r="M86" s="545"/>
      <c r="N86" s="548" t="s">
        <v>79</v>
      </c>
      <c r="O86" s="545"/>
      <c r="P86" s="8"/>
      <c r="Q86" s="14"/>
    </row>
    <row r="87" spans="2:17" ht="15" customHeight="1" thickBot="1">
      <c r="B87" s="16"/>
      <c r="C87" s="536"/>
      <c r="D87" s="537"/>
      <c r="E87" s="540"/>
      <c r="F87" s="540"/>
      <c r="G87" s="521"/>
      <c r="H87" s="522"/>
      <c r="I87" s="351"/>
      <c r="J87" s="543"/>
      <c r="K87" s="544"/>
      <c r="L87" s="546"/>
      <c r="M87" s="547"/>
      <c r="N87" s="544"/>
      <c r="O87" s="547"/>
      <c r="P87" s="8"/>
      <c r="Q87" s="14"/>
    </row>
    <row r="88" spans="2:17" ht="15" customHeight="1">
      <c r="B88" s="16"/>
      <c r="C88" s="576" t="s">
        <v>80</v>
      </c>
      <c r="D88" s="577"/>
      <c r="E88" s="582" t="s">
        <v>81</v>
      </c>
      <c r="F88" s="583"/>
      <c r="G88" s="507">
        <v>1</v>
      </c>
      <c r="H88" s="508"/>
      <c r="I88" s="352"/>
      <c r="J88" s="584">
        <f>O51*G88</f>
        <v>4</v>
      </c>
      <c r="K88" s="585"/>
      <c r="L88" s="549">
        <f>'Custos Inspeções'!D19</f>
        <v>360</v>
      </c>
      <c r="M88" s="550"/>
      <c r="N88" s="551">
        <f>J88*L88</f>
        <v>1440</v>
      </c>
      <c r="O88" s="552"/>
      <c r="P88" s="8"/>
      <c r="Q88" s="14"/>
    </row>
    <row r="89" spans="2:17" ht="15" customHeight="1">
      <c r="B89" s="16"/>
      <c r="C89" s="578"/>
      <c r="D89" s="579"/>
      <c r="E89" s="553" t="s">
        <v>82</v>
      </c>
      <c r="F89" s="554"/>
      <c r="G89" s="509">
        <f>(K51+K52)</f>
        <v>6</v>
      </c>
      <c r="H89" s="510"/>
      <c r="I89" s="352"/>
      <c r="J89" s="588">
        <f>'Composição Equipes Inspeção'!I17</f>
        <v>240</v>
      </c>
      <c r="K89" s="589"/>
      <c r="L89" s="590">
        <f>'Custos Inspeções'!D17</f>
        <v>600</v>
      </c>
      <c r="M89" s="591"/>
      <c r="N89" s="592">
        <f>J89*L89</f>
        <v>144000</v>
      </c>
      <c r="O89" s="593"/>
      <c r="P89" s="8"/>
      <c r="Q89" s="14"/>
    </row>
    <row r="90" spans="2:17" ht="15" customHeight="1">
      <c r="B90" s="16"/>
      <c r="C90" s="578"/>
      <c r="D90" s="579"/>
      <c r="E90" s="559" t="s">
        <v>83</v>
      </c>
      <c r="F90" s="560"/>
      <c r="G90" s="509">
        <v>1</v>
      </c>
      <c r="H90" s="510"/>
      <c r="I90" s="352"/>
      <c r="J90" s="588">
        <f>O53*G90</f>
        <v>16</v>
      </c>
      <c r="K90" s="589"/>
      <c r="L90" s="590">
        <f>'Custos Inspeções'!D19</f>
        <v>360</v>
      </c>
      <c r="M90" s="591"/>
      <c r="N90" s="592">
        <f>J90*L90</f>
        <v>5760</v>
      </c>
      <c r="O90" s="593"/>
      <c r="P90" s="8"/>
      <c r="Q90" s="14"/>
    </row>
    <row r="91" spans="2:17" ht="15" customHeight="1" thickBot="1">
      <c r="B91" s="16"/>
      <c r="C91" s="580"/>
      <c r="D91" s="581"/>
      <c r="E91" s="621" t="s">
        <v>84</v>
      </c>
      <c r="F91" s="622"/>
      <c r="G91" s="523">
        <v>1</v>
      </c>
      <c r="H91" s="512"/>
      <c r="I91" s="352"/>
      <c r="J91" s="569">
        <f>O54*G91</f>
        <v>4</v>
      </c>
      <c r="K91" s="570"/>
      <c r="L91" s="571">
        <f>'Custos Inspeções'!D19</f>
        <v>360</v>
      </c>
      <c r="M91" s="572"/>
      <c r="N91" s="573">
        <f>J91*L91</f>
        <v>1440</v>
      </c>
      <c r="O91" s="574"/>
      <c r="P91" s="8"/>
      <c r="Q91" s="14"/>
    </row>
    <row r="92" spans="2:17" ht="15" customHeight="1" thickBot="1">
      <c r="B92" s="16"/>
      <c r="C92" s="516"/>
      <c r="D92" s="514"/>
      <c r="E92" s="514"/>
      <c r="F92" s="514"/>
      <c r="G92" s="514"/>
      <c r="H92" s="515"/>
      <c r="I92" s="364"/>
      <c r="J92" s="513" t="s">
        <v>85</v>
      </c>
      <c r="K92" s="514"/>
      <c r="L92" s="514"/>
      <c r="M92" s="515"/>
      <c r="N92" s="561">
        <f>SUM(N88:O91)</f>
        <v>152640</v>
      </c>
      <c r="O92" s="575"/>
      <c r="P92" s="8"/>
      <c r="Q92" s="14"/>
    </row>
    <row r="93" spans="2:17" ht="15" customHeight="1">
      <c r="B93" s="16"/>
      <c r="C93" s="576" t="s">
        <v>86</v>
      </c>
      <c r="D93" s="577"/>
      <c r="E93" s="582" t="s">
        <v>81</v>
      </c>
      <c r="F93" s="583"/>
      <c r="G93" s="507">
        <f>(K53)*E50</f>
        <v>0</v>
      </c>
      <c r="H93" s="508"/>
      <c r="I93" s="352"/>
      <c r="J93" s="584">
        <f>O51*G93</f>
        <v>0</v>
      </c>
      <c r="K93" s="585"/>
      <c r="L93" s="549">
        <f>'Custos Inspeções'!D20</f>
        <v>273.22000000000003</v>
      </c>
      <c r="M93" s="550"/>
      <c r="N93" s="586">
        <f>G93*J93*L93</f>
        <v>0</v>
      </c>
      <c r="O93" s="587"/>
      <c r="P93" s="8"/>
      <c r="Q93" s="14"/>
    </row>
    <row r="94" spans="2:17">
      <c r="B94" s="16"/>
      <c r="C94" s="578"/>
      <c r="D94" s="579"/>
      <c r="E94" s="553" t="s">
        <v>82</v>
      </c>
      <c r="F94" s="554"/>
      <c r="G94" s="509">
        <f>(K53)*E50</f>
        <v>0</v>
      </c>
      <c r="H94" s="510"/>
      <c r="I94" s="352"/>
      <c r="J94" s="588">
        <f>'Composição Equipes Inspeção'!I18</f>
        <v>0</v>
      </c>
      <c r="K94" s="589"/>
      <c r="L94" s="590">
        <f>'Custos Inspeções'!D18</f>
        <v>513.22</v>
      </c>
      <c r="M94" s="591"/>
      <c r="N94" s="597">
        <f>G94*J94*L94</f>
        <v>0</v>
      </c>
      <c r="O94" s="591"/>
      <c r="P94" s="8"/>
      <c r="Q94" s="14"/>
    </row>
    <row r="95" spans="2:17" ht="15" customHeight="1" thickBot="1">
      <c r="B95" s="16"/>
      <c r="C95" s="580"/>
      <c r="D95" s="581"/>
      <c r="E95" s="623" t="s">
        <v>83</v>
      </c>
      <c r="F95" s="624"/>
      <c r="G95" s="511">
        <f>(K53)*E50</f>
        <v>0</v>
      </c>
      <c r="H95" s="512"/>
      <c r="I95" s="352"/>
      <c r="J95" s="569">
        <f>O53*G95</f>
        <v>0</v>
      </c>
      <c r="K95" s="570"/>
      <c r="L95" s="571">
        <f>'Custos Inspeções'!D20</f>
        <v>273.22000000000003</v>
      </c>
      <c r="M95" s="572"/>
      <c r="N95" s="625">
        <f>G95*J95*L95</f>
        <v>0</v>
      </c>
      <c r="O95" s="626"/>
      <c r="P95" s="8"/>
      <c r="Q95" s="14"/>
    </row>
    <row r="96" spans="2:17" ht="15" customHeight="1" thickBot="1">
      <c r="B96" s="16"/>
      <c r="C96" s="357"/>
      <c r="D96" s="355"/>
      <c r="E96" s="355"/>
      <c r="F96" s="355"/>
      <c r="G96" s="355"/>
      <c r="H96" s="355"/>
      <c r="I96" s="361"/>
      <c r="J96" s="513" t="s">
        <v>87</v>
      </c>
      <c r="K96" s="514"/>
      <c r="L96" s="514"/>
      <c r="M96" s="515"/>
      <c r="N96" s="561">
        <f>SUM(N93:O95)</f>
        <v>0</v>
      </c>
      <c r="O96" s="562"/>
      <c r="P96" s="8"/>
      <c r="Q96" s="14"/>
    </row>
    <row r="97" spans="2:17" ht="15" customHeight="1" thickBot="1">
      <c r="B97" s="16"/>
      <c r="C97" s="359"/>
      <c r="D97" s="356"/>
      <c r="E97" s="356"/>
      <c r="F97" s="356"/>
      <c r="G97" s="356"/>
      <c r="H97" s="356"/>
      <c r="I97" s="361"/>
      <c r="J97" s="517" t="s">
        <v>92</v>
      </c>
      <c r="K97" s="514"/>
      <c r="L97" s="514"/>
      <c r="M97" s="515"/>
      <c r="N97" s="563">
        <f>N92+N96</f>
        <v>152640</v>
      </c>
      <c r="O97" s="564"/>
      <c r="P97" s="8"/>
      <c r="Q97" s="14"/>
    </row>
    <row r="98" spans="2:17" ht="15" customHeight="1" thickBot="1">
      <c r="B98" s="16"/>
      <c r="C98" s="359"/>
      <c r="D98" s="356"/>
      <c r="E98" s="356"/>
      <c r="F98" s="356"/>
      <c r="G98" s="356"/>
      <c r="H98" s="356"/>
      <c r="I98" s="361"/>
      <c r="J98" s="517" t="s">
        <v>93</v>
      </c>
      <c r="K98" s="514"/>
      <c r="L98" s="514"/>
      <c r="M98" s="515"/>
      <c r="N98" s="565">
        <f>IMR!D29</f>
        <v>0</v>
      </c>
      <c r="O98" s="566"/>
      <c r="P98" s="8"/>
      <c r="Q98" s="14"/>
    </row>
    <row r="99" spans="2:17" ht="15" customHeight="1" thickBot="1">
      <c r="B99" s="13"/>
      <c r="C99" s="362"/>
      <c r="D99" s="362"/>
      <c r="E99" s="362"/>
      <c r="F99" s="362"/>
      <c r="G99" s="362"/>
      <c r="H99" s="362"/>
      <c r="I99" s="363"/>
      <c r="J99" s="518" t="s">
        <v>94</v>
      </c>
      <c r="K99" s="514"/>
      <c r="L99" s="514"/>
      <c r="M99" s="515"/>
      <c r="N99" s="567">
        <f>N97*(1-N98)</f>
        <v>152640</v>
      </c>
      <c r="O99" s="568"/>
      <c r="Q99" s="14"/>
    </row>
    <row r="100" spans="2:17" ht="15" customHeight="1">
      <c r="B100" s="13"/>
      <c r="Q100" s="14"/>
    </row>
    <row r="101" spans="2:17" ht="8.1" customHeight="1" thickBot="1">
      <c r="B101" s="613"/>
      <c r="C101" s="614"/>
      <c r="D101" s="614"/>
      <c r="E101" s="614"/>
      <c r="F101" s="614"/>
      <c r="G101" s="614"/>
      <c r="H101" s="614"/>
      <c r="I101" s="614"/>
      <c r="J101" s="614"/>
      <c r="K101" s="614"/>
      <c r="L101" s="614"/>
      <c r="M101" s="614"/>
      <c r="N101" s="614"/>
      <c r="O101" s="614"/>
      <c r="P101" s="614"/>
      <c r="Q101" s="615"/>
    </row>
    <row r="102" spans="2:17" ht="15" customHeight="1" thickBot="1">
      <c r="B102" s="616"/>
      <c r="C102" s="617"/>
      <c r="D102" s="617"/>
      <c r="E102" s="617"/>
      <c r="F102" s="617"/>
      <c r="G102" s="617"/>
      <c r="H102" s="617"/>
      <c r="I102" s="617"/>
      <c r="J102" s="617"/>
      <c r="K102" s="617"/>
      <c r="L102" s="617"/>
      <c r="M102" s="617"/>
      <c r="N102" s="617"/>
      <c r="O102" s="617"/>
      <c r="P102" s="617"/>
      <c r="Q102" s="618"/>
    </row>
    <row r="103" spans="2:17" ht="8.1" customHeight="1">
      <c r="B103" s="619"/>
      <c r="C103" s="595"/>
      <c r="D103" s="595"/>
      <c r="E103" s="595"/>
      <c r="F103" s="595"/>
      <c r="G103" s="595"/>
      <c r="H103" s="595"/>
      <c r="I103" s="595"/>
      <c r="J103" s="595"/>
      <c r="K103" s="595"/>
      <c r="L103" s="595"/>
      <c r="M103" s="595"/>
      <c r="N103" s="595"/>
      <c r="O103" s="595"/>
      <c r="P103" s="595"/>
      <c r="Q103" s="620"/>
    </row>
    <row r="104" spans="2:17" ht="15" customHeight="1">
      <c r="B104" s="143"/>
      <c r="C104" s="144"/>
      <c r="D104" s="144"/>
      <c r="E104" s="144"/>
      <c r="F104" s="144"/>
      <c r="G104" s="144"/>
      <c r="H104" s="144"/>
      <c r="I104" s="144"/>
      <c r="J104" s="144"/>
      <c r="K104" s="144"/>
      <c r="L104" s="144"/>
      <c r="M104" s="144"/>
      <c r="N104" s="144"/>
      <c r="O104" s="144"/>
      <c r="P104" s="144"/>
      <c r="Q104" s="145"/>
    </row>
    <row r="105" spans="2:17" ht="15" customHeight="1">
      <c r="B105" s="555" t="s">
        <v>95</v>
      </c>
      <c r="C105" s="556"/>
      <c r="D105" s="556"/>
      <c r="E105" s="612">
        <f ca="1">NOW()</f>
        <v>46223.654318634261</v>
      </c>
      <c r="F105" s="612"/>
      <c r="G105" s="612"/>
      <c r="H105" s="612"/>
      <c r="I105" s="612"/>
      <c r="J105" s="612"/>
      <c r="K105" s="612"/>
      <c r="L105" s="612"/>
      <c r="M105" s="147"/>
      <c r="N105" s="147"/>
      <c r="O105" s="147"/>
      <c r="P105" s="147"/>
      <c r="Q105" s="145"/>
    </row>
    <row r="106" spans="2:17" ht="15" customHeight="1">
      <c r="B106" s="146"/>
      <c r="C106" s="4"/>
      <c r="D106" s="4"/>
      <c r="E106" s="148"/>
      <c r="F106" s="148"/>
      <c r="G106" s="148"/>
      <c r="H106" s="148"/>
      <c r="I106" s="148"/>
      <c r="J106" s="148"/>
      <c r="K106" s="148"/>
      <c r="L106" s="148"/>
      <c r="M106" s="147"/>
      <c r="N106" s="147"/>
      <c r="O106" s="147"/>
      <c r="P106" s="147"/>
      <c r="Q106" s="145"/>
    </row>
    <row r="107" spans="2:17" ht="15" customHeight="1">
      <c r="B107" s="130"/>
      <c r="C107" s="131"/>
      <c r="D107" s="131"/>
      <c r="E107" s="131"/>
      <c r="F107" s="131"/>
      <c r="G107" s="131"/>
      <c r="H107" s="131"/>
      <c r="I107" s="131"/>
      <c r="J107" s="131"/>
      <c r="K107" s="131"/>
      <c r="L107" s="131"/>
      <c r="M107" s="131"/>
      <c r="N107" s="131"/>
      <c r="O107" s="131"/>
      <c r="P107" s="131"/>
      <c r="Q107" s="132"/>
    </row>
    <row r="108" spans="2:17" ht="15" customHeight="1">
      <c r="B108" s="142"/>
      <c r="C108" s="524" t="s">
        <v>96</v>
      </c>
      <c r="D108" s="594"/>
      <c r="E108" s="594"/>
      <c r="F108" s="594"/>
      <c r="G108" s="594"/>
      <c r="H108" s="131"/>
      <c r="I108" s="133"/>
      <c r="J108" s="133"/>
      <c r="K108" s="133"/>
      <c r="L108" s="524" t="s">
        <v>97</v>
      </c>
      <c r="M108" s="524"/>
      <c r="N108" s="524"/>
      <c r="O108" s="524"/>
      <c r="P108" s="524"/>
      <c r="Q108" s="149"/>
    </row>
    <row r="109" spans="2:17" ht="15" customHeight="1">
      <c r="B109" s="130"/>
      <c r="C109" s="594"/>
      <c r="D109" s="594"/>
      <c r="E109" s="594"/>
      <c r="F109" s="594"/>
      <c r="G109" s="594"/>
      <c r="H109" s="131"/>
      <c r="I109" s="131"/>
      <c r="J109" s="131"/>
      <c r="K109" s="131"/>
      <c r="L109" s="594"/>
      <c r="M109" s="594"/>
      <c r="N109" s="594"/>
      <c r="O109" s="594"/>
      <c r="P109" s="594"/>
      <c r="Q109" s="132"/>
    </row>
    <row r="110" spans="2:17" ht="15" customHeight="1">
      <c r="B110" s="130"/>
      <c r="C110" s="594"/>
      <c r="D110" s="594"/>
      <c r="E110" s="594"/>
      <c r="F110" s="594"/>
      <c r="G110" s="594"/>
      <c r="H110" s="131"/>
      <c r="I110" s="131"/>
      <c r="J110" s="131"/>
      <c r="K110" s="131"/>
      <c r="L110" s="594"/>
      <c r="M110" s="594"/>
      <c r="N110" s="594"/>
      <c r="O110" s="594"/>
      <c r="P110" s="594"/>
      <c r="Q110" s="132"/>
    </row>
    <row r="111" spans="2:17" ht="15" customHeight="1">
      <c r="B111" s="130"/>
      <c r="C111" s="594"/>
      <c r="D111" s="594"/>
      <c r="E111" s="594"/>
      <c r="F111" s="594"/>
      <c r="G111" s="594"/>
      <c r="H111" s="131"/>
      <c r="I111" s="131"/>
      <c r="J111" s="131"/>
      <c r="K111" s="131"/>
      <c r="L111" s="594"/>
      <c r="M111" s="594"/>
      <c r="N111" s="594"/>
      <c r="O111" s="594"/>
      <c r="P111" s="594"/>
      <c r="Q111" s="132"/>
    </row>
    <row r="112" spans="2:17" ht="15" customHeight="1">
      <c r="B112" s="130"/>
      <c r="C112" s="595"/>
      <c r="D112" s="595"/>
      <c r="E112" s="595"/>
      <c r="F112" s="595"/>
      <c r="G112" s="595"/>
      <c r="H112" s="131"/>
      <c r="I112" s="131"/>
      <c r="J112" s="131"/>
      <c r="K112" s="131"/>
      <c r="L112" s="595"/>
      <c r="M112" s="595"/>
      <c r="N112" s="595"/>
      <c r="O112" s="595"/>
      <c r="P112" s="595"/>
      <c r="Q112" s="132"/>
    </row>
    <row r="113" spans="2:17" ht="15" customHeight="1">
      <c r="B113" s="142"/>
      <c r="C113" s="557" t="str">
        <f>D10</f>
        <v>FISCAL DE CONTRATO</v>
      </c>
      <c r="D113" s="557"/>
      <c r="E113" s="557"/>
      <c r="F113" s="557"/>
      <c r="G113" s="557"/>
      <c r="H113" s="133"/>
      <c r="I113" s="4"/>
      <c r="J113" s="4"/>
      <c r="K113" s="4"/>
      <c r="L113" s="557" t="str">
        <f>VLOOKUP(100104,'Fiscais de Contrato e Gerentes'!B3:H12,2,0)</f>
        <v>AURELIO PAVAO DE FARIAS</v>
      </c>
      <c r="M113" s="557"/>
      <c r="N113" s="557"/>
      <c r="O113" s="557"/>
      <c r="P113" s="557"/>
      <c r="Q113" s="150"/>
    </row>
    <row r="114" spans="2:17" ht="15" customHeight="1">
      <c r="B114" s="151"/>
      <c r="C114" s="558">
        <f>D13</f>
        <v>0</v>
      </c>
      <c r="D114" s="558"/>
      <c r="E114" s="558"/>
      <c r="F114" s="558"/>
      <c r="G114" s="558"/>
      <c r="H114" s="155"/>
      <c r="I114" s="4"/>
      <c r="J114" s="4"/>
      <c r="K114" s="4"/>
      <c r="L114" s="596" t="s">
        <v>98</v>
      </c>
      <c r="M114" s="558"/>
      <c r="N114" s="558"/>
      <c r="O114" s="558"/>
      <c r="P114" s="558"/>
      <c r="Q114" s="150"/>
    </row>
    <row r="115" spans="2:17" ht="15" customHeight="1">
      <c r="B115" s="130"/>
      <c r="C115" s="131"/>
      <c r="D115" s="131"/>
      <c r="E115" s="131"/>
      <c r="F115" s="131"/>
      <c r="G115" s="131"/>
      <c r="H115" s="131"/>
      <c r="I115" s="131"/>
      <c r="J115" s="131"/>
      <c r="K115" s="131"/>
      <c r="L115" s="131"/>
      <c r="M115" s="131"/>
      <c r="N115" s="131"/>
      <c r="O115" s="131"/>
      <c r="P115" s="131"/>
      <c r="Q115" s="132"/>
    </row>
    <row r="116" spans="2:17" ht="15" customHeight="1">
      <c r="B116" s="130"/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M116" s="131"/>
      <c r="N116" s="131"/>
      <c r="O116" s="131"/>
      <c r="P116" s="131"/>
      <c r="Q116" s="132"/>
    </row>
    <row r="117" spans="2:17" ht="15" customHeight="1">
      <c r="B117" s="142"/>
      <c r="C117" s="524" t="s">
        <v>99</v>
      </c>
      <c r="D117" s="524"/>
      <c r="E117" s="524"/>
      <c r="F117" s="524"/>
      <c r="G117" s="524"/>
      <c r="H117" s="133"/>
      <c r="I117" s="131"/>
      <c r="J117" s="131"/>
      <c r="K117" s="131"/>
      <c r="L117" s="524" t="s">
        <v>100</v>
      </c>
      <c r="M117" s="594"/>
      <c r="N117" s="594"/>
      <c r="O117" s="594"/>
      <c r="P117" s="594"/>
      <c r="Q117" s="132"/>
    </row>
    <row r="118" spans="2:17" ht="15" customHeight="1">
      <c r="B118" s="130"/>
      <c r="C118" s="594"/>
      <c r="D118" s="594"/>
      <c r="E118" s="594"/>
      <c r="F118" s="594"/>
      <c r="G118" s="594"/>
      <c r="H118" s="131"/>
      <c r="I118" s="131"/>
      <c r="J118" s="131"/>
      <c r="K118" s="131"/>
      <c r="L118" s="594"/>
      <c r="M118" s="594"/>
      <c r="N118" s="594"/>
      <c r="O118" s="594"/>
      <c r="P118" s="594"/>
      <c r="Q118" s="132"/>
    </row>
    <row r="119" spans="2:17" ht="15" customHeight="1">
      <c r="B119" s="130"/>
      <c r="C119" s="594"/>
      <c r="D119" s="594"/>
      <c r="E119" s="594"/>
      <c r="F119" s="594"/>
      <c r="G119" s="594"/>
      <c r="H119" s="131"/>
      <c r="I119" s="131"/>
      <c r="J119" s="131"/>
      <c r="K119" s="131"/>
      <c r="L119" s="594"/>
      <c r="M119" s="594"/>
      <c r="N119" s="594"/>
      <c r="O119" s="594"/>
      <c r="P119" s="594"/>
      <c r="Q119" s="132"/>
    </row>
    <row r="120" spans="2:17" ht="15" customHeight="1">
      <c r="B120" s="130"/>
      <c r="C120" s="594"/>
      <c r="D120" s="594"/>
      <c r="E120" s="594"/>
      <c r="F120" s="594"/>
      <c r="G120" s="594"/>
      <c r="H120" s="131"/>
      <c r="I120" s="131"/>
      <c r="J120" s="131"/>
      <c r="K120" s="131"/>
      <c r="L120" s="594"/>
      <c r="M120" s="594"/>
      <c r="N120" s="594"/>
      <c r="O120" s="594"/>
      <c r="P120" s="594"/>
      <c r="Q120" s="132"/>
    </row>
    <row r="121" spans="2:17" ht="15" customHeight="1">
      <c r="B121" s="130"/>
      <c r="C121" s="595"/>
      <c r="D121" s="595"/>
      <c r="E121" s="595"/>
      <c r="F121" s="595"/>
      <c r="G121" s="595"/>
      <c r="H121" s="131"/>
      <c r="I121" s="133"/>
      <c r="J121" s="133"/>
      <c r="K121" s="133"/>
      <c r="L121" s="595"/>
      <c r="M121" s="595"/>
      <c r="N121" s="595"/>
      <c r="O121" s="595"/>
      <c r="P121" s="595"/>
      <c r="Q121" s="132"/>
    </row>
    <row r="122" spans="2:17" ht="15" customHeight="1">
      <c r="B122" s="130"/>
      <c r="C122" s="557">
        <f>VLOOKUP(B10,'Fiscais de Contrato e Gerentes'!B3:H12,6,0)</f>
        <v>0</v>
      </c>
      <c r="D122" s="557"/>
      <c r="E122" s="557"/>
      <c r="F122" s="557"/>
      <c r="G122" s="557"/>
      <c r="H122" s="133"/>
      <c r="I122" s="133"/>
      <c r="J122" s="133"/>
      <c r="K122" s="133"/>
      <c r="L122" s="557">
        <f>VLOOKUP(B10,'Fiscais de Contrato e Gerentes'!B3:H12,7,0)</f>
        <v>0</v>
      </c>
      <c r="M122" s="557"/>
      <c r="N122" s="557"/>
      <c r="O122" s="557"/>
      <c r="P122" s="557"/>
      <c r="Q122" s="132"/>
    </row>
    <row r="123" spans="2:17" ht="15" customHeight="1">
      <c r="B123" s="130"/>
      <c r="C123" s="558" t="s">
        <v>101</v>
      </c>
      <c r="D123" s="558"/>
      <c r="E123" s="558"/>
      <c r="F123" s="558"/>
      <c r="G123" s="558"/>
      <c r="H123" s="155"/>
      <c r="I123" s="133"/>
      <c r="J123" s="133"/>
      <c r="K123" s="133"/>
      <c r="L123" s="558" t="s">
        <v>102</v>
      </c>
      <c r="M123" s="558"/>
      <c r="N123" s="558"/>
      <c r="O123" s="558"/>
      <c r="P123" s="558"/>
      <c r="Q123" s="132"/>
    </row>
    <row r="124" spans="2:17" ht="15" customHeight="1">
      <c r="B124" s="130"/>
      <c r="C124" s="155"/>
      <c r="D124" s="155"/>
      <c r="E124" s="155"/>
      <c r="F124" s="155"/>
      <c r="G124" s="155"/>
      <c r="H124" s="155"/>
      <c r="I124" s="133"/>
      <c r="J124" s="133"/>
      <c r="K124" s="133"/>
      <c r="L124" s="155"/>
      <c r="M124" s="155"/>
      <c r="N124" s="155"/>
      <c r="O124" s="155"/>
      <c r="P124" s="155"/>
      <c r="Q124" s="132"/>
    </row>
    <row r="125" spans="2:17" ht="15" customHeight="1">
      <c r="B125" s="130"/>
      <c r="C125" s="155"/>
      <c r="D125" s="155"/>
      <c r="E125" s="155"/>
      <c r="F125" s="155"/>
      <c r="G125" s="155"/>
      <c r="H125" s="155"/>
      <c r="I125" s="133"/>
      <c r="J125" s="133"/>
      <c r="K125" s="133"/>
      <c r="L125" s="155"/>
      <c r="M125" s="155"/>
      <c r="N125" s="155"/>
      <c r="O125" s="155"/>
      <c r="P125" s="155"/>
      <c r="Q125" s="132"/>
    </row>
    <row r="126" spans="2:17" ht="15" customHeight="1">
      <c r="B126" s="130"/>
      <c r="C126" s="524" t="s">
        <v>103</v>
      </c>
      <c r="D126" s="524"/>
      <c r="E126" s="524"/>
      <c r="F126" s="524"/>
      <c r="G126" s="524"/>
      <c r="H126" s="133"/>
      <c r="I126" s="133"/>
      <c r="J126" s="133"/>
      <c r="K126" s="133"/>
      <c r="L126" s="524" t="s">
        <v>104</v>
      </c>
      <c r="M126" s="524"/>
      <c r="N126" s="524"/>
      <c r="O126" s="524"/>
      <c r="P126" s="524"/>
      <c r="Q126" s="132"/>
    </row>
    <row r="127" spans="2:17" ht="15" customHeight="1">
      <c r="B127" s="130"/>
      <c r="C127" s="524"/>
      <c r="D127" s="524"/>
      <c r="E127" s="524"/>
      <c r="F127" s="524"/>
      <c r="G127" s="524"/>
      <c r="H127" s="133"/>
      <c r="I127" s="133"/>
      <c r="J127" s="133"/>
      <c r="K127" s="133"/>
      <c r="L127" s="524"/>
      <c r="M127" s="524"/>
      <c r="N127" s="524"/>
      <c r="O127" s="524"/>
      <c r="P127" s="524"/>
      <c r="Q127" s="132"/>
    </row>
    <row r="128" spans="2:17" ht="15" customHeight="1">
      <c r="B128" s="130"/>
      <c r="C128" s="524"/>
      <c r="D128" s="524"/>
      <c r="E128" s="524"/>
      <c r="F128" s="524"/>
      <c r="G128" s="524"/>
      <c r="H128" s="133"/>
      <c r="I128" s="133"/>
      <c r="J128" s="133"/>
      <c r="K128" s="133"/>
      <c r="L128" s="524"/>
      <c r="M128" s="524"/>
      <c r="N128" s="524"/>
      <c r="O128" s="524"/>
      <c r="P128" s="524"/>
      <c r="Q128" s="132"/>
    </row>
    <row r="129" spans="2:17" ht="15" customHeight="1">
      <c r="B129" s="130"/>
      <c r="C129" s="524"/>
      <c r="D129" s="524"/>
      <c r="E129" s="524"/>
      <c r="F129" s="524"/>
      <c r="G129" s="524"/>
      <c r="H129" s="133"/>
      <c r="I129" s="133"/>
      <c r="J129" s="133"/>
      <c r="K129" s="133"/>
      <c r="L129" s="524"/>
      <c r="M129" s="524"/>
      <c r="N129" s="524"/>
      <c r="O129" s="524"/>
      <c r="P129" s="524"/>
      <c r="Q129" s="132"/>
    </row>
    <row r="130" spans="2:17" ht="15" customHeight="1">
      <c r="B130" s="130"/>
      <c r="C130" s="525"/>
      <c r="D130" s="525"/>
      <c r="E130" s="525"/>
      <c r="F130" s="525"/>
      <c r="G130" s="525"/>
      <c r="H130" s="133"/>
      <c r="I130" s="133"/>
      <c r="J130" s="133"/>
      <c r="K130" s="133"/>
      <c r="L130" s="525"/>
      <c r="M130" s="525"/>
      <c r="N130" s="525"/>
      <c r="O130" s="525"/>
      <c r="P130" s="525"/>
      <c r="Q130" s="132"/>
    </row>
    <row r="131" spans="2:17" ht="15" customHeight="1">
      <c r="B131" s="130"/>
      <c r="C131" s="557" t="s">
        <v>105</v>
      </c>
      <c r="D131" s="557"/>
      <c r="E131" s="557"/>
      <c r="F131" s="557"/>
      <c r="G131" s="557"/>
      <c r="H131" s="133"/>
      <c r="I131" s="133"/>
      <c r="J131" s="133"/>
      <c r="K131" s="133"/>
      <c r="L131" s="557" t="s">
        <v>106</v>
      </c>
      <c r="M131" s="557"/>
      <c r="N131" s="557"/>
      <c r="O131" s="557"/>
      <c r="P131" s="557"/>
      <c r="Q131" s="132"/>
    </row>
    <row r="132" spans="2:17" ht="15" customHeight="1">
      <c r="B132" s="130"/>
      <c r="C132" s="558" t="str">
        <f>D20</f>
        <v>ENBPar</v>
      </c>
      <c r="D132" s="558"/>
      <c r="E132" s="558"/>
      <c r="F132" s="558"/>
      <c r="G132" s="558"/>
      <c r="H132" s="155"/>
      <c r="I132" s="133"/>
      <c r="J132" s="133"/>
      <c r="K132" s="133"/>
      <c r="L132" s="558" t="str">
        <f>D20</f>
        <v>ENBPar</v>
      </c>
      <c r="M132" s="558"/>
      <c r="N132" s="558"/>
      <c r="O132" s="558"/>
      <c r="P132" s="558"/>
      <c r="Q132" s="132"/>
    </row>
    <row r="133" spans="2:17" ht="15" customHeight="1" thickBot="1">
      <c r="B133" s="156"/>
      <c r="C133" s="152"/>
      <c r="D133" s="152"/>
      <c r="E133" s="152"/>
      <c r="F133" s="152"/>
      <c r="G133" s="153"/>
      <c r="H133" s="153"/>
      <c r="I133" s="153"/>
      <c r="J133" s="153"/>
      <c r="K133" s="153"/>
      <c r="L133" s="153"/>
      <c r="M133" s="153"/>
      <c r="N133" s="153"/>
      <c r="O133" s="152"/>
      <c r="P133" s="152"/>
      <c r="Q133" s="154"/>
    </row>
    <row r="134" spans="2:17" ht="15.75" thickTop="1"/>
  </sheetData>
  <mergeCells count="202">
    <mergeCell ref="J69:K69"/>
    <mergeCell ref="N67:O67"/>
    <mergeCell ref="N68:O68"/>
    <mergeCell ref="N69:O69"/>
    <mergeCell ref="D27:J27"/>
    <mergeCell ref="K27:L27"/>
    <mergeCell ref="D26:L26"/>
    <mergeCell ref="E62:F62"/>
    <mergeCell ref="E64:F64"/>
    <mergeCell ref="E65:F65"/>
    <mergeCell ref="L62:M62"/>
    <mergeCell ref="J60:K61"/>
    <mergeCell ref="J62:K62"/>
    <mergeCell ref="B29:Q29"/>
    <mergeCell ref="B30:Q30"/>
    <mergeCell ref="B31:Q31"/>
    <mergeCell ref="B32:Q41"/>
    <mergeCell ref="B42:Q42"/>
    <mergeCell ref="B43:Q43"/>
    <mergeCell ref="B56:Q56"/>
    <mergeCell ref="B57:Q57"/>
    <mergeCell ref="B44:Q44"/>
    <mergeCell ref="E46:F46"/>
    <mergeCell ref="G46:I46"/>
    <mergeCell ref="N60:O61"/>
    <mergeCell ref="N62:O62"/>
    <mergeCell ref="N63:O63"/>
    <mergeCell ref="N64:O64"/>
    <mergeCell ref="N65:O65"/>
    <mergeCell ref="L60:M61"/>
    <mergeCell ref="J65:K65"/>
    <mergeCell ref="M51:N51"/>
    <mergeCell ref="M52:N52"/>
    <mergeCell ref="M53:N53"/>
    <mergeCell ref="G52:J52"/>
    <mergeCell ref="G53:J53"/>
    <mergeCell ref="O46:P46"/>
    <mergeCell ref="B58:Q58"/>
    <mergeCell ref="J67:K67"/>
    <mergeCell ref="J68:K68"/>
    <mergeCell ref="D12:L12"/>
    <mergeCell ref="D13:L13"/>
    <mergeCell ref="N10:O10"/>
    <mergeCell ref="B20:C20"/>
    <mergeCell ref="N22:O22"/>
    <mergeCell ref="N23:O23"/>
    <mergeCell ref="B15:Q15"/>
    <mergeCell ref="B16:Q16"/>
    <mergeCell ref="B17:Q17"/>
    <mergeCell ref="B19:C19"/>
    <mergeCell ref="D19:L19"/>
    <mergeCell ref="D20:L20"/>
    <mergeCell ref="D22:L22"/>
    <mergeCell ref="N19:P19"/>
    <mergeCell ref="N20:P20"/>
    <mergeCell ref="D23:L24"/>
    <mergeCell ref="M54:N54"/>
    <mergeCell ref="M50:O50"/>
    <mergeCell ref="G50:K50"/>
    <mergeCell ref="G51:J51"/>
    <mergeCell ref="B2:Q2"/>
    <mergeCell ref="B4:Q4"/>
    <mergeCell ref="B6:Q6"/>
    <mergeCell ref="B7:Q7"/>
    <mergeCell ref="B9:C9"/>
    <mergeCell ref="D9:L9"/>
    <mergeCell ref="N9:O9"/>
    <mergeCell ref="B10:C10"/>
    <mergeCell ref="D10:L10"/>
    <mergeCell ref="B3:F3"/>
    <mergeCell ref="M3:Q3"/>
    <mergeCell ref="G3:L3"/>
    <mergeCell ref="B5:Q5"/>
    <mergeCell ref="E105:L105"/>
    <mergeCell ref="B101:Q101"/>
    <mergeCell ref="B102:Q102"/>
    <mergeCell ref="B103:Q103"/>
    <mergeCell ref="L63:M63"/>
    <mergeCell ref="L64:M64"/>
    <mergeCell ref="L65:M65"/>
    <mergeCell ref="E91:F91"/>
    <mergeCell ref="E95:F95"/>
    <mergeCell ref="J95:K95"/>
    <mergeCell ref="L95:M95"/>
    <mergeCell ref="N95:O95"/>
    <mergeCell ref="J89:K89"/>
    <mergeCell ref="L89:M89"/>
    <mergeCell ref="N89:O89"/>
    <mergeCell ref="N70:O70"/>
    <mergeCell ref="N71:O71"/>
    <mergeCell ref="L67:M67"/>
    <mergeCell ref="L68:M68"/>
    <mergeCell ref="L69:M69"/>
    <mergeCell ref="N66:O66"/>
    <mergeCell ref="E67:F67"/>
    <mergeCell ref="E68:F68"/>
    <mergeCell ref="E69:F69"/>
    <mergeCell ref="C67:D69"/>
    <mergeCell ref="E63:F63"/>
    <mergeCell ref="C46:D46"/>
    <mergeCell ref="C60:D61"/>
    <mergeCell ref="C62:D65"/>
    <mergeCell ref="E60:F61"/>
    <mergeCell ref="J63:K63"/>
    <mergeCell ref="J64:K64"/>
    <mergeCell ref="G60:H61"/>
    <mergeCell ref="G62:H62"/>
    <mergeCell ref="G63:H63"/>
    <mergeCell ref="G64:H64"/>
    <mergeCell ref="G65:H65"/>
    <mergeCell ref="G67:H67"/>
    <mergeCell ref="G68:H68"/>
    <mergeCell ref="G69:H69"/>
    <mergeCell ref="J66:M66"/>
    <mergeCell ref="C66:H66"/>
    <mergeCell ref="M46:N46"/>
    <mergeCell ref="K46:L46"/>
    <mergeCell ref="C48:D48"/>
    <mergeCell ref="E48:J48"/>
    <mergeCell ref="L48:N48"/>
    <mergeCell ref="C50:D50"/>
    <mergeCell ref="C132:G132"/>
    <mergeCell ref="L126:P126"/>
    <mergeCell ref="L127:P130"/>
    <mergeCell ref="L131:P131"/>
    <mergeCell ref="L132:P132"/>
    <mergeCell ref="N12:P12"/>
    <mergeCell ref="N13:P13"/>
    <mergeCell ref="C117:G117"/>
    <mergeCell ref="L108:P108"/>
    <mergeCell ref="C118:G121"/>
    <mergeCell ref="C122:G122"/>
    <mergeCell ref="C123:G123"/>
    <mergeCell ref="L118:P121"/>
    <mergeCell ref="L122:P122"/>
    <mergeCell ref="L123:P123"/>
    <mergeCell ref="L117:P117"/>
    <mergeCell ref="L109:P112"/>
    <mergeCell ref="L113:P113"/>
    <mergeCell ref="L114:P114"/>
    <mergeCell ref="L94:M94"/>
    <mergeCell ref="N94:O94"/>
    <mergeCell ref="C108:G108"/>
    <mergeCell ref="C109:G112"/>
    <mergeCell ref="C113:G113"/>
    <mergeCell ref="C131:G131"/>
    <mergeCell ref="C114:G114"/>
    <mergeCell ref="E90:F90"/>
    <mergeCell ref="N96:O96"/>
    <mergeCell ref="N97:O97"/>
    <mergeCell ref="N98:O98"/>
    <mergeCell ref="N99:O99"/>
    <mergeCell ref="J91:K91"/>
    <mergeCell ref="L91:M91"/>
    <mergeCell ref="N91:O91"/>
    <mergeCell ref="N92:O92"/>
    <mergeCell ref="C93:D95"/>
    <mergeCell ref="E93:F93"/>
    <mergeCell ref="J93:K93"/>
    <mergeCell ref="L93:M93"/>
    <mergeCell ref="N93:O93"/>
    <mergeCell ref="E94:F94"/>
    <mergeCell ref="J94:K94"/>
    <mergeCell ref="J90:K90"/>
    <mergeCell ref="L90:M90"/>
    <mergeCell ref="N90:O90"/>
    <mergeCell ref="C88:D91"/>
    <mergeCell ref="E88:F88"/>
    <mergeCell ref="J88:K88"/>
    <mergeCell ref="J70:M70"/>
    <mergeCell ref="J71:M71"/>
    <mergeCell ref="G86:H87"/>
    <mergeCell ref="G88:H88"/>
    <mergeCell ref="G89:H89"/>
    <mergeCell ref="G90:H90"/>
    <mergeCell ref="G91:H91"/>
    <mergeCell ref="C126:G126"/>
    <mergeCell ref="C127:G130"/>
    <mergeCell ref="B75:Q75"/>
    <mergeCell ref="B82:Q82"/>
    <mergeCell ref="B83:Q83"/>
    <mergeCell ref="B73:Q73"/>
    <mergeCell ref="B74:Q74"/>
    <mergeCell ref="B84:Q84"/>
    <mergeCell ref="C86:D87"/>
    <mergeCell ref="E86:F87"/>
    <mergeCell ref="J86:K87"/>
    <mergeCell ref="L86:M87"/>
    <mergeCell ref="N86:O87"/>
    <mergeCell ref="L88:M88"/>
    <mergeCell ref="N88:O88"/>
    <mergeCell ref="E89:F89"/>
    <mergeCell ref="B105:D105"/>
    <mergeCell ref="G93:H93"/>
    <mergeCell ref="G94:H94"/>
    <mergeCell ref="G95:H95"/>
    <mergeCell ref="J92:M92"/>
    <mergeCell ref="C92:H92"/>
    <mergeCell ref="J96:M96"/>
    <mergeCell ref="J97:M97"/>
    <mergeCell ref="J98:M98"/>
    <mergeCell ref="J99:M99"/>
  </mergeCells>
  <dataValidations count="3">
    <dataValidation type="list" allowBlank="1" showInputMessage="1" showErrorMessage="1" sqref="O48" xr:uid="{40D3831A-C8D8-414D-A19C-AFF9C76EF0A2}">
      <formula1>"NÃO,SIM"</formula1>
    </dataValidation>
    <dataValidation type="whole" operator="greaterThanOrEqual" allowBlank="1" showInputMessage="1" showErrorMessage="1" sqref="K51:K53 E50" xr:uid="{F72E10EB-2F6F-45AC-900C-8FDD1B4B8038}">
      <formula1>0</formula1>
    </dataValidation>
    <dataValidation type="decimal" operator="greaterThanOrEqual" allowBlank="1" showInputMessage="1" showErrorMessage="1" sqref="O51 O53:O54" xr:uid="{CE1407EF-F5E3-4599-87A4-943F8EB4BFAE}">
      <formula1>0</formula1>
    </dataValidation>
  </dataValidations>
  <pageMargins left="0.59055118110236227" right="0.59055118110236227" top="0.59055118110236227" bottom="0.39370078740157483" header="0.59055118110236227" footer="0.39370078740157483"/>
  <pageSetup paperSize="9" scale="74" fitToHeight="0" orientation="portrait" verticalDpi="1200" r:id="rId1"/>
  <ignoredErrors>
    <ignoredError sqref="E105" unlockedFormula="1"/>
    <ignoredError sqref="J63 J68 L63 L68 L89 L94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9879AE8-2D73-4896-9037-FCE3971C23C9}">
          <x14:formula1>
            <xm:f>'Custos Inspeções'!$B$10:$B$12</xm:f>
          </x14:formula1>
          <xm:sqref>E48:J48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AB635-1E6F-40BD-AEF5-16F2741104B8}">
  <dimension ref="B1:N53"/>
  <sheetViews>
    <sheetView tabSelected="1" topLeftCell="A15" zoomScaleNormal="100" workbookViewId="0">
      <selection activeCell="J35" sqref="J35"/>
    </sheetView>
  </sheetViews>
  <sheetFormatPr defaultRowHeight="15"/>
  <cols>
    <col min="1" max="1" width="1.7109375" customWidth="1"/>
    <col min="2" max="2" width="8.7109375" customWidth="1"/>
    <col min="3" max="3" width="12.7109375" customWidth="1"/>
    <col min="4" max="4" width="8.7109375" customWidth="1"/>
    <col min="5" max="5" width="12.7109375" customWidth="1"/>
    <col min="6" max="6" width="2.7109375" customWidth="1"/>
    <col min="7" max="7" width="8.7109375" customWidth="1"/>
    <col min="8" max="8" width="12.7109375" customWidth="1"/>
    <col min="9" max="9" width="8.7109375" customWidth="1"/>
    <col min="10" max="10" width="14.42578125" customWidth="1"/>
    <col min="11" max="11" width="1.7109375" customWidth="1"/>
    <col min="14" max="14" width="14.28515625" bestFit="1" customWidth="1"/>
  </cols>
  <sheetData>
    <row r="1" spans="2:10" ht="8.1" customHeight="1" thickBot="1"/>
    <row r="2" spans="2:10" ht="20.25" thickTop="1" thickBot="1">
      <c r="B2" s="395" t="s">
        <v>107</v>
      </c>
      <c r="C2" s="396"/>
      <c r="D2" s="396"/>
      <c r="E2" s="396"/>
      <c r="F2" s="396"/>
      <c r="G2" s="396"/>
      <c r="H2" s="396"/>
      <c r="I2" s="396"/>
      <c r="J2" s="397"/>
    </row>
    <row r="3" spans="2:10" ht="15.75" thickTop="1"/>
    <row r="4" spans="2:10" ht="15.75" thickBot="1"/>
    <row r="5" spans="2:10" ht="15.75" thickBot="1">
      <c r="B5" s="398" t="s">
        <v>108</v>
      </c>
      <c r="C5" s="399"/>
      <c r="D5" s="399"/>
      <c r="E5" s="168">
        <v>6</v>
      </c>
    </row>
    <row r="6" spans="2:10" ht="15.75" thickBot="1"/>
    <row r="7" spans="2:10" ht="16.5" customHeight="1" thickBot="1">
      <c r="B7" s="374" t="s">
        <v>109</v>
      </c>
      <c r="C7" s="375"/>
      <c r="D7" s="375"/>
      <c r="E7" s="376"/>
      <c r="G7" s="381" t="s">
        <v>110</v>
      </c>
      <c r="H7" s="382"/>
      <c r="I7" s="382"/>
      <c r="J7" s="383"/>
    </row>
    <row r="8" spans="2:10" ht="15.75" customHeight="1" thickBot="1">
      <c r="B8" s="398" t="s">
        <v>111</v>
      </c>
      <c r="C8" s="399"/>
      <c r="D8" s="169" t="s">
        <v>112</v>
      </c>
      <c r="E8" s="170" t="s">
        <v>113</v>
      </c>
      <c r="G8" s="384"/>
      <c r="H8" s="385"/>
      <c r="I8" s="385"/>
      <c r="J8" s="386"/>
    </row>
    <row r="9" spans="2:10" ht="15.75" thickBot="1">
      <c r="B9" s="400" t="s">
        <v>114</v>
      </c>
      <c r="C9" s="401"/>
      <c r="D9" s="171">
        <f>IF(AND(C23=0,E23=0),0,(E23-C23+1)*8)</f>
        <v>48</v>
      </c>
      <c r="E9" s="174">
        <f>(('Custos Inspeções'!$D$17*(E24+E25))+('Custos Inspeções'!$D$18*(E26)))*D9</f>
        <v>28800</v>
      </c>
      <c r="G9" s="387" t="s">
        <v>112</v>
      </c>
      <c r="H9" s="388"/>
      <c r="I9" s="389">
        <f>SUM(D9:D18)</f>
        <v>240</v>
      </c>
      <c r="J9" s="390"/>
    </row>
    <row r="10" spans="2:10" ht="15.75" thickBot="1">
      <c r="B10" s="402" t="s">
        <v>115</v>
      </c>
      <c r="C10" s="403"/>
      <c r="D10" s="172">
        <f>IF(AND(H23=0,J23=0),0,(J23-H23+1)*8)</f>
        <v>48</v>
      </c>
      <c r="E10" s="176">
        <f>(('Custos Inspeções'!$D$17*(J24+J25))+('Custos Inspeções'!$D$18*(J26)))*D10</f>
        <v>28800</v>
      </c>
      <c r="G10" s="388"/>
      <c r="H10" s="388"/>
      <c r="I10" s="391"/>
      <c r="J10" s="392"/>
    </row>
    <row r="11" spans="2:10" ht="15.75" thickBot="1">
      <c r="B11" s="402" t="s">
        <v>116</v>
      </c>
      <c r="C11" s="403"/>
      <c r="D11" s="172">
        <f>IF(AND(C29=0,E29=0),0,(E29-C29+1)*8)</f>
        <v>40</v>
      </c>
      <c r="E11" s="176">
        <f>(('Custos Inspeções'!$D$17*(E30+E31))+('Custos Inspeções'!$D$18*(E32)))*D11</f>
        <v>24000</v>
      </c>
      <c r="G11" s="387" t="s">
        <v>113</v>
      </c>
      <c r="H11" s="388"/>
      <c r="I11" s="393">
        <f>SUM(E9:E18)</f>
        <v>144000</v>
      </c>
      <c r="J11" s="394"/>
    </row>
    <row r="12" spans="2:10" ht="15.75" thickBot="1">
      <c r="B12" s="402" t="s">
        <v>117</v>
      </c>
      <c r="C12" s="403"/>
      <c r="D12" s="172">
        <f>IF(AND(H29=0,J29=0),0,(J29-H29+1)*8)</f>
        <v>48</v>
      </c>
      <c r="E12" s="176">
        <f>(('Custos Inspeções'!$D$17*(J30+J31))+('Custos Inspeções'!$D$18*(J32)))*D12</f>
        <v>28800</v>
      </c>
      <c r="G12" s="388"/>
      <c r="H12" s="388"/>
      <c r="I12" s="394"/>
      <c r="J12" s="394"/>
    </row>
    <row r="13" spans="2:10">
      <c r="B13" s="402" t="s">
        <v>118</v>
      </c>
      <c r="C13" s="403"/>
      <c r="D13" s="172">
        <f>IF(AND(C35=0,E35=0),0,(E35-C35+1)*8)</f>
        <v>48</v>
      </c>
      <c r="E13" s="176">
        <f>(('Custos Inspeções'!$D$17*(E36+E37))+('Custos Inspeções'!$D$18*(E38)))*D13</f>
        <v>28800</v>
      </c>
    </row>
    <row r="14" spans="2:10" ht="15.75" thickBot="1">
      <c r="B14" s="402" t="s">
        <v>119</v>
      </c>
      <c r="C14" s="403"/>
      <c r="D14" s="172">
        <f>IF(AND(H35=0,J35=0),0,(J35-H35+1)*8)</f>
        <v>8</v>
      </c>
      <c r="E14" s="176">
        <f>(('Custos Inspeções'!$D$17*(J36+J37))+('Custos Inspeções'!$D$18*(J38)))*D14</f>
        <v>4800</v>
      </c>
    </row>
    <row r="15" spans="2:10" ht="16.5" thickBot="1">
      <c r="B15" s="402" t="s">
        <v>120</v>
      </c>
      <c r="C15" s="403"/>
      <c r="D15" s="172">
        <f>IF(AND(C41=0,E41=0),0,(E41-C41+1)*8)</f>
        <v>0</v>
      </c>
      <c r="E15" s="176">
        <f>(('Custos Inspeções'!$D$17*(E42+E43))+('Custos Inspeções'!$D$18*(E44)))*D15</f>
        <v>0</v>
      </c>
      <c r="G15" s="374" t="s">
        <v>121</v>
      </c>
      <c r="H15" s="375"/>
      <c r="I15" s="375"/>
      <c r="J15" s="376"/>
    </row>
    <row r="16" spans="2:10" ht="15.75" thickBot="1">
      <c r="B16" s="402" t="s">
        <v>122</v>
      </c>
      <c r="C16" s="403"/>
      <c r="D16" s="172">
        <f>IF(AND(H41=0,J41=0),0,(J41-H41+1)*8)</f>
        <v>0</v>
      </c>
      <c r="E16" s="176">
        <f>(('Custos Inspeções'!$D$17*(J42+J43))+('Custos Inspeções'!$D$18*(J44)))*D16</f>
        <v>0</v>
      </c>
      <c r="G16" s="185" t="s">
        <v>123</v>
      </c>
      <c r="H16" s="180" t="s">
        <v>124</v>
      </c>
      <c r="I16" s="178" t="s">
        <v>112</v>
      </c>
      <c r="J16" s="179" t="s">
        <v>113</v>
      </c>
    </row>
    <row r="17" spans="2:14">
      <c r="B17" s="402" t="s">
        <v>125</v>
      </c>
      <c r="C17" s="403"/>
      <c r="D17" s="172">
        <f>IF(AND(C47=0,E47=0),0,(E47-C47+1)*8)</f>
        <v>0</v>
      </c>
      <c r="E17" s="176">
        <f>(('Custos Inspeções'!$D$17*(E48+E49))+('Custos Inspeções'!$D$18*(E50)))*D17</f>
        <v>0</v>
      </c>
      <c r="G17" s="183">
        <f>SUM(E24:E25,J24:J25,E30:E31,J30:J31,E36:E37,J36:J37,E42:E43,J42:J43,E48:E49,J48:J49)</f>
        <v>6</v>
      </c>
      <c r="H17" s="181" t="s">
        <v>126</v>
      </c>
      <c r="I17" s="181">
        <f>(IF(SUM(E24:E25)&gt;0,IF(AND(C23=0,E23=0),0,(E23-C23+1)),0)+IF(SUM(J24:J25)&gt;0,IF(AND(H23=0,J23=0),0,(J23-H23+1)),0)+IF(SUM(E30:E31)&gt;0,IF(AND(C29=0,E29=0),0,(E29-C29+1)),0)+IF(SUM(J30:J31)&gt;0,IF(AND(H29=0,J29=0),0,(J29-H29+1)),0)+IF(SUM(E36:E37)&gt;0,IF(AND(C35=0,E35=0),0,(E35-C35+1)),0)+IF(SUM(J36:J37)&gt;0,IF(AND(H35=0,J35=0),0,(J35-H35+1)),0)+IF(SUM(E42:E43)&gt;0,IF(AND(C41=0,E41=0),0,(E41-C41+1)),0)+IF(SUM(J42:J43)&gt;0,IF(AND(H41=0,J41=0),0,(J41-H41+1)),0)+IF(SUM(E48:E49)&gt;0,IF(AND(C47=0,E47=0),0,(E47-C47+1)),0)+IF(SUM(J48:J49)&gt;0,IF(AND(H47=0,J47=0),0,(J47-H47+1)),0))*8</f>
        <v>240</v>
      </c>
      <c r="J17" s="186">
        <f>I17*'Custos Inspeções'!D17</f>
        <v>144000</v>
      </c>
    </row>
    <row r="18" spans="2:14" ht="15.75" thickBot="1">
      <c r="B18" s="404" t="s">
        <v>127</v>
      </c>
      <c r="C18" s="405"/>
      <c r="D18" s="173">
        <f>IF(AND(H47=0,J47=0),0,(J47-H47+1)*8)</f>
        <v>0</v>
      </c>
      <c r="E18" s="177">
        <f>(('Custos Inspeções'!$D$17*(J48+J49))+('Custos Inspeções'!$D$18*(J50)))*D18</f>
        <v>0</v>
      </c>
      <c r="G18" s="184">
        <f>SUM(E26,J26,E32,J32,E38,J38,E44,J44,E50,J50)</f>
        <v>0</v>
      </c>
      <c r="H18" s="182" t="s">
        <v>128</v>
      </c>
      <c r="I18" s="182">
        <f>(IF(E26&gt;0,IF(AND(C23=0,E23=0),0,(E23-C23+1)),0)+IF(J26&gt;0,IF(AND(H23=0,J23=0),0,(J23-H23+1)),0)+IF(E32&gt;0,IF(AND(C29=0,E29=0),0,(E29-C29+1)),0)+IF(J32&gt;0,IF(AND(H29=0,J29=0),0,(J29-H29+1)),0)+IF(E38&gt;0,IF(AND(C35=0,E35=0),0,(E35-C35+1)),0)+IF(J38&gt;0,IF(AND(H35=0,J35=0),0,(J35-H35+1)),0)+IF(E44&gt;0,IF(AND(C41=0,E41=0),0,(E41-C41+1)),0)+IF(J44&gt;0,IF(AND(H41=0,J41=0),0,(J41-H41+1)),0)+IF(E50&gt;0,IF(AND(C47=0,E47=0),0,(E47-C47+1)),0)+IF(J50&gt;0,IF(AND(H47=0,J47=0),0,(J47-H47+1)),0))*8</f>
        <v>0</v>
      </c>
      <c r="J18" s="187">
        <f>I18*'Custos Inspeções'!D18</f>
        <v>0</v>
      </c>
    </row>
    <row r="19" spans="2:14" ht="15.75" thickBot="1"/>
    <row r="20" spans="2:14" ht="16.5" thickBot="1">
      <c r="B20" s="374" t="s">
        <v>129</v>
      </c>
      <c r="C20" s="375"/>
      <c r="D20" s="375"/>
      <c r="E20" s="376"/>
      <c r="G20" s="190"/>
    </row>
    <row r="21" spans="2:14" ht="15.75" thickBot="1">
      <c r="N21" s="349"/>
    </row>
    <row r="22" spans="2:14" ht="15.75" thickBot="1">
      <c r="B22" s="371" t="s">
        <v>130</v>
      </c>
      <c r="C22" s="372"/>
      <c r="D22" s="372"/>
      <c r="E22" s="373"/>
      <c r="G22" s="371" t="s">
        <v>131</v>
      </c>
      <c r="H22" s="372"/>
      <c r="I22" s="372"/>
      <c r="J22" s="373"/>
    </row>
    <row r="23" spans="2:14" ht="30">
      <c r="B23" s="162" t="s">
        <v>58</v>
      </c>
      <c r="C23" s="163">
        <v>46237</v>
      </c>
      <c r="D23" s="164" t="s">
        <v>59</v>
      </c>
      <c r="E23" s="165">
        <v>46242</v>
      </c>
      <c r="G23" s="162" t="s">
        <v>58</v>
      </c>
      <c r="H23" s="163">
        <v>46237</v>
      </c>
      <c r="I23" s="164" t="s">
        <v>59</v>
      </c>
      <c r="J23" s="165">
        <v>46242</v>
      </c>
    </row>
    <row r="24" spans="2:14">
      <c r="B24" s="377" t="s">
        <v>66</v>
      </c>
      <c r="C24" s="378"/>
      <c r="D24" s="378"/>
      <c r="E24" s="166">
        <v>1</v>
      </c>
      <c r="G24" s="377" t="s">
        <v>66</v>
      </c>
      <c r="H24" s="378"/>
      <c r="I24" s="378"/>
      <c r="J24" s="166">
        <v>1</v>
      </c>
    </row>
    <row r="25" spans="2:14">
      <c r="B25" s="377" t="s">
        <v>68</v>
      </c>
      <c r="C25" s="378"/>
      <c r="D25" s="378"/>
      <c r="E25" s="166">
        <v>0</v>
      </c>
      <c r="G25" s="377" t="s">
        <v>68</v>
      </c>
      <c r="H25" s="378"/>
      <c r="I25" s="378"/>
      <c r="J25" s="166">
        <v>0</v>
      </c>
    </row>
    <row r="26" spans="2:14" ht="15.75" thickBot="1">
      <c r="B26" s="379" t="s">
        <v>70</v>
      </c>
      <c r="C26" s="380"/>
      <c r="D26" s="380"/>
      <c r="E26" s="167">
        <v>0</v>
      </c>
      <c r="G26" s="379" t="s">
        <v>70</v>
      </c>
      <c r="H26" s="380"/>
      <c r="I26" s="380"/>
      <c r="J26" s="167">
        <v>0</v>
      </c>
    </row>
    <row r="27" spans="2:14" ht="15.75" thickBot="1"/>
    <row r="28" spans="2:14" ht="15.75" thickBot="1">
      <c r="B28" s="371" t="s">
        <v>132</v>
      </c>
      <c r="C28" s="372"/>
      <c r="D28" s="372"/>
      <c r="E28" s="373"/>
      <c r="G28" s="371" t="s">
        <v>133</v>
      </c>
      <c r="H28" s="372"/>
      <c r="I28" s="372"/>
      <c r="J28" s="373"/>
    </row>
    <row r="29" spans="2:14" ht="30">
      <c r="B29" s="162" t="s">
        <v>58</v>
      </c>
      <c r="C29" s="163">
        <v>46237</v>
      </c>
      <c r="D29" s="164" t="s">
        <v>59</v>
      </c>
      <c r="E29" s="165">
        <v>46241</v>
      </c>
      <c r="G29" s="162" t="s">
        <v>58</v>
      </c>
      <c r="H29" s="163">
        <v>46237</v>
      </c>
      <c r="I29" s="164" t="s">
        <v>59</v>
      </c>
      <c r="J29" s="165">
        <v>46242</v>
      </c>
    </row>
    <row r="30" spans="2:14">
      <c r="B30" s="377" t="s">
        <v>66</v>
      </c>
      <c r="C30" s="378"/>
      <c r="D30" s="378"/>
      <c r="E30" s="166">
        <v>1</v>
      </c>
      <c r="G30" s="377" t="s">
        <v>66</v>
      </c>
      <c r="H30" s="378"/>
      <c r="I30" s="378"/>
      <c r="J30" s="166">
        <v>1</v>
      </c>
    </row>
    <row r="31" spans="2:14">
      <c r="B31" s="377" t="s">
        <v>68</v>
      </c>
      <c r="C31" s="378"/>
      <c r="D31" s="378"/>
      <c r="E31" s="166">
        <v>0</v>
      </c>
      <c r="G31" s="377" t="s">
        <v>68</v>
      </c>
      <c r="H31" s="378"/>
      <c r="I31" s="378"/>
      <c r="J31" s="166">
        <v>0</v>
      </c>
    </row>
    <row r="32" spans="2:14" ht="15.75" thickBot="1">
      <c r="B32" s="379" t="s">
        <v>70</v>
      </c>
      <c r="C32" s="380"/>
      <c r="D32" s="380"/>
      <c r="E32" s="167">
        <v>0</v>
      </c>
      <c r="G32" s="379" t="s">
        <v>70</v>
      </c>
      <c r="H32" s="380"/>
      <c r="I32" s="380"/>
      <c r="J32" s="167">
        <v>0</v>
      </c>
    </row>
    <row r="33" spans="2:10" ht="15.75" thickBot="1">
      <c r="B33" s="36"/>
    </row>
    <row r="34" spans="2:10" ht="15.75" thickBot="1">
      <c r="B34" s="371" t="s">
        <v>134</v>
      </c>
      <c r="C34" s="372"/>
      <c r="D34" s="372"/>
      <c r="E34" s="373"/>
      <c r="G34" s="371" t="s">
        <v>135</v>
      </c>
      <c r="H34" s="372"/>
      <c r="I34" s="372"/>
      <c r="J34" s="373"/>
    </row>
    <row r="35" spans="2:10" ht="30">
      <c r="B35" s="162" t="s">
        <v>58</v>
      </c>
      <c r="C35" s="163">
        <v>46237</v>
      </c>
      <c r="D35" s="164" t="s">
        <v>59</v>
      </c>
      <c r="E35" s="165">
        <v>46242</v>
      </c>
      <c r="G35" s="162" t="s">
        <v>58</v>
      </c>
      <c r="H35" s="163">
        <v>46237</v>
      </c>
      <c r="I35" s="164" t="s">
        <v>59</v>
      </c>
      <c r="J35" s="163">
        <v>46237</v>
      </c>
    </row>
    <row r="36" spans="2:10">
      <c r="B36" s="377" t="s">
        <v>66</v>
      </c>
      <c r="C36" s="378"/>
      <c r="D36" s="378"/>
      <c r="E36" s="166">
        <v>1</v>
      </c>
      <c r="G36" s="377" t="s">
        <v>66</v>
      </c>
      <c r="H36" s="378"/>
      <c r="I36" s="378"/>
      <c r="J36" s="166">
        <v>1</v>
      </c>
    </row>
    <row r="37" spans="2:10">
      <c r="B37" s="377" t="s">
        <v>68</v>
      </c>
      <c r="C37" s="378"/>
      <c r="D37" s="378"/>
      <c r="E37" s="166">
        <v>0</v>
      </c>
      <c r="G37" s="377" t="s">
        <v>68</v>
      </c>
      <c r="H37" s="378"/>
      <c r="I37" s="378"/>
      <c r="J37" s="166">
        <v>0</v>
      </c>
    </row>
    <row r="38" spans="2:10" ht="15.75" thickBot="1">
      <c r="B38" s="379" t="s">
        <v>70</v>
      </c>
      <c r="C38" s="380"/>
      <c r="D38" s="380"/>
      <c r="E38" s="167">
        <v>0</v>
      </c>
      <c r="G38" s="379" t="s">
        <v>70</v>
      </c>
      <c r="H38" s="380"/>
      <c r="I38" s="380"/>
      <c r="J38" s="167">
        <v>0</v>
      </c>
    </row>
    <row r="39" spans="2:10" ht="15.75" thickBot="1">
      <c r="B39" s="36"/>
    </row>
    <row r="40" spans="2:10" ht="15.75" thickBot="1">
      <c r="B40" s="371" t="s">
        <v>136</v>
      </c>
      <c r="C40" s="372"/>
      <c r="D40" s="372"/>
      <c r="E40" s="373"/>
      <c r="G40" s="371" t="s">
        <v>137</v>
      </c>
      <c r="H40" s="372"/>
      <c r="I40" s="372"/>
      <c r="J40" s="373"/>
    </row>
    <row r="41" spans="2:10" ht="30">
      <c r="B41" s="162" t="s">
        <v>58</v>
      </c>
      <c r="C41" s="163"/>
      <c r="D41" s="164" t="s">
        <v>59</v>
      </c>
      <c r="E41" s="165"/>
      <c r="G41" s="162" t="s">
        <v>58</v>
      </c>
      <c r="H41" s="163"/>
      <c r="I41" s="164" t="s">
        <v>59</v>
      </c>
      <c r="J41" s="165"/>
    </row>
    <row r="42" spans="2:10">
      <c r="B42" s="377" t="s">
        <v>66</v>
      </c>
      <c r="C42" s="378"/>
      <c r="D42" s="378"/>
      <c r="E42" s="166">
        <v>0</v>
      </c>
      <c r="G42" s="377" t="s">
        <v>66</v>
      </c>
      <c r="H42" s="378"/>
      <c r="I42" s="378"/>
      <c r="J42" s="166">
        <v>0</v>
      </c>
    </row>
    <row r="43" spans="2:10">
      <c r="B43" s="377" t="s">
        <v>68</v>
      </c>
      <c r="C43" s="378"/>
      <c r="D43" s="378"/>
      <c r="E43" s="166">
        <v>0</v>
      </c>
      <c r="G43" s="377" t="s">
        <v>68</v>
      </c>
      <c r="H43" s="378"/>
      <c r="I43" s="378"/>
      <c r="J43" s="166">
        <v>0</v>
      </c>
    </row>
    <row r="44" spans="2:10" ht="15.75" thickBot="1">
      <c r="B44" s="379" t="s">
        <v>70</v>
      </c>
      <c r="C44" s="380"/>
      <c r="D44" s="380"/>
      <c r="E44" s="167">
        <v>0</v>
      </c>
      <c r="G44" s="379" t="s">
        <v>70</v>
      </c>
      <c r="H44" s="380"/>
      <c r="I44" s="380"/>
      <c r="J44" s="167">
        <v>0</v>
      </c>
    </row>
    <row r="45" spans="2:10" ht="15.75" thickBot="1">
      <c r="B45" s="36"/>
    </row>
    <row r="46" spans="2:10" ht="15.75" thickBot="1">
      <c r="B46" s="371" t="s">
        <v>138</v>
      </c>
      <c r="C46" s="372"/>
      <c r="D46" s="372"/>
      <c r="E46" s="373"/>
      <c r="G46" s="371" t="s">
        <v>139</v>
      </c>
      <c r="H46" s="372"/>
      <c r="I46" s="372"/>
      <c r="J46" s="373"/>
    </row>
    <row r="47" spans="2:10" ht="30">
      <c r="B47" s="162" t="s">
        <v>58</v>
      </c>
      <c r="C47" s="163"/>
      <c r="D47" s="164" t="s">
        <v>59</v>
      </c>
      <c r="E47" s="165"/>
      <c r="G47" s="162" t="s">
        <v>58</v>
      </c>
      <c r="H47" s="163"/>
      <c r="I47" s="164" t="s">
        <v>59</v>
      </c>
      <c r="J47" s="165"/>
    </row>
    <row r="48" spans="2:10">
      <c r="B48" s="377" t="s">
        <v>66</v>
      </c>
      <c r="C48" s="378"/>
      <c r="D48" s="378"/>
      <c r="E48" s="166">
        <v>0</v>
      </c>
      <c r="G48" s="377" t="s">
        <v>66</v>
      </c>
      <c r="H48" s="378"/>
      <c r="I48" s="378"/>
      <c r="J48" s="166">
        <v>0</v>
      </c>
    </row>
    <row r="49" spans="2:10">
      <c r="B49" s="377" t="s">
        <v>68</v>
      </c>
      <c r="C49" s="378"/>
      <c r="D49" s="378"/>
      <c r="E49" s="166">
        <v>0</v>
      </c>
      <c r="G49" s="377" t="s">
        <v>68</v>
      </c>
      <c r="H49" s="378"/>
      <c r="I49" s="378"/>
      <c r="J49" s="166">
        <v>0</v>
      </c>
    </row>
    <row r="50" spans="2:10" ht="15.75" thickBot="1">
      <c r="B50" s="379" t="s">
        <v>70</v>
      </c>
      <c r="C50" s="380"/>
      <c r="D50" s="380"/>
      <c r="E50" s="167">
        <v>0</v>
      </c>
      <c r="G50" s="379" t="s">
        <v>70</v>
      </c>
      <c r="H50" s="380"/>
      <c r="I50" s="380"/>
      <c r="J50" s="167">
        <v>0</v>
      </c>
    </row>
    <row r="51" spans="2:10">
      <c r="B51" s="36"/>
    </row>
    <row r="52" spans="2:10">
      <c r="B52" s="36"/>
    </row>
    <row r="53" spans="2:10">
      <c r="B53" s="36"/>
    </row>
  </sheetData>
  <mergeCells count="61">
    <mergeCell ref="B10:C10"/>
    <mergeCell ref="B11:C11"/>
    <mergeCell ref="B12:C12"/>
    <mergeCell ref="B13:C13"/>
    <mergeCell ref="B5:D5"/>
    <mergeCell ref="B2:J2"/>
    <mergeCell ref="B7:E7"/>
    <mergeCell ref="B8:C8"/>
    <mergeCell ref="B9:C9"/>
    <mergeCell ref="G48:I48"/>
    <mergeCell ref="B28:E28"/>
    <mergeCell ref="B30:D30"/>
    <mergeCell ref="B31:D31"/>
    <mergeCell ref="B32:D32"/>
    <mergeCell ref="B34:E34"/>
    <mergeCell ref="B14:C14"/>
    <mergeCell ref="B15:C15"/>
    <mergeCell ref="B16:C16"/>
    <mergeCell ref="B17:C17"/>
    <mergeCell ref="B18:C18"/>
    <mergeCell ref="B20:E20"/>
    <mergeCell ref="G49:I49"/>
    <mergeCell ref="G50:I50"/>
    <mergeCell ref="G42:I42"/>
    <mergeCell ref="G43:I43"/>
    <mergeCell ref="B49:D49"/>
    <mergeCell ref="B50:D50"/>
    <mergeCell ref="B42:D42"/>
    <mergeCell ref="B43:D43"/>
    <mergeCell ref="B44:D44"/>
    <mergeCell ref="B46:E46"/>
    <mergeCell ref="B48:D48"/>
    <mergeCell ref="G44:I44"/>
    <mergeCell ref="G46:J46"/>
    <mergeCell ref="B22:E22"/>
    <mergeCell ref="B24:D24"/>
    <mergeCell ref="B25:D25"/>
    <mergeCell ref="B26:D26"/>
    <mergeCell ref="B36:D36"/>
    <mergeCell ref="B37:D37"/>
    <mergeCell ref="B38:D38"/>
    <mergeCell ref="B40:E40"/>
    <mergeCell ref="G30:I30"/>
    <mergeCell ref="G31:I31"/>
    <mergeCell ref="G32:I32"/>
    <mergeCell ref="G34:J34"/>
    <mergeCell ref="G36:I36"/>
    <mergeCell ref="G37:I37"/>
    <mergeCell ref="G38:I38"/>
    <mergeCell ref="G40:J40"/>
    <mergeCell ref="G7:J8"/>
    <mergeCell ref="G9:H10"/>
    <mergeCell ref="G11:H12"/>
    <mergeCell ref="I9:J10"/>
    <mergeCell ref="I11:J12"/>
    <mergeCell ref="G28:J28"/>
    <mergeCell ref="G15:J15"/>
    <mergeCell ref="G22:J22"/>
    <mergeCell ref="G24:I24"/>
    <mergeCell ref="G25:I25"/>
    <mergeCell ref="G26:I26"/>
  </mergeCells>
  <dataValidations count="1">
    <dataValidation type="whole" operator="greaterThanOrEqual" allowBlank="1" showInputMessage="1" showErrorMessage="1" sqref="E24:E26 E30:E32 E36:E38 E42:E44 E48:E50 J24:J26 J30:J32 J36:J38 J42:J44 J48:J50" xr:uid="{20625706-5083-4BD4-8ABA-42E273315C1B}">
      <formula1>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ignoredErrors>
    <ignoredError sqref="G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48F18-AD00-469E-82A1-1FA9D80B5414}">
  <dimension ref="B1:E41"/>
  <sheetViews>
    <sheetView topLeftCell="A4" zoomScaleNormal="100" workbookViewId="0"/>
  </sheetViews>
  <sheetFormatPr defaultColWidth="9.140625" defaultRowHeight="15"/>
  <cols>
    <col min="1" max="1" width="1.7109375" style="95" customWidth="1"/>
    <col min="2" max="2" width="7.7109375" style="95" customWidth="1"/>
    <col min="3" max="3" width="70.7109375" style="95" customWidth="1"/>
    <col min="4" max="5" width="15.7109375" style="95" customWidth="1"/>
    <col min="6" max="16384" width="9.140625" style="95"/>
  </cols>
  <sheetData>
    <row r="1" spans="2:5" ht="8.1" customHeight="1" thickBot="1"/>
    <row r="2" spans="2:5" ht="24.95" customHeight="1" thickBot="1">
      <c r="B2" s="698" t="s">
        <v>140</v>
      </c>
      <c r="C2" s="699"/>
      <c r="D2" s="699"/>
      <c r="E2" s="700"/>
    </row>
    <row r="3" spans="2:5" ht="48" thickBot="1">
      <c r="B3" s="128" t="s">
        <v>141</v>
      </c>
      <c r="C3" s="128" t="s">
        <v>142</v>
      </c>
      <c r="D3" s="128" t="s">
        <v>143</v>
      </c>
      <c r="E3" s="128" t="s">
        <v>144</v>
      </c>
    </row>
    <row r="4" spans="2:5" ht="24.95" customHeight="1" thickBot="1">
      <c r="B4" s="701" t="s">
        <v>145</v>
      </c>
      <c r="C4" s="702"/>
      <c r="D4" s="702"/>
      <c r="E4" s="703"/>
    </row>
    <row r="5" spans="2:5" ht="30">
      <c r="B5" s="96" t="s">
        <v>146</v>
      </c>
      <c r="C5" s="99" t="s">
        <v>147</v>
      </c>
      <c r="D5" s="107" t="s">
        <v>148</v>
      </c>
      <c r="E5" s="104" t="s">
        <v>149</v>
      </c>
    </row>
    <row r="6" spans="2:5" ht="60">
      <c r="B6" s="97" t="s">
        <v>150</v>
      </c>
      <c r="C6" s="100" t="s">
        <v>151</v>
      </c>
      <c r="D6" s="108" t="s">
        <v>152</v>
      </c>
      <c r="E6" s="105" t="s">
        <v>149</v>
      </c>
    </row>
    <row r="7" spans="2:5" ht="30">
      <c r="B7" s="97" t="s">
        <v>153</v>
      </c>
      <c r="C7" s="100" t="s">
        <v>154</v>
      </c>
      <c r="D7" s="108" t="s">
        <v>152</v>
      </c>
      <c r="E7" s="105" t="s">
        <v>149</v>
      </c>
    </row>
    <row r="8" spans="2:5" ht="45">
      <c r="B8" s="97" t="s">
        <v>155</v>
      </c>
      <c r="C8" s="100" t="s">
        <v>156</v>
      </c>
      <c r="D8" s="108" t="s">
        <v>157</v>
      </c>
      <c r="E8" s="105" t="s">
        <v>149</v>
      </c>
    </row>
    <row r="9" spans="2:5" ht="45">
      <c r="B9" s="97" t="s">
        <v>158</v>
      </c>
      <c r="C9" s="100" t="s">
        <v>159</v>
      </c>
      <c r="D9" s="108" t="s">
        <v>152</v>
      </c>
      <c r="E9" s="105" t="s">
        <v>149</v>
      </c>
    </row>
    <row r="10" spans="2:5" ht="30.75" thickBot="1">
      <c r="B10" s="98" t="s">
        <v>160</v>
      </c>
      <c r="C10" s="101" t="s">
        <v>161</v>
      </c>
      <c r="D10" s="109" t="s">
        <v>148</v>
      </c>
      <c r="E10" s="106" t="s">
        <v>149</v>
      </c>
    </row>
    <row r="11" spans="2:5" ht="24.95" customHeight="1" thickBot="1">
      <c r="B11" s="704" t="s">
        <v>162</v>
      </c>
      <c r="C11" s="705"/>
      <c r="D11" s="705"/>
      <c r="E11" s="706"/>
    </row>
    <row r="12" spans="2:5" ht="30">
      <c r="B12" s="96" t="s">
        <v>163</v>
      </c>
      <c r="C12" s="99" t="s">
        <v>164</v>
      </c>
      <c r="D12" s="107" t="s">
        <v>157</v>
      </c>
      <c r="E12" s="104" t="s">
        <v>149</v>
      </c>
    </row>
    <row r="13" spans="2:5" ht="30">
      <c r="B13" s="97" t="s">
        <v>165</v>
      </c>
      <c r="C13" s="100" t="s">
        <v>166</v>
      </c>
      <c r="D13" s="108" t="s">
        <v>152</v>
      </c>
      <c r="E13" s="105" t="s">
        <v>149</v>
      </c>
    </row>
    <row r="14" spans="2:5" ht="30" customHeight="1">
      <c r="B14" s="97" t="s">
        <v>167</v>
      </c>
      <c r="C14" s="100" t="s">
        <v>168</v>
      </c>
      <c r="D14" s="108" t="s">
        <v>148</v>
      </c>
      <c r="E14" s="105" t="s">
        <v>149</v>
      </c>
    </row>
    <row r="15" spans="2:5" ht="30" customHeight="1">
      <c r="B15" s="97" t="s">
        <v>169</v>
      </c>
      <c r="C15" s="100" t="s">
        <v>170</v>
      </c>
      <c r="D15" s="108" t="s">
        <v>157</v>
      </c>
      <c r="E15" s="105" t="s">
        <v>149</v>
      </c>
    </row>
    <row r="16" spans="2:5" ht="45">
      <c r="B16" s="97" t="s">
        <v>171</v>
      </c>
      <c r="C16" s="100" t="s">
        <v>172</v>
      </c>
      <c r="D16" s="108" t="s">
        <v>152</v>
      </c>
      <c r="E16" s="105" t="s">
        <v>149</v>
      </c>
    </row>
    <row r="17" spans="2:5" ht="60.75" thickBot="1">
      <c r="B17" s="98" t="s">
        <v>173</v>
      </c>
      <c r="C17" s="101" t="s">
        <v>174</v>
      </c>
      <c r="D17" s="109" t="s">
        <v>175</v>
      </c>
      <c r="E17" s="106" t="s">
        <v>149</v>
      </c>
    </row>
    <row r="18" spans="2:5" ht="15.75" thickBot="1"/>
    <row r="19" spans="2:5">
      <c r="C19" s="707" t="s">
        <v>176</v>
      </c>
      <c r="D19" s="110" t="s">
        <v>148</v>
      </c>
      <c r="E19" s="117">
        <v>0.05</v>
      </c>
    </row>
    <row r="20" spans="2:5">
      <c r="C20" s="708"/>
      <c r="D20" s="111" t="s">
        <v>157</v>
      </c>
      <c r="E20" s="118">
        <v>0.1</v>
      </c>
    </row>
    <row r="21" spans="2:5">
      <c r="C21" s="708"/>
      <c r="D21" s="111" t="s">
        <v>152</v>
      </c>
      <c r="E21" s="118">
        <v>0.15</v>
      </c>
    </row>
    <row r="22" spans="2:5" ht="15.75" thickBot="1">
      <c r="C22" s="709"/>
      <c r="D22" s="112" t="s">
        <v>175</v>
      </c>
      <c r="E22" s="119">
        <v>0.2</v>
      </c>
    </row>
    <row r="23" spans="2:5" ht="15.75" thickBot="1"/>
    <row r="24" spans="2:5">
      <c r="C24" s="707" t="s">
        <v>177</v>
      </c>
      <c r="D24" s="110" t="s">
        <v>149</v>
      </c>
      <c r="E24" s="120">
        <v>0</v>
      </c>
    </row>
    <row r="25" spans="2:5">
      <c r="C25" s="708"/>
      <c r="D25" s="111" t="s">
        <v>178</v>
      </c>
      <c r="E25" s="121">
        <v>0.5</v>
      </c>
    </row>
    <row r="26" spans="2:5" ht="15.75" thickBot="1">
      <c r="C26" s="709"/>
      <c r="D26" s="112" t="s">
        <v>179</v>
      </c>
      <c r="E26" s="122">
        <v>1</v>
      </c>
    </row>
    <row r="27" spans="2:5" ht="15.75" thickBot="1"/>
    <row r="28" spans="2:5" ht="30" customHeight="1" thickBot="1">
      <c r="C28" s="102" t="s">
        <v>180</v>
      </c>
      <c r="D28" s="127">
        <f>(D30*E30)+(D31*E31)+(D32*E32)+(D33*E33)+(D34*E34)+(D35*E35)+(D36*E36)+(D37*E37)+(D38*E38)+(D39*E39)+(D40*E40)+(D41*E41)</f>
        <v>0</v>
      </c>
    </row>
    <row r="29" spans="2:5" ht="30" customHeight="1" thickBot="1">
      <c r="C29" s="102" t="s">
        <v>181</v>
      </c>
      <c r="D29" s="129">
        <f>IF(D28&gt;0.35,0.35,D28)</f>
        <v>0</v>
      </c>
    </row>
    <row r="30" spans="2:5">
      <c r="C30" s="96" t="s">
        <v>182</v>
      </c>
      <c r="D30" s="113">
        <v>0.05</v>
      </c>
      <c r="E30" s="123">
        <f>IF(E5="ATENDE",0,IF(E5="PARCIALMENTE",0.5,IF(E5="NÃO ATENDE",1,"")))</f>
        <v>0</v>
      </c>
    </row>
    <row r="31" spans="2:5">
      <c r="C31" s="97" t="s">
        <v>183</v>
      </c>
      <c r="D31" s="114">
        <v>0.15</v>
      </c>
      <c r="E31" s="124">
        <f>IF(E6="ATENDE",0,IF(E6="PARCIALMENTE",0.5,IF(E6="NÃO ATENDE",1,"")))</f>
        <v>0</v>
      </c>
    </row>
    <row r="32" spans="2:5">
      <c r="C32" s="97" t="s">
        <v>184</v>
      </c>
      <c r="D32" s="114">
        <v>0.15</v>
      </c>
      <c r="E32" s="125">
        <f t="shared" ref="E32:E35" si="0">IF(E7="ATENDE",0,IF(E7="PARCIALMENTE",0.5,IF(E7="NÃO ATENDE",1,"")))</f>
        <v>0</v>
      </c>
    </row>
    <row r="33" spans="3:5">
      <c r="C33" s="97" t="s">
        <v>185</v>
      </c>
      <c r="D33" s="114">
        <v>0.1</v>
      </c>
      <c r="E33" s="125">
        <f t="shared" si="0"/>
        <v>0</v>
      </c>
    </row>
    <row r="34" spans="3:5">
      <c r="C34" s="97" t="s">
        <v>186</v>
      </c>
      <c r="D34" s="114">
        <v>0.15</v>
      </c>
      <c r="E34" s="125">
        <f t="shared" si="0"/>
        <v>0</v>
      </c>
    </row>
    <row r="35" spans="3:5" ht="15.75" thickBot="1">
      <c r="C35" s="98" t="s">
        <v>187</v>
      </c>
      <c r="D35" s="115">
        <v>0.05</v>
      </c>
      <c r="E35" s="126">
        <f t="shared" si="0"/>
        <v>0</v>
      </c>
    </row>
    <row r="36" spans="3:5">
      <c r="C36" s="103" t="s">
        <v>188</v>
      </c>
      <c r="D36" s="116">
        <v>0.1</v>
      </c>
      <c r="E36" s="123">
        <f>IF(E12="ATENDE",0,IF(E12="PARCIALMENTE",0.5,IF(E12="NÃO ATENDE",1,"")))</f>
        <v>0</v>
      </c>
    </row>
    <row r="37" spans="3:5">
      <c r="C37" s="97" t="s">
        <v>189</v>
      </c>
      <c r="D37" s="114">
        <v>0.15</v>
      </c>
      <c r="E37" s="125">
        <f t="shared" ref="E37:E41" si="1">IF(E13="ATENDE",0,IF(E13="PARCIALMENTE",0.5,IF(E13="NÃO ATENDE",1,"")))</f>
        <v>0</v>
      </c>
    </row>
    <row r="38" spans="3:5">
      <c r="C38" s="97" t="s">
        <v>190</v>
      </c>
      <c r="D38" s="114">
        <v>0.05</v>
      </c>
      <c r="E38" s="125">
        <f t="shared" si="1"/>
        <v>0</v>
      </c>
    </row>
    <row r="39" spans="3:5">
      <c r="C39" s="97" t="s">
        <v>191</v>
      </c>
      <c r="D39" s="114">
        <v>0.1</v>
      </c>
      <c r="E39" s="125">
        <f t="shared" si="1"/>
        <v>0</v>
      </c>
    </row>
    <row r="40" spans="3:5">
      <c r="C40" s="97" t="s">
        <v>192</v>
      </c>
      <c r="D40" s="114">
        <v>0.15</v>
      </c>
      <c r="E40" s="125">
        <f t="shared" si="1"/>
        <v>0</v>
      </c>
    </row>
    <row r="41" spans="3:5" ht="15.75" thickBot="1">
      <c r="C41" s="98" t="s">
        <v>193</v>
      </c>
      <c r="D41" s="115">
        <v>0.2</v>
      </c>
      <c r="E41" s="126">
        <f t="shared" si="1"/>
        <v>0</v>
      </c>
    </row>
  </sheetData>
  <mergeCells count="5">
    <mergeCell ref="B2:E2"/>
    <mergeCell ref="B4:E4"/>
    <mergeCell ref="B11:E11"/>
    <mergeCell ref="C19:C22"/>
    <mergeCell ref="C24:C26"/>
  </mergeCells>
  <dataValidations count="1">
    <dataValidation type="list" allowBlank="1" showInputMessage="1" showErrorMessage="1" sqref="E5:E10 E12:E17" xr:uid="{6430FEAA-2B3F-4972-92DB-B3FAF8D5FA4F}">
      <formula1>"ATENDE,PARCIALMENTE,NÃO ATENDE"</formula1>
    </dataValidation>
  </dataValidation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J29"/>
  <sheetViews>
    <sheetView workbookViewId="0"/>
  </sheetViews>
  <sheetFormatPr defaultColWidth="8.85546875" defaultRowHeight="15"/>
  <cols>
    <col min="1" max="1" width="1.7109375" customWidth="1"/>
    <col min="2" max="2" width="18.7109375" customWidth="1"/>
    <col min="3" max="3" width="15.7109375" customWidth="1"/>
    <col min="4" max="4" width="15.7109375" style="5" customWidth="1"/>
    <col min="5" max="6" width="20.7109375" customWidth="1"/>
  </cols>
  <sheetData>
    <row r="1" spans="2:6" ht="8.1" customHeight="1" thickBot="1"/>
    <row r="2" spans="2:6" ht="46.5" thickTop="1" thickBot="1">
      <c r="B2" s="710" t="s">
        <v>194</v>
      </c>
      <c r="C2" s="711"/>
      <c r="D2" s="71" t="s">
        <v>195</v>
      </c>
      <c r="E2" s="19" t="s">
        <v>196</v>
      </c>
      <c r="F2" s="20" t="s">
        <v>197</v>
      </c>
    </row>
    <row r="3" spans="2:6" ht="24" customHeight="1" thickBot="1">
      <c r="B3" s="720" t="s">
        <v>198</v>
      </c>
      <c r="C3" s="721"/>
      <c r="D3" s="72" t="s">
        <v>199</v>
      </c>
      <c r="E3" s="83">
        <v>360</v>
      </c>
      <c r="F3" s="84">
        <v>600</v>
      </c>
    </row>
    <row r="4" spans="2:6" ht="24" customHeight="1" thickBot="1">
      <c r="B4" s="720"/>
      <c r="C4" s="721"/>
      <c r="D4" s="73" t="s">
        <v>200</v>
      </c>
      <c r="E4" s="85">
        <v>250</v>
      </c>
      <c r="F4" s="86">
        <v>593</v>
      </c>
    </row>
    <row r="5" spans="2:6" ht="24" customHeight="1" thickBot="1">
      <c r="B5" s="722" t="s">
        <v>201</v>
      </c>
      <c r="C5" s="723"/>
      <c r="D5" s="74" t="s">
        <v>202</v>
      </c>
      <c r="E5" s="87">
        <v>360</v>
      </c>
      <c r="F5" s="88">
        <v>600</v>
      </c>
    </row>
    <row r="6" spans="2:6" ht="24" customHeight="1" thickBot="1">
      <c r="B6" s="724"/>
      <c r="C6" s="725"/>
      <c r="D6" s="75" t="s">
        <v>86</v>
      </c>
      <c r="E6" s="89">
        <v>273.22000000000003</v>
      </c>
      <c r="F6" s="90">
        <v>513.22</v>
      </c>
    </row>
    <row r="7" spans="2:6" ht="15.75" thickTop="1"/>
    <row r="8" spans="2:6" ht="15.75" thickBot="1"/>
    <row r="9" spans="2:6" ht="15.75" thickBot="1">
      <c r="B9" s="712" t="s">
        <v>203</v>
      </c>
      <c r="C9" s="713"/>
    </row>
    <row r="10" spans="2:6">
      <c r="B10" s="92" t="s">
        <v>204</v>
      </c>
      <c r="C10" s="91"/>
    </row>
    <row r="11" spans="2:6" ht="15.75" thickBot="1">
      <c r="B11" s="93" t="s">
        <v>61</v>
      </c>
      <c r="C11" s="94"/>
    </row>
    <row r="13" spans="2:6" ht="15.75" thickBot="1"/>
    <row r="14" spans="2:6" ht="20.100000000000001" customHeight="1">
      <c r="B14" s="714" t="s">
        <v>205</v>
      </c>
      <c r="C14" s="715"/>
      <c r="D14" s="716"/>
    </row>
    <row r="15" spans="2:6" ht="20.100000000000001" customHeight="1" thickBot="1">
      <c r="B15" s="717"/>
      <c r="C15" s="718"/>
      <c r="D15" s="719"/>
    </row>
    <row r="16" spans="2:6" ht="30" customHeight="1" thickBot="1">
      <c r="B16" s="54"/>
      <c r="C16" s="54" t="s">
        <v>195</v>
      </c>
      <c r="D16" s="54" t="s">
        <v>206</v>
      </c>
    </row>
    <row r="17" spans="2:10">
      <c r="B17" s="726" t="s">
        <v>207</v>
      </c>
      <c r="C17" s="53" t="s">
        <v>208</v>
      </c>
      <c r="D17" s="70" cm="1">
        <f t="array" ref="D17:I17">IF('Ordem de Serviço Emissão'!E48:J48='Custos Inspeções'!B10,IF('Ordem de Serviço Emissão'!O48="NÃO",'Custos Inspeções'!E3,'Custos Inspeções'!F3),IF('Ordem de Serviço Emissão'!E48:J48='Custos Inspeções'!B11,IF('Ordem de Serviço Emissão'!O48="NÃO",'Custos Inspeções'!E5,'Custos Inspeções'!F5),""))</f>
        <v>600</v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 spans="2:10" ht="15.75" thickBot="1">
      <c r="B18" s="727"/>
      <c r="C18" s="68" t="s">
        <v>86</v>
      </c>
      <c r="D18" s="69" cm="1">
        <f t="array" ref="D18:I18">IF('Ordem de Serviço Emissão'!E48:J48='Custos Inspeções'!B10,IF('Ordem de Serviço Emissão'!O48="NÃO",'Custos Inspeções'!E4,'Custos Inspeções'!F4),IF('Ordem de Serviço Emissão'!E48:J48='Custos Inspeções'!B11,IF('Ordem de Serviço Emissão'!O48="NÃO",'Custos Inspeções'!E6,'Custos Inspeções'!F6),""))</f>
        <v>513.22</v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 spans="2:10">
      <c r="B19" s="728" t="s">
        <v>209</v>
      </c>
      <c r="C19" s="53" t="s">
        <v>208</v>
      </c>
      <c r="D19" s="191" cm="1">
        <f t="array" ref="D19:I19">IF('Ordem de Serviço Emissão'!E48:J48='Custos Inspeções'!B10,'Custos Inspeções'!E3,IF('Ordem de Serviço Emissão'!E48:J48='Custos Inspeções'!B11,'Custos Inspeções'!E5,""))</f>
        <v>360</v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 spans="2:10" ht="15.75" thickBot="1">
      <c r="B20" s="729"/>
      <c r="C20" s="68" t="s">
        <v>86</v>
      </c>
      <c r="D20" s="69" cm="1">
        <f t="array" ref="D20:I20">IF('Ordem de Serviço Emissão'!E48:J48='Custos Inspeções'!B10,'Custos Inspeções'!E4,IF('Ordem de Serviço Emissão'!E48:J48='Custos Inspeções'!B11,'Custos Inspeções'!E6,""))</f>
        <v>273.22000000000003</v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2" spans="2:10" ht="15.75" thickBot="1"/>
    <row r="23" spans="2:10" ht="20.100000000000001" customHeight="1">
      <c r="B23" s="714" t="s">
        <v>210</v>
      </c>
      <c r="C23" s="715"/>
      <c r="D23" s="715"/>
      <c r="E23" s="716"/>
    </row>
    <row r="24" spans="2:10" ht="20.100000000000001" customHeight="1" thickBot="1">
      <c r="B24" s="717"/>
      <c r="C24" s="718"/>
      <c r="D24" s="718"/>
      <c r="E24" s="719"/>
    </row>
    <row r="25" spans="2:10" ht="30" customHeight="1" thickBot="1">
      <c r="B25" s="54" t="s">
        <v>75</v>
      </c>
      <c r="C25" s="61" t="s">
        <v>211</v>
      </c>
      <c r="D25" s="61" t="s">
        <v>212</v>
      </c>
      <c r="E25" s="54" t="s">
        <v>213</v>
      </c>
    </row>
    <row r="26" spans="2:10">
      <c r="B26" s="55" t="s">
        <v>81</v>
      </c>
      <c r="C26" s="62">
        <v>8</v>
      </c>
      <c r="D26" s="63">
        <v>4</v>
      </c>
      <c r="E26" s="58" cm="1">
        <f t="array" ref="E26:J26">IF('Ordem de Serviço Emissão'!E48:J48='Custos Inspeções'!B10,8,IF('Ordem de Serviço Emissão'!E48:J48='Custos Inspeções'!B11,4,""))</f>
        <v>4</v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 spans="2:10">
      <c r="B27" s="56" t="s">
        <v>82</v>
      </c>
      <c r="C27" s="64">
        <v>112</v>
      </c>
      <c r="D27" s="65">
        <v>56</v>
      </c>
      <c r="E27" s="59" cm="1">
        <f t="array" ref="E27:J27">IF('Ordem de Serviço Emissão'!E48:J48='Custos Inspeções'!B10,112,IF('Ordem de Serviço Emissão'!E48:J48='Custos Inspeções'!B11,56,""))</f>
        <v>56</v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 spans="2:10">
      <c r="B28" s="56" t="s">
        <v>83</v>
      </c>
      <c r="C28" s="64">
        <v>24</v>
      </c>
      <c r="D28" s="65">
        <v>16</v>
      </c>
      <c r="E28" s="59" cm="1">
        <f t="array" ref="E28:J28">IF('Ordem de Serviço Emissão'!E48:J48='Custos Inspeções'!B10,24,IF('Ordem de Serviço Emissão'!E48:J48='Custos Inspeções'!B11,16,""))</f>
        <v>16</v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 spans="2:10" ht="15.75" thickBot="1">
      <c r="B29" s="57" t="s">
        <v>84</v>
      </c>
      <c r="C29" s="66">
        <v>4</v>
      </c>
      <c r="D29" s="67">
        <v>4</v>
      </c>
      <c r="E29" s="60" cm="1">
        <f t="array" ref="E29:J29">IF('Ordem de Serviço Emissão'!E48:J48='Custos Inspeções'!B10,4,IF('Ordem de Serviço Emissão'!E48:J48='Custos Inspeções'!B11,4,""))</f>
        <v>4</v>
      </c>
      <c r="F29" t="str">
        <v/>
      </c>
      <c r="G29" t="str">
        <v/>
      </c>
      <c r="H29" t="str">
        <v/>
      </c>
      <c r="I29" t="str">
        <v/>
      </c>
      <c r="J29" t="str">
        <v/>
      </c>
    </row>
  </sheetData>
  <mergeCells count="8">
    <mergeCell ref="B2:C2"/>
    <mergeCell ref="B9:C9"/>
    <mergeCell ref="B23:E24"/>
    <mergeCell ref="B14:D15"/>
    <mergeCell ref="B3:C4"/>
    <mergeCell ref="B5:C6"/>
    <mergeCell ref="B17:B18"/>
    <mergeCell ref="B19:B20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12"/>
  <sheetViews>
    <sheetView workbookViewId="0">
      <pane xSplit="3" ySplit="2" topLeftCell="D3" activePane="bottomRight" state="frozen"/>
      <selection pane="bottomRight"/>
      <selection pane="bottomLeft"/>
      <selection pane="topRight"/>
    </sheetView>
  </sheetViews>
  <sheetFormatPr defaultColWidth="8.85546875" defaultRowHeight="15" outlineLevelCol="1"/>
  <cols>
    <col min="1" max="1" width="1.7109375" customWidth="1"/>
    <col min="2" max="2" width="13.7109375" customWidth="1"/>
    <col min="3" max="3" width="55.85546875" customWidth="1"/>
    <col min="4" max="4" width="37.28515625" style="1" customWidth="1"/>
    <col min="5" max="5" width="15.42578125" style="1" hidden="1" customWidth="1" outlineLevel="1"/>
    <col min="6" max="6" width="16.42578125" style="1" hidden="1" customWidth="1" outlineLevel="1"/>
    <col min="7" max="7" width="40.7109375" customWidth="1" collapsed="1"/>
    <col min="8" max="8" width="40.7109375" customWidth="1"/>
  </cols>
  <sheetData>
    <row r="1" spans="2:8" ht="8.1" customHeight="1"/>
    <row r="2" spans="2:8" ht="30" customHeight="1" thickBot="1">
      <c r="B2" s="76" t="s">
        <v>214</v>
      </c>
      <c r="C2" s="79" t="s">
        <v>215</v>
      </c>
      <c r="D2" s="26" t="s">
        <v>216</v>
      </c>
      <c r="E2" s="26" t="s">
        <v>217</v>
      </c>
      <c r="F2" s="26" t="s">
        <v>218</v>
      </c>
      <c r="G2" s="27" t="s">
        <v>219</v>
      </c>
      <c r="H2" s="27" t="s">
        <v>220</v>
      </c>
    </row>
    <row r="3" spans="2:8" ht="17.25" customHeight="1">
      <c r="B3" s="77">
        <v>100049</v>
      </c>
      <c r="C3" s="80" t="s">
        <v>221</v>
      </c>
      <c r="D3" s="25" t="s">
        <v>222</v>
      </c>
      <c r="E3" s="25" t="s">
        <v>223</v>
      </c>
      <c r="F3" s="25" t="s">
        <v>224</v>
      </c>
      <c r="G3" s="31" t="s">
        <v>225</v>
      </c>
      <c r="H3" s="159" t="s">
        <v>226</v>
      </c>
    </row>
    <row r="4" spans="2:8">
      <c r="B4" s="78">
        <v>100057</v>
      </c>
      <c r="C4" s="81" t="s">
        <v>227</v>
      </c>
      <c r="D4" s="21" t="s">
        <v>228</v>
      </c>
      <c r="E4" s="21" t="s">
        <v>229</v>
      </c>
      <c r="F4" s="21" t="s">
        <v>230</v>
      </c>
      <c r="G4" s="29" t="s">
        <v>225</v>
      </c>
      <c r="H4" s="160" t="s">
        <v>226</v>
      </c>
    </row>
    <row r="5" spans="2:8">
      <c r="B5" s="78">
        <v>100093</v>
      </c>
      <c r="C5" s="82" t="s">
        <v>231</v>
      </c>
      <c r="D5" s="22" t="s">
        <v>232</v>
      </c>
      <c r="E5" s="21" t="s">
        <v>233</v>
      </c>
      <c r="F5" s="21" t="s">
        <v>234</v>
      </c>
      <c r="G5" s="32" t="s">
        <v>225</v>
      </c>
      <c r="H5" s="160" t="s">
        <v>226</v>
      </c>
    </row>
    <row r="6" spans="2:8">
      <c r="B6" s="78">
        <v>100182</v>
      </c>
      <c r="C6" s="82" t="s">
        <v>235</v>
      </c>
      <c r="D6" s="22" t="s">
        <v>232</v>
      </c>
      <c r="E6" s="21" t="s">
        <v>236</v>
      </c>
      <c r="F6" s="21" t="s">
        <v>237</v>
      </c>
      <c r="G6" s="29" t="s">
        <v>225</v>
      </c>
      <c r="H6" s="160" t="s">
        <v>226</v>
      </c>
    </row>
    <row r="7" spans="2:8">
      <c r="B7" s="78">
        <v>100171</v>
      </c>
      <c r="C7" s="82" t="s">
        <v>238</v>
      </c>
      <c r="D7" s="22" t="s">
        <v>232</v>
      </c>
      <c r="E7" s="21" t="s">
        <v>239</v>
      </c>
      <c r="F7" s="21" t="s">
        <v>240</v>
      </c>
      <c r="G7" s="29" t="s">
        <v>225</v>
      </c>
      <c r="H7" s="160" t="s">
        <v>226</v>
      </c>
    </row>
    <row r="8" spans="2:8">
      <c r="B8" s="78"/>
      <c r="C8" s="82"/>
      <c r="D8" s="22"/>
      <c r="E8" s="21"/>
      <c r="F8" s="21"/>
      <c r="G8" s="29"/>
      <c r="H8" s="160"/>
    </row>
    <row r="9" spans="2:8">
      <c r="B9" s="78">
        <v>100104</v>
      </c>
      <c r="C9" s="82" t="s">
        <v>241</v>
      </c>
      <c r="D9" s="22" t="s">
        <v>242</v>
      </c>
      <c r="E9" s="21" t="s">
        <v>243</v>
      </c>
      <c r="F9" s="21" t="s">
        <v>244</v>
      </c>
      <c r="G9" s="29" t="s">
        <v>225</v>
      </c>
      <c r="H9" s="160" t="s">
        <v>226</v>
      </c>
    </row>
    <row r="10" spans="2:8">
      <c r="B10" s="78">
        <v>100151</v>
      </c>
      <c r="C10" s="82" t="s">
        <v>225</v>
      </c>
      <c r="D10" s="22" t="s">
        <v>245</v>
      </c>
      <c r="E10" s="21" t="s">
        <v>246</v>
      </c>
      <c r="F10" s="21" t="s">
        <v>247</v>
      </c>
      <c r="G10" s="29"/>
      <c r="H10" s="160" t="s">
        <v>226</v>
      </c>
    </row>
    <row r="11" spans="2:8">
      <c r="B11" s="158">
        <v>200010</v>
      </c>
      <c r="C11" s="157" t="s">
        <v>226</v>
      </c>
      <c r="D11" s="22" t="s">
        <v>248</v>
      </c>
      <c r="E11" s="21" t="s">
        <v>249</v>
      </c>
      <c r="F11" s="21" t="s">
        <v>250</v>
      </c>
      <c r="G11" s="29"/>
      <c r="H11" s="160"/>
    </row>
    <row r="12" spans="2:8">
      <c r="B12" s="365">
        <v>200000</v>
      </c>
      <c r="C12" s="366" t="s">
        <v>251</v>
      </c>
      <c r="D12" s="23"/>
      <c r="E12" s="24"/>
      <c r="F12" s="24"/>
      <c r="G12" s="30"/>
      <c r="H12" s="161"/>
    </row>
  </sheetData>
  <dataConsolidate/>
  <phoneticPr fontId="1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6F0EF-2480-47D2-B65E-B266E5243E03}">
  <dimension ref="B1:K19"/>
  <sheetViews>
    <sheetView zoomScale="80" zoomScaleNormal="80" workbookViewId="0"/>
  </sheetViews>
  <sheetFormatPr defaultColWidth="8.85546875" defaultRowHeight="15" outlineLevelCol="1"/>
  <cols>
    <col min="1" max="1" width="1.7109375" customWidth="1"/>
    <col min="2" max="2" width="11.7109375" customWidth="1"/>
    <col min="3" max="3" width="45.7109375" style="220" customWidth="1"/>
    <col min="4" max="4" width="20.42578125" style="220" customWidth="1"/>
    <col min="5" max="5" width="60.7109375" style="220" customWidth="1"/>
    <col min="6" max="6" width="30.7109375" style="220" customWidth="1"/>
    <col min="7" max="7" width="27.42578125" style="220" bestFit="1" customWidth="1" outlineLevel="1"/>
    <col min="8" max="8" width="38.140625" style="220" bestFit="1" customWidth="1" outlineLevel="1"/>
    <col min="9" max="9" width="50.7109375" style="220" customWidth="1" outlineLevel="1"/>
    <col min="10" max="11" width="18.7109375" customWidth="1"/>
  </cols>
  <sheetData>
    <row r="1" spans="2:11" ht="8.1" customHeight="1"/>
    <row r="2" spans="2:11" ht="30" customHeight="1">
      <c r="B2" s="231" t="s">
        <v>252</v>
      </c>
      <c r="C2" s="231" t="s">
        <v>215</v>
      </c>
      <c r="D2" s="231" t="s">
        <v>253</v>
      </c>
      <c r="E2" s="231" t="s">
        <v>254</v>
      </c>
      <c r="F2" s="232" t="s">
        <v>255</v>
      </c>
      <c r="G2" s="232" t="s">
        <v>217</v>
      </c>
      <c r="H2" s="232" t="s">
        <v>256</v>
      </c>
      <c r="I2" s="232" t="s">
        <v>257</v>
      </c>
      <c r="J2" s="251" t="s">
        <v>258</v>
      </c>
      <c r="K2" s="251" t="s">
        <v>259</v>
      </c>
    </row>
    <row r="3" spans="2:11" ht="30" customHeight="1">
      <c r="B3" s="370">
        <v>0</v>
      </c>
      <c r="C3" s="231" t="s">
        <v>260</v>
      </c>
      <c r="D3" s="231"/>
      <c r="E3" s="231"/>
      <c r="F3" s="367"/>
      <c r="G3" s="232"/>
      <c r="H3" s="368"/>
      <c r="I3" s="368"/>
      <c r="J3" s="233"/>
      <c r="K3" s="369"/>
    </row>
    <row r="4" spans="2:11" ht="30">
      <c r="B4" s="236">
        <v>1</v>
      </c>
      <c r="C4" s="237" t="s">
        <v>261</v>
      </c>
      <c r="D4" s="237" t="s">
        <v>262</v>
      </c>
      <c r="E4" s="238" t="s">
        <v>263</v>
      </c>
      <c r="F4" s="237" t="s">
        <v>264</v>
      </c>
      <c r="G4" s="237" t="s">
        <v>265</v>
      </c>
      <c r="H4" s="254" t="s">
        <v>266</v>
      </c>
      <c r="I4" s="238" t="s">
        <v>267</v>
      </c>
      <c r="J4" s="255"/>
      <c r="K4" s="256"/>
    </row>
    <row r="5" spans="2:11" ht="45">
      <c r="B5" s="235">
        <v>2</v>
      </c>
      <c r="C5" s="21" t="s">
        <v>268</v>
      </c>
      <c r="D5" s="21" t="s">
        <v>269</v>
      </c>
      <c r="E5" s="28" t="s">
        <v>270</v>
      </c>
      <c r="F5" s="21" t="s">
        <v>271</v>
      </c>
      <c r="G5" s="21" t="s">
        <v>272</v>
      </c>
      <c r="H5" s="219" t="s">
        <v>273</v>
      </c>
      <c r="I5" s="28" t="s">
        <v>274</v>
      </c>
      <c r="J5" s="252"/>
      <c r="K5" s="253"/>
    </row>
    <row r="6" spans="2:11" ht="30">
      <c r="B6" s="236">
        <v>3</v>
      </c>
      <c r="C6" s="238" t="s">
        <v>275</v>
      </c>
      <c r="D6" s="238" t="s">
        <v>276</v>
      </c>
      <c r="E6" s="238" t="s">
        <v>277</v>
      </c>
      <c r="F6" s="240" t="s">
        <v>278</v>
      </c>
      <c r="G6" s="237" t="s">
        <v>279</v>
      </c>
      <c r="H6" s="254" t="s">
        <v>280</v>
      </c>
      <c r="I6" s="238" t="s">
        <v>281</v>
      </c>
      <c r="J6" s="255"/>
      <c r="K6" s="256"/>
    </row>
    <row r="7" spans="2:11" ht="45">
      <c r="B7" s="235">
        <v>4</v>
      </c>
      <c r="C7" s="28" t="s">
        <v>282</v>
      </c>
      <c r="D7" s="28" t="s">
        <v>283</v>
      </c>
      <c r="E7" s="28" t="s">
        <v>284</v>
      </c>
      <c r="F7" s="22" t="s">
        <v>285</v>
      </c>
      <c r="G7" s="28" t="s">
        <v>286</v>
      </c>
      <c r="H7" s="227" t="s">
        <v>287</v>
      </c>
      <c r="I7" s="221" t="s">
        <v>288</v>
      </c>
      <c r="J7" s="252"/>
      <c r="K7" s="253"/>
    </row>
    <row r="8" spans="2:11" ht="30">
      <c r="B8" s="241">
        <v>5</v>
      </c>
      <c r="C8" s="238" t="s">
        <v>289</v>
      </c>
      <c r="D8" s="238" t="s">
        <v>290</v>
      </c>
      <c r="E8" s="238" t="s">
        <v>291</v>
      </c>
      <c r="F8" s="237" t="s">
        <v>292</v>
      </c>
      <c r="G8" s="237" t="s">
        <v>293</v>
      </c>
      <c r="H8" s="254" t="s">
        <v>294</v>
      </c>
      <c r="I8" s="238" t="s">
        <v>295</v>
      </c>
      <c r="J8" s="255"/>
      <c r="K8" s="256"/>
    </row>
    <row r="9" spans="2:11" ht="30">
      <c r="B9" s="235">
        <v>6</v>
      </c>
      <c r="C9" s="28" t="s">
        <v>296</v>
      </c>
      <c r="D9" s="28" t="s">
        <v>297</v>
      </c>
      <c r="E9" s="28" t="s">
        <v>298</v>
      </c>
      <c r="F9" s="22" t="s">
        <v>299</v>
      </c>
      <c r="G9" s="28" t="s">
        <v>300</v>
      </c>
      <c r="H9" s="227" t="s">
        <v>301</v>
      </c>
      <c r="I9" s="222" t="s">
        <v>302</v>
      </c>
      <c r="J9" s="252"/>
      <c r="K9" s="253"/>
    </row>
    <row r="10" spans="2:11" ht="31.5">
      <c r="B10" s="236">
        <v>7</v>
      </c>
      <c r="C10" s="238" t="s">
        <v>303</v>
      </c>
      <c r="D10" s="238" t="s">
        <v>304</v>
      </c>
      <c r="E10" s="242" t="s">
        <v>305</v>
      </c>
      <c r="F10" s="240" t="s">
        <v>306</v>
      </c>
      <c r="G10" s="237" t="s">
        <v>307</v>
      </c>
      <c r="H10" s="254" t="s">
        <v>308</v>
      </c>
      <c r="I10" s="243" t="s">
        <v>309</v>
      </c>
      <c r="J10" s="255"/>
      <c r="K10" s="256"/>
    </row>
    <row r="11" spans="2:11" ht="30">
      <c r="B11" s="235">
        <v>8</v>
      </c>
      <c r="C11" s="28" t="s">
        <v>310</v>
      </c>
      <c r="D11" s="21" t="s">
        <v>311</v>
      </c>
      <c r="E11" s="28" t="s">
        <v>312</v>
      </c>
      <c r="F11" s="22" t="s">
        <v>313</v>
      </c>
      <c r="G11" s="21" t="s">
        <v>314</v>
      </c>
      <c r="H11" s="219" t="s">
        <v>315</v>
      </c>
      <c r="I11" s="222" t="s">
        <v>316</v>
      </c>
      <c r="J11" s="252"/>
      <c r="K11" s="253"/>
    </row>
    <row r="12" spans="2:11" ht="30">
      <c r="B12" s="236">
        <v>9</v>
      </c>
      <c r="C12" s="237" t="s">
        <v>317</v>
      </c>
      <c r="D12" s="237" t="s">
        <v>318</v>
      </c>
      <c r="E12" s="238"/>
      <c r="F12" s="239" t="s">
        <v>319</v>
      </c>
      <c r="G12" s="237" t="s">
        <v>320</v>
      </c>
      <c r="H12" s="244" t="s">
        <v>321</v>
      </c>
      <c r="I12" s="245"/>
      <c r="J12" s="255"/>
      <c r="K12" s="256"/>
    </row>
    <row r="13" spans="2:11" ht="30">
      <c r="B13" s="235">
        <v>10</v>
      </c>
      <c r="C13" s="28" t="s">
        <v>322</v>
      </c>
      <c r="D13" s="21" t="s">
        <v>323</v>
      </c>
      <c r="E13" s="28"/>
      <c r="F13" s="226" t="s">
        <v>324</v>
      </c>
      <c r="G13" s="21" t="s">
        <v>325</v>
      </c>
      <c r="H13" s="228" t="s">
        <v>326</v>
      </c>
      <c r="I13" s="223"/>
      <c r="J13" s="252"/>
      <c r="K13" s="253"/>
    </row>
    <row r="14" spans="2:11" ht="30">
      <c r="B14" s="236">
        <v>11</v>
      </c>
      <c r="C14" s="238" t="s">
        <v>327</v>
      </c>
      <c r="D14" s="237" t="s">
        <v>328</v>
      </c>
      <c r="E14" s="238"/>
      <c r="F14" s="246" t="s">
        <v>329</v>
      </c>
      <c r="G14" s="237" t="s">
        <v>330</v>
      </c>
      <c r="H14" s="244" t="s">
        <v>331</v>
      </c>
      <c r="I14" s="245"/>
      <c r="J14" s="255"/>
      <c r="K14" s="256"/>
    </row>
    <row r="15" spans="2:11" ht="36" customHeight="1">
      <c r="B15" s="235">
        <v>12</v>
      </c>
      <c r="C15" s="28" t="s">
        <v>332</v>
      </c>
      <c r="D15" s="28" t="s">
        <v>333</v>
      </c>
      <c r="E15" s="28" t="s">
        <v>334</v>
      </c>
      <c r="F15" s="22" t="s">
        <v>335</v>
      </c>
      <c r="G15" s="21" t="s">
        <v>336</v>
      </c>
      <c r="H15" s="249" t="s">
        <v>337</v>
      </c>
      <c r="I15" s="222" t="s">
        <v>338</v>
      </c>
      <c r="J15" s="252"/>
      <c r="K15" s="253"/>
    </row>
    <row r="16" spans="2:11">
      <c r="B16" s="236"/>
      <c r="C16" s="238"/>
      <c r="D16" s="238"/>
      <c r="E16" s="238"/>
      <c r="F16" s="240"/>
      <c r="G16" s="237"/>
      <c r="H16" s="237"/>
      <c r="I16" s="245"/>
      <c r="J16" s="257"/>
      <c r="K16" s="258"/>
    </row>
    <row r="19" spans="3:3">
      <c r="C19" s="248" t="s">
        <v>339</v>
      </c>
    </row>
  </sheetData>
  <phoneticPr fontId="15" type="noConversion"/>
  <hyperlinks>
    <hyperlink ref="H4" r:id="rId1" xr:uid="{4970DB8C-FBF3-4371-86C7-32745CD7D1AF}"/>
    <hyperlink ref="H7" r:id="rId2" display="ricardo.goncalves@p3engenharia.com.br" xr:uid="{9FFA6FA3-542E-4408-8105-E051164AD10F}"/>
    <hyperlink ref="H5" r:id="rId3" xr:uid="{CBBF663D-71C5-4169-8967-68A6A10D85FD}"/>
    <hyperlink ref="H6" r:id="rId4" xr:uid="{B29C6E22-7283-4FA5-95CA-A6502A37E73C}"/>
    <hyperlink ref="H8" r:id="rId5" xr:uid="{30ECA62A-2D3C-4661-A288-7CAD20D4FA47}"/>
    <hyperlink ref="H10" r:id="rId6" xr:uid="{A20A6F62-4ABE-4AEE-885A-C24E5EB3855C}"/>
    <hyperlink ref="H9" r:id="rId7" display="mcparengenharia@mcpar.eng.br" xr:uid="{F31BBDD7-8F0C-4601-B04F-57ADECD157C0}"/>
    <hyperlink ref="H11" r:id="rId8" xr:uid="{17D288B8-AF32-48A5-8798-DF890E38015F}"/>
    <hyperlink ref="H12" r:id="rId9" display="licitacoes-ce@tpfe.com.br" xr:uid="{27DCAA2D-84E1-45D5-9DEF-A4B3211D2AD2}"/>
    <hyperlink ref="H13" r:id="rId10" display="financeiro@geopac.com.br" xr:uid="{5E1E3A2F-071A-41DE-8264-A9FC8FADFF24}"/>
    <hyperlink ref="H14" r:id="rId11" display="comercial@ecrengenharia.com.br" xr:uid="{C50CBD9C-A257-436F-A0D1-D31D1D272F89}"/>
    <hyperlink ref="H15" r:id="rId12" xr:uid="{D6E418C2-830A-46C6-9FCD-CFBC68CD509A}"/>
  </hyperlinks>
  <pageMargins left="0.511811024" right="0.511811024" top="0.78740157499999996" bottom="0.78740157499999996" header="0.31496062000000002" footer="0.31496062000000002"/>
  <pageSetup paperSize="9" orientation="portrait" verticalDpi="0" r:id="rId13"/>
  <tableParts count="1">
    <tablePart r:id="rId1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0E112-B062-47D0-B114-23F47EE07423}">
  <dimension ref="B1:P15"/>
  <sheetViews>
    <sheetView zoomScale="80" zoomScaleNormal="80" workbookViewId="0">
      <selection activeCell="E7" sqref="E7"/>
    </sheetView>
  </sheetViews>
  <sheetFormatPr defaultColWidth="8.85546875" defaultRowHeight="15"/>
  <cols>
    <col min="1" max="1" width="1.7109375" customWidth="1"/>
    <col min="2" max="2" width="11.7109375" customWidth="1"/>
    <col min="3" max="3" width="45.7109375" style="220" customWidth="1"/>
    <col min="4" max="4" width="25.7109375" style="220" customWidth="1"/>
    <col min="5" max="5" width="40.7109375" style="220" customWidth="1"/>
    <col min="6" max="6" width="42.7109375" style="220" customWidth="1"/>
    <col min="7" max="8" width="35.7109375" style="220" customWidth="1"/>
    <col min="9" max="9" width="31.42578125" style="220" customWidth="1"/>
    <col min="10" max="10" width="65.28515625" style="220" bestFit="1" customWidth="1"/>
    <col min="11" max="11" width="44.42578125" style="220" bestFit="1" customWidth="1"/>
    <col min="12" max="12" width="15.28515625" style="220" bestFit="1" customWidth="1"/>
    <col min="13" max="13" width="71" bestFit="1" customWidth="1"/>
    <col min="14" max="14" width="42.140625" bestFit="1" customWidth="1"/>
    <col min="15" max="15" width="51.28515625" bestFit="1" customWidth="1"/>
    <col min="16" max="16" width="41.42578125" customWidth="1"/>
  </cols>
  <sheetData>
    <row r="1" spans="2:16" ht="8.1" customHeight="1"/>
    <row r="2" spans="2:16" ht="30" customHeight="1">
      <c r="B2" s="231" t="s">
        <v>252</v>
      </c>
      <c r="C2" s="231" t="s">
        <v>215</v>
      </c>
      <c r="D2" s="231" t="s">
        <v>340</v>
      </c>
      <c r="E2" s="231" t="s">
        <v>341</v>
      </c>
      <c r="F2" s="231" t="s">
        <v>342</v>
      </c>
      <c r="G2" s="231" t="s">
        <v>343</v>
      </c>
      <c r="H2" s="231" t="s">
        <v>344</v>
      </c>
      <c r="I2" s="231" t="s">
        <v>345</v>
      </c>
      <c r="J2" s="233" t="s">
        <v>346</v>
      </c>
      <c r="K2" s="234" t="s">
        <v>347</v>
      </c>
      <c r="L2" s="234" t="s">
        <v>348</v>
      </c>
      <c r="M2" s="234" t="s">
        <v>349</v>
      </c>
      <c r="N2" s="234" t="s">
        <v>350</v>
      </c>
      <c r="O2" s="234" t="s">
        <v>351</v>
      </c>
      <c r="P2" s="234" t="s">
        <v>352</v>
      </c>
    </row>
    <row r="3" spans="2:16">
      <c r="B3" s="236">
        <v>1</v>
      </c>
      <c r="C3" s="237" t="s">
        <v>261</v>
      </c>
      <c r="D3" s="271" t="s">
        <v>353</v>
      </c>
      <c r="E3" s="237" t="s">
        <v>354</v>
      </c>
      <c r="F3" s="237" t="s">
        <v>355</v>
      </c>
      <c r="G3" s="237" t="str">
        <f>'Fiscais de Contrato e Gerentes'!C4</f>
        <v>LUCIMAR OLIVEIRA DE CASTRO</v>
      </c>
      <c r="H3" s="237" t="str">
        <f>'Fiscais de Contrato e Gerentes'!C6</f>
        <v>RODRIGO ANTHERO ÁVILA PEREIRA</v>
      </c>
      <c r="I3" s="237" t="s">
        <v>356</v>
      </c>
      <c r="J3" s="237" t="s">
        <v>357</v>
      </c>
      <c r="K3" s="237" t="s">
        <v>358</v>
      </c>
      <c r="L3" s="237" t="s">
        <v>359</v>
      </c>
      <c r="M3" s="237"/>
      <c r="N3" s="237"/>
      <c r="O3" s="237"/>
      <c r="P3" s="237"/>
    </row>
    <row r="4" spans="2:16">
      <c r="B4" s="235">
        <v>2</v>
      </c>
      <c r="C4" s="21" t="s">
        <v>268</v>
      </c>
      <c r="D4" s="270" t="s">
        <v>360</v>
      </c>
      <c r="E4" s="21" t="s">
        <v>361</v>
      </c>
      <c r="F4" s="21" t="s">
        <v>355</v>
      </c>
      <c r="G4" s="21" t="str">
        <f>'Fiscais de Contrato e Gerentes'!C3</f>
        <v>ANTONIO RAAD</v>
      </c>
      <c r="H4" s="21" t="str">
        <f>'Fiscais de Contrato e Gerentes'!C5</f>
        <v>ANGELLINO TAVARES PINHEIRO</v>
      </c>
      <c r="I4" s="21" t="s">
        <v>356</v>
      </c>
      <c r="J4" s="21" t="s">
        <v>362</v>
      </c>
      <c r="K4" s="229" t="s">
        <v>358</v>
      </c>
      <c r="L4" s="28" t="s">
        <v>363</v>
      </c>
      <c r="M4" s="21"/>
      <c r="N4" s="21"/>
      <c r="O4" s="21"/>
      <c r="P4" s="21"/>
    </row>
    <row r="5" spans="2:16">
      <c r="B5" s="236">
        <v>3</v>
      </c>
      <c r="C5" s="238" t="s">
        <v>275</v>
      </c>
      <c r="D5" s="238" t="s">
        <v>364</v>
      </c>
      <c r="E5" s="238" t="s">
        <v>365</v>
      </c>
      <c r="F5" s="238" t="s">
        <v>355</v>
      </c>
      <c r="G5" s="238" t="str">
        <f>'Fiscais de Contrato e Gerentes'!C5</f>
        <v>ANGELLINO TAVARES PINHEIRO</v>
      </c>
      <c r="H5" s="238" t="str">
        <f>'Fiscais de Contrato e Gerentes'!C3</f>
        <v>ANTONIO RAAD</v>
      </c>
      <c r="I5" s="238" t="s">
        <v>356</v>
      </c>
      <c r="J5" s="237" t="s">
        <v>366</v>
      </c>
      <c r="K5" s="237" t="s">
        <v>358</v>
      </c>
      <c r="L5" s="237" t="s">
        <v>367</v>
      </c>
      <c r="M5" s="237" t="s">
        <v>368</v>
      </c>
      <c r="N5" s="237"/>
      <c r="O5" s="237"/>
      <c r="P5" s="237"/>
    </row>
    <row r="6" spans="2:16">
      <c r="B6" s="235">
        <v>4</v>
      </c>
      <c r="C6" s="28" t="s">
        <v>282</v>
      </c>
      <c r="D6" s="28" t="s">
        <v>369</v>
      </c>
      <c r="E6" s="28" t="s">
        <v>370</v>
      </c>
      <c r="F6" s="28" t="s">
        <v>355</v>
      </c>
      <c r="G6" s="28" t="str">
        <f>'Fiscais de Contrato e Gerentes'!C6</f>
        <v>RODRIGO ANTHERO ÁVILA PEREIRA</v>
      </c>
      <c r="H6" s="28" t="str">
        <f>'Fiscais de Contrato e Gerentes'!C4</f>
        <v>LUCIMAR OLIVEIRA DE CASTRO</v>
      </c>
      <c r="I6" s="28" t="s">
        <v>356</v>
      </c>
      <c r="J6" s="21" t="s">
        <v>371</v>
      </c>
      <c r="K6" s="21" t="s">
        <v>372</v>
      </c>
      <c r="L6" s="21" t="s">
        <v>373</v>
      </c>
      <c r="M6" s="21"/>
      <c r="N6" s="21"/>
      <c r="O6" s="21"/>
      <c r="P6" s="21"/>
    </row>
    <row r="7" spans="2:16" ht="30">
      <c r="B7" s="241">
        <v>5</v>
      </c>
      <c r="C7" s="238" t="s">
        <v>289</v>
      </c>
      <c r="D7" s="238" t="s">
        <v>374</v>
      </c>
      <c r="E7" s="238" t="s">
        <v>375</v>
      </c>
      <c r="F7" s="238" t="s">
        <v>355</v>
      </c>
      <c r="G7" s="238" t="str">
        <f>'Fiscais de Contrato e Gerentes'!C6</f>
        <v>RODRIGO ANTHERO ÁVILA PEREIRA</v>
      </c>
      <c r="H7" s="238" t="str">
        <f>'Fiscais de Contrato e Gerentes'!C4</f>
        <v>LUCIMAR OLIVEIRA DE CASTRO</v>
      </c>
      <c r="I7" s="238" t="s">
        <v>376</v>
      </c>
      <c r="J7" s="237" t="s">
        <v>377</v>
      </c>
      <c r="K7" s="237" t="s">
        <v>378</v>
      </c>
      <c r="L7" s="237" t="s">
        <v>379</v>
      </c>
      <c r="M7" s="237"/>
      <c r="N7" s="237"/>
      <c r="O7" s="237"/>
      <c r="P7" s="237"/>
    </row>
    <row r="8" spans="2:16">
      <c r="B8" s="235">
        <v>6</v>
      </c>
      <c r="C8" s="28" t="s">
        <v>296</v>
      </c>
      <c r="D8" s="28" t="s">
        <v>380</v>
      </c>
      <c r="E8" s="28" t="s">
        <v>381</v>
      </c>
      <c r="F8" s="28" t="s">
        <v>355</v>
      </c>
      <c r="G8" s="28" t="str">
        <f>'Fiscais de Contrato e Gerentes'!C7</f>
        <v>EDNILSON COPPINI CASTANHEIRA</v>
      </c>
      <c r="H8" s="28" t="str">
        <f>'Fiscais de Contrato e Gerentes'!C4</f>
        <v>LUCIMAR OLIVEIRA DE CASTRO</v>
      </c>
      <c r="I8" s="28"/>
      <c r="J8" s="21" t="s">
        <v>382</v>
      </c>
      <c r="K8" s="21" t="s">
        <v>383</v>
      </c>
      <c r="L8" s="21" t="s">
        <v>384</v>
      </c>
      <c r="M8" s="21"/>
      <c r="N8" s="21"/>
      <c r="O8" s="21"/>
      <c r="P8" s="21"/>
    </row>
    <row r="9" spans="2:16">
      <c r="B9" s="236">
        <v>7</v>
      </c>
      <c r="C9" s="238" t="s">
        <v>303</v>
      </c>
      <c r="D9" s="238" t="s">
        <v>385</v>
      </c>
      <c r="E9" s="238" t="s">
        <v>386</v>
      </c>
      <c r="F9" s="238" t="s">
        <v>355</v>
      </c>
      <c r="G9" s="238" t="str">
        <f>'Fiscais de Contrato e Gerentes'!C7</f>
        <v>EDNILSON COPPINI CASTANHEIRA</v>
      </c>
      <c r="H9" s="238" t="str">
        <f>'Fiscais de Contrato e Gerentes'!C6</f>
        <v>RODRIGO ANTHERO ÁVILA PEREIRA</v>
      </c>
      <c r="I9" s="238"/>
      <c r="J9" s="237" t="s">
        <v>387</v>
      </c>
      <c r="K9" s="237" t="s">
        <v>383</v>
      </c>
      <c r="L9" s="238" t="s">
        <v>388</v>
      </c>
      <c r="M9" s="237"/>
      <c r="N9" s="237"/>
      <c r="O9" s="237"/>
      <c r="P9" s="237"/>
    </row>
    <row r="10" spans="2:16" ht="34.5" customHeight="1">
      <c r="B10" s="235">
        <v>8</v>
      </c>
      <c r="C10" s="28" t="s">
        <v>310</v>
      </c>
      <c r="D10" s="28" t="s">
        <v>389</v>
      </c>
      <c r="E10" s="28" t="s">
        <v>390</v>
      </c>
      <c r="F10" s="28" t="s">
        <v>355</v>
      </c>
      <c r="G10" s="28" t="str">
        <f>'Fiscais de Contrato e Gerentes'!C5</f>
        <v>ANGELLINO TAVARES PINHEIRO</v>
      </c>
      <c r="H10" s="28" t="str">
        <f>'Fiscais de Contrato e Gerentes'!C3</f>
        <v>ANTONIO RAAD</v>
      </c>
      <c r="I10" s="28"/>
      <c r="J10" s="21" t="s">
        <v>391</v>
      </c>
      <c r="K10" s="229"/>
      <c r="L10" s="229" t="s">
        <v>392</v>
      </c>
      <c r="M10" s="230" t="s">
        <v>393</v>
      </c>
      <c r="N10" s="28" t="s">
        <v>394</v>
      </c>
      <c r="O10" s="28" t="s">
        <v>395</v>
      </c>
      <c r="P10" s="28" t="s">
        <v>396</v>
      </c>
    </row>
    <row r="11" spans="2:16" ht="31.5" customHeight="1">
      <c r="B11" s="236">
        <v>9</v>
      </c>
      <c r="C11" s="237" t="s">
        <v>317</v>
      </c>
      <c r="D11" s="237"/>
      <c r="E11" s="238" t="s">
        <v>397</v>
      </c>
      <c r="F11" s="238" t="s">
        <v>355</v>
      </c>
      <c r="G11" s="238"/>
      <c r="H11" s="238"/>
      <c r="I11" s="238"/>
      <c r="J11" s="237" t="s">
        <v>398</v>
      </c>
      <c r="K11" s="237"/>
      <c r="L11" s="237" t="s">
        <v>399</v>
      </c>
      <c r="M11" s="250" t="s">
        <v>400</v>
      </c>
      <c r="N11" s="238" t="s">
        <v>401</v>
      </c>
      <c r="O11" s="238" t="s">
        <v>402</v>
      </c>
      <c r="P11" s="238" t="s">
        <v>403</v>
      </c>
    </row>
    <row r="12" spans="2:16" ht="45">
      <c r="B12" s="235">
        <v>10</v>
      </c>
      <c r="C12" s="28" t="s">
        <v>322</v>
      </c>
      <c r="D12" s="28"/>
      <c r="E12" s="28"/>
      <c r="F12" s="28"/>
      <c r="G12" s="28"/>
      <c r="H12" s="28"/>
      <c r="I12" s="28"/>
      <c r="J12" s="229" t="s">
        <v>404</v>
      </c>
      <c r="K12" s="229"/>
      <c r="L12" s="21" t="s">
        <v>405</v>
      </c>
      <c r="M12" s="28" t="s">
        <v>406</v>
      </c>
      <c r="N12" s="28" t="s">
        <v>407</v>
      </c>
      <c r="O12" s="28" t="s">
        <v>396</v>
      </c>
      <c r="P12" s="21"/>
    </row>
    <row r="13" spans="2:16" ht="30">
      <c r="B13" s="236">
        <v>11</v>
      </c>
      <c r="C13" s="238" t="s">
        <v>327</v>
      </c>
      <c r="D13" s="238"/>
      <c r="E13" s="238"/>
      <c r="F13" s="238"/>
      <c r="G13" s="238"/>
      <c r="H13" s="238"/>
      <c r="I13" s="238"/>
      <c r="J13" s="237" t="s">
        <v>404</v>
      </c>
      <c r="K13" s="237"/>
      <c r="L13" s="237" t="s">
        <v>408</v>
      </c>
      <c r="M13" s="238" t="s">
        <v>409</v>
      </c>
      <c r="N13" s="238" t="s">
        <v>410</v>
      </c>
      <c r="O13" s="237" t="s">
        <v>411</v>
      </c>
      <c r="P13" s="237"/>
    </row>
    <row r="14" spans="2:16" ht="36" customHeight="1">
      <c r="B14" s="235">
        <v>12</v>
      </c>
      <c r="C14" s="28" t="s">
        <v>332</v>
      </c>
      <c r="D14" s="28"/>
      <c r="E14" s="28"/>
      <c r="F14" s="28"/>
      <c r="G14" s="28"/>
      <c r="H14" s="28"/>
      <c r="I14" s="28"/>
      <c r="J14" s="229" t="s">
        <v>412</v>
      </c>
      <c r="K14" s="223"/>
      <c r="L14" s="223" t="s">
        <v>413</v>
      </c>
      <c r="M14" s="28" t="s">
        <v>414</v>
      </c>
      <c r="N14" s="21" t="s">
        <v>415</v>
      </c>
      <c r="O14" s="21"/>
      <c r="P14" s="21"/>
    </row>
    <row r="15" spans="2:16">
      <c r="B15" s="236"/>
      <c r="C15" s="238"/>
      <c r="D15" s="238"/>
      <c r="E15" s="238"/>
      <c r="F15" s="238"/>
      <c r="G15" s="238"/>
      <c r="H15" s="238"/>
      <c r="I15" s="238"/>
      <c r="J15" s="245"/>
      <c r="K15" s="245"/>
      <c r="L15" s="245"/>
      <c r="M15" s="245"/>
      <c r="N15" s="247"/>
      <c r="O15" s="247"/>
      <c r="P15" s="247"/>
    </row>
  </sheetData>
  <pageMargins left="0.511811024" right="0.511811024" top="0.78740157499999996" bottom="0.78740157499999996" header="0.31496062000000002" footer="0.31496062000000002"/>
  <pageSetup paperSize="9" orientation="portrait" verticalDpi="0" r:id="rId1"/>
  <ignoredErrors>
    <ignoredError sqref="G4:G7 H4:H7" calculatedColumn="1"/>
  </ignoredErrors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58605-55B9-49EB-A2B6-9111DE41382F}">
  <sheetPr>
    <pageSetUpPr fitToPage="1"/>
  </sheetPr>
  <dimension ref="B1:L38"/>
  <sheetViews>
    <sheetView topLeftCell="A14" zoomScale="80" zoomScaleNormal="80" workbookViewId="0">
      <selection activeCell="I38" sqref="I38:J38"/>
    </sheetView>
  </sheetViews>
  <sheetFormatPr defaultRowHeight="15"/>
  <cols>
    <col min="1" max="1" width="1.7109375" customWidth="1"/>
    <col min="2" max="2" width="17.7109375" customWidth="1"/>
    <col min="3" max="9" width="20.7109375" customWidth="1"/>
    <col min="10" max="10" width="24.140625" bestFit="1" customWidth="1"/>
    <col min="11" max="11" width="28.85546875" bestFit="1" customWidth="1"/>
    <col min="12" max="12" width="26.7109375" customWidth="1"/>
  </cols>
  <sheetData>
    <row r="1" spans="2:12" ht="8.1" customHeight="1" thickBot="1"/>
    <row r="2" spans="2:12" ht="35.1" customHeight="1" thickBot="1">
      <c r="B2" s="733" t="s">
        <v>416</v>
      </c>
      <c r="C2" s="734"/>
      <c r="D2" s="734"/>
      <c r="E2" s="734"/>
      <c r="F2" s="734"/>
      <c r="G2" s="734"/>
      <c r="H2" s="734"/>
      <c r="I2" s="734"/>
      <c r="J2" s="734"/>
      <c r="K2" s="734"/>
      <c r="L2" s="735"/>
    </row>
    <row r="3" spans="2:12" ht="32.1" customHeight="1" thickBot="1">
      <c r="B3" s="262" t="s">
        <v>417</v>
      </c>
      <c r="C3" s="259">
        <f>'Empresas Credenciadas'!B4</f>
        <v>1</v>
      </c>
      <c r="D3" s="259">
        <f>'Empresas Credenciadas'!B5</f>
        <v>2</v>
      </c>
      <c r="E3" s="259">
        <f>'Empresas Credenciadas'!B6</f>
        <v>3</v>
      </c>
      <c r="F3" s="259">
        <f>'Empresas Credenciadas'!B7</f>
        <v>4</v>
      </c>
      <c r="G3" s="260">
        <f>'Empresas Credenciadas'!B8</f>
        <v>5</v>
      </c>
      <c r="H3" s="259">
        <f>'Empresas Credenciadas'!B9</f>
        <v>6</v>
      </c>
      <c r="I3" s="259">
        <f>'Empresas Credenciadas'!B10</f>
        <v>7</v>
      </c>
      <c r="J3" s="259">
        <f>'Empresas Credenciadas'!B11</f>
        <v>8</v>
      </c>
      <c r="K3" s="259">
        <f>'Empresas Credenciadas'!B12</f>
        <v>9</v>
      </c>
      <c r="L3" s="259">
        <v>10</v>
      </c>
    </row>
    <row r="4" spans="2:12" ht="48" customHeight="1" thickBot="1">
      <c r="B4" s="263" t="s">
        <v>418</v>
      </c>
      <c r="C4" s="54" t="str">
        <f>'Empresas Credenciadas'!C4</f>
        <v>CMBr Engenharia Ltda</v>
      </c>
      <c r="D4" s="54" t="str">
        <f>'Empresas Credenciadas'!C5</f>
        <v>FK Consultoria e Serviços de Engenharia Ltda</v>
      </c>
      <c r="E4" s="54" t="str">
        <f>'Empresas Credenciadas'!C6</f>
        <v>KTA Engenharia Ltda</v>
      </c>
      <c r="F4" s="54" t="str">
        <f>'Empresas Credenciadas'!C7</f>
        <v>P3 Engenharia Elétrica Ltda</v>
      </c>
      <c r="G4" s="54" t="str">
        <f>'Empresas Credenciadas'!C8</f>
        <v>COPENGE - Engenharia Ltda</v>
      </c>
      <c r="H4" s="54" t="str">
        <f>'Empresas Credenciadas'!C9</f>
        <v>MCPAR Engenharia Ltda</v>
      </c>
      <c r="I4" s="54" t="str">
        <f>'Empresas Credenciadas'!C10</f>
        <v>AR Construções, Locadora e Serviços Ltda</v>
      </c>
      <c r="J4" s="54" t="str">
        <f>'Empresas Credenciadas'!C11</f>
        <v>ASSIST Consultores Associados Ltda</v>
      </c>
      <c r="K4" s="54" t="str">
        <f>'Empresas Credenciadas'!C12</f>
        <v>TPF Engenharia Ltda</v>
      </c>
      <c r="L4" s="54"/>
    </row>
    <row r="5" spans="2:12" ht="48" customHeight="1" thickBot="1">
      <c r="B5" s="263" t="s">
        <v>194</v>
      </c>
      <c r="C5" s="54" t="s">
        <v>419</v>
      </c>
      <c r="D5" s="54" t="s">
        <v>420</v>
      </c>
      <c r="E5" s="54" t="s">
        <v>419</v>
      </c>
      <c r="F5" s="54" t="s">
        <v>419</v>
      </c>
      <c r="G5" s="54" t="s">
        <v>420</v>
      </c>
      <c r="H5" s="54" t="s">
        <v>419</v>
      </c>
      <c r="I5" s="54" t="s">
        <v>421</v>
      </c>
      <c r="J5" s="54" t="s">
        <v>420</v>
      </c>
      <c r="K5" s="54" t="s">
        <v>420</v>
      </c>
      <c r="L5" s="54"/>
    </row>
    <row r="6" spans="2:12" ht="39.950000000000003" customHeight="1" thickBot="1">
      <c r="B6" s="263" t="s">
        <v>422</v>
      </c>
      <c r="C6" s="217" t="s">
        <v>423</v>
      </c>
      <c r="D6" s="217" t="s">
        <v>424</v>
      </c>
      <c r="E6" s="217" t="s">
        <v>425</v>
      </c>
      <c r="F6" s="217" t="s">
        <v>426</v>
      </c>
      <c r="G6" s="218" t="s">
        <v>427</v>
      </c>
      <c r="H6" s="217" t="s">
        <v>428</v>
      </c>
      <c r="I6" s="218" t="s">
        <v>429</v>
      </c>
      <c r="J6" s="218"/>
      <c r="K6" s="218"/>
      <c r="L6" s="218"/>
    </row>
    <row r="7" spans="2:12" ht="39.950000000000003" customHeight="1" thickBot="1">
      <c r="B7" s="263" t="s">
        <v>430</v>
      </c>
      <c r="C7" s="217" t="s">
        <v>423</v>
      </c>
      <c r="D7" s="217" t="s">
        <v>424</v>
      </c>
      <c r="E7" s="217" t="s">
        <v>427</v>
      </c>
      <c r="F7" s="217" t="s">
        <v>426</v>
      </c>
      <c r="G7" s="218" t="s">
        <v>429</v>
      </c>
      <c r="H7" s="217" t="s">
        <v>425</v>
      </c>
      <c r="I7" s="217" t="s">
        <v>428</v>
      </c>
      <c r="J7" s="217"/>
      <c r="K7" s="217"/>
      <c r="L7" s="217"/>
    </row>
    <row r="8" spans="2:12" ht="20.100000000000001" customHeight="1" thickBot="1">
      <c r="B8" s="264" t="s">
        <v>431</v>
      </c>
      <c r="C8" s="730" t="s">
        <v>432</v>
      </c>
      <c r="D8" s="731"/>
      <c r="E8" s="731"/>
      <c r="F8" s="731"/>
      <c r="G8" s="731"/>
      <c r="H8" s="731"/>
      <c r="I8" s="731"/>
      <c r="J8" s="731"/>
      <c r="K8" s="731"/>
      <c r="L8" s="732"/>
    </row>
    <row r="9" spans="2:12">
      <c r="B9" s="199">
        <v>45748</v>
      </c>
      <c r="C9" s="175" t="s">
        <v>433</v>
      </c>
      <c r="D9" s="201" t="s">
        <v>433</v>
      </c>
      <c r="E9" s="175" t="s">
        <v>433</v>
      </c>
      <c r="F9" s="201" t="s">
        <v>433</v>
      </c>
      <c r="G9" s="175" t="s">
        <v>433</v>
      </c>
      <c r="H9" s="201" t="s">
        <v>433</v>
      </c>
      <c r="I9" s="202" t="s">
        <v>433</v>
      </c>
      <c r="J9" s="192"/>
      <c r="K9" s="197"/>
      <c r="L9" s="197"/>
    </row>
    <row r="10" spans="2:12">
      <c r="B10" s="200">
        <v>45751</v>
      </c>
      <c r="C10" s="175" t="s">
        <v>434</v>
      </c>
      <c r="D10" s="201" t="s">
        <v>434</v>
      </c>
      <c r="E10" s="175" t="s">
        <v>434</v>
      </c>
      <c r="F10" s="201" t="s">
        <v>434</v>
      </c>
      <c r="G10" s="175" t="s">
        <v>434</v>
      </c>
      <c r="H10" s="201" t="s">
        <v>434</v>
      </c>
      <c r="I10" s="202" t="s">
        <v>434</v>
      </c>
      <c r="J10" s="193"/>
      <c r="K10" s="198"/>
      <c r="L10" s="198"/>
    </row>
    <row r="11" spans="2:12" ht="30" customHeight="1">
      <c r="B11" s="203">
        <v>45811</v>
      </c>
      <c r="C11" s="204" t="s">
        <v>435</v>
      </c>
      <c r="D11" s="205" t="s">
        <v>435</v>
      </c>
      <c r="E11" s="204" t="s">
        <v>435</v>
      </c>
      <c r="F11" s="205" t="s">
        <v>435</v>
      </c>
      <c r="G11" s="195"/>
      <c r="H11" s="193"/>
      <c r="I11" s="198"/>
      <c r="J11" s="193"/>
      <c r="K11" s="198"/>
      <c r="L11" s="198"/>
    </row>
    <row r="12" spans="2:12" ht="30">
      <c r="B12" s="203">
        <v>45820</v>
      </c>
      <c r="C12" s="204" t="s">
        <v>436</v>
      </c>
      <c r="D12" s="205" t="s">
        <v>436</v>
      </c>
      <c r="E12" s="204" t="s">
        <v>436</v>
      </c>
      <c r="F12" s="205" t="s">
        <v>436</v>
      </c>
      <c r="G12" s="195"/>
      <c r="H12" s="193"/>
      <c r="I12" s="198"/>
      <c r="J12" s="193"/>
      <c r="K12" s="198"/>
      <c r="L12" s="198"/>
    </row>
    <row r="13" spans="2:12" ht="30">
      <c r="B13" s="203">
        <v>45824</v>
      </c>
      <c r="C13" s="205" t="s">
        <v>437</v>
      </c>
      <c r="D13" s="205" t="s">
        <v>437</v>
      </c>
      <c r="E13" s="205" t="s">
        <v>437</v>
      </c>
      <c r="F13" s="205" t="s">
        <v>437</v>
      </c>
      <c r="G13" s="195"/>
      <c r="H13" s="193"/>
      <c r="I13" s="198"/>
      <c r="J13" s="193"/>
      <c r="K13" s="198"/>
      <c r="L13" s="198"/>
    </row>
    <row r="14" spans="2:12" ht="30" customHeight="1">
      <c r="B14" s="203">
        <v>45825</v>
      </c>
      <c r="C14" s="195"/>
      <c r="D14" s="193"/>
      <c r="E14" s="195"/>
      <c r="F14" s="193"/>
      <c r="G14" s="205" t="s">
        <v>435</v>
      </c>
      <c r="H14" s="193"/>
      <c r="I14" s="198"/>
      <c r="J14" s="193"/>
      <c r="K14" s="198"/>
      <c r="L14" s="198"/>
    </row>
    <row r="15" spans="2:12">
      <c r="B15" s="203">
        <v>45826</v>
      </c>
      <c r="C15" s="207" t="s">
        <v>438</v>
      </c>
      <c r="D15" s="208" t="s">
        <v>438</v>
      </c>
      <c r="E15" s="207" t="s">
        <v>438</v>
      </c>
      <c r="F15" s="208" t="s">
        <v>438</v>
      </c>
      <c r="G15" s="195"/>
      <c r="H15" s="193"/>
      <c r="I15" s="198"/>
      <c r="J15" s="193"/>
      <c r="K15" s="198"/>
      <c r="L15" s="198"/>
    </row>
    <row r="16" spans="2:12" ht="30">
      <c r="B16" s="203">
        <v>45835</v>
      </c>
      <c r="C16" s="195"/>
      <c r="D16" s="193"/>
      <c r="E16" s="195"/>
      <c r="F16" s="193"/>
      <c r="G16" s="205" t="s">
        <v>436</v>
      </c>
      <c r="H16" s="193"/>
      <c r="I16" s="198"/>
      <c r="J16" s="193"/>
      <c r="K16" s="198"/>
      <c r="L16" s="198"/>
    </row>
    <row r="17" spans="2:12" ht="30">
      <c r="B17" s="203">
        <v>45842</v>
      </c>
      <c r="C17" s="195"/>
      <c r="D17" s="193"/>
      <c r="E17" s="195"/>
      <c r="F17" s="193"/>
      <c r="G17" s="205" t="s">
        <v>437</v>
      </c>
      <c r="H17" s="193"/>
      <c r="I17" s="198"/>
      <c r="J17" s="193"/>
      <c r="K17" s="198"/>
      <c r="L17" s="198"/>
    </row>
    <row r="18" spans="2:12">
      <c r="B18" s="203">
        <v>45845</v>
      </c>
      <c r="C18" s="195"/>
      <c r="D18" s="193"/>
      <c r="E18" s="195"/>
      <c r="F18" s="193"/>
      <c r="G18" s="208" t="s">
        <v>438</v>
      </c>
      <c r="H18" s="193"/>
      <c r="I18" s="198"/>
      <c r="J18" s="193"/>
      <c r="K18" s="198"/>
      <c r="L18" s="198"/>
    </row>
    <row r="19" spans="2:12" ht="30">
      <c r="B19" s="203">
        <v>45863</v>
      </c>
      <c r="C19" s="209" t="s">
        <v>439</v>
      </c>
      <c r="D19" s="193"/>
      <c r="E19" s="195"/>
      <c r="F19" s="193"/>
      <c r="G19" s="195"/>
      <c r="H19" s="193"/>
      <c r="I19" s="198"/>
      <c r="J19" s="193"/>
      <c r="K19" s="198"/>
      <c r="L19" s="198"/>
    </row>
    <row r="20" spans="2:12">
      <c r="B20" s="203">
        <v>45869</v>
      </c>
      <c r="C20" s="210" t="s">
        <v>440</v>
      </c>
      <c r="D20" s="193"/>
      <c r="E20" s="195"/>
      <c r="F20" s="193"/>
      <c r="G20" s="195"/>
      <c r="H20" s="193"/>
      <c r="I20" s="198"/>
      <c r="J20" s="193"/>
      <c r="K20" s="198"/>
      <c r="L20" s="198"/>
    </row>
    <row r="21" spans="2:12" ht="30">
      <c r="B21" s="203">
        <v>45870</v>
      </c>
      <c r="C21" s="195"/>
      <c r="D21" s="211" t="s">
        <v>439</v>
      </c>
      <c r="E21" s="195"/>
      <c r="F21" s="193"/>
      <c r="G21" s="195"/>
      <c r="H21" s="193"/>
      <c r="I21" s="198"/>
      <c r="J21" s="193"/>
      <c r="K21" s="198"/>
      <c r="L21" s="198"/>
    </row>
    <row r="22" spans="2:12">
      <c r="B22" s="203">
        <v>45876</v>
      </c>
      <c r="C22" s="195"/>
      <c r="D22" s="212" t="s">
        <v>440</v>
      </c>
      <c r="E22" s="195"/>
      <c r="F22" s="193"/>
      <c r="G22" s="195"/>
      <c r="H22" s="193"/>
      <c r="I22" s="198"/>
      <c r="J22" s="193"/>
      <c r="K22" s="198"/>
      <c r="L22" s="198"/>
    </row>
    <row r="23" spans="2:12" ht="30">
      <c r="B23" s="203">
        <v>45883</v>
      </c>
      <c r="C23" s="195"/>
      <c r="D23" s="193"/>
      <c r="E23" s="211" t="s">
        <v>439</v>
      </c>
      <c r="F23" s="193"/>
      <c r="G23" s="195"/>
      <c r="H23" s="205" t="s">
        <v>435</v>
      </c>
      <c r="I23" s="206" t="s">
        <v>435</v>
      </c>
      <c r="J23" s="193"/>
      <c r="K23" s="198"/>
      <c r="L23" s="198"/>
    </row>
    <row r="24" spans="2:12" ht="30">
      <c r="B24" s="203">
        <v>45884</v>
      </c>
      <c r="C24" s="195"/>
      <c r="D24" s="193"/>
      <c r="E24" s="213" t="s">
        <v>441</v>
      </c>
      <c r="F24" s="193"/>
      <c r="G24" s="195"/>
      <c r="H24" s="193"/>
      <c r="I24" s="198"/>
      <c r="J24" s="193"/>
      <c r="K24" s="198"/>
      <c r="L24" s="198"/>
    </row>
    <row r="25" spans="2:12" ht="30">
      <c r="B25" s="203">
        <v>45887</v>
      </c>
      <c r="C25" s="195"/>
      <c r="D25" s="193"/>
      <c r="E25" s="195"/>
      <c r="F25" s="211" t="s">
        <v>439</v>
      </c>
      <c r="G25" s="195"/>
      <c r="H25" s="193"/>
      <c r="I25" s="198"/>
      <c r="J25" s="193"/>
      <c r="K25" s="198"/>
      <c r="L25" s="198"/>
    </row>
    <row r="26" spans="2:12">
      <c r="B26" s="203">
        <v>45891</v>
      </c>
      <c r="C26" s="195"/>
      <c r="D26" s="193"/>
      <c r="E26" s="195"/>
      <c r="F26" s="212" t="s">
        <v>440</v>
      </c>
      <c r="G26" s="195"/>
      <c r="H26" s="193"/>
      <c r="I26" s="198"/>
      <c r="J26" s="193"/>
      <c r="K26" s="198"/>
      <c r="L26" s="198"/>
    </row>
    <row r="27" spans="2:12" ht="30">
      <c r="B27" s="203">
        <v>45895</v>
      </c>
      <c r="C27" s="195"/>
      <c r="D27" s="193"/>
      <c r="E27" s="195"/>
      <c r="F27" s="193"/>
      <c r="G27" s="195"/>
      <c r="H27" s="205" t="s">
        <v>436</v>
      </c>
      <c r="I27" s="206" t="s">
        <v>436</v>
      </c>
      <c r="J27" s="193"/>
      <c r="K27" s="198"/>
      <c r="L27" s="198"/>
    </row>
    <row r="28" spans="2:12">
      <c r="B28" s="203">
        <v>45909</v>
      </c>
      <c r="C28" s="195"/>
      <c r="D28" s="193"/>
      <c r="E28" s="195"/>
      <c r="F28" s="193"/>
      <c r="G28" s="195"/>
      <c r="H28" s="208" t="s">
        <v>438</v>
      </c>
      <c r="I28" s="208" t="s">
        <v>438</v>
      </c>
      <c r="J28" s="193"/>
      <c r="K28" s="198"/>
      <c r="L28" s="198"/>
    </row>
    <row r="29" spans="2:12">
      <c r="B29" s="265">
        <v>45924</v>
      </c>
      <c r="C29" s="131"/>
      <c r="D29" s="224"/>
      <c r="E29" s="131"/>
      <c r="F29" s="224"/>
      <c r="G29" s="131"/>
      <c r="H29" s="224"/>
      <c r="I29" s="225"/>
      <c r="J29" s="314" t="s">
        <v>435</v>
      </c>
      <c r="K29" s="198"/>
      <c r="L29" s="198"/>
    </row>
    <row r="30" spans="2:12">
      <c r="B30" s="216">
        <v>45930</v>
      </c>
      <c r="C30" s="215"/>
      <c r="D30" s="214"/>
      <c r="E30" s="215"/>
      <c r="F30" s="214"/>
      <c r="G30" s="215"/>
      <c r="H30" s="214"/>
      <c r="I30" s="214"/>
      <c r="J30" s="193"/>
      <c r="K30" s="315" t="s">
        <v>442</v>
      </c>
      <c r="L30" s="198"/>
    </row>
    <row r="31" spans="2:12" ht="30">
      <c r="B31" s="216">
        <v>45933</v>
      </c>
      <c r="C31" s="215"/>
      <c r="D31" s="214"/>
      <c r="E31" s="215"/>
      <c r="F31" s="214"/>
      <c r="G31" s="215"/>
      <c r="H31" s="214"/>
      <c r="I31" s="214"/>
      <c r="J31" s="204" t="s">
        <v>443</v>
      </c>
      <c r="K31" s="315" t="s">
        <v>444</v>
      </c>
      <c r="L31" s="198"/>
    </row>
    <row r="32" spans="2:12">
      <c r="B32" s="216">
        <v>45940</v>
      </c>
      <c r="C32" s="215"/>
      <c r="D32" s="214"/>
      <c r="E32" s="215"/>
      <c r="F32" s="214"/>
      <c r="G32" s="215"/>
      <c r="H32" s="214"/>
      <c r="I32" s="214"/>
      <c r="J32" s="316" t="s">
        <v>438</v>
      </c>
      <c r="K32" s="198"/>
      <c r="L32" s="198"/>
    </row>
    <row r="33" spans="2:12">
      <c r="B33" s="216"/>
      <c r="C33" s="215"/>
      <c r="D33" s="214"/>
      <c r="E33" s="215"/>
      <c r="F33" s="214"/>
      <c r="G33" s="215"/>
      <c r="H33" s="214"/>
      <c r="I33" s="214"/>
      <c r="J33" s="193"/>
      <c r="K33" s="198"/>
      <c r="L33" s="198"/>
    </row>
    <row r="34" spans="2:12">
      <c r="B34" s="216"/>
      <c r="C34" s="215"/>
      <c r="D34" s="214"/>
      <c r="E34" s="215"/>
      <c r="F34" s="214"/>
      <c r="G34" s="214"/>
      <c r="H34" s="214"/>
      <c r="I34" s="214"/>
      <c r="J34" s="193"/>
      <c r="K34" s="198"/>
      <c r="L34" s="198"/>
    </row>
    <row r="35" spans="2:12">
      <c r="B35" s="216"/>
      <c r="C35" s="215"/>
      <c r="D35" s="214"/>
      <c r="E35" s="215"/>
      <c r="F35" s="214"/>
      <c r="G35" s="215"/>
      <c r="H35" s="214"/>
      <c r="I35" s="214"/>
      <c r="J35" s="193"/>
      <c r="K35" s="198"/>
      <c r="L35" s="198"/>
    </row>
    <row r="36" spans="2:12" ht="15.75" thickBot="1">
      <c r="B36" s="194"/>
      <c r="C36" s="196"/>
      <c r="D36" s="194"/>
      <c r="E36" s="196"/>
      <c r="F36" s="194"/>
      <c r="G36" s="196"/>
      <c r="H36" s="194"/>
      <c r="I36" s="194"/>
      <c r="J36" s="194"/>
      <c r="K36" s="261"/>
      <c r="L36" s="261"/>
    </row>
    <row r="38" spans="2:12">
      <c r="I38" s="736" t="s">
        <v>445</v>
      </c>
      <c r="J38" s="737"/>
    </row>
  </sheetData>
  <mergeCells count="3">
    <mergeCell ref="C8:L8"/>
    <mergeCell ref="B2:L2"/>
    <mergeCell ref="I38:J38"/>
  </mergeCells>
  <pageMargins left="0.511811024" right="0.511811024" top="0.78740157499999996" bottom="0.78740157499999996" header="0.31496062000000002" footer="0.31496062000000002"/>
  <pageSetup paperSize="9" scale="55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37778-EB91-45AF-AAA8-4214F4ADF55D}">
  <dimension ref="B2:T18"/>
  <sheetViews>
    <sheetView topLeftCell="H1" workbookViewId="0">
      <selection activeCell="K6" sqref="K6"/>
    </sheetView>
  </sheetViews>
  <sheetFormatPr defaultRowHeight="15"/>
  <cols>
    <col min="2" max="2" width="4.28515625" bestFit="1" customWidth="1"/>
    <col min="3" max="3" width="35.7109375" bestFit="1" customWidth="1"/>
    <col min="4" max="4" width="18.42578125" bestFit="1" customWidth="1"/>
    <col min="5" max="5" width="22.140625" bestFit="1" customWidth="1"/>
    <col min="6" max="6" width="35.42578125" bestFit="1" customWidth="1"/>
    <col min="7" max="7" width="25.5703125" bestFit="1" customWidth="1"/>
    <col min="8" max="8" width="60.42578125" bestFit="1" customWidth="1"/>
    <col min="9" max="9" width="32.28515625" bestFit="1" customWidth="1"/>
    <col min="10" max="10" width="14" bestFit="1" customWidth="1"/>
    <col min="11" max="11" width="38.140625" customWidth="1"/>
    <col min="12" max="12" width="37.5703125" customWidth="1"/>
    <col min="13" max="13" width="30.7109375" customWidth="1"/>
    <col min="14" max="14" width="42" customWidth="1"/>
    <col min="15" max="15" width="29.85546875" customWidth="1"/>
    <col min="16" max="16" width="26.140625" customWidth="1"/>
    <col min="17" max="17" width="35.85546875" customWidth="1"/>
    <col min="18" max="18" width="28.140625" customWidth="1"/>
    <col min="19" max="19" width="40.85546875" customWidth="1"/>
    <col min="20" max="20" width="40.28515625" customWidth="1"/>
  </cols>
  <sheetData>
    <row r="2" spans="2:20">
      <c r="B2" s="317" t="s">
        <v>446</v>
      </c>
      <c r="C2" s="318" t="s">
        <v>348</v>
      </c>
      <c r="D2" s="319" t="s">
        <v>253</v>
      </c>
      <c r="E2" s="319" t="s">
        <v>255</v>
      </c>
      <c r="F2" s="319" t="s">
        <v>256</v>
      </c>
      <c r="G2" s="319" t="s">
        <v>217</v>
      </c>
      <c r="H2" s="320" t="s">
        <v>346</v>
      </c>
      <c r="I2" s="319" t="s">
        <v>347</v>
      </c>
      <c r="J2" s="234" t="s">
        <v>348</v>
      </c>
      <c r="K2" s="738" t="s">
        <v>349</v>
      </c>
      <c r="L2" s="739"/>
      <c r="M2" s="739"/>
      <c r="N2" s="739"/>
      <c r="O2" s="739"/>
      <c r="P2" s="739"/>
      <c r="Q2" s="739"/>
      <c r="R2" s="739"/>
    </row>
    <row r="3" spans="2:20">
      <c r="B3" s="250">
        <v>1</v>
      </c>
      <c r="C3" s="237" t="s">
        <v>261</v>
      </c>
      <c r="D3" s="250" t="s">
        <v>262</v>
      </c>
      <c r="E3" s="321" t="s">
        <v>264</v>
      </c>
      <c r="F3" s="322" t="s">
        <v>266</v>
      </c>
      <c r="G3" s="250" t="s">
        <v>265</v>
      </c>
      <c r="H3" s="250" t="s">
        <v>357</v>
      </c>
      <c r="I3" s="250" t="s">
        <v>447</v>
      </c>
      <c r="J3" s="335" t="s">
        <v>359</v>
      </c>
      <c r="K3" s="250"/>
      <c r="L3" s="250"/>
      <c r="M3" s="250"/>
      <c r="N3" s="250"/>
      <c r="O3" s="250"/>
      <c r="P3" s="250"/>
      <c r="Q3" s="250"/>
      <c r="R3" s="250"/>
      <c r="S3" s="250"/>
      <c r="T3" s="250"/>
    </row>
    <row r="4" spans="2:20" ht="30">
      <c r="B4" s="21">
        <v>2</v>
      </c>
      <c r="C4" s="28" t="s">
        <v>448</v>
      </c>
      <c r="D4" s="21" t="s">
        <v>269</v>
      </c>
      <c r="E4" s="21" t="s">
        <v>271</v>
      </c>
      <c r="F4" s="323" t="s">
        <v>273</v>
      </c>
      <c r="G4" s="21" t="s">
        <v>272</v>
      </c>
      <c r="H4" s="21" t="s">
        <v>362</v>
      </c>
      <c r="I4" s="229" t="s">
        <v>447</v>
      </c>
      <c r="J4" s="28" t="s">
        <v>449</v>
      </c>
      <c r="K4" s="21"/>
      <c r="L4" s="21"/>
      <c r="M4" s="21"/>
      <c r="N4" s="21"/>
      <c r="O4" s="21"/>
      <c r="P4" s="21"/>
      <c r="Q4" s="21"/>
      <c r="R4" s="21"/>
      <c r="S4" s="21"/>
      <c r="T4" s="21"/>
    </row>
    <row r="5" spans="2:20">
      <c r="B5" s="250">
        <v>3</v>
      </c>
      <c r="C5" s="237" t="s">
        <v>450</v>
      </c>
      <c r="D5" s="250" t="s">
        <v>276</v>
      </c>
      <c r="E5" s="324" t="s">
        <v>278</v>
      </c>
      <c r="F5" s="325" t="s">
        <v>280</v>
      </c>
      <c r="G5" s="250" t="s">
        <v>451</v>
      </c>
      <c r="H5" s="250" t="s">
        <v>366</v>
      </c>
      <c r="I5" s="250" t="s">
        <v>447</v>
      </c>
      <c r="J5" s="335" t="s">
        <v>452</v>
      </c>
      <c r="K5" s="250"/>
      <c r="L5" s="250"/>
      <c r="M5" s="250"/>
      <c r="N5" s="250"/>
      <c r="O5" s="250"/>
      <c r="P5" s="250"/>
      <c r="Q5" s="250"/>
      <c r="R5" s="250"/>
      <c r="S5" s="250"/>
      <c r="T5" s="250"/>
    </row>
    <row r="6" spans="2:20" ht="30">
      <c r="B6" s="21">
        <v>4</v>
      </c>
      <c r="C6" s="21" t="s">
        <v>453</v>
      </c>
      <c r="D6" s="21" t="s">
        <v>454</v>
      </c>
      <c r="E6" s="22" t="s">
        <v>285</v>
      </c>
      <c r="F6" s="323" t="s">
        <v>455</v>
      </c>
      <c r="G6" s="21" t="s">
        <v>456</v>
      </c>
      <c r="H6" s="21" t="s">
        <v>371</v>
      </c>
      <c r="I6" s="21" t="s">
        <v>457</v>
      </c>
      <c r="J6" s="21" t="s">
        <v>373</v>
      </c>
      <c r="K6" s="21"/>
      <c r="L6" s="21"/>
      <c r="M6" s="21"/>
      <c r="N6" s="21"/>
      <c r="O6" s="21"/>
      <c r="P6" s="21"/>
      <c r="Q6" s="21"/>
      <c r="R6" s="21"/>
      <c r="S6" s="21"/>
      <c r="T6" s="21"/>
    </row>
    <row r="7" spans="2:20">
      <c r="B7" s="250">
        <v>5</v>
      </c>
      <c r="C7" s="237" t="s">
        <v>458</v>
      </c>
      <c r="D7" s="250" t="s">
        <v>290</v>
      </c>
      <c r="E7" s="326" t="s">
        <v>292</v>
      </c>
      <c r="F7" s="322" t="s">
        <v>294</v>
      </c>
      <c r="G7" s="250" t="s">
        <v>293</v>
      </c>
      <c r="H7" s="250" t="s">
        <v>377</v>
      </c>
      <c r="I7" s="250" t="s">
        <v>459</v>
      </c>
      <c r="J7" s="335" t="s">
        <v>379</v>
      </c>
      <c r="K7" s="250"/>
      <c r="L7" s="250"/>
      <c r="M7" s="250"/>
      <c r="N7" s="250"/>
      <c r="O7" s="250"/>
      <c r="P7" s="250"/>
      <c r="Q7" s="250"/>
      <c r="R7" s="250"/>
      <c r="S7" s="250"/>
      <c r="T7" s="250"/>
    </row>
    <row r="8" spans="2:20" ht="30">
      <c r="B8" s="21">
        <v>6</v>
      </c>
      <c r="C8" s="21" t="s">
        <v>460</v>
      </c>
      <c r="D8" s="21" t="s">
        <v>297</v>
      </c>
      <c r="E8" s="22" t="s">
        <v>299</v>
      </c>
      <c r="F8" s="327" t="s">
        <v>461</v>
      </c>
      <c r="G8" s="28" t="s">
        <v>462</v>
      </c>
      <c r="H8" s="21" t="s">
        <v>382</v>
      </c>
      <c r="I8" s="21" t="s">
        <v>463</v>
      </c>
      <c r="J8" s="21" t="s">
        <v>384</v>
      </c>
      <c r="K8" s="21"/>
      <c r="L8" s="21"/>
      <c r="M8" s="21"/>
      <c r="N8" s="21"/>
      <c r="O8" s="21"/>
      <c r="P8" s="21"/>
      <c r="Q8" s="21"/>
      <c r="R8" s="21"/>
      <c r="S8" s="21"/>
      <c r="T8" s="21"/>
    </row>
    <row r="9" spans="2:20" ht="30">
      <c r="B9" s="250">
        <v>7</v>
      </c>
      <c r="C9" s="238" t="s">
        <v>464</v>
      </c>
      <c r="D9" s="250" t="s">
        <v>465</v>
      </c>
      <c r="E9" s="324" t="s">
        <v>306</v>
      </c>
      <c r="F9" s="322" t="s">
        <v>308</v>
      </c>
      <c r="G9" s="250" t="s">
        <v>466</v>
      </c>
      <c r="H9" s="250" t="s">
        <v>387</v>
      </c>
      <c r="I9" s="250" t="s">
        <v>463</v>
      </c>
      <c r="J9" s="336" t="s">
        <v>467</v>
      </c>
      <c r="K9" s="250"/>
      <c r="L9" s="250"/>
      <c r="M9" s="250"/>
      <c r="N9" s="250"/>
      <c r="O9" s="250"/>
      <c r="P9" s="250"/>
      <c r="Q9" s="250"/>
      <c r="R9" s="250"/>
      <c r="S9" s="250"/>
      <c r="T9" s="250"/>
    </row>
    <row r="10" spans="2:20" ht="60">
      <c r="B10" s="21">
        <v>8</v>
      </c>
      <c r="C10" s="229" t="s">
        <v>468</v>
      </c>
      <c r="D10" s="229" t="s">
        <v>311</v>
      </c>
      <c r="E10" s="22" t="s">
        <v>313</v>
      </c>
      <c r="F10" s="328" t="s">
        <v>469</v>
      </c>
      <c r="G10" s="229" t="s">
        <v>470</v>
      </c>
      <c r="H10" s="229" t="s">
        <v>471</v>
      </c>
      <c r="I10" s="229"/>
      <c r="J10" s="229" t="s">
        <v>392</v>
      </c>
      <c r="K10" s="230" t="s">
        <v>472</v>
      </c>
      <c r="L10" s="28" t="s">
        <v>394</v>
      </c>
      <c r="M10" s="230" t="s">
        <v>473</v>
      </c>
      <c r="N10" s="28" t="s">
        <v>474</v>
      </c>
      <c r="O10" s="28" t="s">
        <v>475</v>
      </c>
      <c r="P10" s="28" t="s">
        <v>476</v>
      </c>
      <c r="Q10" s="28"/>
      <c r="R10" s="28"/>
      <c r="S10" s="28"/>
      <c r="T10" s="28"/>
    </row>
    <row r="11" spans="2:20" ht="60">
      <c r="B11" s="250">
        <v>9</v>
      </c>
      <c r="C11" s="237" t="s">
        <v>317</v>
      </c>
      <c r="D11" s="250" t="s">
        <v>318</v>
      </c>
      <c r="E11" s="329" t="s">
        <v>319</v>
      </c>
      <c r="F11" s="330" t="s">
        <v>321</v>
      </c>
      <c r="G11" s="250" t="s">
        <v>320</v>
      </c>
      <c r="H11" s="331" t="s">
        <v>477</v>
      </c>
      <c r="I11" s="250"/>
      <c r="J11" s="335" t="s">
        <v>478</v>
      </c>
      <c r="K11" s="331" t="s">
        <v>479</v>
      </c>
      <c r="L11" s="331" t="s">
        <v>480</v>
      </c>
      <c r="M11" s="331" t="s">
        <v>481</v>
      </c>
      <c r="N11" s="332" t="s">
        <v>482</v>
      </c>
      <c r="O11" s="331" t="s">
        <v>483</v>
      </c>
      <c r="P11" s="333" t="s">
        <v>484</v>
      </c>
      <c r="Q11" s="333" t="s">
        <v>485</v>
      </c>
      <c r="R11" s="331" t="s">
        <v>486</v>
      </c>
      <c r="S11" s="331" t="s">
        <v>487</v>
      </c>
      <c r="T11" s="331"/>
    </row>
    <row r="12" spans="2:20" ht="60">
      <c r="B12" s="229">
        <v>10</v>
      </c>
      <c r="C12" s="21" t="s">
        <v>322</v>
      </c>
      <c r="D12" s="21" t="s">
        <v>323</v>
      </c>
      <c r="E12" s="226" t="s">
        <v>324</v>
      </c>
      <c r="F12" s="228" t="s">
        <v>326</v>
      </c>
      <c r="G12" s="21" t="s">
        <v>325</v>
      </c>
      <c r="H12" s="229" t="s">
        <v>404</v>
      </c>
      <c r="I12" s="229"/>
      <c r="J12" s="21" t="s">
        <v>405</v>
      </c>
      <c r="K12" s="28" t="s">
        <v>488</v>
      </c>
      <c r="L12" s="28" t="s">
        <v>489</v>
      </c>
      <c r="M12" s="313" t="s">
        <v>490</v>
      </c>
      <c r="N12" s="28" t="s">
        <v>491</v>
      </c>
      <c r="O12" s="28" t="s">
        <v>492</v>
      </c>
      <c r="P12" s="252"/>
      <c r="Q12" s="252"/>
      <c r="R12" s="252"/>
      <c r="S12" s="252"/>
      <c r="T12" s="252"/>
    </row>
    <row r="13" spans="2:20" ht="75">
      <c r="B13" s="250">
        <v>11</v>
      </c>
      <c r="C13" s="237" t="s">
        <v>327</v>
      </c>
      <c r="D13" s="250" t="s">
        <v>328</v>
      </c>
      <c r="E13" s="334" t="s">
        <v>329</v>
      </c>
      <c r="F13" s="330" t="s">
        <v>331</v>
      </c>
      <c r="G13" s="250" t="s">
        <v>330</v>
      </c>
      <c r="H13" s="250" t="s">
        <v>404</v>
      </c>
      <c r="I13" s="250"/>
      <c r="J13" s="335" t="s">
        <v>408</v>
      </c>
      <c r="K13" s="331" t="s">
        <v>493</v>
      </c>
      <c r="L13" s="331" t="s">
        <v>494</v>
      </c>
      <c r="M13" s="331" t="s">
        <v>495</v>
      </c>
      <c r="N13" s="331" t="s">
        <v>496</v>
      </c>
      <c r="O13" s="331" t="s">
        <v>497</v>
      </c>
      <c r="P13" s="331" t="s">
        <v>498</v>
      </c>
      <c r="Q13" s="331" t="s">
        <v>499</v>
      </c>
      <c r="R13" s="331" t="s">
        <v>500</v>
      </c>
      <c r="S13" s="342" t="s">
        <v>501</v>
      </c>
      <c r="T13" s="331" t="s">
        <v>502</v>
      </c>
    </row>
    <row r="14" spans="2:20" ht="48" customHeight="1">
      <c r="B14" s="21">
        <v>12</v>
      </c>
      <c r="C14" s="21" t="s">
        <v>332</v>
      </c>
      <c r="D14" s="28" t="s">
        <v>333</v>
      </c>
      <c r="E14" s="22" t="s">
        <v>335</v>
      </c>
      <c r="F14" s="219" t="s">
        <v>503</v>
      </c>
      <c r="G14" s="21" t="s">
        <v>336</v>
      </c>
      <c r="H14" s="229" t="s">
        <v>412</v>
      </c>
      <c r="I14" s="21"/>
      <c r="J14" s="223" t="s">
        <v>413</v>
      </c>
      <c r="K14" s="28" t="s">
        <v>504</v>
      </c>
      <c r="L14" s="28" t="s">
        <v>505</v>
      </c>
      <c r="M14" s="28" t="s">
        <v>506</v>
      </c>
      <c r="N14" s="28" t="s">
        <v>507</v>
      </c>
      <c r="O14" s="28" t="s">
        <v>508</v>
      </c>
      <c r="P14" s="28"/>
      <c r="Q14" s="21"/>
      <c r="R14" s="21"/>
      <c r="S14" s="21"/>
      <c r="T14" s="21"/>
    </row>
    <row r="15" spans="2:20" ht="60">
      <c r="B15" s="250">
        <v>13</v>
      </c>
      <c r="C15" s="237" t="s">
        <v>509</v>
      </c>
      <c r="D15" s="331" t="s">
        <v>510</v>
      </c>
      <c r="E15" s="342" t="s">
        <v>511</v>
      </c>
      <c r="F15" s="343" t="s">
        <v>512</v>
      </c>
      <c r="G15" s="250" t="s">
        <v>513</v>
      </c>
      <c r="H15" s="250" t="s">
        <v>514</v>
      </c>
      <c r="I15" s="250"/>
      <c r="J15" s="346" t="s">
        <v>515</v>
      </c>
      <c r="K15" s="331" t="s">
        <v>516</v>
      </c>
      <c r="L15" s="331" t="s">
        <v>517</v>
      </c>
      <c r="M15" s="331"/>
      <c r="N15" s="331"/>
      <c r="O15" s="331"/>
      <c r="P15" s="331"/>
      <c r="Q15" s="250"/>
      <c r="R15" s="250"/>
      <c r="S15" s="250"/>
      <c r="T15" s="250"/>
    </row>
    <row r="18" spans="17:17">
      <c r="Q18" s="337" t="s">
        <v>518</v>
      </c>
    </row>
  </sheetData>
  <mergeCells count="1">
    <mergeCell ref="K2:R2"/>
  </mergeCells>
  <hyperlinks>
    <hyperlink ref="F3" r:id="rId1" xr:uid="{F7C60898-2284-411B-BFA4-1F5A284F0AFD}"/>
    <hyperlink ref="F4" r:id="rId2" xr:uid="{72FB6902-FE5E-414E-939A-A9F77FFE1343}"/>
    <hyperlink ref="F6" r:id="rId3" xr:uid="{63B542D5-EEBC-4818-AA85-9CB9B6DBE635}"/>
    <hyperlink ref="F7" r:id="rId4" xr:uid="{8B34297F-2133-403C-9DE7-10591DA82F1B}"/>
    <hyperlink ref="F9" r:id="rId5" xr:uid="{B3094E22-5038-46A9-8170-5AECFEA38702}"/>
    <hyperlink ref="F11" r:id="rId6" display="licitacoes-ce@tpfe.com.br" xr:uid="{189EF5C1-4B78-4564-A89B-A2505F38D3AA}"/>
    <hyperlink ref="F10" r:id="rId7" xr:uid="{00D9A455-2CF5-4609-93EF-6740AE451D40}"/>
    <hyperlink ref="F12" r:id="rId8" display="financeiro@geopac.com.br" xr:uid="{6BFBD67E-53DF-459E-B027-61FE6780E826}"/>
    <hyperlink ref="F13" r:id="rId9" display="comercial@ecrengenharia.com.br" xr:uid="{1163D2D3-3525-40FC-83ED-062FE8339B29}"/>
    <hyperlink ref="F14" r:id="rId10" xr:uid="{FFCAB406-7673-4250-B3DB-D00EC6D46578}"/>
  </hyperlink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855df5c-95c7-4b88-a17d-2f8ebe25ba97" xsi:nil="true"/>
    <lcf76f155ced4ddcb4097134ff3c332f xmlns="9f987d89-c3c0-470e-aaa6-c2253135bda5">
      <Terms xmlns="http://schemas.microsoft.com/office/infopath/2007/PartnerControls"/>
    </lcf76f155ced4ddcb4097134ff3c332f>
    <SharedWithUsers xmlns="a855df5c-95c7-4b88-a17d-2f8ebe25ba97">
      <UserInfo>
        <DisplayName>Diretoria de Gestão Corporativa ENBPar</DisplayName>
        <AccountId>78</AccountId>
        <AccountType/>
      </UserInfo>
      <UserInfo>
        <DisplayName>Ellen Lino de Castro</DisplayName>
        <AccountId>136</AccountId>
        <AccountType/>
      </UserInfo>
    </SharedWithUsers>
    <_Flow_SignoffStatus xmlns="9f987d89-c3c0-470e-aaa6-c2253135bd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407BA364D1654387CA771A5258DC59" ma:contentTypeVersion="19" ma:contentTypeDescription="Create a new document." ma:contentTypeScope="" ma:versionID="2b775060f83d6efd2bd1c54978b8e750">
  <xsd:schema xmlns:xsd="http://www.w3.org/2001/XMLSchema" xmlns:xs="http://www.w3.org/2001/XMLSchema" xmlns:p="http://schemas.microsoft.com/office/2006/metadata/properties" xmlns:ns2="9f987d89-c3c0-470e-aaa6-c2253135bda5" xmlns:ns3="a855df5c-95c7-4b88-a17d-2f8ebe25ba97" targetNamespace="http://schemas.microsoft.com/office/2006/metadata/properties" ma:root="true" ma:fieldsID="b780244a123cd8f2f2c4f573fac653ed" ns2:_="" ns3:_="">
    <xsd:import namespace="9f987d89-c3c0-470e-aaa6-c2253135bda5"/>
    <xsd:import namespace="a855df5c-95c7-4b88-a17d-2f8ebe25ba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987d89-c3c0-470e-aaa6-c2253135bd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835187a-a473-41ac-a4ea-1c7fdfdb56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55df5c-95c7-4b88-a17d-2f8ebe25ba9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9fb366a-ae7d-44b6-9587-5dd5528438ee}" ma:internalName="TaxCatchAll" ma:readOnly="false" ma:showField="CatchAllData" ma:web="a855df5c-95c7-4b88-a17d-2f8ebe25ba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16B7D11F-6771-4528-9407-47D77D5697B3}"/>
</file>

<file path=customXml/itemProps2.xml><?xml version="1.0" encoding="utf-8"?>
<ds:datastoreItem xmlns:ds="http://schemas.openxmlformats.org/officeDocument/2006/customXml" ds:itemID="{0214F4D0-3648-4F26-A98E-615F5AD45D1D}"/>
</file>

<file path=customXml/itemProps3.xml><?xml version="1.0" encoding="utf-8"?>
<ds:datastoreItem xmlns:ds="http://schemas.openxmlformats.org/officeDocument/2006/customXml" ds:itemID="{A2132C95-D3C4-4A2C-85C4-815E20EC7FF9}"/>
</file>

<file path=customXml/itemProps4.xml><?xml version="1.0" encoding="utf-8"?>
<ds:datastoreItem xmlns:ds="http://schemas.openxmlformats.org/officeDocument/2006/customXml" ds:itemID="{12EA556E-8507-4A8A-9C23-14BA669C73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rodrigo.pereira@enbpar.gov.br</dc:creator>
  <cp:keywords/>
  <dc:description/>
  <cp:lastModifiedBy/>
  <cp:revision/>
  <dcterms:created xsi:type="dcterms:W3CDTF">2022-12-27T18:44:24Z</dcterms:created>
  <dcterms:modified xsi:type="dcterms:W3CDTF">2026-07-20T18:42:19Z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2023-03-02T18:45:21Z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87c4b32b-99bb-47a2-a1cd-9b7ad581fdbc</vt:lpwstr>
  </property>
  <property fmtid="{D5CDD505-2E9C-101B-9397-08002B2CF9AE}" pid="7" name="MSIP_Label_defa4170-0d19-0005-0004-bc88714345d2_ActionId">
    <vt:lpwstr>32c2b21f-2ed6-4021-ab1d-d54ab7d24e93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ediaServiceImageTags">
    <vt:lpwstr/>
  </property>
  <property fmtid="{D5CDD505-2E9C-101B-9397-08002B2CF9AE}" pid="10" name="ContentTypeId">
    <vt:lpwstr>0x010100B4407BA364D1654387CA771A5258DC59</vt:lpwstr>
  </property>
</Properties>
</file>